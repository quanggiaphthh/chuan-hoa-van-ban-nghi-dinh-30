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1.xml" ContentType="application/vnd.openxmlformats-officedocument.spreadsheetml.table+xml"/>
  <Override PartName="/xl/worksheets/sheet24.xml" ContentType="application/vnd.openxmlformats-officedocument.spreadsheetml.worksheet+xml"/>
  <Override PartName="/xl/tables/table12.xml" ContentType="application/vnd.openxmlformats-officedocument.spreadsheetml.table+xml"/>
  <Override PartName="/xl/worksheets/sheet25.xml" ContentType="application/vnd.openxmlformats-officedocument.spreadsheetml.worksheet+xml"/>
  <Override PartName="/xl/tables/table13.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f007578ba44319" /></Relationships>
</file>

<file path=xl/workbook.xml><?xml version="1.0" encoding="utf-8"?>
<x:workbook xmlns:x="http://schemas.openxmlformats.org/spreadsheetml/2006/main">
  <x:sheets>
    <x:sheet xmlns:r="http://schemas.openxmlformats.org/officeDocument/2006/relationships" name="README" sheetId="1" r:id="Rdb8e1230c4f246e3"/>
    <x:sheet xmlns:r="http://schemas.openxmlformats.org/officeDocument/2006/relationships" name="ND30" sheetId="2" r:id="R69218f4a10d44dc3"/>
    <x:sheet xmlns:r="http://schemas.openxmlformats.org/officeDocument/2006/relationships" name="HD05" sheetId="3" r:id="R3c4b65576eb04797"/>
    <x:sheet xmlns:r="http://schemas.openxmlformats.org/officeDocument/2006/relationships" name="NGUON" sheetId="4" r:id="R445b2290695843fa"/>
    <x:sheet xmlns:r="http://schemas.openxmlformats.org/officeDocument/2006/relationships" name="KIEM_TRA" sheetId="5" r:id="R498c928cae224798"/>
    <x:sheet xmlns:r="http://schemas.openxmlformats.org/officeDocument/2006/relationships" name="DANH_MUC" sheetId="6" r:id="R5099b9afe1de4cb2"/>
    <x:sheet xmlns:r="http://schemas.openxmlformats.org/officeDocument/2006/relationships" name="PROFILE_ND30" sheetId="7" r:id="Rd56911261b0e48f5"/>
    <x:sheet xmlns:r="http://schemas.openxmlformats.org/officeDocument/2006/relationships" name="PROFILE_HD05" sheetId="8" r:id="R13cfec3588614b50"/>
    <x:sheet xmlns:r="http://schemas.openxmlformats.org/officeDocument/2006/relationships" name="PROFILE_QA" sheetId="9" r:id="R3feae898c72e443a"/>
    <x:sheet xmlns:r="http://schemas.openxmlformats.org/officeDocument/2006/relationships" name="PROFILE_CHANGELOG" sheetId="10" r:id="R0459ce90ad8e4f80"/>
    <x:sheet xmlns:r="http://schemas.openxmlformats.org/officeDocument/2006/relationships" name="BANG_ND30" sheetId="11" r:id="Rcd8ad0f773604e8e"/>
    <x:sheet xmlns:r="http://schemas.openxmlformats.org/officeDocument/2006/relationships" name="BANG_HD05" sheetId="12" r:id="R7080023f8f414556"/>
    <x:sheet xmlns:r="http://schemas.openxmlformats.org/officeDocument/2006/relationships" name="BANG_QA" sheetId="13" r:id="R3ae4dbfc48244292"/>
    <x:sheet xmlns:r="http://schemas.openxmlformats.org/officeDocument/2006/relationships" name="BANG_NHOM" sheetId="14" r:id="R8cb41617ce114928"/>
    <x:sheet xmlns:r="http://schemas.openxmlformats.org/officeDocument/2006/relationships" name="BANG_README_AI" sheetId="15" r:id="R932100bb752d4cdb"/>
    <x:sheet xmlns:r="http://schemas.openxmlformats.org/officeDocument/2006/relationships" name="BANG_THAY_DOI" sheetId="16" r:id="R1ae9d1797bf6436a"/>
    <x:sheet xmlns:r="http://schemas.openxmlformats.org/officeDocument/2006/relationships" name="DU_THAO_CHO_DUYET" sheetId="17" r:id="Ra96a6523a53a4de0"/>
    <x:sheet xmlns:r="http://schemas.openxmlformats.org/officeDocument/2006/relationships" name="DUYET_8_NHOM" sheetId="18" r:id="R5da41911e39b4054"/>
    <x:sheet xmlns:r="http://schemas.openxmlformats.org/officeDocument/2006/relationships" name="AI_HUONG_DAN_V172" sheetId="19" r:id="R0f6df2f00fef4112"/>
    <x:sheet xmlns:r="http://schemas.openxmlformats.org/officeDocument/2006/relationships" name="CHOT_LAP_TIEU_DE" sheetId="20" r:id="R5c3d606da4ad47cc"/>
    <x:sheet xmlns:r="http://schemas.openxmlformats.org/officeDocument/2006/relationships" name="CHOT_RULE_20261029" sheetId="21" r:id="R727f2760a6d74ee4"/>
    <x:sheet xmlns:r="http://schemas.openxmlformats.org/officeDocument/2006/relationships" name="README_CHOT_20261029" sheetId="22" r:id="R7df794d0c52a4098"/>
    <x:sheet xmlns:r="http://schemas.openxmlformats.org/officeDocument/2006/relationships" name="DAU_ND30" sheetId="23" r:id="R99ebd412b5fc4f77"/>
    <x:sheet xmlns:r="http://schemas.openxmlformats.org/officeDocument/2006/relationships" name="DAU_HD05" sheetId="24" r:id="Rf280c86357d04c16"/>
    <x:sheet xmlns:r="http://schemas.openxmlformats.org/officeDocument/2006/relationships" name="DAU_QA" sheetId="25" r:id="R930ea0d8f1d84fb6"/>
    <x:sheet xmlns:r="http://schemas.openxmlformats.org/officeDocument/2006/relationships" name="DAU_README_AI" sheetId="26" r:id="R08ba0247d50e4f14"/>
    <x:sheet xmlns:r="http://schemas.openxmlformats.org/officeDocument/2006/relationships" name="RULE_N_ND30" sheetId="27" r:id="R5881fa7e14364a0d"/>
    <x:sheet xmlns:r="http://schemas.openxmlformats.org/officeDocument/2006/relationships" name="RULE_C_ND30" sheetId="28" r:id="R82ef2f3077974b44"/>
    <x:sheet xmlns:r="http://schemas.openxmlformats.org/officeDocument/2006/relationships" name="RULE_G_ND30" sheetId="29" r:id="R72b5b54345b74156"/>
    <x:sheet xmlns:r="http://schemas.openxmlformats.org/officeDocument/2006/relationships" name="RULE_X_ND30" sheetId="30" r:id="R515dc6a44985494a"/>
    <x:sheet xmlns:r="http://schemas.openxmlformats.org/officeDocument/2006/relationships" name="RULE_N_HD05" sheetId="31" r:id="R905773e9ea1f4d37"/>
    <x:sheet xmlns:r="http://schemas.openxmlformats.org/officeDocument/2006/relationships" name="RULE_C_HD05" sheetId="32" r:id="Rf3151af5f5bb4b54"/>
    <x:sheet xmlns:r="http://schemas.openxmlformats.org/officeDocument/2006/relationships" name="RULE_G_HD05" sheetId="33" r:id="R997bbb4cc72844c7"/>
    <x:sheet xmlns:r="http://schemas.openxmlformats.org/officeDocument/2006/relationships" name="RULE_X_HD05" sheetId="34" r:id="R1930111175ae4e96"/>
    <x:sheet xmlns:r="http://schemas.openxmlformats.org/officeDocument/2006/relationships" name="AUDIT_BANG_132" sheetId="35" r:id="R99d417c0841f4959"/>
    <x:sheet xmlns:r="http://schemas.openxmlformats.org/officeDocument/2006/relationships" name="MA_TRAN_165" sheetId="36" r:id="R21a32376a7e14e1f"/>
    <x:sheet xmlns:r="http://schemas.openxmlformats.org/officeDocument/2006/relationships" name="BLOCKERS_176" sheetId="37" r:id="Rf6105927cc904305"/>
    <x:sheet xmlns:r="http://schemas.openxmlformats.org/officeDocument/2006/relationships" name="TQA_NR_176" sheetId="38" r:id="R8049a78b30d34a28"/>
    <x:sheet xmlns:r="http://schemas.openxmlformats.org/officeDocument/2006/relationships" name="TEST_CASES_176" sheetId="39" r:id="Rccbd58ce63254842"/>
    <x:sheet xmlns:r="http://schemas.openxmlformats.org/officeDocument/2006/relationships" name="README_V176" sheetId="40" r:id="R66e394e123bc4cce"/>
    <x:sheet xmlns:r="http://schemas.openxmlformats.org/officeDocument/2006/relationships" name="CHANGE_V176" sheetId="41" r:id="R47907fb41f5449c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4">
    <x:font>
      <x:sz val="11"/>
      <x:name val="Carlito"/>
    </x:font>
    <x:font>
      <x:b/>
      <x:sz val="16"/>
      <x:color rgb="FFFFFFFF"/>
      <x:name val="Carlito"/>
    </x:font>
    <x:font>
      <x:sz val="10"/>
      <x:color rgb="FF465B6C"/>
      <x:name val="Carlito"/>
    </x:font>
    <x:font>
      <x:b/>
      <x:sz val="10"/>
      <x:color rgb="FF805B20"/>
      <x:name val="Carlito"/>
    </x:font>
    <x:font>
      <x:sz val="9"/>
      <x:color rgb="FF576673"/>
      <x:name val="Carlito"/>
    </x:font>
    <x:font>
      <x:b/>
      <x:sz val="10"/>
      <x:color rgb="FFFFFFFF"/>
      <x:name val="Carlito"/>
    </x:font>
    <x:font>
      <x:sz val="10"/>
      <x:color rgb="FF24374A"/>
      <x:name val="Carlito"/>
    </x:font>
    <x:font>
      <x:b/>
      <x:sz val="10"/>
      <x:color rgb="FF12547A"/>
      <x:name val="Carlito"/>
    </x:font>
    <x:font>
      <x:b/>
      <x:sz val="18"/>
      <x:color rgb="FFFFFFFF"/>
      <x:name val="Carlito"/>
    </x:font>
    <x:font>
      <x:b/>
      <x:sz val="11"/>
      <x:color rgb="FF25536D"/>
      <x:name val="Carlito"/>
    </x:font>
    <x:font>
      <x:b/>
      <x:sz val="10"/>
      <x:color rgb="FF2F5368"/>
      <x:name val="Carlito"/>
    </x:font>
    <x:font>
      <x:b/>
      <x:sz val="22"/>
      <x:color rgb="FF123F59"/>
      <x:name val="Carlito"/>
    </x:font>
    <x:font>
      <x:b/>
      <x:sz val="11"/>
      <x:color rgb="FFFFFFFF"/>
      <x:name val="Carlito"/>
    </x:font>
    <x:font>
      <x:b/>
      <x:sz val="10"/>
      <x:color rgb="FF2D506A"/>
      <x:name val="Carlito"/>
    </x:font>
    <x:font>
      <x:sz val="10"/>
      <x:color rgb="FF243746"/>
      <x:name val="Carlito"/>
    </x:font>
    <x:font>
      <x:b/>
      <x:sz val="11"/>
      <x:name val="Carlito"/>
    </x:font>
    <x:font>
      <x:b/>
      <x:sz val="17"/>
      <x:color rgb="FFFFFFFF"/>
      <x:name val="Aptos"/>
    </x:font>
    <x:font>
      <x:b/>
      <x:sz val="11"/>
      <x:color rgb="FF18344A"/>
      <x:name val="Aptos"/>
    </x:font>
    <x:font>
      <x:sz val="10"/>
      <x:color rgb="FF445466"/>
      <x:name val="Aptos"/>
    </x:font>
    <x:font>
      <x:b/>
      <x:sz val="10"/>
      <x:color rgb="FFFFFFFF"/>
      <x:name val="Aptos"/>
    </x:font>
    <x:font>
      <x:sz val="10"/>
      <x:color rgb="FF293947"/>
      <x:name val="Aptos"/>
    </x:font>
    <x:font>
      <x:b/>
      <x:sz val="11"/>
      <x:color rgb="FF612B38"/>
      <x:name val="Aptos"/>
    </x:font>
    <x:font>
      <x:b/>
      <x:sz val="13"/>
      <x:color rgb="FFFFFFFF"/>
      <x:name val="Carlito"/>
    </x:font>
    <x:font>
      <x:b/>
      <x:sz val="11"/>
      <x:color rgb="FF18344A"/>
      <x:name val="Carlito"/>
    </x:font>
    <x:font>
      <x:sz val="10"/>
      <x:color rgb="FF4B5563"/>
      <x:name val="Carlito"/>
    </x:font>
    <x:font>
      <x:b/>
      <x:sz val="10"/>
      <x:color rgb="FF6F2538"/>
      <x:name val="Carlito"/>
    </x:font>
    <x:font>
      <x:b/>
      <x:sz val="10"/>
      <x:color rgb="FF18344A"/>
      <x:name val="Aptos"/>
    </x:font>
    <x:font>
      <x:sz val="10"/>
      <x:color rgb="FF43576B"/>
      <x:name val="Aptos"/>
    </x:font>
    <x:font>
      <x:b/>
      <x:sz val="10"/>
      <x:color rgb="FF612B38"/>
      <x:name val="Aptos"/>
    </x:font>
    <x:font>
      <x:sz val="10"/>
      <x:color rgb="FF22354A"/>
      <x:name val="Aptos"/>
    </x:font>
    <x:font>
      <x:sz val="11"/>
      <x:color rgb="FF174A66"/>
      <x:name val="Carlito"/>
    </x:font>
    <x:font>
      <x:sz val="10"/>
      <x:color rgb="FF29536A"/>
      <x:name val="Carlito"/>
    </x:font>
    <x:font>
      <x:sz val="10"/>
      <x:color rgb="FF8C4C18"/>
      <x:name val="Carlito"/>
    </x:font>
    <x:font>
      <x:b/>
      <x:sz val="12"/>
      <x:color rgb="FFFFFFFF"/>
      <x:name val="Carlito"/>
    </x:font>
    <x:font>
      <x:b/>
      <x:sz val="10"/>
      <x:color rgb="FF164B64"/>
      <x:name val="Carlito"/>
    </x:font>
    <x:font>
      <x:sz val="10"/>
      <x:color rgb="FF263A4C"/>
      <x:name val="Carlito"/>
    </x:font>
    <x:font>
      <x:b/>
      <x:sz val="10"/>
      <x:color rgb="FF263A4C"/>
      <x:name val="Carlito"/>
    </x:font>
    <x:font>
      <x:sz val="11"/>
      <x:color rgb="FFFFFFFF"/>
      <x:name val="Carlito"/>
    </x:font>
    <x:font>
      <x:b/>
      <x:sz val="15"/>
      <x:color rgb="FFFFFFFF"/>
      <x:name val="Aptos"/>
    </x:font>
    <x:font>
      <x:sz val="10"/>
      <x:color rgb="FF314E60"/>
      <x:name val="Aptos"/>
    </x:font>
    <x:font>
      <x:sz val="11"/>
      <x:name val="Aptos"/>
    </x:font>
    <x:font>
      <x:sz val="10"/>
      <x:name val="Aptos"/>
    </x:font>
    <x:font>
      <x:b/>
      <x:sz val="15"/>
      <x:color rgb="FFFFFFFF"/>
      <x:name val="Carlito"/>
    </x:font>
    <x:font>
      <x:sz val="10"/>
      <x:color rgb="FF314E60"/>
      <x:name val="Carlito"/>
    </x:font>
    <x:font>
      <x:sz val="11"/>
      <x:color rgb="FF8B4513"/>
      <x:name val="Carlito"/>
    </x:font>
    <x:font>
      <x:b/>
      <x:sz val="11"/>
      <x:color rgb="FF92400E"/>
      <x:name val="Carlito"/>
    </x:font>
    <x:font>
      <x:b/>
      <x:sz val="11"/>
      <x:color rgb="FF12345B"/>
      <x:name val="Carlito"/>
    </x:font>
    <x:font>
      <x:sz val="11"/>
      <x:color rgb="FF2563EB"/>
      <x:name val="Carlito"/>
    </x:font>
    <x:font>
      <x:sz val="10"/>
      <x:color rgb="FF7A4714"/>
      <x:name val="Carlito"/>
    </x:font>
    <x:font>
      <x:b/>
      <x:sz val="11"/>
      <x:color rgb="FF13355B"/>
      <x:name val="Carlito"/>
    </x:font>
    <x:font>
      <x:b/>
      <x:sz val="11"/>
      <x:color rgb="FF82430B"/>
      <x:name val="Carlito"/>
    </x:font>
    <x:font>
      <x:b/>
      <x:sz val="17"/>
      <x:color rgb="FFFFFFFF"/>
      <x:name val="Carlito"/>
    </x:font>
    <x:font>
      <x:sz val="10"/>
      <x:color rgb="FF1B405D"/>
      <x:name val="Carlito"/>
    </x:font>
    <x:font>
      <x:sz val="10"/>
      <x:name val="Arial"/>
    </x:font>
  </x:fonts>
  <x:fills count="68">
    <x:fill>
      <x:patternFill patternType="none"/>
    </x:fill>
    <x:fill>
      <x:patternFill patternType="gray125"/>
    </x:fill>
    <x:fill>
      <x:patternFill patternType="solid">
        <x:fgColor rgb="FF133F5B"/>
      </x:patternFill>
    </x:fill>
    <x:fill>
      <x:patternFill patternType="solid">
        <x:fgColor rgb="FFEAF1F5"/>
      </x:patternFill>
    </x:fill>
    <x:fill>
      <x:patternFill patternType="solid">
        <x:fgColor rgb="FFFDF3DA"/>
      </x:patternFill>
    </x:fill>
    <x:fill>
      <x:patternFill patternType="solid">
        <x:fgColor rgb="FFF5F8FA"/>
      </x:patternFill>
    </x:fill>
    <x:fill>
      <x:patternFill patternType="solid">
        <x:fgColor rgb="FFEDF5FA"/>
      </x:patternFill>
    </x:fill>
    <x:fill>
      <x:patternFill patternType="solid">
        <x:fgColor rgb="FFF4F7FA"/>
      </x:patternFill>
    </x:fill>
    <x:fill>
      <x:patternFill patternType="solid">
        <x:fgColor rgb="FFF4F1F9"/>
      </x:patternFill>
    </x:fill>
    <x:fill>
      <x:patternFill patternType="solid">
        <x:fgColor rgb="FFF0F7F0"/>
      </x:patternFill>
    </x:fill>
    <x:fill>
      <x:patternFill patternType="solid">
        <x:fgColor rgb="FFFCF5E9"/>
      </x:patternFill>
    </x:fill>
    <x:fill>
      <x:patternFill patternType="solid">
        <x:fgColor rgb="FF40566B"/>
      </x:patternFill>
    </x:fill>
    <x:fill>
      <x:patternFill patternType="solid">
        <x:fgColor rgb="FF103C55"/>
      </x:patternFill>
    </x:fill>
    <x:fill>
      <x:patternFill patternType="solid">
        <x:fgColor rgb="FFDCEBF3"/>
      </x:patternFill>
    </x:fill>
    <x:fill>
      <x:patternFill patternType="solid">
        <x:fgColor rgb="FFF7FAFC"/>
      </x:patternFill>
    </x:fill>
    <x:fill>
      <x:patternFill patternType="solid">
        <x:fgColor rgb="FF183F58"/>
      </x:patternFill>
    </x:fill>
    <x:fill>
      <x:patternFill patternType="solid">
        <x:fgColor rgb="FFEEF4F8"/>
      </x:patternFill>
    </x:fill>
    <x:fill>
      <x:patternFill patternType="solid">
        <x:fgColor rgb="FFFAFCFD"/>
      </x:patternFill>
    </x:fill>
    <x:fill>
      <x:patternFill patternType="solid">
        <x:fgColor rgb="FF16425B"/>
      </x:patternFill>
    </x:fill>
    <x:fill>
      <x:patternFill patternType="solid">
        <x:fgColor rgb="FF173653"/>
      </x:patternFill>
    </x:fill>
    <x:fill>
      <x:patternFill patternType="solid">
        <x:fgColor rgb="FFDDE8F1"/>
      </x:patternFill>
    </x:fill>
    <x:fill>
      <x:patternFill patternType="solid">
        <x:fgColor rgb="FF18344A"/>
      </x:patternFill>
    </x:fill>
    <x:fill>
      <x:patternFill patternType="solid">
        <x:fgColor rgb="FFEAF1F5"/>
      </x:patternFill>
    </x:fill>
    <x:fill>
      <x:patternFill patternType="solid">
        <x:fgColor rgb="FFF7F9FB"/>
      </x:patternFill>
    </x:fill>
    <x:fill>
      <x:patternFill patternType="solid">
        <x:fgColor rgb="FF612B38"/>
      </x:patternFill>
    </x:fill>
    <x:fill>
      <x:patternFill patternType="solid">
        <x:fgColor rgb="FFF7EDF0"/>
      </x:patternFill>
    </x:fill>
    <x:fill>
      <x:patternFill patternType="solid">
        <x:fgColor rgb="FF17324D"/>
      </x:patternFill>
    </x:fill>
    <x:fill>
      <x:patternFill patternType="solid">
        <x:fgColor rgb="FF24557C"/>
      </x:patternFill>
    </x:fill>
    <x:fill>
      <x:patternFill patternType="solid">
        <x:fgColor rgb="FF276A72"/>
      </x:patternFill>
    </x:fill>
    <x:fill>
      <x:patternFill patternType="solid">
        <x:fgColor rgb="FF555A83"/>
      </x:patternFill>
    </x:fill>
    <x:fill>
      <x:patternFill patternType="solid">
        <x:fgColor rgb="FF735B72"/>
      </x:patternFill>
    </x:fill>
    <x:fill>
      <x:patternFill patternType="solid">
        <x:fgColor rgb="FF7B6045"/>
      </x:patternFill>
    </x:fill>
    <x:fill>
      <x:patternFill patternType="solid">
        <x:fgColor rgb="FF53674A"/>
      </x:patternFill>
    </x:fill>
    <x:fill>
      <x:patternFill patternType="solid">
        <x:fgColor rgb="FF465869"/>
      </x:patternFill>
    </x:fill>
    <x:fill>
      <x:patternFill patternType="solid">
        <x:fgColor rgb="FF103A59"/>
      </x:patternFill>
    </x:fill>
    <x:fill>
      <x:patternFill patternType="solid">
        <x:fgColor rgb="FFE8F2F7"/>
      </x:patternFill>
    </x:fill>
    <x:fill>
      <x:patternFill patternType="solid">
        <x:fgColor rgb="FFF1F6FA"/>
      </x:patternFill>
    </x:fill>
    <x:fill>
      <x:patternFill patternType="solid">
        <x:fgColor rgb="FFFFF3DE"/>
      </x:patternFill>
    </x:fill>
    <x:fill>
      <x:patternFill patternType="solid">
        <x:fgColor rgb="FFFFF4E5"/>
      </x:patternFill>
    </x:fill>
    <x:fill>
      <x:patternFill patternType="solid">
        <x:fgColor rgb="FFEDF5F2"/>
      </x:patternFill>
    </x:fill>
    <x:fill>
      <x:patternFill patternType="solid">
        <x:fgColor rgb="FFECF3F7"/>
      </x:patternFill>
    </x:fill>
    <x:fill>
      <x:patternFill patternType="solid">
        <x:fgColor rgb="FF234D70"/>
      </x:patternFill>
    </x:fill>
    <x:fill>
      <x:patternFill patternType="solid">
        <x:fgColor rgb="FF153A58"/>
      </x:patternFill>
    </x:fill>
    <x:fill>
      <x:patternFill patternType="solid">
        <x:fgColor rgb="FF215A83"/>
      </x:patternFill>
    </x:fill>
    <x:fill>
      <x:patternFill patternType="solid">
        <x:fgColor rgb="FFEAF2F8"/>
      </x:patternFill>
    </x:fill>
    <x:fill>
      <x:patternFill patternType="solid">
        <x:fgColor rgb="FF143D57"/>
      </x:patternFill>
    </x:fill>
    <x:fill>
      <x:patternFill patternType="solid">
        <x:fgColor rgb="FFEAF1F4"/>
      </x:patternFill>
    </x:fill>
    <x:fill>
      <x:patternFill patternType="solid">
        <x:fgColor rgb="FF244D68"/>
      </x:patternFill>
    </x:fill>
    <x:fill>
      <x:patternFill patternType="solid">
        <x:fgColor rgb="FF17365D"/>
      </x:patternFill>
    </x:fill>
    <x:fill>
      <x:patternFill patternType="solid">
        <x:fgColor rgb="FFFFF0D5"/>
      </x:patternFill>
    </x:fill>
    <x:fill>
      <x:patternFill patternType="solid">
        <x:fgColor rgb="FFE9F1F8"/>
      </x:patternFill>
    </x:fill>
    <x:fill>
      <x:patternFill patternType="solid">
        <x:fgColor rgb="FF13355B"/>
      </x:patternFill>
    </x:fill>
    <x:fill>
      <x:patternFill patternType="solid">
        <x:fgColor rgb="FFFDECC8"/>
      </x:patternFill>
    </x:fill>
    <x:fill>
      <x:patternFill patternType="solid">
        <x:fgColor rgb="FF1C5678"/>
      </x:patternFill>
    </x:fill>
    <x:fill>
      <x:patternFill patternType="solid">
        <x:fgColor rgb="FFFEF3C7"/>
      </x:patternFill>
    </x:fill>
    <x:fill>
      <x:patternFill patternType="solid">
        <x:fgColor rgb="FFE4EBF3"/>
      </x:patternFill>
    </x:fill>
    <x:fill>
      <x:patternFill patternType="solid">
        <x:fgColor rgb="FF13355B"/>
      </x:patternFill>
    </x:fill>
    <x:fill>
      <x:patternFill patternType="solid">
        <x:fgColor rgb="FFFFF0CF"/>
      </x:patternFill>
    </x:fill>
    <x:fill>
      <x:patternFill patternType="solid">
        <x:fgColor rgb="FF1C5678"/>
      </x:patternFill>
    </x:fill>
    <x:fill>
      <x:patternFill patternType="solid">
        <x:fgColor rgb="FFE7EEF5"/>
      </x:patternFill>
    </x:fill>
    <x:fill>
      <x:patternFill patternType="solid">
        <x:fgColor rgb="FF18365A"/>
      </x:patternFill>
    </x:fill>
    <x:fill>
      <x:patternFill patternType="solid">
        <x:fgColor rgb="FF12344A"/>
      </x:patternFill>
    </x:fill>
    <x:fill>
      <x:patternFill patternType="solid">
        <x:fgColor rgb="FFE6F0F4"/>
      </x:patternFill>
    </x:fill>
    <x:fill>
      <x:patternFill patternType="solid">
        <x:fgColor rgb="FF17324F"/>
      </x:patternFill>
    </x:fill>
    <x:fill>
      <x:patternFill patternType="solid">
        <x:fgColor rgb="FFD9EAF6"/>
      </x:patternFill>
    </x:fill>
    <x:fill>
      <x:patternFill patternType="solid">
        <x:fgColor rgb="FF28608A"/>
      </x:patternFill>
    </x:fill>
    <x:fill>
      <x:patternFill patternType="solid">
        <x:fgColor rgb="FFE7F0F8"/>
      </x:patternFill>
    </x:fill>
    <x:fill>
      <x:patternFill patternType="solid">
        <x:fgColor rgb="FF17365D"/>
      </x:patternFill>
    </x:fill>
  </x:fills>
  <x:borders count="2">
    <x:border/>
    <x:border/>
  </x:borders>
  <x:cellStyleXfs count="1">
    <x:xf numFmtId="0" fontId="0" fillId="0" borderId="0"/>
  </x:cellStyleXfs>
  <x:cellXfs count="30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vertical="center" wrapText="1"/>
    </x:xf>
    <x:xf numFmtId="0" fontId="5" fillId="2" borderId="1" xfId="0" applyNumberFormat="1" applyFont="1" applyFill="1" applyBorder="1"/>
    <x:xf numFmtId="0" fontId="5" fillId="2" borderId="1" xfId="0" applyNumberFormat="1" applyFont="1" applyFill="1" applyBorder="1" applyAlignment="1">
      <x:alignment wrapText="1"/>
    </x:xf>
    <x:xf numFmtId="0" fontId="5" fillId="2" borderId="1" xfId="0" applyNumberFormat="1" applyFont="1" applyFill="1" applyBorder="1" applyAlignment="1">
      <x:alignment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top" wrapText="1"/>
    </x:xf>
    <x:xf numFmtId="0" fontId="6" fillId="0" borderId="0" xfId="0" applyNumberFormat="1" applyFont="1" applyFill="1" applyBorder="1" applyAlignment="1">
      <x:alignment horizontal="center" vertical="top" wrapText="1"/>
    </x:xf>
    <x:xf numFmtId="0" fontId="6" fillId="0" borderId="1" xfId="0" applyNumberFormat="1" applyFont="1" applyFill="1" applyBorder="1" applyAlignment="1">
      <x:alignment horizontal="center" vertical="top" wrapText="1"/>
    </x:xf>
    <x:xf numFmtId="0" fontId="7" fillId="0" borderId="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6" fillId="6" borderId="1"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 xfId="0" applyNumberFormat="1" applyFont="1" applyFill="1" applyBorder="1" applyAlignment="1">
      <x:alignment vertical="top" wrapText="1"/>
    </x:xf>
    <x:xf numFmtId="0" fontId="6" fillId="8" borderId="0" xfId="0" applyNumberFormat="1" applyFont="1" applyFill="1" applyBorder="1" applyAlignment="1">
      <x:alignment vertical="top" wrapText="1"/>
    </x:xf>
    <x:xf numFmtId="0" fontId="6" fillId="8" borderId="1"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6" fillId="9" borderId="1"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6" fillId="10" borderId="1" xfId="0" applyNumberFormat="1" applyFont="1" applyFill="1" applyBorder="1" applyAlignment="1">
      <x:alignment vertical="top"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vertical="center"/>
    </x:xf>
    <x:xf numFmtId="0" fontId="0" fillId="11" borderId="1" xfId="0" applyNumberFormat="1" applyFont="1" applyFill="1" applyBorder="1"/>
    <x:xf numFmtId="0" fontId="1" fillId="11" borderId="1" xfId="0" applyNumberFormat="1" applyFont="1" applyFill="1" applyBorder="1"/>
    <x:xf numFmtId="0" fontId="1" fillId="11" borderId="1" xfId="0" applyNumberFormat="1" applyFont="1" applyFill="1" applyBorder="1" applyAlignment="1">
      <x:alignment vertical="center"/>
    </x:xf>
    <x:xf numFmtId="0" fontId="5" fillId="11" borderId="0" xfId="0" applyNumberFormat="1" applyFont="1" applyFill="1" applyBorder="1"/>
    <x:xf numFmtId="0" fontId="5" fillId="11" borderId="0" xfId="0" applyNumberFormat="1" applyFont="1" applyFill="1" applyBorder="1" applyAlignment="1">
      <x:alignment wrapText="1"/>
    </x:xf>
    <x:xf numFmtId="0" fontId="5" fillId="11" borderId="0" xfId="0" applyNumberFormat="1" applyFont="1" applyFill="1" applyBorder="1" applyAlignment="1">
      <x:alignment vertical="center" wrapText="1"/>
    </x:xf>
    <x:xf numFmtId="0" fontId="5" fillId="11" borderId="1" xfId="0" applyNumberFormat="1" applyFont="1" applyFill="1" applyBorder="1"/>
    <x:xf numFmtId="0" fontId="5" fillId="11" borderId="1" xfId="0" applyNumberFormat="1" applyFont="1" applyFill="1" applyBorder="1" applyAlignment="1">
      <x:alignment wrapText="1"/>
    </x:xf>
    <x:xf numFmtId="0" fontId="5" fillId="11" borderId="1" xfId="0" applyNumberFormat="1" applyFont="1" applyFill="1" applyBorder="1" applyAlignment="1">
      <x:alignment vertical="center" wrapText="1"/>
    </x:xf>
    <x:xf numFmtId="0" fontId="0" fillId="12" borderId="0" xfId="0" applyNumberFormat="1" applyFont="1" applyFill="1" applyBorder="1"/>
    <x:xf numFmtId="0" fontId="8" fillId="12" borderId="0" xfId="0" applyNumberFormat="1" applyFont="1" applyFill="1" applyBorder="1"/>
    <x:xf numFmtId="0" fontId="8" fillId="12" borderId="0" xfId="0" applyNumberFormat="1" applyFont="1" applyFill="1" applyBorder="1" applyAlignment="1">
      <x:alignment vertical="center"/>
    </x:xf>
    <x:xf numFmtId="0" fontId="0" fillId="12" borderId="1" xfId="0" applyNumberFormat="1" applyFont="1" applyFill="1" applyBorder="1"/>
    <x:xf numFmtId="0" fontId="8" fillId="12" borderId="1" xfId="0" applyNumberFormat="1" applyFont="1" applyFill="1" applyBorder="1"/>
    <x:xf numFmtId="0" fontId="8" fillId="12" borderId="1" xfId="0" applyNumberFormat="1" applyFont="1" applyFill="1" applyBorder="1" applyAlignment="1">
      <x:alignment vertical="center"/>
    </x:xf>
    <x:xf numFmtId="0" fontId="0" fillId="13" borderId="0" xfId="0" applyNumberFormat="1" applyFont="1" applyFill="1" applyBorder="1"/>
    <x:xf numFmtId="0" fontId="9" fillId="13" borderId="0" xfId="0" applyNumberFormat="1" applyFont="1" applyFill="1" applyBorder="1"/>
    <x:xf numFmtId="0" fontId="0" fillId="13" borderId="1" xfId="0" applyNumberFormat="1" applyFont="1" applyFill="1" applyBorder="1"/>
    <x:xf numFmtId="0" fontId="9" fillId="13" borderId="1" xfId="0" applyNumberFormat="1" applyFont="1" applyFill="1" applyBorder="1"/>
    <x:xf numFmtId="0" fontId="10" fillId="3" borderId="0" xfId="0" applyNumberFormat="1" applyFont="1" applyFill="1" applyBorder="1"/>
    <x:xf numFmtId="0" fontId="10" fillId="3" borderId="0" xfId="0" applyNumberFormat="1" applyFont="1" applyFill="1" applyBorder="1" applyAlignment="1">
      <x:alignment horizontal="center"/>
    </x:xf>
    <x:xf numFmtId="0" fontId="10" fillId="3" borderId="1" xfId="0" applyNumberFormat="1" applyFont="1" applyFill="1" applyBorder="1"/>
    <x:xf numFmtId="0" fontId="10" fillId="3" borderId="1" xfId="0" applyNumberFormat="1" applyFont="1" applyFill="1" applyBorder="1" applyAlignment="1">
      <x:alignment horizontal="center"/>
    </x:xf>
    <x:xf numFmtId="0" fontId="0" fillId="14" borderId="0" xfId="0" applyNumberFormat="1" applyFont="1" applyFill="1" applyBorder="1"/>
    <x:xf numFmtId="0" fontId="11" fillId="14" borderId="0" xfId="0" applyNumberFormat="1" applyFont="1" applyFill="1" applyBorder="1"/>
    <x:xf numFmtId="0" fontId="11" fillId="14" borderId="0" xfId="0" applyNumberFormat="1" applyFont="1" applyFill="1" applyBorder="1" applyAlignment="1">
      <x:alignment horizontal="center"/>
    </x:xf>
    <x:xf numFmtId="0" fontId="11" fillId="14" borderId="0" xfId="0" applyNumberFormat="1" applyFont="1" applyFill="1" applyBorder="1" applyAlignment="1">
      <x:alignment horizontal="center" vertical="center"/>
    </x:xf>
    <x:xf numFmtId="0" fontId="0" fillId="14" borderId="1" xfId="0" applyNumberFormat="1" applyFont="1" applyFill="1" applyBorder="1"/>
    <x:xf numFmtId="0" fontId="11" fillId="14" borderId="1" xfId="0" applyNumberFormat="1" applyFont="1" applyFill="1" applyBorder="1"/>
    <x:xf numFmtId="0" fontId="11" fillId="14" borderId="1" xfId="0" applyNumberFormat="1" applyFont="1" applyFill="1" applyBorder="1" applyAlignment="1">
      <x:alignment horizontal="center"/>
    </x:xf>
    <x:xf numFmtId="0" fontId="11" fillId="14" borderId="1" xfId="0" applyNumberFormat="1" applyFont="1" applyFill="1" applyBorder="1" applyAlignment="1">
      <x:alignment horizontal="center" vertical="center"/>
    </x:xf>
    <x:xf numFmtId="0" fontId="0" fillId="15" borderId="0" xfId="0" applyNumberFormat="1" applyFont="1" applyFill="1" applyBorder="1"/>
    <x:xf numFmtId="0" fontId="12" fillId="15" borderId="0" xfId="0" applyNumberFormat="1" applyFont="1" applyFill="1" applyBorder="1"/>
    <x:xf numFmtId="0" fontId="0" fillId="15" borderId="1" xfId="0" applyNumberFormat="1" applyFont="1" applyFill="1" applyBorder="1"/>
    <x:xf numFmtId="0" fontId="12" fillId="15" borderId="1" xfId="0" applyNumberFormat="1" applyFont="1" applyFill="1" applyBorder="1"/>
    <x:xf numFmtId="0" fontId="0" fillId="16" borderId="0" xfId="0" applyNumberFormat="1" applyFont="1" applyFill="1" applyBorder="1"/>
    <x:xf numFmtId="0" fontId="13" fillId="16" borderId="0" xfId="0" applyNumberFormat="1" applyFont="1" applyFill="1" applyBorder="1"/>
    <x:xf numFmtId="0" fontId="13" fillId="16" borderId="0" xfId="0" applyNumberFormat="1" applyFont="1" applyFill="1" applyBorder="1" applyAlignment="1">
      <x:alignment vertical="center"/>
    </x:xf>
    <x:xf numFmtId="0" fontId="0" fillId="16" borderId="1" xfId="0" applyNumberFormat="1" applyFont="1" applyFill="1" applyBorder="1"/>
    <x:xf numFmtId="0" fontId="13" fillId="16" borderId="1" xfId="0" applyNumberFormat="1" applyFont="1" applyFill="1" applyBorder="1"/>
    <x:xf numFmtId="0" fontId="13" fillId="16" borderId="1" xfId="0" applyNumberFormat="1" applyFont="1" applyFill="1" applyBorder="1" applyAlignment="1">
      <x:alignment vertical="center"/>
    </x:xf>
    <x:xf numFmtId="0" fontId="0" fillId="17" borderId="0" xfId="0" applyNumberFormat="1" applyFont="1" applyFill="1" applyBorder="1"/>
    <x:xf numFmtId="0" fontId="14" fillId="17" borderId="0" xfId="0" applyNumberFormat="1" applyFont="1" applyFill="1" applyBorder="1"/>
    <x:xf numFmtId="0" fontId="14" fillId="17" borderId="0" xfId="0" applyNumberFormat="1" applyFont="1" applyFill="1" applyBorder="1" applyAlignment="1">
      <x:alignment wrapText="1"/>
    </x:xf>
    <x:xf numFmtId="0" fontId="14" fillId="17" borderId="0" xfId="0" applyNumberFormat="1" applyFont="1" applyFill="1" applyBorder="1" applyAlignment="1">
      <x:alignment vertical="center" wrapText="1"/>
    </x:xf>
    <x:xf numFmtId="0" fontId="0" fillId="17" borderId="1" xfId="0" applyNumberFormat="1" applyFont="1" applyFill="1" applyBorder="1"/>
    <x:xf numFmtId="0" fontId="14" fillId="17" borderId="1" xfId="0" applyNumberFormat="1" applyFont="1" applyFill="1" applyBorder="1"/>
    <x:xf numFmtId="0" fontId="14" fillId="17" borderId="1" xfId="0" applyNumberFormat="1" applyFont="1" applyFill="1" applyBorder="1" applyAlignment="1">
      <x:alignment wrapText="1"/>
    </x:xf>
    <x:xf numFmtId="0" fontId="14" fillId="17" borderId="1" xfId="0" applyNumberFormat="1" applyFont="1" applyFill="1" applyBorder="1" applyAlignment="1">
      <x:alignment vertical="center" wrapText="1"/>
    </x:xf>
    <x:xf numFmtId="0" fontId="0" fillId="0" borderId="0" xfId="0" applyNumberFormat="1" applyFont="1" applyFill="1" applyBorder="1"/>
    <x:xf numFmtId="0" fontId="13" fillId="16" borderId="0" xfId="0" applyNumberFormat="1" applyFont="1" applyFill="1" applyBorder="1" applyAlignment="1">
      <x:alignment vertical="center" wrapText="1"/>
    </x:xf>
    <x:xf numFmtId="0" fontId="0" fillId="18" borderId="0" xfId="0" applyNumberFormat="1" applyFont="1" applyFill="1" applyBorder="1"/>
    <x:xf numFmtId="0" fontId="12" fillId="18" borderId="0" xfId="0" applyNumberFormat="1" applyFont="1" applyFill="1" applyBorder="1"/>
    <x:xf numFmtId="0" fontId="12" fillId="18" borderId="0" xfId="0" applyNumberFormat="1" applyFont="1" applyFill="1" applyBorder="1" applyAlignment="1">
      <x:alignment wrapText="1"/>
    </x:xf>
    <x:xf numFmtId="0" fontId="0" fillId="0" borderId="0" xfId="0" applyNumberFormat="1" applyFont="1" applyFill="1" applyBorder="1" applyAlignment="1">
      <x:alignment wrapText="1"/>
    </x:xf>
    <x:xf numFmtId="0" fontId="5" fillId="18" borderId="0" xfId="0" applyNumberFormat="1" applyFont="1" applyFill="1" applyBorder="1"/>
    <x:xf numFmtId="0" fontId="5" fillId="18" borderId="0" xfId="0" applyNumberFormat="1" applyFont="1" applyFill="1" applyBorder="1" applyAlignment="1">
      <x:alignment wrapText="1"/>
    </x:xf>
    <x:xf numFmtId="0" fontId="12" fillId="19" borderId="0" xfId="0" applyNumberFormat="1" applyFont="1" applyFill="1" applyBorder="1" applyAlignment="1">
      <x:alignment wrapText="1"/>
    </x:xf>
    <x:xf numFmtId="0" fontId="0" fillId="20" borderId="0" xfId="0" applyNumberFormat="1" applyFont="1" applyFill="1" applyBorder="1"/>
    <x:xf numFmtId="0" fontId="15" fillId="20" borderId="0" xfId="0" applyNumberFormat="1" applyFont="1" applyFill="1" applyBorder="1"/>
    <x:xf numFmtId="0" fontId="0" fillId="19" borderId="0" xfId="0" applyNumberFormat="1" applyFont="1" applyFill="1" applyBorder="1"/>
    <x:xf numFmtId="0" fontId="12" fillId="19" borderId="0" xfId="0" applyNumberFormat="1" applyFont="1" applyFill="1" applyBorder="1"/>
    <x:xf numFmtId="0" fontId="0" fillId="21" borderId="0" xfId="0" applyNumberFormat="1" applyFont="1" applyFill="1" applyBorder="1"/>
    <x:xf numFmtId="0" fontId="16" fillId="21" borderId="0" xfId="0" applyNumberFormat="1" applyFont="1" applyFill="1" applyBorder="1"/>
    <x:xf numFmtId="0" fontId="16" fillId="21" borderId="0" xfId="0" applyNumberFormat="1" applyFont="1" applyFill="1" applyBorder="1" applyAlignment="1">
      <x:alignment vertical="center"/>
    </x:xf>
    <x:xf numFmtId="0" fontId="0" fillId="22" borderId="0" xfId="0" applyNumberFormat="1" applyFont="1" applyFill="1" applyBorder="1"/>
    <x:xf numFmtId="0" fontId="17" fillId="22" borderId="0" xfId="0" applyNumberFormat="1" applyFont="1" applyFill="1" applyBorder="1"/>
    <x:xf numFmtId="0" fontId="0" fillId="23" borderId="0" xfId="0" applyNumberFormat="1" applyFont="1" applyFill="1" applyBorder="1"/>
    <x:xf numFmtId="0" fontId="18" fillId="23" borderId="0" xfId="0" applyNumberFormat="1" applyFont="1" applyFill="1" applyBorder="1"/>
    <x:xf numFmtId="0" fontId="19" fillId="21" borderId="0" xfId="0" applyNumberFormat="1" applyFont="1" applyFill="1" applyBorder="1"/>
    <x:xf numFmtId="0" fontId="19" fillId="21" borderId="0" xfId="0" applyNumberFormat="1" applyFont="1" applyFill="1" applyBorder="1" applyAlignment="1">
      <x:alignment wrapText="1"/>
    </x:xf>
    <x:xf numFmtId="0" fontId="19" fillId="21" borderId="0" xfId="0" applyNumberFormat="1" applyFont="1" applyFill="1" applyBorder="1" applyAlignment="1">
      <x:alignment vertical="center" wrapText="1"/>
    </x:xf>
    <x:xf numFmtId="0" fontId="20" fillId="0" borderId="0" xfId="0" applyNumberFormat="1" applyFont="1" applyFill="1" applyBorder="1"/>
    <x:xf numFmtId="0" fontId="20" fillId="0" borderId="0" xfId="0" applyNumberFormat="1" applyFont="1" applyFill="1" applyBorder="1" applyAlignment="1">
      <x:alignment wrapText="1"/>
    </x:xf>
    <x:xf numFmtId="0" fontId="20" fillId="0" borderId="0" xfId="0" applyNumberFormat="1" applyFont="1" applyFill="1" applyBorder="1" applyAlignment="1">
      <x:alignment vertical="center" wrapText="1"/>
    </x:xf>
    <x:xf numFmtId="0" fontId="20" fillId="22" borderId="0" xfId="0" applyNumberFormat="1" applyFont="1" applyFill="1" applyBorder="1" applyAlignment="1">
      <x:alignment vertical="center" wrapText="1"/>
    </x:xf>
    <x:xf numFmtId="0" fontId="20" fillId="0" borderId="0" xfId="0" applyNumberFormat="1" applyFont="1" applyFill="1" applyBorder="1" applyAlignment="1">
      <x:alignment horizontal="center" vertical="center" wrapText="1"/>
    </x:xf>
    <x:xf numFmtId="0" fontId="20" fillId="22" borderId="0" xfId="0" applyNumberFormat="1" applyFont="1" applyFill="1" applyBorder="1" applyAlignment="1">
      <x:alignment horizontal="center" vertical="center" wrapText="1"/>
    </x:xf>
    <x:xf numFmtId="0" fontId="0" fillId="24" borderId="0" xfId="0" applyNumberFormat="1" applyFont="1" applyFill="1" applyBorder="1"/>
    <x:xf numFmtId="0" fontId="16" fillId="24" borderId="0" xfId="0" applyNumberFormat="1" applyFont="1" applyFill="1" applyBorder="1"/>
    <x:xf numFmtId="0" fontId="16" fillId="24" borderId="0" xfId="0" applyNumberFormat="1" applyFont="1" applyFill="1" applyBorder="1" applyAlignment="1">
      <x:alignment vertical="center"/>
    </x:xf>
    <x:xf numFmtId="0" fontId="0" fillId="25" borderId="0" xfId="0" applyNumberFormat="1" applyFont="1" applyFill="1" applyBorder="1"/>
    <x:xf numFmtId="0" fontId="21" fillId="25" borderId="0" xfId="0" applyNumberFormat="1" applyFont="1" applyFill="1" applyBorder="1"/>
    <x:xf numFmtId="0" fontId="19" fillId="24" borderId="0" xfId="0" applyNumberFormat="1" applyFont="1" applyFill="1" applyBorder="1"/>
    <x:xf numFmtId="0" fontId="19" fillId="24" borderId="0" xfId="0" applyNumberFormat="1" applyFont="1" applyFill="1" applyBorder="1" applyAlignment="1">
      <x:alignment wrapText="1"/>
    </x:xf>
    <x:xf numFmtId="0" fontId="19" fillId="24" borderId="0" xfId="0" applyNumberFormat="1" applyFont="1" applyFill="1" applyBorder="1" applyAlignment="1">
      <x:alignment vertical="center" wrapText="1"/>
    </x:xf>
    <x:xf numFmtId="0" fontId="20" fillId="25" borderId="0" xfId="0" applyNumberFormat="1" applyFont="1" applyFill="1" applyBorder="1" applyAlignment="1">
      <x:alignment vertical="center" wrapText="1"/>
    </x:xf>
    <x:xf numFmtId="0" fontId="20" fillId="25" borderId="0" xfId="0" applyNumberFormat="1" applyFont="1" applyFill="1" applyBorder="1" applyAlignment="1">
      <x:alignment horizontal="center" vertical="center" wrapText="1"/>
    </x:xf>
    <x:xf numFmtId="0" fontId="22" fillId="21" borderId="0" xfId="0" applyNumberFormat="1" applyFont="1" applyFill="1" applyBorder="1"/>
    <x:xf numFmtId="0" fontId="23" fillId="22" borderId="0" xfId="0" applyNumberFormat="1" applyFont="1" applyFill="1" applyBorder="1"/>
    <x:xf numFmtId="0" fontId="24" fillId="23" borderId="0" xfId="0" applyNumberFormat="1" applyFont="1" applyFill="1" applyBorder="1"/>
    <x:xf numFmtId="0" fontId="25" fillId="25" borderId="0" xfId="0" applyNumberFormat="1" applyFont="1" applyFill="1" applyBorder="1"/>
    <x:xf numFmtId="0" fontId="25" fillId="25" borderId="0" xfId="0" applyNumberFormat="1" applyFont="1" applyFill="1" applyBorder="1" applyAlignment="1">
      <x:alignment wrapText="1"/>
    </x:xf>
    <x:xf numFmtId="0" fontId="26" fillId="22" borderId="0" xfId="0" applyNumberFormat="1" applyFont="1" applyFill="1" applyBorder="1"/>
    <x:xf numFmtId="0" fontId="27" fillId="23" borderId="0" xfId="0" applyNumberFormat="1" applyFont="1" applyFill="1" applyBorder="1"/>
    <x:xf numFmtId="0" fontId="27" fillId="23" borderId="0" xfId="0" applyNumberFormat="1" applyFont="1" applyFill="1" applyBorder="1" applyAlignment="1">
      <x:alignment wrapText="1"/>
    </x:xf>
    <x:xf numFmtId="0" fontId="28" fillId="25" borderId="0" xfId="0" applyNumberFormat="1" applyFont="1" applyFill="1" applyBorder="1"/>
    <x:xf numFmtId="0" fontId="17" fillId="3" borderId="0" xfId="0" applyNumberFormat="1" applyFont="1" applyFill="1" applyBorder="1"/>
    <x:xf numFmtId="0" fontId="20" fillId="3" borderId="0" xfId="0" applyNumberFormat="1" applyFont="1" applyFill="1" applyBorder="1" applyAlignment="1">
      <x:alignment vertical="center" wrapText="1"/>
    </x:xf>
    <x:xf numFmtId="0" fontId="20" fillId="3" borderId="0" xfId="0" applyNumberFormat="1" applyFont="1" applyFill="1" applyBorder="1" applyAlignment="1">
      <x:alignment horizontal="center" vertical="center" wrapText="1"/>
    </x:xf>
    <x:xf numFmtId="0" fontId="23" fillId="3" borderId="0" xfId="0" applyNumberFormat="1" applyFont="1" applyFill="1" applyBorder="1"/>
    <x:xf numFmtId="0" fontId="26" fillId="3" borderId="0" xfId="0" applyNumberFormat="1" applyFont="1" applyFill="1" applyBorder="1"/>
    <x:xf numFmtId="0" fontId="0" fillId="26" borderId="0" xfId="0" applyNumberFormat="1" applyFont="1" applyFill="1" applyBorder="1"/>
    <x:xf numFmtId="0" fontId="19" fillId="26" borderId="0" xfId="0" applyNumberFormat="1" applyFont="1" applyFill="1" applyBorder="1"/>
    <x:xf numFmtId="0" fontId="19" fillId="26" borderId="0" xfId="0" applyNumberFormat="1" applyFont="1" applyFill="1" applyBorder="1" applyAlignment="1">
      <x:alignment wrapText="1"/>
    </x:xf>
    <x:xf numFmtId="0" fontId="19" fillId="26" borderId="0" xfId="0" applyNumberFormat="1" applyFont="1" applyFill="1" applyBorder="1" applyAlignment="1">
      <x:alignment horizontal="center" wrapText="1"/>
    </x:xf>
    <x:xf numFmtId="0" fontId="19" fillId="26" borderId="0" xfId="0" applyNumberFormat="1" applyFont="1" applyFill="1" applyBorder="1" applyAlignment="1">
      <x:alignment horizontal="center" vertical="center" wrapText="1"/>
    </x:xf>
    <x:xf numFmtId="0" fontId="29" fillId="0" borderId="0" xfId="0" applyNumberFormat="1" applyFont="1" applyFill="1" applyBorder="1"/>
    <x:xf numFmtId="0" fontId="29" fillId="0" borderId="0" xfId="0" applyNumberFormat="1" applyFont="1" applyFill="1" applyBorder="1" applyAlignment="1">
      <x:alignment vertical="center"/>
    </x:xf>
    <x:xf numFmtId="0" fontId="0" fillId="27" borderId="0" xfId="0" applyNumberFormat="1" applyFont="1" applyFill="1" applyBorder="1"/>
    <x:xf numFmtId="0" fontId="19" fillId="27" borderId="0" xfId="0" applyNumberFormat="1" applyFont="1" applyFill="1" applyBorder="1"/>
    <x:xf numFmtId="0" fontId="19" fillId="27" borderId="0" xfId="0" applyNumberFormat="1" applyFont="1" applyFill="1" applyBorder="1" applyAlignment="1">
      <x:alignment horizontal="center"/>
    </x:xf>
    <x:xf numFmtId="0" fontId="19" fillId="27" borderId="0" xfId="0" applyNumberFormat="1" applyFont="1" applyFill="1" applyBorder="1" applyAlignment="1">
      <x:alignment horizontal="center" vertical="center"/>
    </x:xf>
    <x:xf numFmtId="0" fontId="0" fillId="28" borderId="0" xfId="0" applyNumberFormat="1" applyFont="1" applyFill="1" applyBorder="1"/>
    <x:xf numFmtId="0" fontId="19" fillId="28" borderId="0" xfId="0" applyNumberFormat="1" applyFont="1" applyFill="1" applyBorder="1"/>
    <x:xf numFmtId="0" fontId="19" fillId="28" borderId="0" xfId="0" applyNumberFormat="1" applyFont="1" applyFill="1" applyBorder="1" applyAlignment="1">
      <x:alignment horizontal="center"/>
    </x:xf>
    <x:xf numFmtId="0" fontId="19" fillId="28" borderId="0" xfId="0" applyNumberFormat="1" applyFont="1" applyFill="1" applyBorder="1" applyAlignment="1">
      <x:alignment horizontal="center" vertical="center"/>
    </x:xf>
    <x:xf numFmtId="0" fontId="0" fillId="29" borderId="0" xfId="0" applyNumberFormat="1" applyFont="1" applyFill="1" applyBorder="1"/>
    <x:xf numFmtId="0" fontId="19" fillId="29" borderId="0" xfId="0" applyNumberFormat="1" applyFont="1" applyFill="1" applyBorder="1"/>
    <x:xf numFmtId="0" fontId="19" fillId="29" borderId="0" xfId="0" applyNumberFormat="1" applyFont="1" applyFill="1" applyBorder="1" applyAlignment="1">
      <x:alignment horizontal="center"/>
    </x:xf>
    <x:xf numFmtId="0" fontId="19" fillId="29" borderId="0" xfId="0" applyNumberFormat="1" applyFont="1" applyFill="1" applyBorder="1" applyAlignment="1">
      <x:alignment horizontal="center" vertical="center"/>
    </x:xf>
    <x:xf numFmtId="0" fontId="0" fillId="30" borderId="0" xfId="0" applyNumberFormat="1" applyFont="1" applyFill="1" applyBorder="1"/>
    <x:xf numFmtId="0" fontId="19" fillId="30" borderId="0" xfId="0" applyNumberFormat="1" applyFont="1" applyFill="1" applyBorder="1"/>
    <x:xf numFmtId="0" fontId="19" fillId="30" borderId="0" xfId="0" applyNumberFormat="1" applyFont="1" applyFill="1" applyBorder="1" applyAlignment="1">
      <x:alignment horizontal="center"/>
    </x:xf>
    <x:xf numFmtId="0" fontId="19" fillId="30" borderId="0" xfId="0" applyNumberFormat="1" applyFont="1" applyFill="1" applyBorder="1" applyAlignment="1">
      <x:alignment horizontal="center" vertical="center"/>
    </x:xf>
    <x:xf numFmtId="0" fontId="0" fillId="31" borderId="0" xfId="0" applyNumberFormat="1" applyFont="1" applyFill="1" applyBorder="1"/>
    <x:xf numFmtId="0" fontId="19" fillId="31" borderId="0" xfId="0" applyNumberFormat="1" applyFont="1" applyFill="1" applyBorder="1"/>
    <x:xf numFmtId="0" fontId="19" fillId="31" borderId="0" xfId="0" applyNumberFormat="1" applyFont="1" applyFill="1" applyBorder="1" applyAlignment="1">
      <x:alignment horizontal="center"/>
    </x:xf>
    <x:xf numFmtId="0" fontId="19" fillId="31" borderId="0" xfId="0" applyNumberFormat="1" applyFont="1" applyFill="1" applyBorder="1" applyAlignment="1">
      <x:alignment horizontal="center" vertical="center"/>
    </x:xf>
    <x:xf numFmtId="0" fontId="0" fillId="32" borderId="0" xfId="0" applyNumberFormat="1" applyFont="1" applyFill="1" applyBorder="1"/>
    <x:xf numFmtId="0" fontId="19" fillId="32" borderId="0" xfId="0" applyNumberFormat="1" applyFont="1" applyFill="1" applyBorder="1"/>
    <x:xf numFmtId="0" fontId="19" fillId="32" borderId="0" xfId="0" applyNumberFormat="1" applyFont="1" applyFill="1" applyBorder="1" applyAlignment="1">
      <x:alignment horizontal="center"/>
    </x:xf>
    <x:xf numFmtId="0" fontId="19" fillId="32" borderId="0" xfId="0" applyNumberFormat="1" applyFont="1" applyFill="1" applyBorder="1" applyAlignment="1">
      <x:alignment horizontal="center" vertical="center"/>
    </x:xf>
    <x:xf numFmtId="0" fontId="0" fillId="33" borderId="0" xfId="0" applyNumberFormat="1" applyFont="1" applyFill="1" applyBorder="1"/>
    <x:xf numFmtId="0" fontId="19" fillId="33" borderId="0" xfId="0" applyNumberFormat="1" applyFont="1" applyFill="1" applyBorder="1"/>
    <x:xf numFmtId="0" fontId="19" fillId="33" borderId="0" xfId="0" applyNumberFormat="1" applyFont="1" applyFill="1" applyBorder="1" applyAlignment="1">
      <x:alignment horizontal="center"/>
    </x:xf>
    <x:xf numFmtId="0" fontId="19" fillId="33" borderId="0" xfId="0" applyNumberFormat="1" applyFont="1" applyFill="1" applyBorder="1" applyAlignment="1">
      <x:alignment horizontal="center" vertical="center"/>
    </x:xf>
    <x:xf numFmtId="0" fontId="0" fillId="34" borderId="0" xfId="0" applyNumberFormat="1" applyFont="1" applyFill="1" applyBorder="1"/>
    <x:xf numFmtId="0" fontId="22" fillId="34" borderId="0" xfId="0" applyNumberFormat="1" applyFont="1" applyFill="1" applyBorder="1"/>
    <x:xf numFmtId="0" fontId="22" fillId="34" borderId="0" xfId="0" applyNumberFormat="1" applyFont="1" applyFill="1" applyBorder="1" applyAlignment="1">
      <x:alignment vertical="center"/>
    </x:xf>
    <x:xf numFmtId="0" fontId="0" fillId="35" borderId="0" xfId="0" applyNumberFormat="1" applyFont="1" applyFill="1" applyBorder="1"/>
    <x:xf numFmtId="0" fontId="30" fillId="35" borderId="0" xfId="0" applyNumberFormat="1" applyFont="1" applyFill="1" applyBorder="1"/>
    <x:xf numFmtId="0" fontId="0" fillId="36" borderId="0" xfId="0" applyNumberFormat="1" applyFont="1" applyFill="1" applyBorder="1"/>
    <x:xf numFmtId="0" fontId="31" fillId="36" borderId="0" xfId="0" applyNumberFormat="1" applyFont="1" applyFill="1" applyBorder="1"/>
    <x:xf numFmtId="0" fontId="0" fillId="37" borderId="0" xfId="0" applyNumberFormat="1" applyFont="1" applyFill="1" applyBorder="1"/>
    <x:xf numFmtId="0" fontId="32" fillId="37" borderId="0" xfId="0" applyNumberFormat="1" applyFont="1" applyFill="1" applyBorder="1"/>
    <x:xf numFmtId="200" fontId="29" fillId="0" borderId="0" xfId="0" applyNumberFormat="1" applyFont="1" applyFill="1" applyBorder="1" applyAlignment="1">
      <x:alignment vertical="center"/>
    </x:xf>
    <x:xf numFmtId="0" fontId="29" fillId="38" borderId="0" xfId="0" applyNumberFormat="1" applyFont="1" applyFill="1" applyBorder="1" applyAlignment="1">
      <x:alignment vertical="center"/>
    </x:xf>
    <x:xf numFmtId="0" fontId="29" fillId="39" borderId="0" xfId="0" applyNumberFormat="1" applyFont="1" applyFill="1" applyBorder="1" applyAlignment="1">
      <x:alignment vertical="center"/>
    </x:xf>
    <x:xf numFmtId="0" fontId="24" fillId="26" borderId="0" xfId="0" applyNumberFormat="1" applyFont="1" applyFill="1" applyBorder="1"/>
    <x:xf numFmtId="0" fontId="33" fillId="26" borderId="0" xfId="0" applyNumberFormat="1" applyFont="1" applyFill="1" applyBorder="1"/>
    <x:xf numFmtId="0" fontId="0" fillId="40" borderId="0" xfId="0" applyNumberFormat="1" applyFont="1" applyFill="1" applyBorder="1"/>
    <x:xf numFmtId="0" fontId="25" fillId="40" borderId="0" xfId="0" applyNumberFormat="1" applyFont="1" applyFill="1" applyBorder="1" applyAlignment="1">
      <x:alignment wrapText="1"/>
    </x:xf>
    <x:xf numFmtId="0" fontId="34" fillId="40" borderId="0" xfId="0" applyNumberFormat="1" applyFont="1" applyFill="1" applyBorder="1"/>
    <x:xf numFmtId="0" fontId="34" fillId="40" borderId="0" xfId="0" applyNumberFormat="1" applyFont="1" applyFill="1" applyBorder="1" applyAlignment="1">
      <x:alignment wrapText="1"/>
    </x:xf>
    <x:xf numFmtId="0" fontId="35" fillId="0" borderId="0" xfId="0" applyNumberFormat="1" applyFont="1" applyFill="1" applyBorder="1"/>
    <x:xf numFmtId="0" fontId="36" fillId="25" borderId="0" xfId="0" applyNumberFormat="1" applyFont="1" applyFill="1" applyBorder="1" applyAlignment="1">
      <x:alignment wrapText="1"/>
    </x:xf>
    <x:xf numFmtId="0" fontId="35" fillId="0" borderId="0" xfId="0" applyNumberFormat="1" applyFont="1" applyFill="1" applyBorder="1" applyAlignment="1">
      <x:alignment wrapText="1"/>
    </x:xf>
    <x:xf numFmtId="0" fontId="0" fillId="41" borderId="0" xfId="0" applyNumberFormat="1" applyFont="1" applyFill="1" applyBorder="1"/>
    <x:xf numFmtId="0" fontId="37" fillId="41" borderId="0" xfId="0" applyNumberFormat="1" applyFont="1" applyFill="1" applyBorder="1"/>
    <x:xf numFmtId="0" fontId="12" fillId="41" borderId="0" xfId="0" applyNumberFormat="1" applyFont="1" applyFill="1" applyBorder="1"/>
    <x:xf numFmtId="0" fontId="12" fillId="41" borderId="0" xfId="0" applyNumberFormat="1" applyFont="1" applyFill="1" applyBorder="1" applyAlignment="1">
      <x:alignment wrapText="1"/>
    </x:xf>
    <x:xf numFmtId="0" fontId="0" fillId="42" borderId="0" xfId="0" applyNumberFormat="1" applyFont="1" applyFill="1" applyBorder="1"/>
    <x:xf numFmtId="0" fontId="37" fillId="42" borderId="0" xfId="0" applyNumberFormat="1" applyFont="1" applyFill="1" applyBorder="1"/>
    <x:xf numFmtId="0" fontId="12" fillId="42" borderId="0" xfId="0" applyNumberFormat="1" applyFont="1" applyFill="1" applyBorder="1"/>
    <x:xf numFmtId="0" fontId="0" fillId="43" borderId="0" xfId="0" applyNumberFormat="1" applyFont="1" applyFill="1" applyBorder="1"/>
    <x:xf numFmtId="0" fontId="37" fillId="43" borderId="0" xfId="0" applyNumberFormat="1" applyFont="1" applyFill="1" applyBorder="1"/>
    <x:xf numFmtId="0" fontId="12" fillId="43" borderId="0" xfId="0" applyNumberFormat="1" applyFont="1" applyFill="1" applyBorder="1"/>
    <x:xf numFmtId="0" fontId="12" fillId="43" borderId="0" xfId="0" applyNumberFormat="1" applyFont="1" applyFill="1" applyBorder="1" applyAlignment="1">
      <x:alignment wrapText="1"/>
    </x:xf>
    <x:xf numFmtId="0" fontId="15" fillId="0" borderId="0" xfId="0" applyNumberFormat="1" applyFont="1" applyFill="1" applyBorder="1"/>
    <x:xf numFmtId="0" fontId="15" fillId="44" borderId="0" xfId="0" applyNumberFormat="1" applyFont="1" applyFill="1" applyBorder="1"/>
    <x:xf numFmtId="0" fontId="12" fillId="42" borderId="0" xfId="0" applyNumberFormat="1" applyFont="1" applyFill="1" applyBorder="1" applyAlignment="1">
      <x:alignment wrapText="1"/>
    </x:xf>
    <x:xf numFmtId="0" fontId="0" fillId="45" borderId="0" xfId="0" applyNumberFormat="1" applyFont="1" applyFill="1" applyBorder="1"/>
    <x:xf numFmtId="0" fontId="38" fillId="45" borderId="0" xfId="0" applyNumberFormat="1" applyFont="1" applyFill="1" applyBorder="1"/>
    <x:xf numFmtId="0" fontId="38" fillId="45" borderId="0" xfId="0" applyNumberFormat="1" applyFont="1" applyFill="1" applyBorder="1" applyAlignment="1">
      <x:alignment vertical="center"/>
    </x:xf>
    <x:xf numFmtId="0" fontId="0" fillId="46" borderId="0" xfId="0" applyNumberFormat="1" applyFont="1" applyFill="1" applyBorder="1"/>
    <x:xf numFmtId="0" fontId="39" fillId="46" borderId="0" xfId="0" applyNumberFormat="1" applyFont="1" applyFill="1" applyBorder="1"/>
    <x:xf numFmtId="0" fontId="39" fillId="46" borderId="0" xfId="0" applyNumberFormat="1" applyFont="1" applyFill="1" applyBorder="1" applyAlignment="1">
      <x:alignment vertical="center"/>
    </x:xf>
    <x:xf numFmtId="0" fontId="0" fillId="47" borderId="0" xfId="0" applyNumberFormat="1" applyFont="1" applyFill="1" applyBorder="1"/>
    <x:xf numFmtId="0" fontId="19" fillId="47" borderId="0" xfId="0" applyNumberFormat="1" applyFont="1" applyFill="1" applyBorder="1"/>
    <x:xf numFmtId="0" fontId="19" fillId="47" borderId="0" xfId="0" applyNumberFormat="1" applyFont="1" applyFill="1" applyBorder="1" applyAlignment="1">
      <x:alignment wrapText="1"/>
    </x:xf>
    <x:xf numFmtId="0" fontId="19" fillId="47" borderId="0" xfId="0" applyNumberFormat="1" applyFont="1" applyFill="1" applyBorder="1" applyAlignment="1">
      <x:alignment vertical="center" wrapText="1"/>
    </x:xf>
    <x:xf numFmtId="0" fontId="40" fillId="0" borderId="0" xfId="0" applyNumberFormat="1" applyFont="1" applyFill="1" applyBorder="1"/>
    <x:xf numFmtId="0" fontId="41" fillId="0" borderId="0" xfId="0" applyNumberFormat="1" applyFont="1" applyFill="1" applyBorder="1"/>
    <x:xf numFmtId="0" fontId="41" fillId="0" borderId="0" xfId="0" applyNumberFormat="1" applyFont="1" applyFill="1" applyBorder="1" applyAlignment="1">
      <x:alignment vertical="center"/>
    </x:xf>
    <x:xf numFmtId="0" fontId="38" fillId="45" borderId="0" xfId="0" applyNumberFormat="1" applyFont="1" applyFill="1" applyBorder="1" applyAlignment="1">
      <x:alignment vertical="center" wrapText="1"/>
    </x:xf>
    <x:xf numFmtId="0" fontId="42" fillId="45" borderId="0" xfId="0" applyNumberFormat="1" applyFont="1" applyFill="1" applyBorder="1"/>
    <x:xf numFmtId="0" fontId="43" fillId="46" borderId="0" xfId="0" applyNumberFormat="1" applyFont="1" applyFill="1" applyBorder="1"/>
    <x:xf numFmtId="0" fontId="12" fillId="47" borderId="0" xfId="0" applyNumberFormat="1" applyFont="1" applyFill="1" applyBorder="1"/>
    <x:xf numFmtId="0" fontId="0" fillId="48" borderId="0" xfId="0" applyNumberFormat="1" applyFont="1" applyFill="1" applyBorder="1"/>
    <x:xf numFmtId="0" fontId="12" fillId="48" borderId="0" xfId="0" applyNumberFormat="1" applyFont="1" applyFill="1" applyBorder="1"/>
    <x:xf numFmtId="0" fontId="12" fillId="48" borderId="0" xfId="0" applyNumberFormat="1" applyFont="1" applyFill="1" applyBorder="1" applyAlignment="1">
      <x:alignment wrapText="1"/>
    </x:xf>
    <x:xf numFmtId="0" fontId="12" fillId="48" borderId="0" xfId="0" applyNumberFormat="1" applyFont="1" applyFill="1" applyBorder="1" applyAlignment="1">
      <x:alignment vertical="center" wrapText="1"/>
    </x:xf>
    <x:xf numFmtId="0" fontId="0" fillId="49" borderId="0" xfId="0" applyNumberFormat="1" applyFont="1" applyFill="1" applyBorder="1" applyAlignment="1">
      <x:alignment wrapText="1"/>
    </x:xf>
    <x:xf numFmtId="0" fontId="0" fillId="50" borderId="0" xfId="0" applyNumberFormat="1" applyFont="1" applyFill="1" applyBorder="1" applyAlignment="1">
      <x:alignment wrapText="1"/>
    </x:xf>
    <x:xf numFmtId="0" fontId="0" fillId="51" borderId="0" xfId="0" applyNumberFormat="1" applyFont="1" applyFill="1" applyBorder="1"/>
    <x:xf numFmtId="0" fontId="42" fillId="51" borderId="0" xfId="0" applyNumberFormat="1" applyFont="1" applyFill="1" applyBorder="1"/>
    <x:xf numFmtId="0" fontId="0" fillId="52" borderId="0" xfId="0" applyNumberFormat="1" applyFont="1" applyFill="1" applyBorder="1"/>
    <x:xf numFmtId="0" fontId="44" fillId="52" borderId="0" xfId="0" applyNumberFormat="1" applyFont="1" applyFill="1" applyBorder="1"/>
    <x:xf numFmtId="0" fontId="44" fillId="52" borderId="0" xfId="0" applyNumberFormat="1" applyFont="1" applyFill="1" applyBorder="1" applyAlignment="1">
      <x:alignment wrapText="1"/>
    </x:xf>
    <x:xf numFmtId="0" fontId="0" fillId="53" borderId="0" xfId="0" applyNumberFormat="1" applyFont="1" applyFill="1" applyBorder="1"/>
    <x:xf numFmtId="0" fontId="12" fillId="53" borderId="0" xfId="0" applyNumberFormat="1" applyFont="1" applyFill="1" applyBorder="1"/>
    <x:xf numFmtId="0" fontId="12" fillId="53" borderId="0" xfId="0" applyNumberFormat="1" applyFont="1" applyFill="1" applyBorder="1" applyAlignment="1">
      <x:alignment wrapText="1"/>
    </x:xf>
    <x:xf numFmtId="0" fontId="0" fillId="54" borderId="0" xfId="0" applyNumberFormat="1" applyFont="1" applyFill="1" applyBorder="1" applyAlignment="1">
      <x:alignment wrapText="1"/>
    </x:xf>
    <x:xf numFmtId="0" fontId="45" fillId="54" borderId="0" xfId="0" applyNumberFormat="1" applyFont="1" applyFill="1" applyBorder="1" applyAlignment="1">
      <x:alignment wrapText="1"/>
    </x:xf>
    <x:xf numFmtId="0" fontId="0" fillId="55" borderId="0" xfId="0" applyNumberFormat="1" applyFont="1" applyFill="1" applyBorder="1"/>
    <x:xf numFmtId="0" fontId="46" fillId="55" borderId="0" xfId="0" applyNumberFormat="1" applyFont="1" applyFill="1" applyBorder="1"/>
    <x:xf numFmtId="0" fontId="47" fillId="0" borderId="0" xfId="0" applyNumberFormat="1" applyFont="1" applyFill="1" applyBorder="1"/>
    <x:xf numFmtId="0" fontId="47" fillId="0" borderId="0" xfId="0" applyNumberFormat="1" applyFont="1" applyFill="1" applyBorder="1" applyAlignment="1">
      <x:alignment wrapText="1"/>
    </x:xf>
    <x:xf numFmtId="0" fontId="0" fillId="56" borderId="0" xfId="0" applyNumberFormat="1" applyFont="1" applyFill="1" applyBorder="1"/>
    <x:xf numFmtId="0" fontId="42" fillId="56" borderId="0" xfId="0" applyNumberFormat="1" applyFont="1" applyFill="1" applyBorder="1"/>
    <x:xf numFmtId="0" fontId="0" fillId="57" borderId="0" xfId="0" applyNumberFormat="1" applyFont="1" applyFill="1" applyBorder="1"/>
    <x:xf numFmtId="0" fontId="48" fillId="57" borderId="0" xfId="0" applyNumberFormat="1" applyFont="1" applyFill="1" applyBorder="1"/>
    <x:xf numFmtId="0" fontId="48" fillId="57" borderId="0" xfId="0" applyNumberFormat="1" applyFont="1" applyFill="1" applyBorder="1" applyAlignment="1">
      <x:alignment wrapText="1"/>
    </x:xf>
    <x:xf numFmtId="0" fontId="0" fillId="58" borderId="0" xfId="0" applyNumberFormat="1" applyFont="1" applyFill="1" applyBorder="1"/>
    <x:xf numFmtId="0" fontId="12" fillId="58" borderId="0" xfId="0" applyNumberFormat="1" applyFont="1" applyFill="1" applyBorder="1"/>
    <x:xf numFmtId="0" fontId="12" fillId="58" borderId="0" xfId="0" applyNumberFormat="1" applyFont="1" applyFill="1" applyBorder="1" applyAlignment="1">
      <x:alignment wrapText="1"/>
    </x:xf>
    <x:xf numFmtId="0" fontId="0" fillId="59" borderId="0" xfId="0" applyNumberFormat="1" applyFont="1" applyFill="1" applyBorder="1"/>
    <x:xf numFmtId="0" fontId="49" fillId="59" borderId="0" xfId="0" applyNumberFormat="1" applyFont="1" applyFill="1" applyBorder="1"/>
    <x:xf numFmtId="0" fontId="0" fillId="57" borderId="0" xfId="0" applyNumberFormat="1" applyFont="1" applyFill="1" applyBorder="1" applyAlignment="1">
      <x:alignment wrapText="1"/>
    </x:xf>
    <x:xf numFmtId="0" fontId="50" fillId="57" borderId="0" xfId="0" applyNumberFormat="1" applyFont="1" applyFill="1" applyBorder="1" applyAlignment="1">
      <x:alignment wrapText="1"/>
    </x:xf>
    <x:xf numFmtId="0" fontId="49" fillId="59" borderId="0" xfId="0" applyNumberFormat="1" applyFont="1" applyFill="1" applyBorder="1" applyAlignment="1">
      <x:alignment wrapText="1"/>
    </x:xf>
    <x:xf numFmtId="0" fontId="0" fillId="60" borderId="0" xfId="0" applyNumberFormat="1" applyFont="1" applyFill="1" applyBorder="1"/>
    <x:xf numFmtId="0" fontId="12" fillId="60" borderId="0" xfId="0" applyNumberFormat="1" applyFont="1" applyFill="1" applyBorder="1"/>
    <x:xf numFmtId="0" fontId="12" fillId="60" borderId="0" xfId="0" applyNumberFormat="1" applyFont="1" applyFill="1" applyBorder="1" applyAlignment="1">
      <x:alignment wrapText="1"/>
    </x:xf>
    <x:xf numFmtId="0" fontId="0" fillId="61" borderId="0" xfId="0" applyNumberFormat="1" applyFont="1" applyFill="1" applyBorder="1"/>
    <x:xf numFmtId="0" fontId="12" fillId="61" borderId="0" xfId="0" applyNumberFormat="1" applyFont="1" applyFill="1" applyBorder="1"/>
    <x:xf numFmtId="0" fontId="12" fillId="61" borderId="0" xfId="0" applyNumberFormat="1" applyFont="1" applyFill="1" applyBorder="1" applyAlignment="1">
      <x:alignment wrapText="1"/>
    </x:xf>
    <x:xf numFmtId="0" fontId="1" fillId="61" borderId="0" xfId="0" applyNumberFormat="1" applyFont="1" applyFill="1" applyBorder="1"/>
    <x:xf numFmtId="0" fontId="0" fillId="62" borderId="0" xfId="0" applyNumberFormat="1" applyFont="1" applyFill="1" applyBorder="1"/>
    <x:xf numFmtId="0" fontId="15" fillId="62" borderId="0" xfId="0" applyNumberFormat="1" applyFont="1" applyFill="1" applyBorder="1"/>
    <x:xf numFmtId="0" fontId="0" fillId="63" borderId="0" xfId="0" applyNumberFormat="1" applyFont="1" applyFill="1" applyBorder="1"/>
    <x:xf numFmtId="0" fontId="51" fillId="63" borderId="0" xfId="0" applyNumberFormat="1" applyFont="1" applyFill="1" applyBorder="1"/>
    <x:xf numFmtId="0" fontId="51" fillId="63" borderId="0" xfId="0" applyNumberFormat="1" applyFont="1" applyFill="1" applyBorder="1" applyAlignment="1">
      <x:alignment vertical="center"/>
    </x:xf>
    <x:xf numFmtId="0" fontId="0" fillId="64" borderId="0" xfId="0" applyNumberFormat="1" applyFont="1" applyFill="1" applyBorder="1"/>
    <x:xf numFmtId="0" fontId="52" fillId="64" borderId="0" xfId="0" applyNumberFormat="1" applyFont="1" applyFill="1" applyBorder="1"/>
    <x:xf numFmtId="0" fontId="0" fillId="65" borderId="0" xfId="0" applyNumberFormat="1" applyFont="1" applyFill="1" applyBorder="1"/>
    <x:xf numFmtId="0" fontId="5" fillId="65" borderId="0" xfId="0" applyNumberFormat="1" applyFont="1" applyFill="1" applyBorder="1"/>
    <x:xf numFmtId="0" fontId="5" fillId="65" borderId="0" xfId="0" applyNumberFormat="1" applyFont="1" applyFill="1" applyBorder="1" applyAlignment="1">
      <x:alignment wrapText="1"/>
    </x:xf>
    <x:xf numFmtId="0" fontId="5" fillId="65"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53" fillId="0" borderId="0" xfId="0" applyNumberFormat="1" applyFont="1" applyFill="1" applyBorder="1"/>
    <x:xf numFmtId="0" fontId="53" fillId="0" borderId="0" xfId="0" applyNumberFormat="1" applyFont="1" applyFill="1" applyBorder="1">
      <x:extLst>
        <x:ext uri="{C7286773-470A-42A8-94C5-96B5CB345126}">
          <xfpb:xfComplement xmlns:xfpb="http://schemas.microsoft.com/office/spreadsheetml/2022/featurepropertybag" i="0"/>
        </x:ext>
      </x:extLst>
    </x:xf>
    <x:xf numFmtId="0" fontId="53" fillId="0" borderId="0" xfId="0" applyNumberFormat="1" applyFont="1" applyFill="1" applyBorder="1" applyAlignment="1">
      <x:alignment vertical="center"/>
    </x:xf>
    <x:xf numFmtId="0" fontId="53"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53" fillId="0" borderId="0" xfId="0" applyNumberFormat="1" applyFont="1" applyFill="1" applyBorder="1" applyAlignment="1">
      <x:alignment vertical="center" wrapText="1"/>
    </x:xf>
    <x:xf numFmtId="0" fontId="53"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12" fillId="63" borderId="0" xfId="0" applyNumberFormat="1" applyFont="1" applyFill="1" applyBorder="1"/>
    <x:xf numFmtId="0" fontId="12" fillId="63" borderId="0" xfId="0" applyNumberFormat="1" applyFont="1" applyFill="1" applyBorder="1" applyAlignment="1">
      <x:alignment wrapText="1"/>
    </x:xf>
    <x:xf numFmtId="0" fontId="22" fillId="63" borderId="0" xfId="0" applyNumberFormat="1" applyFont="1" applyFill="1" applyBorder="1"/>
    <x:xf numFmtId="0" fontId="0" fillId="66" borderId="0" xfId="0" applyNumberFormat="1" applyFont="1" applyFill="1" applyBorder="1"/>
    <x:xf numFmtId="0" fontId="15" fillId="66" borderId="0" xfId="0" applyNumberFormat="1" applyFont="1" applyFill="1" applyBorder="1"/>
    <x:xf numFmtId="0" fontId="15" fillId="66" borderId="0" xfId="0" applyNumberFormat="1" applyFont="1" applyFill="1" applyBorder="1" applyAlignment="1">
      <x:alignment wrapText="1"/>
    </x:xf>
    <x:xf numFmtId="0" fontId="0" fillId="67" borderId="0" xfId="0" applyNumberFormat="1" applyFont="1" applyFill="1" applyBorder="1"/>
    <x:xf numFmtId="0" fontId="12" fillId="67" borderId="0" xfId="0" applyNumberFormat="1" applyFont="1" applyFill="1" applyBorder="1"/>
    <x:xf numFmtId="0" fontId="12" fillId="67" borderId="0" xfId="0" applyNumberFormat="1" applyFont="1" applyFill="1" applyBorder="1" applyAlignment="1">
      <x:alignment vertical="center"/>
    </x:xf>
  </x:cellXfs>
  <x:cellStyles count="1">
    <x:cellStyle name="Normal" xfId="0"/>
  </x:cellStyles>
  <x:dxfs count="14">
    <x:dxf>
      <x:font>
        <x:color rgb="FFA14E19"/>
      </x:font>
      <x:fill>
        <x:patternFill>
          <x:bgColor rgb="FFFFF0D8"/>
        </x:patternFill>
      </x:fill>
    </x:dxf>
    <x:dxf>
      <x:font>
        <x:color rgb="FF196E42"/>
      </x:font>
      <x:fill>
        <x:patternFill>
          <x:bgColor rgb="FFE5F3E9"/>
        </x:patternFill>
      </x:fill>
    </x:dxf>
    <x:dxf>
      <x:font>
        <x:color rgb="FFA12F43"/>
      </x:font>
      <x:fill>
        <x:patternFill>
          <x:bgColor rgb="FFFBE9EC"/>
        </x:patternFill>
      </x:fill>
    </x:dxf>
    <x:dxf>
      <x:font>
        <x:color rgb="FFA14E19"/>
      </x:font>
      <x:fill>
        <x:patternFill>
          <x:bgColor rgb="FFFFF0D8"/>
        </x:patternFill>
      </x:fill>
    </x:dxf>
    <x:dxf>
      <x:font>
        <x:color rgb="FF196E42"/>
      </x:font>
      <x:fill>
        <x:patternFill>
          <x:bgColor rgb="FFE5F3E9"/>
        </x:patternFill>
      </x:fill>
    </x:dxf>
    <x:dxf>
      <x:font>
        <x:color rgb="FFA12F43"/>
      </x:font>
      <x:fill>
        <x:patternFill>
          <x:bgColor rgb="FFFBE9EC"/>
        </x:patternFill>
      </x:fill>
    </x:dxf>
    <x:dxf>
      <x:font>
        <x:color rgb="FF28516C"/>
      </x:font>
      <x:fill>
        <x:patternFill>
          <x:bgColor rgb="FFE7F2F8"/>
        </x:patternFill>
      </x:fill>
    </x:dxf>
    <x:dxf>
      <x:font>
        <x:color rgb="FF8A622D"/>
      </x:font>
      <x:fill>
        <x:patternFill>
          <x:bgColor rgb="FFFDF1DC"/>
        </x:patternFill>
      </x:fill>
    </x:dxf>
    <x:dxf>
      <x:font>
        <x:color rgb="FFA34242"/>
      </x:font>
      <x:fill>
        <x:patternFill>
          <x:bgColor rgb="FFFCE8E8"/>
        </x:patternFill>
      </x:fill>
    </x:dxf>
    <x:dxf>
      <x:font>
        <x:color rgb="FF66528B"/>
      </x:font>
      <x:fill>
        <x:patternFill>
          <x:bgColor rgb="FFECE8FA"/>
        </x:patternFill>
      </x:fill>
    </x:dxf>
    <x:dxf>
      <x:font>
        <x:color rgb="FF28516C"/>
      </x:font>
      <x:fill>
        <x:patternFill>
          <x:bgColor rgb="FFE7F2F8"/>
        </x:patternFill>
      </x:fill>
    </x:dxf>
    <x:dxf>
      <x:font>
        <x:color rgb="FF8A622D"/>
      </x:font>
      <x:fill>
        <x:patternFill>
          <x:bgColor rgb="FFFDF1DC"/>
        </x:patternFill>
      </x:fill>
    </x:dxf>
    <x:dxf>
      <x:font>
        <x:color rgb="FFA34242"/>
      </x:font>
      <x:fill>
        <x:patternFill>
          <x:bgColor rgb="FFFCE8E8"/>
        </x:patternFill>
      </x:fill>
    </x:dxf>
    <x:dxf>
      <x:font>
        <x:color rgb="FF66528B"/>
      </x:font>
      <x:fill>
        <x:patternFill>
          <x:bgColor rgb="FFECE8F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0c18a8d7c8e4335" /><Relationship Type="http://schemas.openxmlformats.org/officeDocument/2006/relationships/theme" Target="/xl/theme/theme1.xml" Id="R767044a0354d49c1" /><Relationship Type="http://schemas.microsoft.com/office/2022/11/relationships/FeaturePropertyBag" Target="/xl/featurePropertyBag/featurePropertyBag.xml" Id="R37288b7860b74333" /><Relationship Type="http://schemas.openxmlformats.org/officeDocument/2006/relationships/sharedStrings" Target="/xl/sharedStrings.xml" Id="R483ecaf56f414866" /><Relationship Type="http://schemas.openxmlformats.org/officeDocument/2006/relationships/worksheet" Target="/xl/worksheets/sheet1.xml" Id="Rdb8e1230c4f246e3" /><Relationship Type="http://schemas.openxmlformats.org/officeDocument/2006/relationships/worksheet" Target="/xl/worksheets/sheet2.xml" Id="R69218f4a10d44dc3" /><Relationship Type="http://schemas.openxmlformats.org/officeDocument/2006/relationships/worksheet" Target="/xl/worksheets/sheet3.xml" Id="R3c4b65576eb04797" /><Relationship Type="http://schemas.openxmlformats.org/officeDocument/2006/relationships/worksheet" Target="/xl/worksheets/sheet4.xml" Id="R445b2290695843fa" /><Relationship Type="http://schemas.openxmlformats.org/officeDocument/2006/relationships/worksheet" Target="/xl/worksheets/sheet5.xml" Id="R498c928cae224798" /><Relationship Type="http://schemas.openxmlformats.org/officeDocument/2006/relationships/worksheet" Target="/xl/worksheets/sheet6.xml" Id="R5099b9afe1de4cb2" /><Relationship Type="http://schemas.openxmlformats.org/officeDocument/2006/relationships/worksheet" Target="/xl/worksheets/sheet7.xml" Id="Rd56911261b0e48f5" /><Relationship Type="http://schemas.openxmlformats.org/officeDocument/2006/relationships/worksheet" Target="/xl/worksheets/sheet8.xml" Id="R13cfec3588614b50" /><Relationship Type="http://schemas.openxmlformats.org/officeDocument/2006/relationships/worksheet" Target="/xl/worksheets/sheet9.xml" Id="R3feae898c72e443a" /><Relationship Type="http://schemas.openxmlformats.org/officeDocument/2006/relationships/worksheet" Target="/xl/worksheets/sheet10.xml" Id="R0459ce90ad8e4f80" /><Relationship Type="http://schemas.openxmlformats.org/officeDocument/2006/relationships/worksheet" Target="/xl/worksheets/sheet11.xml" Id="Rcd8ad0f773604e8e" /><Relationship Type="http://schemas.openxmlformats.org/officeDocument/2006/relationships/worksheet" Target="/xl/worksheets/sheet12.xml" Id="R7080023f8f414556" /><Relationship Type="http://schemas.openxmlformats.org/officeDocument/2006/relationships/worksheet" Target="/xl/worksheets/sheet13.xml" Id="R3ae4dbfc48244292" /><Relationship Type="http://schemas.openxmlformats.org/officeDocument/2006/relationships/worksheet" Target="/xl/worksheets/sheet14.xml" Id="R8cb41617ce114928" /><Relationship Type="http://schemas.openxmlformats.org/officeDocument/2006/relationships/worksheet" Target="/xl/worksheets/sheet15.xml" Id="R932100bb752d4cdb" /><Relationship Type="http://schemas.openxmlformats.org/officeDocument/2006/relationships/worksheet" Target="/xl/worksheets/sheet16.xml" Id="R1ae9d1797bf6436a" /><Relationship Type="http://schemas.openxmlformats.org/officeDocument/2006/relationships/worksheet" Target="/xl/worksheets/sheet17.xml" Id="Ra96a6523a53a4de0" /><Relationship Type="http://schemas.openxmlformats.org/officeDocument/2006/relationships/worksheet" Target="/xl/worksheets/sheet18.xml" Id="R5da41911e39b4054" /><Relationship Type="http://schemas.openxmlformats.org/officeDocument/2006/relationships/worksheet" Target="/xl/worksheets/sheet19.xml" Id="R0f6df2f00fef4112" /><Relationship Type="http://schemas.openxmlformats.org/officeDocument/2006/relationships/worksheet" Target="/xl/worksheets/sheet20.xml" Id="R5c3d606da4ad47cc" /><Relationship Type="http://schemas.openxmlformats.org/officeDocument/2006/relationships/worksheet" Target="/xl/worksheets/sheet21.xml" Id="R727f2760a6d74ee4" /><Relationship Type="http://schemas.openxmlformats.org/officeDocument/2006/relationships/worksheet" Target="/xl/worksheets/sheet22.xml" Id="R7df794d0c52a4098" /><Relationship Type="http://schemas.openxmlformats.org/officeDocument/2006/relationships/worksheet" Target="/xl/worksheets/sheet23.xml" Id="R99ebd412b5fc4f77" /><Relationship Type="http://schemas.openxmlformats.org/officeDocument/2006/relationships/worksheet" Target="/xl/worksheets/sheet24.xml" Id="Rf280c86357d04c16" /><Relationship Type="http://schemas.openxmlformats.org/officeDocument/2006/relationships/worksheet" Target="/xl/worksheets/sheet25.xml" Id="R930ea0d8f1d84fb6" /><Relationship Type="http://schemas.openxmlformats.org/officeDocument/2006/relationships/worksheet" Target="/xl/worksheets/sheet26.xml" Id="R08ba0247d50e4f14" /><Relationship Type="http://schemas.openxmlformats.org/officeDocument/2006/relationships/worksheet" Target="/xl/worksheets/sheet27.xml" Id="R5881fa7e14364a0d" /><Relationship Type="http://schemas.openxmlformats.org/officeDocument/2006/relationships/worksheet" Target="/xl/worksheets/sheet28.xml" Id="R82ef2f3077974b44" /><Relationship Type="http://schemas.openxmlformats.org/officeDocument/2006/relationships/worksheet" Target="/xl/worksheets/sheet29.xml" Id="R72b5b54345b74156" /><Relationship Type="http://schemas.openxmlformats.org/officeDocument/2006/relationships/worksheet" Target="/xl/worksheets/sheet30.xml" Id="R515dc6a44985494a" /><Relationship Type="http://schemas.openxmlformats.org/officeDocument/2006/relationships/worksheet" Target="/xl/worksheets/sheet31.xml" Id="R905773e9ea1f4d37" /><Relationship Type="http://schemas.openxmlformats.org/officeDocument/2006/relationships/worksheet" Target="/xl/worksheets/sheet32.xml" Id="Rf3151af5f5bb4b54" /><Relationship Type="http://schemas.openxmlformats.org/officeDocument/2006/relationships/worksheet" Target="/xl/worksheets/sheet33.xml" Id="R997bbb4cc72844c7" /><Relationship Type="http://schemas.openxmlformats.org/officeDocument/2006/relationships/worksheet" Target="/xl/worksheets/sheet34.xml" Id="R1930111175ae4e96" /><Relationship Type="http://schemas.openxmlformats.org/officeDocument/2006/relationships/worksheet" Target="/xl/worksheets/sheet35.xml" Id="R99d417c0841f4959" /><Relationship Type="http://schemas.openxmlformats.org/officeDocument/2006/relationships/worksheet" Target="/xl/worksheets/sheet36.xml" Id="R21a32376a7e14e1f" /><Relationship Type="http://schemas.openxmlformats.org/officeDocument/2006/relationships/worksheet" Target="/xl/worksheets/sheet37.xml" Id="Rf6105927cc904305" /><Relationship Type="http://schemas.openxmlformats.org/officeDocument/2006/relationships/worksheet" Target="/xl/worksheets/sheet38.xml" Id="R8049a78b30d34a28" /><Relationship Type="http://schemas.openxmlformats.org/officeDocument/2006/relationships/worksheet" Target="/xl/worksheets/sheet39.xml" Id="Rccbd58ce63254842" /><Relationship Type="http://schemas.openxmlformats.org/officeDocument/2006/relationships/worksheet" Target="/xl/worksheets/sheet40.xml" Id="R66e394e123bc4cce" /><Relationship Type="http://schemas.openxmlformats.org/officeDocument/2006/relationships/worksheet" Target="/xl/worksheets/sheet41.xml" Id="R47907fb41f5449c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ND30ComponentRules" displayName="ND30ComponentRules" ref="A6:Y86" headerRowCount="1" totalsRowCount="0" totalsRowShown="0">
  <x:tableColumns count="25">
    <x:tableColumn id="1" name="STT"/>
    <x:tableColumn id="2" name="Mã trường chuẩn"/>
    <x:tableColumn id="3" name="Vùng"/>
    <x:tableColumn id="4" name="Nhóm"/>
    <x:tableColumn id="5" name="Tên trường/thành phần"/>
    <x:tableColumn id="6" name="Ô pháp lý"/>
    <x:tableColumn id="7" name="Điều kiện áp dụng"/>
    <x:tableColumn id="8" name="Quy tắc nội dung/hiện diện"/>
    <x:tableColumn id="9" name="Font chữ"/>
    <x:tableColumn id="10" name="Cỡ chữ (pt)"/>
    <x:tableColumn id="11" name="Chữ hoa/thường"/>
    <x:tableColumn id="12" name="Đậm"/>
    <x:tableColumn id="13" name="Nghiêng"/>
    <x:tableColumn id="14" name="Căn chỉnh"/>
    <x:tableColumn id="15" name="Giãn dòng/đoạn"/>
    <x:tableColumn id="16" name="Thụt/lề/khoảng cách"/>
    <x:tableColumn id="17" name="Đường kẻ/ký tự"/>
    <x:tableColumn id="18" name="Thiết lập/đối tượng DOCX"/>
    <x:tableColumn id="19" name="Thông số cụ thể &amp; giới hạn"/>
    <x:tableColumn id="20" name="Nguồn/điều khoản"/>
    <x:tableColumn id="21" name="URL nguồn chính thức"/>
    <x:tableColumn id="22" name="URL tham chiếu chi tiết"/>
    <x:tableColumn id="23" name="Mức xác minh"/>
    <x:tableColumn id="24" name="Chính sách sửa"/>
    <x:tableColumn id="25" name="Ghi chú QA/ngoại lệ"/>
  </x:tableColumns>
  <x:tableStyleInfo name="TableStyleMedium2" showFirstColumn="0" showLastColumn="0" showRowStripes="1" showColumnStripes="0"/>
</x:table>
</file>

<file path=xl/tables/table2.xml><?xml version="1.0" encoding="utf-8"?>
<x:table xmlns:x="http://schemas.openxmlformats.org/spreadsheetml/2006/main" id="2" name="HD05ComponentRules" displayName="HD05ComponentRules" ref="A6:Y91" headerRowCount="1" totalsRowCount="0" totalsRowShown="0">
  <x:tableColumns count="25">
    <x:tableColumn id="1" name="STT"/>
    <x:tableColumn id="2" name="Mã trường chuẩn"/>
    <x:tableColumn id="3" name="Vùng"/>
    <x:tableColumn id="4" name="Nhóm"/>
    <x:tableColumn id="5" name="Tên trường/thành phần"/>
    <x:tableColumn id="6" name="Ô pháp lý"/>
    <x:tableColumn id="7" name="Điều kiện áp dụng"/>
    <x:tableColumn id="8" name="Quy tắc nội dung/hiện diện"/>
    <x:tableColumn id="9" name="Font chữ"/>
    <x:tableColumn id="10" name="Cỡ chữ (pt)"/>
    <x:tableColumn id="11" name="Chữ hoa/thường"/>
    <x:tableColumn id="12" name="Đậm"/>
    <x:tableColumn id="13" name="Nghiêng"/>
    <x:tableColumn id="14" name="Căn chỉnh"/>
    <x:tableColumn id="15" name="Giãn dòng/đoạn"/>
    <x:tableColumn id="16" name="Thụt/lề/khoảng cách"/>
    <x:tableColumn id="17" name="Đường kẻ/ký tự"/>
    <x:tableColumn id="18" name="Thiết lập/đối tượng DOCX"/>
    <x:tableColumn id="19" name="Thông số cụ thể &amp; giới hạn"/>
    <x:tableColumn id="20" name="Nguồn/điều khoản"/>
    <x:tableColumn id="21" name="URL nguồn chính thức"/>
    <x:tableColumn id="22" name="URL tham chiếu chi tiết"/>
    <x:tableColumn id="23" name="Mức xác minh"/>
    <x:tableColumn id="24" name="Chính sách sửa"/>
    <x:tableColumn id="25" name="Ghi chú QA/ngoại lệ"/>
  </x:tableColumns>
  <x:tableStyleInfo name="TableStyleMedium2" showFirstColumn="0" showLastColumn="0" showRowStripes="1" showColumnStripes="0"/>
</x:table>
</file>

<file path=xl/tables/table3.xml><?xml version="1.0" encoding="utf-8"?>
<x:table xmlns:x="http://schemas.openxmlformats.org/spreadsheetml/2006/main" id="3" name="SourceRegistryV11" displayName="SourceRegistryV11" ref="A1:H5" headerRowCount="1" totalsRowCount="0" totalsRowShown="0">
  <x:tableColumns count="8">
    <x:tableColumn id="1" name="Nguồn"/>
    <x:tableColumn id="2" name="Số hiệu"/>
    <x:tableColumn id="3" name="Ngày ban hành"/>
    <x:tableColumn id="4" name="Hiệu lực từ"/>
    <x:tableColumn id="5" name="Vai trò"/>
    <x:tableColumn id="6" name="URL chính thức"/>
    <x:tableColumn id="7" name="Vị trí căn cứ"/>
    <x:tableColumn id="8" name="Lưu ý xác minh"/>
  </x:tableColumns>
  <x:tableStyleInfo name="TableStyleMedium2" showFirstColumn="0" showLastColumn="0" showRowStripes="1" showColumnStripes="0"/>
</x:table>
</file>

<file path=xl/tables/table4.xml><?xml version="1.0" encoding="utf-8"?>
<x:table xmlns:x="http://schemas.openxmlformats.org/spreadsheetml/2006/main" id="4" name="AuditDecisionsV11" displayName="AuditDecisionsV11" ref="A171:H296" headerRowCount="1" totalsRowCount="0" totalsRowShown="0">
  <x:tableColumns count="8">
    <x:tableColumn id="1" name="Vị trí"/>
    <x:tableColumn id="2" name="Mã trường"/>
    <x:tableColumn id="3" name="Quyết định"/>
    <x:tableColumn id="4" name="Nội dung cũ / phát hiện"/>
    <x:tableColumn id="5" name="Nội dung mới / kiến nghị"/>
    <x:tableColumn id="6" name="Căn cứ / lý do"/>
    <x:tableColumn id="7" name="Kết quả"/>
    <x:tableColumn id="8" name="Trạng thái"/>
  </x:tableColumns>
  <x:tableStyleInfo name="TableStyleMedium2" showFirstColumn="0" showLastColumn="0" showRowStripes="1" showColumnStripes="0"/>
</x:table>
</file>

<file path=xl/tables/table5.xml><?xml version="1.0" encoding="utf-8"?>
<x:table xmlns:x="http://schemas.openxmlformats.org/spreadsheetml/2006/main" id="9" name="PilotNorthProfileND30" displayName="PilotNorthProfileND30" ref="A6:CW86" headerRowCount="1" totalsRowCount="0" totalsRowShown="0">
  <x:autoFilter ref="A6:CW86"/>
  <x:tableColumns count="101">
    <x:tableColumn id="1" name="STT"/>
    <x:tableColumn id="2" name="Mã trường chuẩn"/>
    <x:tableColumn id="3" name="Vùng"/>
    <x:tableColumn id="4" name="Nhóm"/>
    <x:tableColumn id="5" name="Tên trường/thành phần"/>
    <x:tableColumn id="6" name="Ô pháp lý"/>
    <x:tableColumn id="7" name="Điều kiện áp dụng (không phải mức xác minh)"/>
    <x:tableColumn id="8" name="Quy tắc nội dung/hiện diện"/>
    <x:tableColumn id="9" name="PRESET / mô tả • Font chữ"/>
    <x:tableColumn id="10" name="PRESET / mô tả • Cỡ chữ (pt)"/>
    <x:tableColumn id="11" name="PRESET / mô tả • Chữ hoa/thường"/>
    <x:tableColumn id="12" name="PRESET / mô tả • Đậm"/>
    <x:tableColumn id="13" name="PRESET / mô tả • Nghiêng"/>
    <x:tableColumn id="14" name="PRESET / mô tả • Căn chỉnh"/>
    <x:tableColumn id="15" name="PRESET / mô tả • Giãn dòng/đoạn"/>
    <x:tableColumn id="16" name="PRESET / mô tả • Thụt/lề/khoảng cách"/>
    <x:tableColumn id="17" name="PRESET / mô tả • Đường kẻ/ký tự"/>
    <x:tableColumn id="18" name="PRESET / mô tả • Thiết lập/đối tượng DOCX"/>
    <x:tableColumn id="19" name="PRESET / mô tả • Thông số cụ thể &amp; giới hạn"/>
    <x:tableColumn id="20" name="Nguồn/điều khoản"/>
    <x:tableColumn id="21" name="URL nguồn chính thức"/>
    <x:tableColumn id="22" name="URL tham chiếu chi tiết"/>
    <x:tableColumn id="23" name="Mức xác minh (cấp dòng, chưa nghiệm thu thuộc tính)"/>
    <x:tableColumn id="24" name="Chính sách thao tác (tách khỏi kiểm chứng)"/>
    <x:tableColumn id="25" name="Ghi chú / ngoại lệ / lịch sử chuyển đổi"/>
    <x:tableColumn id="26" name="Nội dung / giá trị profile Công ty"/>
    <x:tableColumn id="27" name="Word Style / thiết lập OOXML"/>
    <x:tableColumn id="28" name="Trạng thái áp dụng profile"/>
    <x:tableColumn id="29" name="Quyền xử lý profile"/>
    <x:tableColumn id="30" name="Nguồn / xuất xứ thiết lập"/>
    <x:tableColumn id="31" name="Tiêu chí QA cho từng trường"/>
    <x:tableColumn id="32" name="Ghi chú khác biệt / cần xác nhận"/>
    <x:tableColumn id="33" name="Phông chữ"/>
    <x:tableColumn id="34" name="Bảng mã chữ"/>
    <x:tableColumn id="35" name="Màu chữ HEX"/>
    <x:tableColumn id="36" name="Cỡ chữ (pt)"/>
    <x:tableColumn id="37" name="In đậm"/>
    <x:tableColumn id="38" name="In nghiêng"/>
    <x:tableColumn id="39" name="Kiểu chữ hoa/thường"/>
    <x:tableColumn id="40" name="Căn ngang"/>
    <x:tableColumn id="41" name="Vùng/vị trí bố cục"/>
    <x:tableColumn id="42" name="Kiểu giãn dòng"/>
    <x:tableColumn id="43" name="Mức giãn dòng"/>
    <x:tableColumn id="44" name="Đơn vị giãn dòng"/>
    <x:tableColumn id="45" name="Cách đoạn trước (pt)"/>
    <x:tableColumn id="46" name="Cách đoạn sau (pt)"/>
    <x:tableColumn id="47" name="Thụt dòng đầu (mm)"/>
    <x:tableColumn id="48" name="Thụt lề trái (mm)"/>
    <x:tableColumn id="49" name="Thụt lề phải (mm)"/>
    <x:tableColumn id="50" name="Giữ với đoạn sau"/>
    <x:tableColumn id="51" name="Giữ dòng cùng trang"/>
    <x:tableColumn id="52" name="Khổ giấy"/>
    <x:tableColumn id="53" name="Rộng trang (mm)"/>
    <x:tableColumn id="54" name="Cao trang (mm)"/>
    <x:tableColumn id="55" name="Hướng giấy"/>
    <x:tableColumn id="56" name="Lề trên (mm)"/>
    <x:tableColumn id="57" name="Lề dưới (mm)"/>
    <x:tableColumn id="58" name="Lề trái (mm)"/>
    <x:tableColumn id="59" name="Lề phải (mm)"/>
    <x:tableColumn id="60" name="In hai mặt"/>
    <x:tableColumn id="61" name="Lề trái mặt sau (mm)"/>
    <x:tableColumn id="62" name="Lề phải mặt sau (mm)"/>
    <x:tableColumn id="63" name="Lề trong ô (mm)"/>
    <x:tableColumn id="64" name="Chế độ AutoFit"/>
    <x:tableColumn id="65" name="Kiểu đường/dấu"/>
    <x:tableColumn id="66" name="Ký tự/dấu phân cách"/>
    <x:tableColumn id="67" name="Độ dài tương đối (%)"/>
    <x:tableColumn id="68" name="Độ dày nét (pt)"/>
    <x:tableColumn id="69" name="Kiểu đánh số"/>
    <x:tableColumn id="70" name="Vị trí số trang"/>
    <x:tableColumn id="71" name="Ẩn số trang đầu"/>
    <x:tableColumn id="72" name="Word Style/định tuyến"/>
    <x:tableColumn id="73" name="Đối tượng DOCX"/>
    <x:tableColumn id="74" name="Trạng thái profile"/>
    <x:tableColumn id="75" name="Tình trạng tách thiết lập"/>
    <x:tableColumn id="76" name="Lưu ý/giá trị chưa phân rã"/>
    <x:tableColumn id="77" name="Mã trường nguồn đối chiếu"/>
    <x:tableColumn id="78" name="Cỡ chữ pháp lý gốc (J, chỉ tham chiếu)"/>
    <x:tableColumn id="79" name="Loại đối tượng DOCX (phân loại dự thảo)"/>
    <x:tableColumn id="80" name="Điều kiện áp dụng / phụ thuộc"/>
    <x:tableColumn id="81" name="Chính sách gốc (theo mã)"/>
    <x:tableColumn id="82" name="Chính sách hiệu lực (an toàn)"/>
    <x:tableColumn id="83" name="Cho phép sửa định dạng (gate)"/>
    <x:tableColumn id="84" name="Cho phép sửa nội dung"/>
    <x:tableColumn id="85" name="Yêu cầu duyệt trước"/>
    <x:tableColumn id="86" name="Rule đã xác minh đầy đủ"/>
    <x:tableColumn id="87" name="Đích DOCX đã xác nhận"/>
    <x:tableColumn id="88" name="Phạm vi patch được duyệt"/>
    <x:tableColumn id="89" name="Autofix được phép"/>
    <x:tableColumn id="90" name="Nguồn preset / bằng chứng"/>
    <x:tableColumn id="91" name="Phiên bản profile"/>
    <x:tableColumn id="92" name="Trạng thái chủ thể ban hành"/>
    <x:tableColumn id="93" name="Định danh style theo trường (đề xuất)"/>
    <x:tableColumn id="94" name="Cảnh báo quy định ≠ preset"/>
    <x:tableColumn id="95" name="Lề trái mặt sau HIỆU LỰC (mm)"/>
    <x:tableColumn id="96" name="Lề phải mặt sau HIỆU LỰC (mm)"/>
    <x:tableColumn id="97" name="Loại thao tác DOCX (đề xuất)"/>
    <x:tableColumn id="98" name="Trạng thái nghiệm thu thuộc tính"/>
    <x:tableColumn id="99" name="Đã duyệt quy tắc/profile"/>
    <x:tableColumn id="100" name="Đã xác minh tư cách chủ thể"/>
    <x:tableColumn id="101" name="Mã chứng cứ phê duyệt (nếu có)"/>
  </x:tableColumns>
  <x:tableStyleInfo name="TableStyleMedium2" showFirstColumn="0" showLastColumn="0" showRowStripes="1" showColumnStripes="0"/>
</x:table>
</file>

<file path=xl/tables/table6.xml><?xml version="1.0" encoding="utf-8"?>
<x:table xmlns:x="http://schemas.openxmlformats.org/spreadsheetml/2006/main" id="10" name="PilotNorthProfileHD05" displayName="PilotNorthProfileHD05" ref="A6:CW91" headerRowCount="1" totalsRowCount="0" totalsRowShown="0">
  <x:autoFilter ref="A6:CW91"/>
  <x:tableColumns count="101">
    <x:tableColumn id="1" name="STT"/>
    <x:tableColumn id="2" name="Mã trường chuẩn"/>
    <x:tableColumn id="3" name="Vùng"/>
    <x:tableColumn id="4" name="Nhóm"/>
    <x:tableColumn id="5" name="Tên trường/thành phần"/>
    <x:tableColumn id="6" name="Ô pháp lý"/>
    <x:tableColumn id="7" name="Điều kiện áp dụng (không phải mức xác minh)"/>
    <x:tableColumn id="8" name="Quy tắc nội dung/hiện diện"/>
    <x:tableColumn id="9" name="PRESET / mô tả • Font chữ"/>
    <x:tableColumn id="10" name="PRESET / mô tả • Cỡ chữ (pt)"/>
    <x:tableColumn id="11" name="PRESET / mô tả • Chữ hoa/thường"/>
    <x:tableColumn id="12" name="PRESET / mô tả • Đậm"/>
    <x:tableColumn id="13" name="PRESET / mô tả • Nghiêng"/>
    <x:tableColumn id="14" name="PRESET / mô tả • Căn chỉnh"/>
    <x:tableColumn id="15" name="PRESET / mô tả • Giãn dòng/đoạn"/>
    <x:tableColumn id="16" name="PRESET / mô tả • Thụt/lề/khoảng cách"/>
    <x:tableColumn id="17" name="PRESET / mô tả • Đường kẻ/ký tự"/>
    <x:tableColumn id="18" name="PRESET / mô tả • Thiết lập/đối tượng DOCX"/>
    <x:tableColumn id="19" name="PRESET / mô tả • Thông số cụ thể &amp; giới hạn"/>
    <x:tableColumn id="20" name="Nguồn/điều khoản"/>
    <x:tableColumn id="21" name="URL nguồn chính thức"/>
    <x:tableColumn id="22" name="URL tham chiếu chi tiết"/>
    <x:tableColumn id="23" name="Mức xác minh (cấp dòng, chưa nghiệm thu thuộc tính)"/>
    <x:tableColumn id="24" name="Chính sách thao tác (tách khỏi kiểm chứng)"/>
    <x:tableColumn id="25" name="Ghi chú / ngoại lệ / lịch sử chuyển đổi"/>
    <x:tableColumn id="26" name="Nội dung / giá trị profile Công ty"/>
    <x:tableColumn id="27" name="Word Style / thiết lập OOXML"/>
    <x:tableColumn id="28" name="Trạng thái áp dụng profile"/>
    <x:tableColumn id="29" name="Quyền xử lý profile"/>
    <x:tableColumn id="30" name="Nguồn / xuất xứ thiết lập"/>
    <x:tableColumn id="31" name="Tiêu chí QA cho từng trường"/>
    <x:tableColumn id="32" name="Ghi chú khác biệt / cần xác nhận"/>
    <x:tableColumn id="33" name="Phông chữ"/>
    <x:tableColumn id="34" name="Bảng mã chữ"/>
    <x:tableColumn id="35" name="Màu chữ HEX"/>
    <x:tableColumn id="36" name="Cỡ chữ (pt)"/>
    <x:tableColumn id="37" name="In đậm"/>
    <x:tableColumn id="38" name="In nghiêng"/>
    <x:tableColumn id="39" name="Kiểu chữ hoa/thường"/>
    <x:tableColumn id="40" name="Căn ngang"/>
    <x:tableColumn id="41" name="Vùng/vị trí bố cục"/>
    <x:tableColumn id="42" name="Kiểu giãn dòng"/>
    <x:tableColumn id="43" name="Mức giãn dòng"/>
    <x:tableColumn id="44" name="Đơn vị giãn dòng"/>
    <x:tableColumn id="45" name="Cách đoạn trước (pt)"/>
    <x:tableColumn id="46" name="Cách đoạn sau (pt)"/>
    <x:tableColumn id="47" name="Thụt dòng đầu (mm)"/>
    <x:tableColumn id="48" name="Thụt lề trái (mm)"/>
    <x:tableColumn id="49" name="Thụt lề phải (mm)"/>
    <x:tableColumn id="50" name="Giữ với đoạn sau"/>
    <x:tableColumn id="51" name="Giữ dòng cùng trang"/>
    <x:tableColumn id="52" name="Khổ giấy"/>
    <x:tableColumn id="53" name="Rộng trang (mm)"/>
    <x:tableColumn id="54" name="Cao trang (mm)"/>
    <x:tableColumn id="55" name="Hướng giấy"/>
    <x:tableColumn id="56" name="Lề trên (mm)"/>
    <x:tableColumn id="57" name="Lề dưới (mm)"/>
    <x:tableColumn id="58" name="Lề trái (mm)"/>
    <x:tableColumn id="59" name="Lề phải (mm)"/>
    <x:tableColumn id="60" name="In hai mặt"/>
    <x:tableColumn id="61" name="Lề trái mặt sau (mm)"/>
    <x:tableColumn id="62" name="Lề phải mặt sau (mm)"/>
    <x:tableColumn id="63" name="Lề trong ô (mm)"/>
    <x:tableColumn id="64" name="Chế độ AutoFit"/>
    <x:tableColumn id="65" name="Kiểu đường/dấu"/>
    <x:tableColumn id="66" name="Ký tự/dấu phân cách"/>
    <x:tableColumn id="67" name="Độ dài tương đối (%)"/>
    <x:tableColumn id="68" name="Độ dày nét (pt)"/>
    <x:tableColumn id="69" name="Kiểu đánh số"/>
    <x:tableColumn id="70" name="Vị trí số trang"/>
    <x:tableColumn id="71" name="Ẩn số trang đầu"/>
    <x:tableColumn id="72" name="Word Style/định tuyến"/>
    <x:tableColumn id="73" name="Đối tượng DOCX"/>
    <x:tableColumn id="74" name="Trạng thái profile"/>
    <x:tableColumn id="75" name="Tình trạng tách thiết lập"/>
    <x:tableColumn id="76" name="Lưu ý/giá trị chưa phân rã"/>
    <x:tableColumn id="77" name="Mã trường nguồn đối chiếu"/>
    <x:tableColumn id="78" name="Cỡ chữ pháp lý gốc (J, chỉ tham chiếu)"/>
    <x:tableColumn id="79" name="Loại đối tượng DOCX (phân loại dự thảo)"/>
    <x:tableColumn id="80" name="Điều kiện áp dụng / phụ thuộc"/>
    <x:tableColumn id="81" name="Chính sách gốc (theo mã)"/>
    <x:tableColumn id="82" name="Chính sách hiệu lực (an toàn)"/>
    <x:tableColumn id="83" name="Cho phép sửa định dạng (gate)"/>
    <x:tableColumn id="84" name="Cho phép sửa nội dung"/>
    <x:tableColumn id="85" name="Yêu cầu duyệt trước"/>
    <x:tableColumn id="86" name="Rule đã xác minh đầy đủ"/>
    <x:tableColumn id="87" name="Đích DOCX đã xác nhận"/>
    <x:tableColumn id="88" name="Phạm vi patch được duyệt"/>
    <x:tableColumn id="89" name="Autofix được phép"/>
    <x:tableColumn id="90" name="Nguồn preset / bằng chứng"/>
    <x:tableColumn id="91" name="Phiên bản profile"/>
    <x:tableColumn id="92" name="Trạng thái chủ thể ban hành"/>
    <x:tableColumn id="93" name="Định danh style theo trường (đề xuất)"/>
    <x:tableColumn id="94" name="Cảnh báo quy định ≠ preset"/>
    <x:tableColumn id="95" name="Lề trái mặt sau HIỆU LỰC (mm)"/>
    <x:tableColumn id="96" name="Lề phải mặt sau HIỆU LỰC (mm)"/>
    <x:tableColumn id="97" name="Loại thao tác DOCX (đề xuất)"/>
    <x:tableColumn id="98" name="Trạng thái nghiệm thu thuộc tính"/>
    <x:tableColumn id="99" name="Đã duyệt quy tắc/profile"/>
    <x:tableColumn id="100" name="Đã xác minh tư cách chủ thể"/>
    <x:tableColumn id="101" name="Mã chứng cứ phê duyệt (nếu có)"/>
  </x:tableColumns>
  <x:tableStyleInfo name="TableStyleMedium2" showFirstColumn="0" showLastColumn="0" showRowStripes="1" showColumnStripes="0"/>
</x:table>
</file>

<file path=xl/tables/table7.xml><?xml version="1.0" encoding="utf-8"?>
<x:table xmlns:x="http://schemas.openxmlformats.org/spreadsheetml/2006/main" id="11" name="PilotNorthProfileQA" displayName="PilotNorthProfileQA" ref="A6:M171" headerRowCount="1" totalsRowCount="0" totalsRowShown="0">
  <x:autoFilter ref="A6:M171"/>
  <x:tableColumns count="13">
    <x:tableColumn id="1" name="Hệ"/>
    <x:tableColumn id="2" name="Mã trường nguồn"/>
    <x:tableColumn id="3" name="Số bản ghi profile"/>
    <x:tableColumn id="4" name="Namespace"/>
    <x:tableColumn id="5" name="Nguồn có mã"/>
    <x:tableColumn id="6" name="Chính sách gốc"/>
    <x:tableColumn id="7" name="Quyền hiệu lực"/>
    <x:tableColumn id="8" name="Autofix"/>
    <x:tableColumn id="9" name="Loại đối tượng"/>
    <x:tableColumn id="10" name="Cỡ pháp lý gốc"/>
    <x:tableColumn id="11" name="Cỡ profile"/>
    <x:tableColumn id="12" name="Đối chiếu cỡ"/>
    <x:tableColumn id="13" name="Kết luận"/>
  </x:tableColumns>
  <x:tableStyleInfo name="TableStyleMedium2" showFirstColumn="0" showLastColumn="0" showRowStripes="1" showColumnStripes="0"/>
</x:table>
</file>

<file path=xl/tables/table8.xml><?xml version="1.0" encoding="utf-8"?>
<x:table xmlns:x="http://schemas.openxmlformats.org/spreadsheetml/2006/main" id="12" name="ChildTable_ND30" displayName="ChildTable_ND30" ref="A6:AZ72" headerRowCount="1" totalsRowCount="0" totalsRowShown="0">
  <x:tableColumns count="52">
    <x:tableColumn id="1" name="STT"/>
    <x:tableColumn id="2" name="Mã trường con (5 cấp)"/>
    <x:tableColumn id="3" name="Mã cha (4 cấp)"/>
    <x:tableColumn id="4" name="Tên trường con"/>
    <x:tableColumn id="5" name="Đối tượng DOCX"/>
    <x:tableColumn id="6" name="Thuộc tính / rule-key"/>
    <x:tableColumn id="7" name="Giá trị preset / rule"/>
    <x:tableColumn id="8" name="Đơn vị"/>
    <x:tableColumn id="9" name="Điều kiện áp dụng"/>
    <x:tableColumn id="10" name="Phân loại quy tắc"/>
    <x:tableColumn id="11" name="Nguồn/căn cứ"/>
    <x:tableColumn id="12" name="Trạng thái xác minh"/>
    <x:tableColumn id="13" name="Quyền xử lý"/>
    <x:tableColumn id="14" name="Ô pháp lý (thuộc nội dung)"/>
    <x:tableColumn id="15" name="OOXML target"/>
    <x:tableColumn id="16" name="Phông chữ"/>
    <x:tableColumn id="17" name="Cỡ chữ (pt)"/>
    <x:tableColumn id="18" name="Đậm"/>
    <x:tableColumn id="19" name="Nghiêng"/>
    <x:tableColumn id="20" name="Màu chữ"/>
    <x:tableColumn id="21" name="Căn ngang"/>
    <x:tableColumn id="22" name="Căn dọc"/>
    <x:tableColumn id="23" name="Kiểu giãn dòng"/>
    <x:tableColumn id="24" name="Giá trị giãn dòng"/>
    <x:tableColumn id="25" name="Cách đoạn trước (pt)"/>
    <x:tableColumn id="26" name="Cách đoạn sau (pt)"/>
    <x:tableColumn id="27" name="Thụt trái (mm)"/>
    <x:tableColumn id="28" name="Chiều rộng bảng (%)"/>
    <x:tableColumn id="29" name="Chiều rộng cột (mm)"/>
    <x:tableColumn id="30" name="AutoFit"/>
    <x:tableColumn id="31" name="Chiều cao hàng (mm)"/>
    <x:tableColumn id="32" name="Kiểu cao hàng"/>
    <x:tableColumn id="33" name="Lặp hàng đầu"/>
    <x:tableColumn id="34" name="Chống chia hàng"/>
    <x:tableColumn id="35" name="Giữ với đoạn sau"/>
    <x:tableColumn id="36" name="Lề ô trên (mm)"/>
    <x:tableColumn id="37" name="Lề ô dưới (mm)"/>
    <x:tableColumn id="38" name="Lề ô trái (mm)"/>
    <x:tableColumn id="39" name="Lề ô phải (mm)"/>
    <x:tableColumn id="40" name="Viền ngoài"/>
    <x:tableColumn id="41" name="Viền ngang"/>
    <x:tableColumn id="42" name="Viền dọc"/>
    <x:tableColumn id="43" name="Nét viền (pt)"/>
    <x:tableColumn id="44" name="Tô nền"/>
    <x:tableColumn id="45" name="Cho xuống dòng"/>
    <x:tableColumn id="46" name="Gộp ngang"/>
    <x:tableColumn id="47" name="Gộp dọc"/>
    <x:tableColumn id="48" name="Hướng giấy"/>
    <x:tableColumn id="49" name="Section"/>
    <x:tableColumn id="50" name="Tiêu chí QA"/>
    <x:tableColumn id="51" name="Ghi chú bảo toàn / ngoại lệ"/>
    <x:tableColumn id="52" name="Nguồn preset"/>
  </x:tableColumns>
  <x:tableStyleInfo name="TableStyleMedium2" showFirstColumn="0" showLastColumn="0" showRowStripes="1" showColumnStripes="0"/>
</x:table>
</file>

<file path=xl/tables/table9.xml><?xml version="1.0" encoding="utf-8"?>
<x:table xmlns:x="http://schemas.openxmlformats.org/spreadsheetml/2006/main" id="13" name="ChildTable_HD05" displayName="ChildTable_HD05" ref="A6:AZ72" headerRowCount="1" totalsRowCount="0" totalsRowShown="0">
  <x:tableColumns count="52">
    <x:tableColumn id="1" name="STT"/>
    <x:tableColumn id="2" name="Mã trường con (5 cấp)"/>
    <x:tableColumn id="3" name="Mã cha (4 cấp)"/>
    <x:tableColumn id="4" name="Tên trường con"/>
    <x:tableColumn id="5" name="Đối tượng DOCX"/>
    <x:tableColumn id="6" name="Thuộc tính / rule-key"/>
    <x:tableColumn id="7" name="Giá trị preset / rule"/>
    <x:tableColumn id="8" name="Đơn vị"/>
    <x:tableColumn id="9" name="Điều kiện áp dụng"/>
    <x:tableColumn id="10" name="Phân loại quy tắc"/>
    <x:tableColumn id="11" name="Nguồn/căn cứ"/>
    <x:tableColumn id="12" name="Trạng thái xác minh"/>
    <x:tableColumn id="13" name="Quyền xử lý"/>
    <x:tableColumn id="14" name="Ô pháp lý (thuộc nội dung)"/>
    <x:tableColumn id="15" name="OOXML target"/>
    <x:tableColumn id="16" name="Phông chữ"/>
    <x:tableColumn id="17" name="Cỡ chữ (pt)"/>
    <x:tableColumn id="18" name="Đậm"/>
    <x:tableColumn id="19" name="Nghiêng"/>
    <x:tableColumn id="20" name="Màu chữ"/>
    <x:tableColumn id="21" name="Căn ngang"/>
    <x:tableColumn id="22" name="Căn dọc"/>
    <x:tableColumn id="23" name="Kiểu giãn dòng"/>
    <x:tableColumn id="24" name="Giá trị giãn dòng"/>
    <x:tableColumn id="25" name="Cách đoạn trước (pt)"/>
    <x:tableColumn id="26" name="Cách đoạn sau (pt)"/>
    <x:tableColumn id="27" name="Thụt trái (mm)"/>
    <x:tableColumn id="28" name="Chiều rộng bảng (%)"/>
    <x:tableColumn id="29" name="Chiều rộng cột (mm)"/>
    <x:tableColumn id="30" name="AutoFit"/>
    <x:tableColumn id="31" name="Chiều cao hàng (mm)"/>
    <x:tableColumn id="32" name="Kiểu cao hàng"/>
    <x:tableColumn id="33" name="Lặp hàng đầu"/>
    <x:tableColumn id="34" name="Chống chia hàng"/>
    <x:tableColumn id="35" name="Giữ với đoạn sau"/>
    <x:tableColumn id="36" name="Lề ô trên (mm)"/>
    <x:tableColumn id="37" name="Lề ô dưới (mm)"/>
    <x:tableColumn id="38" name="Lề ô trái (mm)"/>
    <x:tableColumn id="39" name="Lề ô phải (mm)"/>
    <x:tableColumn id="40" name="Viền ngoài"/>
    <x:tableColumn id="41" name="Viền ngang"/>
    <x:tableColumn id="42" name="Viền dọc"/>
    <x:tableColumn id="43" name="Nét viền (pt)"/>
    <x:tableColumn id="44" name="Tô nền"/>
    <x:tableColumn id="45" name="Cho xuống dòng"/>
    <x:tableColumn id="46" name="Gộp ngang"/>
    <x:tableColumn id="47" name="Gộp dọc"/>
    <x:tableColumn id="48" name="Hướng giấy"/>
    <x:tableColumn id="49" name="Section"/>
    <x:tableColumn id="50" name="Tiêu chí QA"/>
    <x:tableColumn id="51" name="Ghi chú bảo toàn / ngoại lệ"/>
    <x:tableColumn id="52" name="Nguồn preset"/>
  </x:tableColumns>
  <x:tableStyleInfo name="TableStyleMedium2" showFirstColumn="0" showLastColumn="0" showRowStripes="1" showColumnStripes="0"/>
</x:table>
</file>

<file path=xl/tables/table10.xml><?xml version="1.0" encoding="utf-8"?>
<x:table xmlns:x="http://schemas.openxmlformats.org/spreadsheetml/2006/main" id="14" name="Table_Bang_Child_QA" displayName="Table_Bang_Child_QA" ref="A9:G141" headerRowCount="1" totalsRowCount="0" totalsRowShown="0">
  <x:tableColumns count="7">
    <x:tableColumn id="1" name="STT"/>
    <x:tableColumn id="2" name="Mã con (liên kết dữ liệu)"/>
    <x:tableColumn id="3" name="Mã cha"/>
    <x:tableColumn id="4" name="Hệ"/>
    <x:tableColumn id="5" name="Cha đã có trong 165 mã"/>
    <x:tableColumn id="6" name="Kiểm tra mã lặp"/>
    <x:tableColumn id="7" name="Loại quy tắc"/>
  </x:tableColumns>
  <x:tableStyleInfo name="TableStyleMedium2" showFirstColumn="0" showLastColumn="0" showRowStripes="1" showColumnStripes="0"/>
</x:table>
</file>

<file path=xl/tables/table11.xml><?xml version="1.0" encoding="utf-8"?>
<x:table xmlns:x="http://schemas.openxmlformats.org/spreadsheetml/2006/main" id="15" name="DauND30RulesV175" displayName="DauND30RulesV175" ref="A5:V212" headerRowCount="1" totalsRowCount="0" totalsRowShown="0">
  <x:tableColumns count="22">
    <x:tableColumn id="1" name="STT"/>
    <x:tableColumn id="2" name="Mã rule con"/>
    <x:tableColumn id="3" name="Mã trường cha (trong 165 mã)"/>
    <x:tableColumn id="4" name="Nhóm phần đầu"/>
    <x:tableColumn id="5" name="Tên thành phần"/>
    <x:tableColumn id="6" name="Thuộc tính độc lập"/>
    <x:tableColumn id="7" name="Kiểu giá trị"/>
    <x:tableColumn id="8" name="Đơn vị"/>
    <x:tableColumn id="9" name="Giá trị quy định/căn cứ gốc"/>
    <x:tableColumn id="10" name="Giới hạn / phép so sánh"/>
    <x:tableColumn id="11" name="Giá trị Profile HTHHMB"/>
    <x:tableColumn id="12" name="Trạng thái lựa chọn profile"/>
    <x:tableColumn id="13" name="Trạng thái đối chiếu nguồn"/>
    <x:tableColumn id="14" name="Điều kiện / trường hợp áp dụng"/>
    <x:tableColumn id="15" name="Ngoại lệ / thứ tự ưu tiên"/>
    <x:tableColumn id="16" name="Đối tượng Word"/>
    <x:tableColumn id="17" name="Cách ChatGPT nhận diện và kiểm tra"/>
    <x:tableColumn id="18" name="Điều khoản / phụ lục"/>
    <x:tableColumn id="19" name="URL nguồn chính thức"/>
    <x:tableColumn id="20" name="Giữ nguyên nội dung gốc"/>
    <x:tableColumn id="21" name="Quyền xử lý"/>
    <x:tableColumn id="22" name="Ghi chú và việc cần xác minh"/>
  </x:tableColumns>
  <x:tableStyleInfo name="TableStyleMedium2" showFirstColumn="0" showLastColumn="0" showRowStripes="1" showColumnStripes="0"/>
</x:table>
</file>

<file path=xl/tables/table12.xml><?xml version="1.0" encoding="utf-8"?>
<x:table xmlns:x="http://schemas.openxmlformats.org/spreadsheetml/2006/main" id="16" name="DauHD05RulesV175" displayName="DauHD05RulesV175" ref="A5:V232" headerRowCount="1" totalsRowCount="0" totalsRowShown="0">
  <x:tableColumns count="22">
    <x:tableColumn id="1" name="STT"/>
    <x:tableColumn id="2" name="Mã rule con"/>
    <x:tableColumn id="3" name="Mã trường cha (trong 165 mã)"/>
    <x:tableColumn id="4" name="Nhóm phần đầu"/>
    <x:tableColumn id="5" name="Tên thành phần"/>
    <x:tableColumn id="6" name="Thuộc tính độc lập"/>
    <x:tableColumn id="7" name="Kiểu giá trị"/>
    <x:tableColumn id="8" name="Đơn vị"/>
    <x:tableColumn id="9" name="Giá trị quy định/căn cứ gốc"/>
    <x:tableColumn id="10" name="Giới hạn / phép so sánh"/>
    <x:tableColumn id="11" name="Giá trị Profile HTHHMB"/>
    <x:tableColumn id="12" name="Trạng thái lựa chọn profile"/>
    <x:tableColumn id="13" name="Trạng thái đối chiếu nguồn"/>
    <x:tableColumn id="14" name="Điều kiện / trường hợp áp dụng"/>
    <x:tableColumn id="15" name="Ngoại lệ / thứ tự ưu tiên"/>
    <x:tableColumn id="16" name="Đối tượng Word"/>
    <x:tableColumn id="17" name="Cách ChatGPT nhận diện và kiểm tra"/>
    <x:tableColumn id="18" name="Điều khoản / phụ lục"/>
    <x:tableColumn id="19" name="URL nguồn chính thức"/>
    <x:tableColumn id="20" name="Giữ nguyên nội dung gốc"/>
    <x:tableColumn id="21" name="Quyền xử lý"/>
    <x:tableColumn id="22" name="Ghi chú và việc cần xác minh"/>
  </x:tableColumns>
  <x:tableStyleInfo name="TableStyleMedium2" showFirstColumn="0" showLastColumn="0" showRowStripes="1" showColumnStripes="0"/>
</x:table>
</file>

<file path=xl/tables/table13.xml><?xml version="1.0" encoding="utf-8"?>
<x:table xmlns:x="http://schemas.openxmlformats.org/spreadsheetml/2006/main" id="17" name="DauQAV175" displayName="DauQAV175" ref="A1:H49" headerRowCount="1" totalsRowCount="0" totalsRowShown="0">
  <x:tableColumns count="8">
    <x:tableColumn id="1" name="Hệ"/>
    <x:tableColumn id="2" name="Mã trường cha"/>
    <x:tableColumn id="3" name="Số rule con"/>
    <x:tableColumn id="4" name="Đã đối chiếu thuộc tính"/>
    <x:tableColumn id="5" name="Chưa đối chiếu"/>
    <x:tableColumn id="6" name="Trạng thái"/>
    <x:tableColumn id="7" name="Điều kiện nghiệm thu"/>
    <x:tableColumn id="8" name="Nguồn đối chiếu"/>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fee05a8966c42d6" /></Relationships>
</file>

<file path=xl/worksheets/_rels/sheet3.xml.rels>&#65279;<?xml version="1.0" encoding="utf-8"?><Relationships xmlns="http://schemas.openxmlformats.org/package/2006/relationships"><Relationship Type="http://schemas.openxmlformats.org/officeDocument/2006/relationships/table" Target="/xl/tables/table2.xml" Id="R040f394622744b83" /></Relationships>
</file>

<file path=xl/worksheets/_rels/sheet4.xml.rels>&#65279;<?xml version="1.0" encoding="utf-8"?><Relationships xmlns="http://schemas.openxmlformats.org/package/2006/relationships"><Relationship Type="http://schemas.openxmlformats.org/officeDocument/2006/relationships/table" Target="/xl/tables/table3.xml" Id="Rb47e77814d664bda" /></Relationships>
</file>

<file path=xl/worksheets/_rels/sheet5.xml.rels>&#65279;<?xml version="1.0" encoding="utf-8"?><Relationships xmlns="http://schemas.openxmlformats.org/package/2006/relationships"><Relationship Type="http://schemas.openxmlformats.org/officeDocument/2006/relationships/table" Target="/xl/tables/table4.xml" Id="R7699dfd25b0d446c" /></Relationships>
</file>

<file path=xl/worksheets/_rels/sheet7.xml.rels>&#65279;<?xml version="1.0" encoding="utf-8"?><Relationships xmlns="http://schemas.openxmlformats.org/package/2006/relationships"><Relationship Type="http://schemas.openxmlformats.org/officeDocument/2006/relationships/table" Target="/xl/tables/table5.xml" Id="R7055f48899fc4585" /></Relationships>
</file>

<file path=xl/worksheets/_rels/sheet8.xml.rels>&#65279;<?xml version="1.0" encoding="utf-8"?><Relationships xmlns="http://schemas.openxmlformats.org/package/2006/relationships"><Relationship Type="http://schemas.openxmlformats.org/officeDocument/2006/relationships/table" Target="/xl/tables/table6.xml" Id="R51b9a878ca354aed" /></Relationships>
</file>

<file path=xl/worksheets/_rels/sheet9.xml.rels>&#65279;<?xml version="1.0" encoding="utf-8"?><Relationships xmlns="http://schemas.openxmlformats.org/package/2006/relationships"><Relationship Type="http://schemas.openxmlformats.org/officeDocument/2006/relationships/table" Target="/xl/tables/table7.xml" Id="R90b3412a7a154b54" /></Relationships>
</file>

<file path=xl/worksheets/_rels/sheet11.xml.rels>&#65279;<?xml version="1.0" encoding="utf-8"?><Relationships xmlns="http://schemas.openxmlformats.org/package/2006/relationships"><Relationship Type="http://schemas.openxmlformats.org/officeDocument/2006/relationships/table" Target="/xl/tables/table8.xml" Id="R70982d2b18714943" /></Relationships>
</file>

<file path=xl/worksheets/_rels/sheet12.xml.rels>&#65279;<?xml version="1.0" encoding="utf-8"?><Relationships xmlns="http://schemas.openxmlformats.org/package/2006/relationships"><Relationship Type="http://schemas.openxmlformats.org/officeDocument/2006/relationships/table" Target="/xl/tables/table9.xml" Id="Rd197361285fc4798" /></Relationships>
</file>

<file path=xl/worksheets/_rels/sheet13.xml.rels>&#65279;<?xml version="1.0" encoding="utf-8"?><Relationships xmlns="http://schemas.openxmlformats.org/package/2006/relationships"><Relationship Type="http://schemas.openxmlformats.org/officeDocument/2006/relationships/table" Target="/xl/tables/table10.xml" Id="Rd75c54bba0144470" /></Relationships>
</file>

<file path=xl/worksheets/_rels/sheet23.xml.rels>&#65279;<?xml version="1.0" encoding="utf-8"?><Relationships xmlns="http://schemas.openxmlformats.org/package/2006/relationships"><Relationship Type="http://schemas.openxmlformats.org/officeDocument/2006/relationships/table" Target="/xl/tables/table11.xml" Id="R62635793574044d9" /></Relationships>
</file>

<file path=xl/worksheets/_rels/sheet24.xml.rels>&#65279;<?xml version="1.0" encoding="utf-8"?><Relationships xmlns="http://schemas.openxmlformats.org/package/2006/relationships"><Relationship Type="http://schemas.openxmlformats.org/officeDocument/2006/relationships/table" Target="/xl/tables/table12.xml" Id="R56ce7b4a33554c4d" /></Relationships>
</file>

<file path=xl/worksheets/_rels/sheet25.xml.rels>&#65279;<?xml version="1.0" encoding="utf-8"?><Relationships xmlns="http://schemas.openxmlformats.org/package/2006/relationships"><Relationship Type="http://schemas.openxmlformats.org/officeDocument/2006/relationships/table" Target="/xl/tables/table13.xml" Id="Rdc801d1f279e4b0b" /></Relationships>
</file>

<file path=xl/worksheets/sheet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35" hidden="0" customWidth="1"/>
    <x:col min="2" max="2" width="9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s>
  <x:sheetData>
    <x:row r="1" ht="31" customHeight="1">
      <x:c r="A1" s="60" t="str">
        <x:v>BỘ QUY TẮC &amp; TRƯỜNG THỂ THỨC VĂN BẢN  |  NĐ30 / HD05</x:v>
      </x:c>
      <x:c r="B1" s="60"/>
      <x:c r="C1" s="60"/>
      <x:c r="D1" s="60"/>
      <x:c r="E1" s="60"/>
      <x:c r="F1" s="60"/>
      <x:c r="G1" s="60"/>
      <x:c r="H1" s="60"/>
      <x:c r="I1" s="60"/>
      <x:c r="J1" s="60"/>
    </x:row>
    <x:row r="2" ht="31" customHeight="1">
      <x:c r="A2" s="60"/>
      <x:c r="B2" s="60"/>
      <x:c r="C2" s="60"/>
      <x:c r="D2" s="60"/>
      <x:c r="E2" s="60"/>
      <x:c r="F2" s="60"/>
      <x:c r="G2" s="60"/>
      <x:c r="H2" s="60"/>
      <x:c r="I2" s="60"/>
      <x:c r="J2" s="60"/>
    </x:row>
    <x:row r="3" ht="27" customHeight="1">
      <x:c r="A3" s="65" t="str">
        <x:v>README / PROFILE v1.4 · 28/10/2026 · BỔ SUNG CỘT THIẾT LẬP ĐỘC LẬP</x:v>
      </x:c>
      <x:c r="B3" s="65"/>
      <x:c r="C3" s="65"/>
      <x:c r="D3" s="65"/>
      <x:c r="E3" s="65"/>
      <x:c r="F3" s="65"/>
      <x:c r="G3" s="65"/>
      <x:c r="H3" s="65"/>
      <x:c r="I3" s="65"/>
      <x:c r="J3" s="65"/>
    </x:row>
    <x:row r="5" ht="28" customHeight="1">
      <x:c r="A5" s="69" t="str">
        <x:v>NĐ30 — TỔNG MÃ TRƯỜNG</x:v>
      </x:c>
      <x:c r="B5" s="69"/>
      <x:c r="C5" s="69"/>
      <x:c r="D5" s="69" t="str">
        <x:v>HD05 — TỔNG MÃ TRƯỜNG</x:v>
      </x:c>
      <x:c r="E5" s="69"/>
      <x:c r="F5" s="69"/>
      <x:c r="G5" s="69" t="str">
        <x:v>MÃ DUY NHẤT (KIỂM TRA TRÊN CẢ HAI HỆ)</x:v>
      </x:c>
      <x:c r="H5" s="69"/>
      <x:c r="I5" s="69"/>
      <x:c r="J5" s="69"/>
    </x:row>
    <x:row r="6" ht="26" customHeight="1">
      <x:c r="A6" s="75" t="n">
        <x:f>COUNTA(ND30ComponentRules[Mã trường chuẩn])</x:f>
        <x:v>80</x:v>
      </x:c>
      <x:c r="B6" s="75"/>
      <x:c r="C6" s="75"/>
      <x:c r="D6" s="75" t="n">
        <x:f>COUNTA(HD05ComponentRules[Mã trường chuẩn])</x:f>
        <x:v>85</x:v>
      </x:c>
      <x:c r="E6" s="75"/>
      <x:c r="F6" s="75"/>
      <x:c r="G6" s="75" t="n">
        <x:f>SUM(KIEM_TRA!D5:D169)</x:f>
        <x:v>165</x:v>
      </x:c>
      <x:c r="H6" s="75"/>
      <x:c r="I6" s="75"/>
      <x:c r="J6" s="75"/>
    </x:row>
    <x:row r="7" ht="26" customHeight="1">
      <x:c r="A7" s="75"/>
      <x:c r="B7" s="75"/>
      <x:c r="C7" s="75"/>
      <x:c r="D7" s="75"/>
      <x:c r="E7" s="75"/>
      <x:c r="F7" s="75"/>
      <x:c r="G7" s="75"/>
      <x:c r="H7" s="75"/>
      <x:c r="I7" s="75"/>
      <x:c r="J7" s="75"/>
    </x:row>
    <x:row r="10" ht="27" customHeight="1">
      <x:c r="A10" s="81" t="str">
        <x:v>01  ·  GIỚI THIỆU / PHẠM VI</x:v>
      </x:c>
      <x:c r="B10" s="81"/>
      <x:c r="C10" s="81"/>
      <x:c r="D10" s="81"/>
      <x:c r="E10" s="81"/>
      <x:c r="F10" s="81"/>
      <x:c r="G10" s="81"/>
      <x:c r="H10" s="81"/>
      <x:c r="I10" s="81"/>
      <x:c r="J10" s="81"/>
    </x:row>
    <x:row r="11" ht="35" customHeight="1">
      <x:c r="A11" s="86" t="str">
        <x:v>Mục tiêu</x:v>
      </x:c>
      <x:c r="B11" s="93" t="str">
        <x:v>Bảng tra cứu theo từng trường thể thức: mã, vị trí, điều kiện, font/cỡ chữ, căn lề, khoảng cách, ký hiệu, thiết lập Word và nguồn đối chiếu.</x:v>
      </x:c>
      <x:c r="C11" s="93"/>
      <x:c r="D11" s="93"/>
      <x:c r="E11" s="93"/>
      <x:c r="F11" s="93"/>
      <x:c r="G11" s="93"/>
      <x:c r="H11" s="93"/>
      <x:c r="I11" s="93"/>
      <x:c r="J11" s="93"/>
    </x:row>
    <x:row r="12" ht="35" customHeight="1">
      <x:c r="A12" s="86" t="str">
        <x:v>Sheet 2 · ND30</x:v>
      </x:c>
      <x:c r="B12" s="93" t="str">
        <x:v>80 trường thuộc văn bản hành chính theo Nghị định 30/2020/NĐ-CP; không tự áp dụng cho tất cả tổ chức/loại tài liệu.</x:v>
      </x:c>
      <x:c r="C12" s="93"/>
      <x:c r="D12" s="93"/>
      <x:c r="E12" s="93"/>
      <x:c r="F12" s="93"/>
      <x:c r="G12" s="93"/>
      <x:c r="H12" s="93"/>
      <x:c r="I12" s="93"/>
      <x:c r="J12" s="93"/>
    </x:row>
    <x:row r="13" ht="35" customHeight="1">
      <x:c r="A13" s="86" t="str">
        <x:v>Sheet 3 · HD05</x:v>
      </x:c>
      <x:c r="B13" s="93" t="str">
        <x:v>85 trường thuộc văn bản Đảng theo Hướng dẫn 05-HD/VPTW ngày 27/5/2026; không trộn quy tắc NĐ30.</x:v>
      </x:c>
      <x:c r="C13" s="93"/>
      <x:c r="D13" s="93"/>
      <x:c r="E13" s="93"/>
      <x:c r="F13" s="93"/>
      <x:c r="G13" s="93"/>
      <x:c r="H13" s="93"/>
      <x:c r="I13" s="93"/>
      <x:c r="J13" s="93"/>
    </x:row>
    <x:row r="14" ht="35" customHeight="1">
      <x:c r="A14" s="86" t="str">
        <x:v>Ngoài phạm vi</x:v>
      </x:c>
      <x:c r="B14" s="93" t="str">
        <x:v>Phụ lục độc lập; bản sao văn bản; hồ sơ ký đóng dấu đã hoàn thành; nhận diện thẩm quyền người ký; template chuyên biệt chưa rõ chế độ.</x:v>
      </x:c>
      <x:c r="C14" s="93"/>
      <x:c r="D14" s="93"/>
      <x:c r="E14" s="93"/>
      <x:c r="F14" s="93"/>
      <x:c r="G14" s="93"/>
      <x:c r="H14" s="93"/>
      <x:c r="I14" s="93"/>
      <x:c r="J14" s="93"/>
    </x:row>
    <x:row r="15" ht="35" customHeight="1">
      <x:c r="A15" s="86" t="str">
        <x:v>Trạng thái</x:v>
      </x:c>
      <x:c r="B15" s="93" t="str">
        <x:v>Bảng tham chiếu phục vụ nghiên cứu, nhận diện/QA; không phải chứng nhận legal compliance, không cấp quyền autofix cho plugin.</x:v>
      </x:c>
      <x:c r="C15" s="93"/>
      <x:c r="D15" s="93"/>
      <x:c r="E15" s="93"/>
      <x:c r="F15" s="93"/>
      <x:c r="G15" s="93"/>
      <x:c r="H15" s="93"/>
      <x:c r="I15" s="93"/>
      <x:c r="J15" s="93"/>
    </x:row>
    <x:row r="17" ht="27" customHeight="1">
      <x:c r="A17" s="81" t="str">
        <x:v>02  ·  CÁCH ĐỌC / THAO TÁC</x:v>
      </x:c>
      <x:c r="B17" s="81"/>
      <x:c r="C17" s="81"/>
      <x:c r="D17" s="81"/>
      <x:c r="E17" s="81"/>
      <x:c r="F17" s="81"/>
      <x:c r="G17" s="81"/>
      <x:c r="H17" s="81"/>
      <x:c r="I17" s="81"/>
      <x:c r="J17" s="81"/>
    </x:row>
    <x:row r="18" ht="35" customHeight="1">
      <x:c r="A18" s="86" t="str">
        <x:v>Mã chuẩn</x:v>
      </x:c>
      <x:c r="B18" s="93" t="str">
        <x:v>ND30.D.CQ.BAN_HANH / HD05.D.CQ.BAN_HANH. Tiền tố là chế độ; D,N,C là vùng logic; G là quy tắc chung, X là thành phần bổ sung.</x:v>
      </x:c>
      <x:c r="C18" s="93"/>
      <x:c r="D18" s="93"/>
      <x:c r="E18" s="93"/>
      <x:c r="F18" s="93"/>
      <x:c r="G18" s="93"/>
      <x:c r="H18" s="93"/>
      <x:c r="I18" s="93"/>
      <x:c r="J18" s="93"/>
    </x:row>
    <x:row r="19" ht="35" customHeight="1">
      <x:c r="A19" s="86" t="str">
        <x:v>Ô pháp lý</x:v>
      </x:c>
      <x:c r="B19" s="93" t="str">
        <x:v>Số ô theo phụ lục nguồn, tách biệt khỏi mã trường. Một ô có thể được sử dụng khác nhau theo loại/chế độ văn bản.</x:v>
      </x:c>
      <x:c r="C19" s="93"/>
      <x:c r="D19" s="93"/>
      <x:c r="E19" s="93"/>
      <x:c r="F19" s="93"/>
      <x:c r="G19" s="93"/>
      <x:c r="H19" s="93"/>
      <x:c r="I19" s="93"/>
      <x:c r="J19" s="93"/>
    </x:row>
    <x:row r="20" ht="35" customHeight="1">
      <x:c r="A20" s="99" t="str">
        <x:v>Lọc và kiểm tra</x:v>
      </x:c>
      <x:c r="B20" s="93" t="str">
        <x:v>Dùng Table ở ND30/HD05 để lọc theo nhóm, loại và trạng thái. KIEM_TRA liên kết về mã hiện có; mở rộng mã cần cập nhật công thức kiểm tra.</x:v>
      </x:c>
      <x:c r="C20" s="93"/>
      <x:c r="D20" s="93"/>
      <x:c r="E20" s="93"/>
      <x:c r="F20" s="93"/>
      <x:c r="G20" s="93"/>
      <x:c r="H20" s="93"/>
      <x:c r="I20" s="93"/>
      <x:c r="J20" s="93"/>
    </x:row>
    <x:row r="21" ht="35" customHeight="1">
      <x:c r="A21" s="86" t="str">
        <x:v>Giá trị trống</x:v>
      </x:c>
      <x:c r="B21" s="93" t="str">
        <x:v>Không có thông số cụ thể được xác minh; không hiểu là 0 hoặc mặc định. “Theo mẫu” cần mở mẫu văn bản chính thức.</x:v>
      </x:c>
      <x:c r="C21" s="93"/>
      <x:c r="D21" s="93"/>
      <x:c r="E21" s="93"/>
      <x:c r="F21" s="93"/>
      <x:c r="G21" s="93"/>
      <x:c r="H21" s="93"/>
      <x:c r="I21" s="93"/>
      <x:c r="J21" s="93"/>
    </x:row>
    <x:row r="22" ht="35" customHeight="1">
      <x:c r="A22" s="86" t="str">
        <x:v>Word/DOCX</x:v>
      </x:c>
      <x:c r="B22" s="93" t="str">
        <x:v>D và C là vùng logic nội dung văn bản, KHÔNG đồng nghĩa các section Word Header/Footer. Không sửa trực tiếp các vùng dấu và chữ ký.</x:v>
      </x:c>
      <x:c r="C22" s="93"/>
      <x:c r="D22" s="93"/>
      <x:c r="E22" s="93"/>
      <x:c r="F22" s="93"/>
      <x:c r="G22" s="93"/>
      <x:c r="H22" s="93"/>
      <x:c r="I22" s="93"/>
      <x:c r="J22" s="93"/>
    </x:row>
    <x:row r="23" ht="35" customHeight="1">
      <x:c r="A23" s="86" t="str">
        <x:v>Phụ thuộc loại</x:v>
      </x:c>
      <x:c r="B23" s="93" t="str">
        <x:v>Công văn dùng trích yếu dưới số ký hiệu; các văn bản có tên loại dùng khối tên loại + trích yếu; ngoại lệ phải có nguồn riêng.</x:v>
      </x:c>
      <x:c r="C23" s="93"/>
      <x:c r="D23" s="93"/>
      <x:c r="E23" s="93"/>
      <x:c r="F23" s="93"/>
      <x:c r="G23" s="93"/>
      <x:c r="H23" s="93"/>
      <x:c r="I23" s="93"/>
      <x:c r="J23" s="93"/>
    </x:row>
    <x:row r="25" ht="27" customHeight="1">
      <x:c r="A25" s="81" t="str">
        <x:v>03  ·  QUY ƯỚC TRẠNG THÁI</x:v>
      </x:c>
      <x:c r="B25" s="81"/>
      <x:c r="C25" s="81"/>
      <x:c r="D25" s="81"/>
      <x:c r="E25" s="81"/>
      <x:c r="F25" s="81"/>
      <x:c r="G25" s="81"/>
      <x:c r="H25" s="81"/>
      <x:c r="I25" s="81"/>
      <x:c r="J25" s="81"/>
    </x:row>
    <x:row r="26" ht="35" customHeight="1">
      <x:c r="A26" s="86" t="str">
        <x:v>ĐỐI CHIẾU MỘT PHẦN</x:v>
      </x:c>
      <x:c r="B26" s="93" t="str">
        <x:v>Có bằng chứng cho một số thuộc tính của dòng; KHÔNG thay cho kiểm chứng toàn bộ thành phần.</x:v>
      </x:c>
      <x:c r="C26" s="93"/>
      <x:c r="D26" s="93"/>
      <x:c r="E26" s="93"/>
      <x:c r="F26" s="93"/>
      <x:c r="G26" s="93"/>
      <x:c r="H26" s="93"/>
      <x:c r="I26" s="93"/>
      <x:c r="J26" s="93"/>
    </x:row>
    <x:row r="27" ht="35" customHeight="1">
      <x:c r="A27" s="86" t="str">
        <x:v>CHƯA ĐỦ BẰNG CHỨNG</x:v>
      </x:c>
      <x:c r="B27" s="93" t="str">
        <x:v>Chưa đủ nguồn để kết luận một hoặc nhiều thuộc tính; không mở quyền autofix.</x:v>
      </x:c>
      <x:c r="C27" s="93"/>
      <x:c r="D27" s="93"/>
      <x:c r="E27" s="93"/>
      <x:c r="F27" s="93"/>
      <x:c r="G27" s="93"/>
      <x:c r="H27" s="93"/>
      <x:c r="I27" s="93"/>
      <x:c r="J27" s="93"/>
    </x:row>
    <x:row r="28" ht="35" customHeight="1">
      <x:c r="A28" s="86" t="str">
        <x:v>CẦN RÀ SOÁT</x:v>
      </x:c>
      <x:c r="B28" s="93" t="str">
        <x:v>Có mâu thuẫn, điều kiện chưa rõ hoặc thiếu phân loại; giữ nguyên nội dung.</x:v>
      </x:c>
      <x:c r="C28" s="93"/>
      <x:c r="D28" s="93"/>
      <x:c r="E28" s="93"/>
      <x:c r="F28" s="93"/>
      <x:c r="G28" s="93"/>
      <x:c r="H28" s="93"/>
      <x:c r="I28" s="93"/>
      <x:c r="J28" s="93"/>
    </x:row>
    <x:row r="29" ht="35" customHeight="1">
      <x:c r="A29" s="86" t="str">
        <x:v>CẦN QA KỸ THUẬT</x:v>
      </x:c>
      <x:c r="B29" s="93" t="str">
        <x:v>Kiểm tra tương thích, bố cục/OOXML/Word; không tự suy thành rule pháp lý.</x:v>
      </x:c>
      <x:c r="C29" s="93"/>
      <x:c r="D29" s="93"/>
      <x:c r="E29" s="93"/>
      <x:c r="F29" s="93"/>
      <x:c r="G29" s="93"/>
      <x:c r="H29" s="93"/>
      <x:c r="I29" s="93"/>
      <x:c r="J29" s="93"/>
    </x:row>
    <x:row r="30" ht="35" customHeight="1">
      <x:c r="A30" s="86" t="str">
        <x:v>BẢO VỆ (chính sách riêng)</x:v>
      </x:c>
      <x:c r="B30" s="93" t="str">
        <x:v>Vùng chữ ký, con dấu, số/ký hiệu và dữ liệu cá nhân phải bảo vệ. Đây là chính sách thao tác, không phải mức xác minh.</x:v>
      </x:c>
      <x:c r="C30" s="93"/>
      <x:c r="D30" s="93"/>
      <x:c r="E30" s="93"/>
      <x:c r="F30" s="93"/>
      <x:c r="G30" s="93"/>
      <x:c r="H30" s="93"/>
      <x:c r="I30" s="93"/>
      <x:c r="J30" s="93"/>
    </x:row>
    <x:row r="32" ht="27" customHeight="1">
      <x:c r="A32" s="81" t="str">
        <x:v>04  ·  NHỮNG THÔNG SỐ PHÁP LÝ NỔI BẬT</x:v>
      </x:c>
      <x:c r="B32" s="81"/>
      <x:c r="C32" s="81"/>
      <x:c r="D32" s="81"/>
      <x:c r="E32" s="81"/>
      <x:c r="F32" s="81"/>
      <x:c r="G32" s="81"/>
      <x:c r="H32" s="81"/>
      <x:c r="I32" s="81"/>
      <x:c r="J32" s="81"/>
    </x:row>
    <x:row r="33" ht="35" customHeight="1">
      <x:c r="A33" s="86" t="str">
        <x:v>ND30 · Trang</x:v>
      </x:c>
      <x:c r="B33" s="93" t="str">
        <x:v>A4 210×297 mm; lề trên/dưới 20–25, trái 30–35, phải 15–20 mm; số trang 13–14, ẩn số trang đầu.</x:v>
      </x:c>
      <x:c r="C33" s="93"/>
      <x:c r="D33" s="93"/>
      <x:c r="E33" s="93"/>
      <x:c r="F33" s="93"/>
      <x:c r="G33" s="93"/>
      <x:c r="H33" s="93"/>
      <x:c r="I33" s="93"/>
      <x:c r="J33" s="93"/>
    </x:row>
    <x:row r="34" ht="31" customHeight="1">
      <x:c r="A34" s="86" t="str">
        <x:v>ND30 · Chữ</x:v>
      </x:c>
      <x:c r="B34" s="93" t="str">
        <x:v>Times New Roman, Unicode, màu đen; lời văn 13–14 pt. Ký hiệu người soạn/số bản cỡ 11 pt.</x:v>
      </x:c>
      <x:c r="C34" s="93"/>
      <x:c r="D34" s="93"/>
      <x:c r="E34" s="93"/>
      <x:c r="F34" s="93"/>
      <x:c r="G34" s="93"/>
      <x:c r="H34" s="93"/>
      <x:c r="I34" s="93"/>
      <x:c r="J34" s="93"/>
    </x:row>
    <x:row r="35" ht="31" customHeight="1">
      <x:c r="A35" s="86" t="str">
        <x:v>HD05 · Trang</x:v>
      </x:c>
      <x:c r="B35" s="93" t="str">
        <x:v>A4 theo HD05; lề theo điều kiện một mặt/hai mặt; thiết lập in hai mặt phải kiểm chứng.</x:v>
      </x:c>
      <x:c r="C35" s="93"/>
      <x:c r="D35" s="93"/>
      <x:c r="E35" s="93"/>
      <x:c r="F35" s="93"/>
      <x:c r="G35" s="93"/>
      <x:c r="H35" s="93"/>
      <x:c r="I35" s="93"/>
      <x:c r="J35" s="93"/>
    </x:row>
    <x:row r="36" ht="31" customHeight="1">
      <x:c r="A36" s="86" t="str">
        <x:v>HD05 · Chữ</x:v>
      </x:c>
      <x:c r="B36" s="93" t="str">
        <x:v>Times New Roman, Unicode, màu đen; lời văn 14–15 pt; Exactly 18–22 pt theo HD05.</x:v>
      </x:c>
      <x:c r="C36" s="93"/>
      <x:c r="D36" s="93"/>
      <x:c r="E36" s="93"/>
      <x:c r="F36" s="93"/>
      <x:c r="G36" s="93"/>
      <x:c r="H36" s="93"/>
      <x:c r="I36" s="93"/>
      <x:c r="J36" s="93"/>
    </x:row>
    <x:row r="37" ht="35" customHeight="1">
      <x:c r="A37" s="86" t="str">
        <x:v>Đường kẻ/dấu</x:v>
      </x:c>
      <x:c r="B37" s="93" t="str">
        <x:v>ND30 đường kẻ cơ quan/trích yếu theo tỷ lệ chiều dài text; HD05 dùng dấu * dưới cơ quan, 5 dấu ----- dưới trích yếu dạng mẫu.</x:v>
      </x:c>
      <x:c r="C37" s="93"/>
      <x:c r="D37" s="93"/>
      <x:c r="E37" s="93"/>
      <x:c r="F37" s="93"/>
      <x:c r="G37" s="93"/>
      <x:c r="H37" s="93"/>
      <x:c r="I37" s="93"/>
      <x:c r="J37" s="93"/>
    </x:row>
    <x:row r="38">
      <x:c r="A38" t="str">
        <x:v>Quy tắc kiểm chứng</x:v>
      </x:c>
      <x:c r="B38" t="str">
        <x:v>Trạng thái của trường không thay cho từng atomic rule đã được kiểm chứng. Không chạy autofix từ workbook.</x:v>
      </x:c>
    </x:row>
    <x:row r="39" ht="27" customHeight="1">
      <x:c r="A39" s="81" t="str">
        <x:v>Bảo toàn mã</x:v>
      </x:c>
      <x:c r="B39" s="81" t="str">
        <x:v>80 mã ND30 + 85 mã HD05. Không thêm tự động mã cho bản sao/phụ lục ngoài phạm vi.</x:v>
      </x:c>
      <x:c r="C39" s="81"/>
      <x:c r="D39" s="81"/>
      <x:c r="E39" s="81"/>
      <x:c r="F39" s="81"/>
      <x:c r="G39" s="81"/>
      <x:c r="H39" s="81"/>
      <x:c r="I39" s="81"/>
      <x:c r="J39" s="81"/>
    </x:row>
    <x:row r="40" ht="35" customHeight="1">
      <x:c r="A40" s="86" t="str">
        <x:v>NĐ30 (gốc)</x:v>
      </x:c>
      <x:c r="B40" s="93" t="str">
        <x:v>https://datafiles.chinhphu.vn/cpp/files/vbpq/2020/03/30.signed.pdf</x:v>
      </x:c>
      <x:c r="C40" s="93"/>
      <x:c r="D40" s="93"/>
      <x:c r="E40" s="93"/>
      <x:c r="F40" s="93"/>
      <x:c r="G40" s="93"/>
      <x:c r="H40" s="93"/>
      <x:c r="I40" s="93"/>
      <x:c r="J40" s="93"/>
    </x:row>
    <x:row r="41" ht="35" customHeight="1">
      <x:c r="A41" s="86" t="str">
        <x:v>NĐ30 (dễ tra cứu)</x:v>
      </x:c>
      <x:c r="B41" s="93" t="str">
        <x:v>https://riam.edu.vn/nghi-dinh-ve-cong-tac-van-thu-phu-luc/</x:v>
      </x:c>
      <x:c r="C41" s="93"/>
      <x:c r="D41" s="93"/>
      <x:c r="E41" s="93"/>
      <x:c r="F41" s="93"/>
      <x:c r="G41" s="93"/>
      <x:c r="H41" s="93"/>
      <x:c r="I41" s="93"/>
      <x:c r="J41" s="93"/>
    </x:row>
    <x:row r="42" ht="35" customHeight="1">
      <x:c r="A42" s="86" t="str">
        <x:v>HD05 (cơ quan Đảng)</x:v>
      </x:c>
      <x:c r="B42" s="93" t="str">
        <x:v>https://dangcongsan.vn/vanphongtrunguong/van-ban-cua-dang/huong-dan-so-05-hd-vptw-ngay-27-5-2026-cua-van-phong-trung-uong-dang-ve-the-thuc-va-ky-thuat-trinh-bay-van-ban-cua-dang.html?categoryId=3000525</x:v>
      </x:c>
      <x:c r="C42" s="93"/>
      <x:c r="D42" s="93"/>
      <x:c r="E42" s="93"/>
      <x:c r="F42" s="93"/>
      <x:c r="G42" s="93"/>
      <x:c r="H42" s="93"/>
      <x:c r="I42" s="93"/>
      <x:c r="J42" s="93"/>
    </x:row>
    <x:row r="43" ht="35" customHeight="1">
      <x:c r="A43" s="86" t="str">
        <x:v>HD05 (nội dung)</x:v>
      </x:c>
      <x:c r="B43" s="93" t="str">
        <x:v>https://thuvienphapluat.vn/van-ban/Bo-may-hanh-chinh/Huong-dan-05-HD-VPTW-2026-the-thuc-va-ky-thuat-trinh-bay-van-ban-cua-Dang-707499.aspx</x:v>
      </x:c>
      <x:c r="C43" s="93"/>
      <x:c r="D43" s="93"/>
      <x:c r="E43" s="93"/>
      <x:c r="F43" s="93"/>
      <x:c r="G43" s="93"/>
      <x:c r="H43" s="93"/>
      <x:c r="I43" s="93"/>
      <x:c r="J43" s="93"/>
    </x:row>
    <x:row r="44" ht="35" customHeight="1">
      <x:c r="A44" s="86" t="str">
        <x:v>Nguồn mã gốc</x:v>
      </x:c>
      <x:c r="B44" s="93" t="str">
        <x:v>MA_THANH_PHAN_ND30_HD05_v1.json · 165 mã · schema_version 1.0.0; lớp ánh xạ read-only; không thay plugin</x:v>
      </x:c>
      <x:c r="C44" s="93"/>
      <x:c r="D44" s="93"/>
      <x:c r="E44" s="93"/>
      <x:c r="F44" s="93"/>
      <x:c r="G44" s="93"/>
      <x:c r="H44" s="93"/>
      <x:c r="I44" s="93"/>
      <x:c r="J44" s="93"/>
    </x:row>
    <x:row r="45" ht="35" customHeight="1">
      <x:c r="A45" s="86" t="str">
        <x:v>Single authority</x:v>
      </x:c>
      <x:c r="B45" s="93" t="str">
        <x:v>Canonical source/rule repository của dự án có thẩm quyền đối với verified atomic rules; Excel là tài liệu làm việc, không override rule pack.</x:v>
      </x:c>
      <x:c r="C45" s="93"/>
      <x:c r="D45" s="93"/>
      <x:c r="E45" s="93"/>
      <x:c r="F45" s="93"/>
      <x:c r="G45" s="93"/>
      <x:c r="H45" s="93"/>
      <x:c r="I45" s="93"/>
      <x:c r="J45" s="93"/>
    </x:row>
    <x:row r="46" ht="35" customHeight="1">
      <x:c r="A46" s="86" t="str">
        <x:v>Giới hạn hành động</x:v>
      </x:c>
      <x:c r="B46" s="93" t="str">
        <x:v>Không thay đổi 209 template gốc, ZIP plugin, master DOCX, repo, dữ liệu người ký hoặc dữ liệu văn thư; không cài đặt/update plugin.</x:v>
      </x:c>
      <x:c r="C46" s="93"/>
      <x:c r="D46" s="93"/>
      <x:c r="E46" s="93"/>
      <x:c r="F46" s="93"/>
      <x:c r="G46" s="93"/>
      <x:c r="H46" s="93"/>
      <x:c r="I46" s="93"/>
      <x:c r="J46" s="93"/>
    </x:row>
    <x:row r="49" ht="30" customHeight="1">
      <x:c r="A49" s="137" t="str">
        <x:v>06  ·  HAI PROFILE CÔNG TY HOA TIÊU HÀNG HẢI MIỀN BẮC</x:v>
      </x:c>
      <x:c r="B49" s="137"/>
      <x:c r="C49" s="137"/>
      <x:c r="D49" s="137"/>
      <x:c r="E49" s="137"/>
      <x:c r="F49" s="137"/>
      <x:c r="G49" s="137"/>
    </x:row>
    <x:row r="51" ht="26" customHeight="1">
      <x:c r="A51" s="138" t="str">
        <x:v>Chế độ</x:v>
      </x:c>
      <x:c r="B51" s="138" t="str">
        <x:v>Sheet</x:v>
      </x:c>
      <x:c r="C51" s="138" t="str">
        <x:v>Số mã</x:v>
      </x:c>
      <x:c r="D51" s="138" t="str">
        <x:v>Dùng cho</x:v>
      </x:c>
      <x:c r="E51" s="138" t="str">
        <x:v>Thông số thân bài</x:v>
      </x:c>
      <x:c r="F51" s="138" t="str">
        <x:v>Trạng thái</x:v>
      </x:c>
      <x:c r="G51" s="138" t="str">
        <x:v>Nguồn</x:v>
      </x:c>
    </x:row>
    <x:row r="52" ht="41" customHeight="1">
      <x:c r="A52" s="103" t="str">
        <x:v>ND30</x:v>
      </x:c>
      <x:c r="B52" s="103" t="str">
        <x:v>PROFILE_ND30</x:v>
      </x:c>
      <x:c r="C52" s="103" t="n">
        <x:v>80</x:v>
      </x:c>
      <x:c r="D52" s="103" t="str">
        <x:v>Văn bản Công ty (khi phù hợp NĐ30)</x:v>
      </x:c>
      <x:c r="E52" s="103" t="str">
        <x:v>TNR 14; Exactly 19; 0/6; đầu dòng 12,7 mm</x:v>
      </x:c>
      <x:c r="F52" s="103" t="str">
        <x:v>Dự thảo/QA</x:v>
      </x:c>
      <x:c r="G52" s="103" t="str">
        <x:v>Plugin admin-v1; DN-01</x:v>
      </x:c>
    </x:row>
    <x:row r="53" ht="41" customHeight="1">
      <x:c r="A53" s="103" t="str">
        <x:v>HD05</x:v>
      </x:c>
      <x:c r="B53" s="103" t="str">
        <x:v>PROFILE_HD05</x:v>
      </x:c>
      <x:c r="C53" s="103" t="n">
        <x:v>85</x:v>
      </x:c>
      <x:c r="D53" s="103" t="str">
        <x:v>Văn bản do Đảng ủy ban hành, CHƯA mở quyền</x:v>
      </x:c>
      <x:c r="E53" s="103" t="str">
        <x:v>TNR 14; Exactly 19; 0/6; đầu dòng 10 mm</x:v>
      </x:c>
      <x:c r="F53" s="103" t="str">
        <x:v>NEEDS_REVIEW</x:v>
      </x:c>
      <x:c r="G53" s="103" t="str">
        <x:v>Plugin party-header-2026</x:v>
      </x:c>
    </x:row>
    <x:row r="55" ht="28" customHeight="1">
      <x:c r="A55" s="199" t="str">
        <x:v>07  ·  HƯỚNG DẪN SỬ DỤNG CỘT THIẾT LẬP ĐỘC LẬP (v1.4)</x:v>
      </x:c>
      <x:c r="B55" s="199"/>
      <x:c r="C55" s="199"/>
      <x:c r="D55" s="199"/>
      <x:c r="E55" s="199"/>
      <x:c r="F55" s="199"/>
      <x:c r="G55" s="199"/>
    </x:row>
    <x:row r="56" ht="29" customHeight="1">
      <x:c r="A56" s="202" t="str">
        <x:v>Sheet áp dụng</x:v>
      </x:c>
      <x:c r="B56" s="206" t="str">
        <x:v>PROFILE_ND30 và PROFILE_HD05: giữ 165 mã gốc và các trường A–AF; thông số độc lập nằm tại AG–BX.</x:v>
      </x:c>
    </x:row>
    <x:row r="57" ht="29" customHeight="1">
      <x:c r="A57" s="203" t="str">
        <x:v>Một cột = một thuộc tính</x:v>
      </x:c>
      <x:c r="B57" s="205" t="str">
        <x:v>44 cột: phông chữ, đoạn văn, trang/section, bảng, đường kẻ/ký tự, đánh số, định tuyến/QA.</x:v>
      </x:c>
      <x:c r="C57" s="141"/>
      <x:c r="D57" s="141"/>
      <x:c r="E57" s="141"/>
      <x:c r="F57" s="141"/>
      <x:c r="G57" s="141"/>
    </x:row>
    <x:row r="58" ht="29" customHeight="1">
      <x:c r="A58" s="202" t="str">
        <x:v>Đơn vị dữ liệu</x:v>
      </x:c>
      <x:c r="B58" s="206" t="str">
        <x:v>Cỡ chữ/khoảng cách đoạn: pt; thụt lề/lề trang: mm; độ dài đường kẻ: %; giãn dòng: tách kiểu/giá trị/đơn vị.</x:v>
      </x:c>
    </x:row>
    <x:row r="59" ht="29" customHeight="1">
      <x:c r="A59" s="202" t="str">
        <x:v>Mức độ chắc chắn</x:v>
      </x:c>
      <x:c r="B59" s="206" t="str">
        <x:v>Ô trống là chưa xác nhận hoặc không có dữ liệu; KHÔNG tự đổi thành 0, Không, hay giá trị mặc định.</x:v>
      </x:c>
    </x:row>
    <x:row r="60" ht="29" customHeight="1">
      <x:c r="A60" s="202" t="str">
        <x:v>Cột gốc bảo toàn</x:v>
      </x:c>
      <x:c r="B60" s="206" t="str">
        <x:v>Các cột I–S và Z–AF giữ mô tả profile v1.3 để truy vết. Các cột AG–BX là biểu diễn tách riêng.</x:v>
      </x:c>
    </x:row>
    <x:row r="61" ht="29" customHeight="1">
      <x:c r="A61" s="202" t="str">
        <x:v>Cảnh báo</x:v>
      </x:c>
      <x:c r="B61" s="206" t="str">
        <x:v>Không tự sinh số, ký hiệu, ngày, tên người ký, người nhận, dấu hay dữ liệu bảo mật; HD05 chỉ là dự thảo.</x:v>
      </x:c>
    </x:row>
    <x:row r="62" ht="29" customHeight="1">
      <x:c r="A62" s="202" t="str">
        <x:v>Trạng thái phát hành</x:v>
      </x:c>
      <x:c r="B62" s="206" t="str">
        <x:v>Workbook v1.5 – đã tách an toàn chính sách/preset, có kiểm tra profile; CHƯA ĐƯỢC PHÊ DUYỆT và CHƯA BẬT AUTOFIX.</x:v>
      </x:c>
    </x:row>
    <x:row r="65" ht="25" customHeight="1">
      <x:c r="A65" s="213" t="str">
        <x:v>08  ·  KIỂM SOÁT PROFILE / CHÍNH SÁCH HIỆU LỰC (v1.5)</x:v>
      </x:c>
      <x:c r="B65" s="213"/>
    </x:row>
    <x:row r="66" ht="37" customHeight="1">
      <x:c r="A66" s="219" t="str">
        <x:v>Sheet mới</x:v>
      </x:c>
      <x:c r="B66" s="103" t="str">
        <x:v>PROFILE_QA: đối chiếu theo mã và theo bộ quy định; PROFILE_CHANGELOG: thay đổi &amp; tồn đọng.</x:v>
      </x:c>
    </x:row>
    <x:row r="67" ht="37" customHeight="1">
      <x:c r="A67" s="219" t="str">
        <x:v>Excel Table</x:v>
      </x:c>
      <x:c r="B67" s="103" t="str">
        <x:v>Hai profile từ A6:CW, bao trùm thuộc tính nguyên tử và các cột điều khiển (không còn cột nằm ngoài Table).</x:v>
      </x:c>
    </x:row>
    <x:row r="68" ht="37" customHeight="1">
      <x:c r="A68" s="219" t="str">
        <x:v>Dữ liệu quy định</x:v>
      </x:c>
      <x:c r="B68" s="103" t="str">
        <x:v>Sheet ND30/HD05 là quy tắc tham chiếu. Cột I–S profile là PRESET/MÔ TẢ, KHÔNG được hiểu là giá trị pháp lý.</x:v>
      </x:c>
    </x:row>
    <x:row r="69" ht="37" customHeight="1">
      <x:c r="A69" s="219" t="str">
        <x:v>Giới hạn pháp lý</x:v>
      </x:c>
      <x:c r="B69" s="103" t="str">
        <x:v>BY: mã nguồn; BZ: cỡ chữ từ sheet nguồn, liên kết qua MATCH theo mã, không theo vị trí dòng.</x:v>
      </x:c>
    </x:row>
    <x:row r="70" ht="37" customHeight="1">
      <x:c r="A70" s="219" t="str">
        <x:v>Quyền hiệu lực</x:v>
      </x:c>
      <x:c r="B70" s="103" t="str">
        <x:v>CC: chính sách nguồn; CD: PROTECTED/CHECK_ONLY; CE–CK: gate, mặc định không tự sửa.</x:v>
      </x:c>
    </x:row>
    <x:row r="71" ht="37" customHeight="1">
      <x:c r="A71" s="219" t="str">
        <x:v>Phê duyệt</x:v>
      </x:c>
      <x:c r="B71" s="103" t="str">
        <x:v>CU: duyệt quy tắc; CV: xác minh chủ thể; CW: bằng chứng phê duyệt. Mặc định KHÔNG/không có.</x:v>
      </x:c>
    </x:row>
    <x:row r="72" ht="37" customHeight="1">
      <x:c r="A72" s="219" t="str">
        <x:v>Phụ thuộc</x:v>
      </x:c>
      <x:c r="B72" s="103" t="str">
        <x:v>Cột CB mô tả điều kiện; CQ/CR chỉ có lề mặt sau hiệu lực khi BH xác nhận in hai mặt.</x:v>
      </x:c>
    </x:row>
    <x:row r="73" ht="37" customHeight="1">
      <x:c r="A73" s="219" t="str">
        <x:v>Phạm vi QA</x:v>
      </x:c>
      <x:c r="B73" s="103" t="str">
        <x:v>Mọi công thức đếm đến dòng 500; nếu vượt dòng 500 phải mở rộng vùng kiểm tra.</x:v>
      </x:c>
    </x:row>
    <x:row r="74" ht="37" customHeight="1">
      <x:c r="A74" s="219" t="str">
        <x:v>Chưa nghiệm thu</x:v>
      </x:c>
      <x:c r="B74" s="103" t="str">
        <x:v>Định tuyến DOCX, phân giải rule theo hiệu lực, chuẩn hóa số liệu từng thuộc tính, thử Word và phê duyệt pháp lý vẫn đang mở.</x:v>
      </x:c>
    </x:row>
    <x:row r="76" ht="27" customHeight="1">
      <x:c r="A76" s="237" t="str">
        <x:v>08 · BẢNG TRONG NỘI DUNG</x:v>
      </x:c>
      <x:c r="B76" s="237" t="str">
        <x:v>Bổ sung nhóm trường con N.BANG cho cả ND30/HD05; không liên quan đến rule theo loại văn bản.</x:v>
      </x:c>
    </x:row>
    <x:row r="77" ht="27" customHeight="1">
      <x:c r="A77" s="218" t="str">
        <x:v>BANG_ND30</x:v>
      </x:c>
      <x:c r="B77" t="str">
        <x:v>66 trường con, mỗi mã 5 cấp, giữ namespace ND30 và 5 trường cha gốc.</x:v>
      </x:c>
    </x:row>
    <x:row r="78" ht="27" customHeight="1">
      <x:c r="A78" s="218" t="str">
        <x:v>BANG_HD05</x:v>
      </x:c>
      <x:c r="B78" t="str">
        <x:v>66 trường con, mỗi mã 5 cấp, giữ namespace HD05 và 5 trường cha gốc.</x:v>
      </x:c>
    </x:row>
    <x:row r="79" ht="27" customHeight="1">
      <x:c r="A79" s="218" t="str">
        <x:v>BANG_QA</x:v>
      </x:c>
      <x:c r="B79" t="str">
        <x:v>Kiểm tra 132 mã con; mã cha gốc hoặc nhóm mới sẽ ghi rõ.</x:v>
      </x:c>
    </x:row>
    <x:row r="80" ht="27" customHeight="1">
      <x:c r="A80" s="218" t="str">
        <x:v>Cấu trúc mã</x:v>
      </x:c>
      <x:c r="B80" t="str">
        <x:v>ND30.N.BANG.O.CAN_DOC; HD05.N.BANG.HANG.CHONG_CHIA_TRANG.</x:v>
      </x:c>
    </x:row>
    <x:row r="81" ht="27" customHeight="1">
      <x:c r="A81" s="218" t="str">
        <x:v>Mức áp dụng</x:v>
      </x:c>
      <x:c r="B81" t="str">
        <x:v>Giá trị preset là dự thảo của Công ty; LEGAL_CONDITIONAL chỉ xác minh phần cho phép hướng giấy ngang khi bảng phù hợp.</x:v>
      </x:c>
    </x:row>
    <x:row r="82" ht="27" customHeight="1">
      <x:c r="A82" s="218" t="str">
        <x:v>Quyền sửa</x:v>
      </x:c>
      <x:c r="B82" t="str">
        <x:v>Mặc định CHECK_ONLY hoặc PROTECTED; không tự động format/merge/split/di chuyển ô.</x:v>
      </x:c>
    </x:row>
    <x:row r="83" ht="27" customHeight="1">
      <x:c r="A83" s="218" t="str">
        <x:v>Phạm vi</x:v>
      </x:c>
      <x:c r="B83" t="str">
        <x:v>Chỉ bảng nội dung chính. Không triển khai quy tắc theo từng loại văn bản; không thao tác 209 template.</x:v>
      </x:c>
    </x:row>
    <x:row r="84" ht="27" customHeight="1">
      <x:c r="A84" s="218" t="str">
        <x:v>Lưu ý registry</x:v>
      </x:c>
      <x:c r="B84" t="str">
        <x:v>Giữ nguyên 165 mã gốc; các nhóm cha mới thuộc danh mục mở rộng dự thảo, chưa ghi đè registry.</x:v>
      </x:c>
    </x:row>
  </x:sheetData>
  <x:mergeCells>
    <x:mergeCell ref="A1:J2"/>
    <x:mergeCell ref="A3:J3"/>
    <x:mergeCell ref="A5:C5"/>
    <x:mergeCell ref="D5:F5"/>
    <x:mergeCell ref="G5:J5"/>
    <x:mergeCell ref="A6:C7"/>
    <x:mergeCell ref="D6:F7"/>
    <x:mergeCell ref="G6:J7"/>
    <x:mergeCell ref="A10:J10"/>
    <x:mergeCell ref="B11:J11"/>
    <x:mergeCell ref="B12:J12"/>
    <x:mergeCell ref="B13:J13"/>
    <x:mergeCell ref="B14:J14"/>
    <x:mergeCell ref="B15:J15"/>
    <x:mergeCell ref="A17:J17"/>
    <x:mergeCell ref="B18:J18"/>
    <x:mergeCell ref="B19:J19"/>
    <x:mergeCell ref="B20:J20"/>
    <x:mergeCell ref="B21:J21"/>
    <x:mergeCell ref="B22:J22"/>
    <x:mergeCell ref="B23:J23"/>
    <x:mergeCell ref="A25:J25"/>
    <x:mergeCell ref="B26:J26"/>
    <x:mergeCell ref="B27:J27"/>
    <x:mergeCell ref="B28:J28"/>
    <x:mergeCell ref="B29:J29"/>
    <x:mergeCell ref="B30:J30"/>
    <x:mergeCell ref="A32:J32"/>
    <x:mergeCell ref="B33:J33"/>
    <x:mergeCell ref="B34:J34"/>
    <x:mergeCell ref="B35:J35"/>
    <x:mergeCell ref="B36:J36"/>
    <x:mergeCell ref="B37:J37"/>
    <x:mergeCell ref="A39:J39"/>
    <x:mergeCell ref="B40:J40"/>
    <x:mergeCell ref="B41:J41"/>
    <x:mergeCell ref="B42:J42"/>
    <x:mergeCell ref="B43:J43"/>
    <x:mergeCell ref="B44:J44"/>
    <x:mergeCell ref="B45:J45"/>
    <x:mergeCell ref="B46:J46"/>
    <x:mergeCell ref="A49:G49"/>
    <x:mergeCell ref="A55:G55"/>
    <x:mergeCell ref="A57:G57"/>
  </x:mergeCells>
  <x:pageMargins left="0.7" right="0.7" top="0.75" bottom="0.75" header="0.3" footer="0.3"/>
</x:worksheet>
</file>

<file path=xl/worksheets/sheet2.xml><?xml version="1.0" encoding="utf-8"?>
<x:worksheet xmlns:x="http://schemas.openxmlformats.org/spreadsheetml/2006/main">
  <x:sheetViews>
    <x:sheetView workbookViewId="0">
      <x:pane xSplit="2" ySplit="6" topLeftCell="C7" activePane="bottomRight" state="frozen"/>
    </x:sheetView>
  </x:sheetViews>
  <x:sheetFormatPr defaultRowHeight="15"/>
  <x:cols>
    <x:col min="1" max="1" width="6" hidden="0" customWidth="1"/>
    <x:col min="2" max="2" width="33" hidden="0" customWidth="1"/>
    <x:col min="3" max="3" width="17" hidden="0" customWidth="1"/>
    <x:col min="4" max="4" width="26" hidden="0" customWidth="1"/>
    <x:col min="5" max="5" width="36" hidden="0" customWidth="1"/>
    <x:col min="6" max="6" width="10" hidden="0" customWidth="1"/>
    <x:col min="7" max="7" width="52" hidden="0" customWidth="1"/>
    <x:col min="8" max="8" width="48" hidden="0" customWidth="1"/>
    <x:col min="9" max="9" width="28" hidden="0" customWidth="1"/>
    <x:col min="10" max="10" width="13" hidden="0" customWidth="1"/>
    <x:col min="11" max="11" width="26" hidden="0" customWidth="1"/>
    <x:col min="12" max="12" width="14" hidden="0" customWidth="1"/>
    <x:col min="13" max="13" width="17" hidden="0" customWidth="1"/>
    <x:col min="14" max="14" width="28" hidden="0" customWidth="1"/>
    <x:col min="15" max="15" width="35" hidden="0" customWidth="1"/>
    <x:col min="16" max="16" width="32" hidden="0" customWidth="1"/>
    <x:col min="17" max="17" width="39" hidden="0" customWidth="1"/>
    <x:col min="18" max="18" width="46" hidden="0" customWidth="1"/>
    <x:col min="19" max="19" width="48" hidden="0" customWidth="1"/>
    <x:col min="20" max="20" width="43" hidden="0" customWidth="1"/>
    <x:col min="21" max="21" width="35" hidden="0" customWidth="1"/>
    <x:col min="22" max="22" width="35" hidden="0" customWidth="1"/>
    <x:col min="23" max="23" width="30" hidden="0" customWidth="1"/>
    <x:col min="24" max="24" width="34" hidden="0" customWidth="1"/>
    <x:col min="25" max="25" width="52" hidden="0" customWidth="1"/>
  </x:cols>
  <x:sheetData>
    <x:row r="1" ht="42" customHeight="1">
      <x:c r="A1" s="4" t="str">
        <x:v>NĐ30  /  CẤU TRÚC &amp; RULE ĐỊNH DẠNG VĂN BẢN HÀNH CHÍNH</x:v>
      </x:c>
      <x:c r="B1" s="4"/>
      <x:c r="C1" s="4"/>
      <x:c r="D1" s="4"/>
      <x:c r="E1" s="4"/>
      <x:c r="F1" s="4"/>
      <x:c r="G1" s="4"/>
      <x:c r="H1" s="4"/>
      <x:c r="I1" s="4"/>
      <x:c r="J1" s="4"/>
      <x:c r="K1" s="4"/>
      <x:c r="L1" s="4"/>
      <x:c r="M1" s="4"/>
      <x:c r="N1" s="4"/>
      <x:c r="O1" s="4"/>
      <x:c r="P1" s="4"/>
      <x:c r="Q1" s="4"/>
      <x:c r="R1" s="4"/>
      <x:c r="S1" s="4"/>
      <x:c r="T1" s="4"/>
      <x:c r="U1" s="4"/>
      <x:c r="V1" s="4"/>
      <x:c r="W1" s="4"/>
      <x:c r="X1" s="4"/>
      <x:c r="Y1" s="4"/>
    </x:row>
    <x:row r="2" ht="26" customHeight="1">
      <x:c r="A2" s="9" t="str">
        <x:v>Danh mục nguồn v1.2.1 · Bảng tham chiếu dùng để phân tích/QA DOCX · KHÔNG phải rule pack đã được phê duyệt để tự sửa</x:v>
      </x:c>
      <x:c r="B2" s="9"/>
      <x:c r="C2" s="9"/>
      <x:c r="D2" s="9"/>
      <x:c r="E2" s="9"/>
      <x:c r="F2" s="9"/>
      <x:c r="G2" s="9"/>
      <x:c r="H2" s="9"/>
      <x:c r="I2" s="9"/>
      <x:c r="J2" s="9"/>
      <x:c r="K2" s="9"/>
      <x:c r="L2" s="9"/>
      <x:c r="M2" s="9"/>
      <x:c r="N2" s="9"/>
      <x:c r="O2" s="9"/>
      <x:c r="P2" s="9"/>
      <x:c r="Q2" s="9"/>
      <x:c r="R2" s="9"/>
      <x:c r="S2" s="9"/>
      <x:c r="T2" s="9"/>
      <x:c r="U2" s="9"/>
      <x:c r="V2" s="9"/>
      <x:c r="W2" s="9"/>
      <x:c r="X2" s="9"/>
      <x:c r="Y2" s="9"/>
    </x:row>
    <x:row r="3" ht="25" customHeight="1">
      <x:c r="A3" s="13" t="str">
        <x:v>QUAN TRỌNG: Ô pháp lý ≠ mã trường; “Trống / theo mẫu” không có nghĩa bằng 0. Quy tắc hiệu lực phụ thuộc loại văn bản, cơ quan và thời điểm.</x:v>
      </x:c>
      <x:c r="B3" s="13"/>
      <x:c r="C3" s="13"/>
      <x:c r="D3" s="13"/>
      <x:c r="E3" s="13"/>
      <x:c r="F3" s="13"/>
      <x:c r="G3" s="13"/>
      <x:c r="H3" s="13"/>
      <x:c r="I3" s="13"/>
      <x:c r="J3" s="13"/>
      <x:c r="K3" s="13"/>
      <x:c r="L3" s="13"/>
      <x:c r="M3" s="13"/>
      <x:c r="N3" s="13"/>
      <x:c r="O3" s="13"/>
      <x:c r="P3" s="13"/>
      <x:c r="Q3" s="13"/>
      <x:c r="R3" s="13"/>
      <x:c r="S3" s="13"/>
      <x:c r="T3" s="13"/>
      <x:c r="U3" s="13"/>
      <x:c r="V3" s="13"/>
      <x:c r="W3" s="13"/>
      <x:c r="X3" s="13"/>
      <x:c r="Y3" s="13"/>
    </x:row>
    <x:row r="4" ht="24" customHeight="1">
      <x:c r="A4" s="17" t="str">
        <x:v>Trạng thái: ĐÃ ĐỐI CHIẾU / ĐỐI CHIẾU NỀN / CÓ ĐIỀU KIỆN / CẦN RÀ SOÁT / BẢO VỆ / THIẾT LẬP KỸ THUẬT · Không tự chèn số, ngày, người nhận, người ký, dấu.</x:v>
      </x:c>
      <x:c r="B4" s="17"/>
      <x:c r="C4" s="17"/>
      <x:c r="D4" s="17"/>
      <x:c r="E4" s="17"/>
      <x:c r="F4" s="17"/>
      <x:c r="G4" s="17"/>
      <x:c r="H4" s="17"/>
      <x:c r="I4" s="17"/>
      <x:c r="J4" s="17"/>
      <x:c r="K4" s="17"/>
      <x:c r="L4" s="17"/>
      <x:c r="M4" s="17"/>
      <x:c r="N4" s="17"/>
      <x:c r="O4" s="17"/>
      <x:c r="P4" s="17"/>
      <x:c r="Q4" s="17"/>
      <x:c r="R4" s="17"/>
      <x:c r="S4" s="17"/>
      <x:c r="T4" s="17"/>
      <x:c r="U4" s="17"/>
      <x:c r="V4" s="17"/>
      <x:c r="W4" s="17"/>
      <x:c r="X4" s="17"/>
      <x:c r="Y4" s="17"/>
    </x:row>
    <x:row r="6" ht="36" customHeight="1">
      <x:c r="A6" s="22" t="str">
        <x:v>STT</x:v>
      </x:c>
      <x:c r="B6" s="22" t="str">
        <x:v>Mã trường chuẩn</x:v>
      </x:c>
      <x:c r="C6" s="22" t="str">
        <x:v>Vùng</x:v>
      </x:c>
      <x:c r="D6" s="22" t="str">
        <x:v>Nhóm</x:v>
      </x:c>
      <x:c r="E6" s="22" t="str">
        <x:v>Tên trường/thành phần</x:v>
      </x:c>
      <x:c r="F6" s="22" t="str">
        <x:v>Ô pháp lý</x:v>
      </x:c>
      <x:c r="G6" s="22" t="str">
        <x:v>Điều kiện áp dụng (không phải mức xác minh)</x:v>
      </x:c>
      <x:c r="H6" s="22" t="str">
        <x:v>Quy tắc nội dung/hiện diện</x:v>
      </x:c>
      <x:c r="I6" s="22" t="str">
        <x:v>Font chữ</x:v>
      </x:c>
      <x:c r="J6" s="22" t="str">
        <x:v>Cỡ chữ (pt)</x:v>
      </x:c>
      <x:c r="K6" s="22" t="str">
        <x:v>Chữ hoa/thường</x:v>
      </x:c>
      <x:c r="L6" s="22" t="str">
        <x:v>Đậm</x:v>
      </x:c>
      <x:c r="M6" s="22" t="str">
        <x:v>Nghiêng</x:v>
      </x:c>
      <x:c r="N6" s="22" t="str">
        <x:v>Căn chỉnh</x:v>
      </x:c>
      <x:c r="O6" s="22" t="str">
        <x:v>Giãn dòng/đoạn</x:v>
      </x:c>
      <x:c r="P6" s="22" t="str">
        <x:v>Thụt/lề/khoảng cách</x:v>
      </x:c>
      <x:c r="Q6" s="22" t="str">
        <x:v>Đường kẻ/ký tự</x:v>
      </x:c>
      <x:c r="R6" s="22" t="str">
        <x:v>Thiết lập/đối tượng DOCX</x:v>
      </x:c>
      <x:c r="S6" s="22" t="str">
        <x:v>Thông số cụ thể &amp; giới hạn</x:v>
      </x:c>
      <x:c r="T6" s="22" t="str">
        <x:v>Nguồn/điều khoản</x:v>
      </x:c>
      <x:c r="U6" s="22" t="str">
        <x:v>URL nguồn chính thức</x:v>
      </x:c>
      <x:c r="V6" s="22" t="str">
        <x:v>URL tham chiếu chi tiết</x:v>
      </x:c>
      <x:c r="W6" s="22" t="str">
        <x:v>Mức xác minh (cấp dòng, chưa nghiệm thu thuộc tính)</x:v>
      </x:c>
      <x:c r="X6" s="22" t="str">
        <x:v>Chính sách thao tác (tách khỏi kiểm chứng)</x:v>
      </x:c>
      <x:c r="Y6" s="22" t="str">
        <x:v>Ghi chú / ngoại lệ / lịch sử chuyển đổi</x:v>
      </x:c>
    </x:row>
    <x:row r="7" ht="54" customHeight="1">
      <x:c r="A7" s="32" t="n">
        <x:v>1</x:v>
      </x:c>
      <x:c r="B7" s="34" t="str">
        <x:v>ND30.D.CQ.CAP_TREN</x:v>
      </x:c>
      <x:c r="C7" s="36" t="str">
        <x:v>Đầu văn bản</x:v>
      </x:c>
      <x:c r="D7" s="36" t="str">
        <x:v>Cơ quan ban hành</x:v>
      </x:c>
      <x:c r="E7" s="28" t="str">
        <x:v>Tên cơ quan, tổ chức chủ quản/cấp trên</x:v>
      </x:c>
      <x:c r="F7" s="28" t="str">
        <x:v>2</x:v>
      </x:c>
      <x:c r="G7" s="28" t="str">
        <x:v>CHƯA ĐỊNH TUYẾN: xác nhận chế độ + loại văn bản + chủ thể + ngày áp dụng trước khi xét rule</x:v>
      </x:c>
      <x:c r="H7" s="28" t="str">
        <x:v>Tên cơ quan, tổ chức chủ quản/cấp trên</x:v>
      </x:c>
      <x:c r="I7" s="28" t="str">
        <x:v>Times New Roman; Unicode; màu đen</x:v>
      </x:c>
      <x:c r="J7" s="28" t="str">
        <x:v>12–13</x:v>
      </x:c>
      <x:c r="K7" s="28" t="str">
        <x:v>In hoa</x:v>
      </x:c>
      <x:c r="L7" s="28" t="str">
        <x:v>Không</x:v>
      </x:c>
      <x:c r="M7" s="28" t="str">
        <x:v>Không</x:v>
      </x:c>
      <x:c r="N7" s="28" t="str">
        <x:v>Căn giữa trong khối trái, trang 1</x:v>
      </x:c>
      <x:c r="O7" s="28"/>
      <x:c r="P7" s="28"/>
      <x:c r="Q7" s="28"/>
      <x:c r="R7" s="28" t="str">
        <x:v>Word paragraph(s) / run(s) trong khối tên cơ quan</x:v>
      </x:c>
      <x:c r="S7" s="28" t="str">
        <x:v>Tên chính thức; dòng cấp trên có điều kiện; tên dài có thể xuống dòng</x:v>
      </x:c>
      <x:c r="T7" s="28" t="str">
        <x:v>NĐ30, Phụ lục I, Phần I, II.2; V.2</x:v>
      </x:c>
      <x:c r="U7" s="28" t="str">
        <x:v>https://datafiles.chinhphu.vn/cpp/files/vbpq/2020/03/30.signed.pdf</x:v>
      </x:c>
      <x:c r="V7" s="28" t="str">
        <x:v>https://riam.edu.vn/nghi-dinh-ve-cong-tac-van-thu-phu-luc/</x:v>
      </x:c>
      <x:c r="W7" s="28" t="str">
        <x:v>ĐỐI CHIẾU MỘT PHẦN</x:v>
      </x:c>
      <x:c r="X7" s="28" t="str">
        <x:v>READ_ONLY</x:v>
      </x:c>
      <x:c r="Y7" s="28" t="str">
        <x:v>Không tự chèn/sửa khi chưa có chứng cứ về đối tượng và rule.</x:v>
      </x:c>
    </x:row>
    <x:row r="8" ht="54" customHeight="1">
      <x:c r="A8" s="32" t="n">
        <x:v>2</x:v>
      </x:c>
      <x:c r="B8" s="34" t="str">
        <x:v>ND30.D.CQ.BAN_HANH</x:v>
      </x:c>
      <x:c r="C8" s="36" t="str">
        <x:v>Đầu văn bản</x:v>
      </x:c>
      <x:c r="D8" s="36" t="str">
        <x:v>Cơ quan ban hành</x:v>
      </x:c>
      <x:c r="E8" s="28" t="str">
        <x:v>Tên cơ quan, tổ chức ban hành</x:v>
      </x:c>
      <x:c r="F8" s="28" t="str">
        <x:v>2</x:v>
      </x:c>
      <x:c r="G8" s="28" t="str">
        <x:v>CHƯA ĐỊNH TUYẾN: xác nhận chế độ + loại văn bản + chủ thể + ngày áp dụng trước khi xét rule</x:v>
      </x:c>
      <x:c r="H8" s="28" t="str">
        <x:v>Tên cơ quan, tổ chức ban hành</x:v>
      </x:c>
      <x:c r="I8" s="28" t="str">
        <x:v>Times New Roman; Unicode; màu đen</x:v>
      </x:c>
      <x:c r="J8" s="28" t="str">
        <x:v>12–13</x:v>
      </x:c>
      <x:c r="K8" s="28" t="str">
        <x:v>In hoa</x:v>
      </x:c>
      <x:c r="L8" s="28" t="str">
        <x:v>Có</x:v>
      </x:c>
      <x:c r="M8" s="28" t="str">
        <x:v>Không</x:v>
      </x:c>
      <x:c r="N8" s="28" t="str">
        <x:v>Căn giữa trong khối trái, trang 1</x:v>
      </x:c>
      <x:c r="O8" s="28"/>
      <x:c r="P8" s="28"/>
      <x:c r="Q8" s="28"/>
      <x:c r="R8" s="28" t="str">
        <x:v>Word paragraph(s) / run(s) trong khối tên cơ quan</x:v>
      </x:c>
      <x:c r="S8" s="28" t="str">
        <x:v>Tên chính thức; dòng cấp trên có điều kiện; tên dài có thể xuống dòng</x:v>
      </x:c>
      <x:c r="T8" s="28" t="str">
        <x:v>NĐ30, Phụ lục I, Phần I, II.2; V.2</x:v>
      </x:c>
      <x:c r="U8" s="28" t="str">
        <x:v>https://datafiles.chinhphu.vn/cpp/files/vbpq/2020/03/30.signed.pdf</x:v>
      </x:c>
      <x:c r="V8" s="28" t="str">
        <x:v>https://riam.edu.vn/nghi-dinh-ve-cong-tac-van-thu-phu-luc/</x:v>
      </x:c>
      <x:c r="W8" s="28" t="str">
        <x:v>ĐỐI CHIẾU MỘT PHẦN</x:v>
      </x:c>
      <x:c r="X8" s="28" t="str">
        <x:v>READ_ONLY</x:v>
      </x:c>
      <x:c r="Y8" s="28" t="str">
        <x:v>Không tự chèn/sửa khi chưa có chứng cứ về đối tượng và rule.</x:v>
      </x:c>
    </x:row>
    <x:row r="9" ht="54" customHeight="1">
      <x:c r="A9" s="32" t="n">
        <x:v>3</x:v>
      </x:c>
      <x:c r="B9" s="34" t="str">
        <x:v>ND30.D.CQ.DUONG_KE</x:v>
      </x:c>
      <x:c r="C9" s="36" t="str">
        <x:v>Đầu văn bản</x:v>
      </x:c>
      <x:c r="D9" s="36" t="str">
        <x:v>Cơ quan ban hành</x:v>
      </x:c>
      <x:c r="E9" s="28" t="str">
        <x:v>Đường kẻ bên dưới tên cơ quan ban hành</x:v>
      </x:c>
      <x:c r="F9" s="28" t="str">
        <x:v>2</x:v>
      </x:c>
      <x:c r="G9" s="28" t="str">
        <x:v>CHƯA ĐỊNH TUYẾN: xác nhận chế độ + loại văn bản + chủ thể + ngày áp dụng trước khi xét rule</x:v>
      </x:c>
      <x:c r="H9" s="28" t="str">
        <x:v>Đường kẻ bên dưới tên cơ quan ban hành</x:v>
      </x:c>
      <x:c r="I9" s="28" t="str">
        <x:v>Không áp dụng</x:v>
      </x:c>
      <x:c r="J9" s="28" t="str">
        <x:v>Không áp dụng</x:v>
      </x:c>
      <x:c r="K9" s="28"/>
      <x:c r="L9" s="28"/>
      <x:c r="M9" s="28"/>
      <x:c r="N9" s="28"/>
      <x:c r="O9" s="28"/>
      <x:c r="P9" s="28"/>
      <x:c r="Q9" s="28" t="str">
        <x:v>Nét liền ngang; dài 1/3–1/2 chiều dài dòng tên cơ quan; căn giữa</x:v>
      </x:c>
      <x:c r="R9" s="28" t="str">
        <x:v>Dạng drawing/line ổn định; kiểm tra hình học sau render</x:v>
      </x:c>
      <x:c r="S9" s="28" t="str">
        <x:v>Không mặc định 3,45 cm là độ dài pháp lý</x:v>
      </x:c>
      <x:c r="T9" s="28" t="str">
        <x:v>NĐ30, Phụ lục I, Phần I, II.2.b</x:v>
      </x:c>
      <x:c r="U9" s="28" t="str">
        <x:v>https://datafiles.chinhphu.vn/cpp/files/vbpq/2020/03/30.signed.pdf</x:v>
      </x:c>
      <x:c r="V9" s="28" t="str">
        <x:v>https://riam.edu.vn/nghi-dinh-ve-cong-tac-van-thu-phu-luc/</x:v>
      </x:c>
      <x:c r="W9" s="28" t="str">
        <x:v>ĐỐI CHIẾU MỘT PHẦN</x:v>
      </x:c>
      <x:c r="X9" s="28" t="str">
        <x:v>REVIEW TRƯỚC KHI SỬA</x:v>
      </x:c>
      <x:c r="Y9" s="28" t="str">
        <x:v>Không tự chèn/sửa khi chưa có chứng cứ về đối tượng và rule.</x:v>
      </x:c>
    </x:row>
    <x:row r="10" ht="54" customHeight="1">
      <x:c r="A10" s="32" t="n">
        <x:v>4</x:v>
      </x:c>
      <x:c r="B10" s="34" t="str">
        <x:v>ND30.D.CQ.LIEN_CO_QUAN</x:v>
      </x:c>
      <x:c r="C10" s="36" t="str">
        <x:v>Đầu văn bản</x:v>
      </x:c>
      <x:c r="D10" s="36" t="str">
        <x:v>Cơ quan ban hành</x:v>
      </x:c>
      <x:c r="E10" s="28" t="str">
        <x:v>Tên các cơ quan cùng ban hành (nếu có)</x:v>
      </x:c>
      <x:c r="F10" s="28" t="str">
        <x:v>2</x:v>
      </x:c>
      <x:c r="G10" s="28" t="str">
        <x:v>joint_issuer</x:v>
      </x:c>
      <x:c r="H10" s="28" t="str">
        <x:v>Tên các cơ quan cùng ban hành (nếu có)</x:v>
      </x:c>
      <x:c r="I10" s="28" t="str">
        <x:v>Times New Roman; Unicode; màu đen</x:v>
      </x:c>
      <x:c r="J10" s="28" t="str">
        <x:v>12–13</x:v>
      </x:c>
      <x:c r="K10" s="28" t="str">
        <x:v>In hoa</x:v>
      </x:c>
      <x:c r="L10" s="28" t="str">
        <x:v>Không</x:v>
      </x:c>
      <x:c r="M10" s="28" t="str">
        <x:v>Không</x:v>
      </x:c>
      <x:c r="N10" s="28" t="str">
        <x:v>Căn giữa trong khối trái, trang 1</x:v>
      </x:c>
      <x:c r="O10" s="28"/>
      <x:c r="P10" s="28"/>
      <x:c r="Q10" s="28"/>
      <x:c r="R10" s="28" t="str">
        <x:v>Word paragraph(s) / run(s) trong khối tên cơ quan</x:v>
      </x:c>
      <x:c r="S10" s="28" t="str">
        <x:v>Tên chính thức; dòng cấp trên có điều kiện; tên dài có thể xuống dòng</x:v>
      </x:c>
      <x:c r="T10" s="28" t="str">
        <x:v>NĐ30, Phụ lục I, Phần I, II.2; V.2</x:v>
      </x:c>
      <x:c r="U10" s="28" t="str">
        <x:v>https://datafiles.chinhphu.vn/cpp/files/vbpq/2020/03/30.signed.pdf</x:v>
      </x:c>
      <x:c r="V10" s="28" t="str">
        <x:v>https://riam.edu.vn/nghi-dinh-ve-cong-tac-van-thu-phu-luc/</x:v>
      </x:c>
      <x:c r="W10" s="28" t="str">
        <x:v>CHƯA ĐỦ BẰNG CHỨNG</x:v>
      </x:c>
      <x:c r="X10" s="28" t="str">
        <x:v>READ_ONLY</x:v>
      </x:c>
      <x:c r="Y10" s="28" t="str">
        <x:v>Xác minh thẩm quyền/biến thể liên cơ quan; không tự suy đoán tên và số người ký. | Trạng thái v1.0: CÓ ĐIỀU KIỆN</x:v>
      </x:c>
    </x:row>
    <x:row r="11" ht="54" customHeight="1">
      <x:c r="A11" s="32" t="n">
        <x:v>5</x:v>
      </x:c>
      <x:c r="B11" s="34" t="str">
        <x:v>ND30.D.QH.QUOC_HIEU</x:v>
      </x:c>
      <x:c r="C11" s="36" t="str">
        <x:v>Đầu văn bản</x:v>
      </x:c>
      <x:c r="D11" s="36" t="str">
        <x:v>Quốc hiệu và Tiêu ngữ</x:v>
      </x:c>
      <x:c r="E11" s="28" t="str">
        <x:v>Quốc hiệu</x:v>
      </x:c>
      <x:c r="F11" s="28" t="str">
        <x:v>1</x:v>
      </x:c>
      <x:c r="G11" s="28" t="str">
        <x:v>CHƯA ĐỊNH TUYẾN: xác nhận chế độ + loại văn bản + chủ thể + ngày áp dụng trước khi xét rule</x:v>
      </x:c>
      <x:c r="H11" s="28" t="str">
        <x:v>Quốc hiệu</x:v>
      </x:c>
      <x:c r="I11" s="28" t="str">
        <x:v>Times New Roman; Unicode; màu đen</x:v>
      </x:c>
      <x:c r="J11" s="28" t="str">
        <x:v>12–13</x:v>
      </x:c>
      <x:c r="K11" s="28" t="str">
        <x:v>IN HOA</x:v>
      </x:c>
      <x:c r="L11" s="28" t="str">
        <x:v>Có</x:v>
      </x:c>
      <x:c r="M11" s="28" t="str">
        <x:v>Không</x:v>
      </x:c>
      <x:c r="N11" s="28" t="str">
        <x:v>Căn giữa khối phải trang 1</x:v>
      </x:c>
      <x:c r="O11" s="28" t="str">
        <x:v>Hai dòng QH/TN cách dòng đơn</x:v>
      </x:c>
      <x:c r="P11" s="28"/>
      <x:c r="Q11" s="28"/>
      <x:c r="R11" s="28" t="str">
        <x:v>Run chữ trong vùng đầu trang (không đồng nhất Word Header)</x:v>
      </x:c>
      <x:c r="S11" s="28" t="str">
        <x:v>CỘNG HÒA XÃ HỘI CHỦ NGHĨA VIỆT NAM</x:v>
      </x:c>
      <x:c r="T11" s="28" t="str">
        <x:v>NĐ30, Phụ lục I, Phần I, II.1.a; V.1</x:v>
      </x:c>
      <x:c r="U11" s="28" t="str">
        <x:v>https://datafiles.chinhphu.vn/cpp/files/vbpq/2020/03/30.signed.pdf</x:v>
      </x:c>
      <x:c r="V11" s="28" t="str">
        <x:v>https://riam.edu.vn/nghi-dinh-ve-cong-tac-van-thu-phu-luc/</x:v>
      </x:c>
      <x:c r="W11" s="28" t="str">
        <x:v>ĐỐI CHIẾU MỘT PHẦN</x:v>
      </x:c>
      <x:c r="X11" s="28" t="str">
        <x:v>READ_ONLY</x:v>
      </x:c>
      <x:c r="Y11" s="28" t="str">
        <x:v>Không tự chèn/sửa khi chưa có chứng cứ về đối tượng và rule.</x:v>
      </x:c>
    </x:row>
    <x:row r="12" ht="54" customHeight="1">
      <x:c r="A12" s="32" t="n">
        <x:v>6</x:v>
      </x:c>
      <x:c r="B12" s="34" t="str">
        <x:v>ND30.D.QH.TIEU_NGU</x:v>
      </x:c>
      <x:c r="C12" s="36" t="str">
        <x:v>Đầu văn bản</x:v>
      </x:c>
      <x:c r="D12" s="36" t="str">
        <x:v>Quốc hiệu và Tiêu ngữ</x:v>
      </x:c>
      <x:c r="E12" s="28" t="str">
        <x:v>Tiêu ngữ</x:v>
      </x:c>
      <x:c r="F12" s="28" t="str">
        <x:v>1</x:v>
      </x:c>
      <x:c r="G12" s="28" t="str">
        <x:v>CHƯA ĐỊNH TUYẾN: xác nhận chế độ + loại văn bản + chủ thể + ngày áp dụng trước khi xét rule</x:v>
      </x:c>
      <x:c r="H12" s="28" t="str">
        <x:v>Tiêu ngữ</x:v>
      </x:c>
      <x:c r="I12" s="28" t="str">
        <x:v>Times New Roman; Unicode; màu đen</x:v>
      </x:c>
      <x:c r="J12" s="28" t="str">
        <x:v>13–14</x:v>
      </x:c>
      <x:c r="K12" s="28" t="str">
        <x:v>Viết hoa chữ đầu các cụm từ</x:v>
      </x:c>
      <x:c r="L12" s="28" t="str">
        <x:v>Có</x:v>
      </x:c>
      <x:c r="M12" s="28" t="str">
        <x:v>Không</x:v>
      </x:c>
      <x:c r="N12" s="28" t="str">
        <x:v>Căn giữa dưới Quốc hiệu</x:v>
      </x:c>
      <x:c r="O12" s="28" t="str">
        <x:v>Cách Quốc hiệu dòng đơn</x:v>
      </x:c>
      <x:c r="P12" s="28"/>
      <x:c r="Q12" s="28"/>
      <x:c r="R12" s="28" t="str">
        <x:v>Văn bản/OOXML: xác định đối tượng trước khi sửa</x:v>
      </x:c>
      <x:c r="S12" s="28" t="str">
        <x:v>Độc lập - Tự do - Hạnh phúc; dấu gạch nối có khoảng trắng</x:v>
      </x:c>
      <x:c r="T12" s="28" t="str">
        <x:v>NĐ30, Phụ lục I, Phần I, II.1.b–c; V.1</x:v>
      </x:c>
      <x:c r="U12" s="28" t="str">
        <x:v>https://datafiles.chinhphu.vn/cpp/files/vbpq/2020/03/30.signed.pdf</x:v>
      </x:c>
      <x:c r="V12" s="28" t="str">
        <x:v>https://riam.edu.vn/nghi-dinh-ve-cong-tac-van-thu-phu-luc/</x:v>
      </x:c>
      <x:c r="W12" s="28" t="str">
        <x:v>ĐỐI CHIẾU MỘT PHẦN</x:v>
      </x:c>
      <x:c r="X12" s="28" t="str">
        <x:v>READ_ONLY</x:v>
      </x:c>
      <x:c r="Y12" s="28" t="str">
        <x:v>Không tự chèn/sửa khi chưa có chứng cứ về đối tượng và rule.</x:v>
      </x:c>
    </x:row>
    <x:row r="13" ht="54" customHeight="1">
      <x:c r="A13" s="32" t="n">
        <x:v>7</x:v>
      </x:c>
      <x:c r="B13" s="34" t="str">
        <x:v>ND30.D.QH.DUONG_KE</x:v>
      </x:c>
      <x:c r="C13" s="36" t="str">
        <x:v>Đầu văn bản</x:v>
      </x:c>
      <x:c r="D13" s="36" t="str">
        <x:v>Quốc hiệu và Tiêu ngữ</x:v>
      </x:c>
      <x:c r="E13" s="28" t="str">
        <x:v>Đường kẻ dưới Tiêu ngữ</x:v>
      </x:c>
      <x:c r="F13" s="28" t="str">
        <x:v>1</x:v>
      </x:c>
      <x:c r="G13" s="28" t="str">
        <x:v>CHƯA ĐỊNH TUYẾN: xác nhận chế độ + loại văn bản + chủ thể + ngày áp dụng trước khi xét rule</x:v>
      </x:c>
      <x:c r="H13" s="28" t="str">
        <x:v>Đường kẻ dưới Tiêu ngữ</x:v>
      </x:c>
      <x:c r="I13" s="28" t="str">
        <x:v>Không áp dụng</x:v>
      </x:c>
      <x:c r="J13" s="28" t="str">
        <x:v>Không áp dụng</x:v>
      </x:c>
      <x:c r="K13" s="28"/>
      <x:c r="L13" s="28"/>
      <x:c r="M13" s="28"/>
      <x:c r="N13" s="28" t="str">
        <x:v>Căn giữa dưới Tiêu ngữ</x:v>
      </x:c>
      <x:c r="O13" s="28"/>
      <x:c r="P13" s="28"/>
      <x:c r="Q13" s="28" t="str">
        <x:v>Đường liền ngang; dài bằng dòng Tiêu ngữ</x:v>
      </x:c>
      <x:c r="R13" s="28" t="str">
        <x:v>Văn bản/OOXML: xác định đối tượng trước khi sửa</x:v>
      </x:c>
      <x:c r="S13" s="28" t="str">
        <x:v>Không dùng dấu gạch ký tự thay thế</x:v>
      </x:c>
      <x:c r="T13" s="28" t="str">
        <x:v>NĐ30, Phụ lục I, Phần I, II.1.b</x:v>
      </x:c>
      <x:c r="U13" s="28" t="str">
        <x:v>https://datafiles.chinhphu.vn/cpp/files/vbpq/2020/03/30.signed.pdf</x:v>
      </x:c>
      <x:c r="V13" s="28" t="str">
        <x:v>https://riam.edu.vn/nghi-dinh-ve-cong-tac-van-thu-phu-luc/</x:v>
      </x:c>
      <x:c r="W13" s="28" t="str">
        <x:v>ĐỐI CHIẾU MỘT PHẦN</x:v>
      </x:c>
      <x:c r="X13" s="28" t="str">
        <x:v>READ_ONLY</x:v>
      </x:c>
      <x:c r="Y13" s="28" t="str">
        <x:v>Không tự chèn/sửa khi chưa có chứng cứ về đối tượng và rule.</x:v>
      </x:c>
    </x:row>
    <x:row r="14" ht="54" customHeight="1">
      <x:c r="A14" s="32" t="n">
        <x:v>8</x:v>
      </x:c>
      <x:c r="B14" s="34" t="str">
        <x:v>ND30.D.SK.NHAN_SO</x:v>
      </x:c>
      <x:c r="C14" s="36" t="str">
        <x:v>Đầu văn bản</x:v>
      </x:c>
      <x:c r="D14" s="36" t="str">
        <x:v>Số và ký hiệu</x:v>
      </x:c>
      <x:c r="E14" s="28" t="str">
        <x:v>Nhãn Số:</x:v>
      </x:c>
      <x:c r="F14" s="28" t="str">
        <x:v>3</x:v>
      </x:c>
      <x:c r="G14" s="28" t="str">
        <x:v>CHƯA ĐỊNH TUYẾN: xác nhận chế độ + loại văn bản + chủ thể + ngày áp dụng trước khi xét rule</x:v>
      </x:c>
      <x:c r="H14" s="28" t="str">
        <x:v>Nhãn Số:</x:v>
      </x:c>
      <x:c r="I14" s="28" t="str">
        <x:v>Times New Roman; Unicode; màu đen</x:v>
      </x:c>
      <x:c r="J14" s="28" t="str">
        <x:v>13</x:v>
      </x:c>
      <x:c r="K14" s="28" t="str">
        <x:v>In thường; chữ cái đầu viết hoa: “Số:”</x:v>
      </x:c>
      <x:c r="L14" s="28" t="str">
        <x:v>Không</x:v>
      </x:c>
      <x:c r="M14" s="28" t="str">
        <x:v>Không</x:v>
      </x:c>
      <x:c r="N14" s="28" t="str">
        <x:v>Căn giữa dưới khối tên cơ quan</x:v>
      </x:c>
      <x:c r="O14" s="28"/>
      <x:c r="P14" s="28"/>
      <x:c r="Q14" s="28" t="str">
        <x:v>Dấu : sau Số</x:v>
      </x:c>
      <x:c r="R14" s="28" t="str">
        <x:v>Text runs cùng đoạn; ký hiệu cấu trúc là text, không tự tạo số</x:v>
      </x:c>
      <x:c r="S14" s="28" t="str">
        <x:v>Số:</x:v>
      </x:c>
      <x:c r="T14" s="28" t="str">
        <x:v>NĐ30, Phụ lục I, Phần I, II.3; V.3</x:v>
      </x:c>
      <x:c r="U14" s="28" t="str">
        <x:v>https://datafiles.chinhphu.vn/cpp/files/vbpq/2020/03/30.signed.pdf</x:v>
      </x:c>
      <x:c r="V14" s="28" t="str">
        <x:v>https://riam.edu.vn/nghi-dinh-ve-cong-tac-van-thu-phu-luc/</x:v>
      </x:c>
      <x:c r="W14" s="28" t="str">
        <x:v>ĐỐI CHIẾU MỘT PHẦN</x:v>
      </x:c>
      <x:c r="X14" s="28" t="str">
        <x:v>READ_ONLY</x:v>
      </x:c>
      <x:c r="Y14" s="28" t="str">
        <x:v>Không tự chèn/sửa khi chưa có chứng cứ về đối tượng và rule.</x:v>
      </x:c>
    </x:row>
    <x:row r="15" ht="54" customHeight="1">
      <x:c r="A15" s="32" t="n">
        <x:v>9</x:v>
      </x:c>
      <x:c r="B15" s="34" t="str">
        <x:v>ND30.D.SK.SO_VAN_BAN</x:v>
      </x:c>
      <x:c r="C15" s="36" t="str">
        <x:v>Đầu văn bản</x:v>
      </x:c>
      <x:c r="D15" s="36" t="str">
        <x:v>Số và ký hiệu</x:v>
      </x:c>
      <x:c r="E15" s="28" t="str">
        <x:v>Số thứ tự văn bản</x:v>
      </x:c>
      <x:c r="F15" s="28" t="str">
        <x:v>3</x:v>
      </x:c>
      <x:c r="G15" s="28" t="str">
        <x:v>CHƯA ĐỊNH TUYẾN: xác nhận chế độ + loại văn bản + chủ thể + ngày áp dụng trước khi xét rule</x:v>
      </x:c>
      <x:c r="H15" s="28" t="str">
        <x:v>Số văn bản lấy từ sổ văn thư; chỉ kiểm tra định dạng, không tự cấp số</x:v>
      </x:c>
      <x:c r="I15" s="28" t="str">
        <x:v>Times New Roman; Unicode; màu đen</x:v>
      </x:c>
      <x:c r="J15" s="28" t="str">
        <x:v>13</x:v>
      </x:c>
      <x:c r="K15" s="28" t="str">
        <x:v>Chữ số Ả Rập; không áp dụng quy tắc IN HOA</x:v>
      </x:c>
      <x:c r="L15" s="28" t="str">
        <x:v>Không</x:v>
      </x:c>
      <x:c r="M15" s="28" t="str">
        <x:v>Không</x:v>
      </x:c>
      <x:c r="N15" s="28" t="str">
        <x:v>Căn giữa dưới khối tên cơ quan</x:v>
      </x:c>
      <x:c r="O15" s="28"/>
      <x:c r="P15" s="28"/>
      <x:c r="Q15" s="28"/>
      <x:c r="R15" s="28" t="str">
        <x:v>Text runs cùng đoạn; ký hiệu cấu trúc là text, không tự tạo số</x:v>
      </x:c>
      <x:c r="S15" s="28" t="str">
        <x:v>Chữ số Ả Rập; số nhỏ hơn 10 thêm 0</x:v>
      </x:c>
      <x:c r="T15" s="28" t="str">
        <x:v>NĐ30, Phụ lục I, Phần I, II.3; V.3</x:v>
      </x:c>
      <x:c r="U15" s="28" t="str">
        <x:v>https://datafiles.chinhphu.vn/cpp/files/vbpq/2020/03/30.signed.pdf</x:v>
      </x:c>
      <x:c r="V15" s="28" t="str">
        <x:v>https://riam.edu.vn/nghi-dinh-ve-cong-tac-van-thu-phu-luc/</x:v>
      </x:c>
      <x:c r="W15" s="28" t="str">
        <x:v>ĐỐI CHIẾU MỘT PHẦN</x:v>
      </x:c>
      <x:c r="X15" s="28" t="str">
        <x:v>KHÔNG TỰ CẤP SỐ</x:v>
      </x:c>
      <x:c r="Y15" s="28" t="str">
        <x:v>Không tự chèn/sửa khi chưa có chứng cứ về đối tượng và rule.</x:v>
      </x:c>
    </x:row>
    <x:row r="16" ht="54" customHeight="1">
      <x:c r="A16" s="32" t="n">
        <x:v>10</x:v>
      </x:c>
      <x:c r="B16" s="34" t="str">
        <x:v>ND30.D.SK.KY_HIEU_LOAI</x:v>
      </x:c>
      <x:c r="C16" s="36" t="str">
        <x:v>Đầu văn bản</x:v>
      </x:c>
      <x:c r="D16" s="36" t="str">
        <x:v>Số và ký hiệu</x:v>
      </x:c>
      <x:c r="E16" s="28" t="str">
        <x:v>Ký hiệu tên loại văn bản</x:v>
      </x:c>
      <x:c r="F16" s="28" t="str">
        <x:v>3</x:v>
      </x:c>
      <x:c r="G16" s="28" t="str">
        <x:v>Văn bản có tên loại; công văn theo quy ước riêng</x:v>
      </x:c>
      <x:c r="H16" s="28" t="str">
        <x:v>Ký hiệu tên loại văn bản</x:v>
      </x:c>
      <x:c r="I16" s="28" t="str">
        <x:v>Times New Roman; Unicode; màu đen</x:v>
      </x:c>
      <x:c r="J16" s="28" t="str">
        <x:v>13</x:v>
      </x:c>
      <x:c r="K16" s="28" t="str">
        <x:v>IN HOA theo mã viết tắt chính thức</x:v>
      </x:c>
      <x:c r="L16" s="28" t="str">
        <x:v>Không</x:v>
      </x:c>
      <x:c r="M16" s="28" t="str">
        <x:v>Không</x:v>
      </x:c>
      <x:c r="N16" s="28" t="str">
        <x:v>Căn giữa dưới khối tên cơ quan</x:v>
      </x:c>
      <x:c r="O16" s="28"/>
      <x:c r="P16" s="28"/>
      <x:c r="Q16" s="28"/>
      <x:c r="R16" s="28" t="str">
        <x:v>Text runs cùng đoạn; ký hiệu cấu trúc là text, không tự tạo số</x:v>
      </x:c>
      <x:c r="S16" s="28" t="str">
        <x:v>Tra mã loại từ bảng viết tắt chính thức theo chế độ</x:v>
      </x:c>
      <x:c r="T16" s="28" t="str">
        <x:v>NĐ30, Phụ lục I, Phần I, II.3; V.3</x:v>
      </x:c>
      <x:c r="U16" s="28" t="str">
        <x:v>https://datafiles.chinhphu.vn/cpp/files/vbpq/2020/03/30.signed.pdf</x:v>
      </x:c>
      <x:c r="V16" s="28" t="str">
        <x:v>https://riam.edu.vn/nghi-dinh-ve-cong-tac-van-thu-phu-luc/</x:v>
      </x:c>
      <x:c r="W16" s="28" t="str">
        <x:v>ĐỐI CHIẾU MỘT PHẦN</x:v>
      </x:c>
      <x:c r="X16" s="28" t="str">
        <x:v>KHÔNG TỰ SUY DIỄN MÃ</x:v>
      </x:c>
      <x:c r="Y16" s="28" t="str">
        <x:v>Không tự chèn/sửa khi chưa có chứng cứ về đối tượng và rule.</x:v>
      </x:c>
    </x:row>
    <x:row r="17" ht="54" customHeight="1">
      <x:c r="A17" s="32" t="n">
        <x:v>11</x:v>
      </x:c>
      <x:c r="B17" s="34" t="str">
        <x:v>ND30.D.SK.KY_HIEU_CO_QUAN</x:v>
      </x:c>
      <x:c r="C17" s="36" t="str">
        <x:v>Đầu văn bản</x:v>
      </x:c>
      <x:c r="D17" s="36" t="str">
        <x:v>Số và ký hiệu</x:v>
      </x:c>
      <x:c r="E17" s="28" t="str">
        <x:v>Ký hiệu cơ quan, tổ chức ban hành</x:v>
      </x:c>
      <x:c r="F17" s="28" t="str">
        <x:v>3</x:v>
      </x:c>
      <x:c r="G17" s="28" t="str">
        <x:v>CHƯA ĐỊNH TUYẾN: xác nhận chế độ + loại văn bản + chủ thể + ngày áp dụng trước khi xét rule</x:v>
      </x:c>
      <x:c r="H17" s="28" t="str">
        <x:v>Ký hiệu cơ quan, tổ chức ban hành</x:v>
      </x:c>
      <x:c r="I17" s="28" t="str">
        <x:v>Times New Roman; Unicode; màu đen</x:v>
      </x:c>
      <x:c r="J17" s="28" t="str">
        <x:v>13</x:v>
      </x:c>
      <x:c r="K17" s="28" t="str">
        <x:v>IN HOA theo mã viết tắt chính thức</x:v>
      </x:c>
      <x:c r="L17" s="28" t="str">
        <x:v>Không</x:v>
      </x:c>
      <x:c r="M17" s="28" t="str">
        <x:v>Không</x:v>
      </x:c>
      <x:c r="N17" s="28" t="str">
        <x:v>Căn giữa dưới khối tên cơ quan</x:v>
      </x:c>
      <x:c r="O17" s="28"/>
      <x:c r="P17" s="28"/>
      <x:c r="Q17" s="28"/>
      <x:c r="R17" s="28" t="str">
        <x:v>Text runs cùng đoạn; ký hiệu cấu trúc là text, không tự tạo số</x:v>
      </x:c>
      <x:c r="S17" s="28" t="str">
        <x:v>Theo cơ quan và sổ/quy chế viết tắt đã xác minh</x:v>
      </x:c>
      <x:c r="T17" s="28" t="str">
        <x:v>NĐ30, Phụ lục I, Phần I, II.3; V.3</x:v>
      </x:c>
      <x:c r="U17" s="28" t="str">
        <x:v>https://datafiles.chinhphu.vn/cpp/files/vbpq/2020/03/30.signed.pdf</x:v>
      </x:c>
      <x:c r="V17" s="28" t="str">
        <x:v>https://riam.edu.vn/nghi-dinh-ve-cong-tac-van-thu-phu-luc/</x:v>
      </x:c>
      <x:c r="W17" s="28" t="str">
        <x:v>ĐỐI CHIẾU MỘT PHẦN</x:v>
      </x:c>
      <x:c r="X17" s="28" t="str">
        <x:v>KHÔNG TỰ ĐIỀN MÃ</x:v>
      </x:c>
      <x:c r="Y17" s="28" t="str">
        <x:v>Không tự chèn/sửa khi chưa có chứng cứ về đối tượng và rule.</x:v>
      </x:c>
    </x:row>
    <x:row r="18" ht="54" customHeight="1">
      <x:c r="A18" s="32" t="n">
        <x:v>12</x:v>
      </x:c>
      <x:c r="B18" s="34" t="str">
        <x:v>ND30.D.SK.DAU_PHAN_CACH</x:v>
      </x:c>
      <x:c r="C18" s="36" t="str">
        <x:v>Đầu văn bản</x:v>
      </x:c>
      <x:c r="D18" s="36" t="str">
        <x:v>Số và ký hiệu</x:v>
      </x:c>
      <x:c r="E18" s="28" t="str">
        <x:v>Dấu phân cách trong số, ký hiệu</x:v>
      </x:c>
      <x:c r="F18" s="28" t="str">
        <x:v>3</x:v>
      </x:c>
      <x:c r="G18" s="28" t="str">
        <x:v>CHƯA ĐỊNH TUYẾN: xác nhận chế độ + loại văn bản + chủ thể + ngày áp dụng trước khi xét rule</x:v>
      </x:c>
      <x:c r="H18" s="28" t="str">
        <x:v>Dấu phân cách trong số, ký hiệu</x:v>
      </x:c>
      <x:c r="I18" s="28" t="str">
        <x:v>Times New Roman; Unicode; màu đen</x:v>
      </x:c>
      <x:c r="J18" s="28" t="str">
        <x:v>13</x:v>
      </x:c>
      <x:c r="K18" s="28" t="str">
        <x:v>Không áp dụng — dấu phân cách</x:v>
      </x:c>
      <x:c r="L18" s="28" t="str">
        <x:v>Không</x:v>
      </x:c>
      <x:c r="M18" s="28" t="str">
        <x:v>Không</x:v>
      </x:c>
      <x:c r="N18" s="28" t="str">
        <x:v>Căn giữa dưới khối tên cơ quan</x:v>
      </x:c>
      <x:c r="O18" s="28"/>
      <x:c r="P18" s="28"/>
      <x:c r="Q18" s="28" t="str">
        <x:v>Giữa số và ký hiệu dùng /; giữa nhóm ký hiệu dùng -</x:v>
      </x:c>
      <x:c r="R18" s="28" t="str">
        <x:v>Text runs cùng đoạn; ký hiệu cấu trúc là text, không tự tạo số</x:v>
      </x:c>
      <x:c r="S18" s="28" t="str">
        <x:v>Không thêm khoảng trắng trong cụm ký hiệu</x:v>
      </x:c>
      <x:c r="T18" s="28" t="str">
        <x:v>NĐ30, Phụ lục I, Phần I, II.3; V.3</x:v>
      </x:c>
      <x:c r="U18" s="28" t="str">
        <x:v>https://datafiles.chinhphu.vn/cpp/files/vbpq/2020/03/30.signed.pdf</x:v>
      </x:c>
      <x:c r="V18" s="28" t="str">
        <x:v>https://riam.edu.vn/nghi-dinh-ve-cong-tac-van-thu-phu-luc/</x:v>
      </x:c>
      <x:c r="W18" s="28" t="str">
        <x:v>ĐỐI CHIẾU MỘT PHẦN</x:v>
      </x:c>
      <x:c r="X18" s="28" t="str">
        <x:v>READ_ONLY</x:v>
      </x:c>
      <x:c r="Y18" s="28" t="str">
        <x:v>Không tự chèn/sửa khi chưa có chứng cứ về đối tượng và rule.</x:v>
      </x:c>
    </x:row>
    <x:row r="19" ht="54" customHeight="1">
      <x:c r="A19" s="32" t="n">
        <x:v>13</x:v>
      </x:c>
      <x:c r="B19" s="34" t="str">
        <x:v>ND30.D.NG.DIA_DANH</x:v>
      </x:c>
      <x:c r="C19" s="36" t="str">
        <x:v>Đầu văn bản</x:v>
      </x:c>
      <x:c r="D19" s="36" t="str">
        <x:v>Địa danh và thời gian ban hành</x:v>
      </x:c>
      <x:c r="E19" s="28" t="str">
        <x:v>Địa danh</x:v>
      </x:c>
      <x:c r="F19" s="28" t="str">
        <x:v>4</x:v>
      </x:c>
      <x:c r="G19" s="28" t="str">
        <x:v>CHƯA ĐỊNH TUYẾN: xác nhận chế độ + loại văn bản + chủ thể + ngày áp dụng trước khi xét rule</x:v>
      </x:c>
      <x:c r="H19" s="28" t="str">
        <x:v>Tên địa danh chính thức theo cơ quan/tổ chức và đơn vị hành chính tại thời điểm ban hành</x:v>
      </x:c>
      <x:c r="I19" s="28" t="str">
        <x:v>Times New Roman; Unicode; màu đen</x:v>
      </x:c>
      <x:c r="J19" s="28" t="str">
        <x:v>13–14</x:v>
      </x:c>
      <x:c r="K19" s="28" t="str">
        <x:v>Viết hoa chữ cái đầu địa danh</x:v>
      </x:c>
      <x:c r="L19" s="28" t="str">
        <x:v>Không</x:v>
      </x:c>
      <x:c r="M19" s="28" t="str">
        <x:v>Có</x:v>
      </x:c>
      <x:c r="N19" s="28" t="str">
        <x:v>Cân đối dưới Quốc hiệu/Tiêu đề bên phải</x:v>
      </x:c>
      <x:c r="O19" s="28"/>
      <x:c r="P19" s="28"/>
      <x:c r="Q19" s="28"/>
      <x:c r="R19" s="28" t="str">
        <x:v>Văn bản/OOXML: xác định đối tượng trước khi sửa</x:v>
      </x:c>
      <x:c r="S19" s="28" t="str">
        <x:v>{địa danh}, ngày {ngày} tháng {tháng} năm {năm}; riêng số 0 theo điều kiện của ngày/tháng</x:v>
      </x:c>
      <x:c r="T19" s="28" t="str">
        <x:v>NĐ30, Phụ lục I, Phần I, II.4; V.4</x:v>
      </x:c>
      <x:c r="U19" s="28" t="str">
        <x:v>https://datafiles.chinhphu.vn/cpp/files/vbpq/2020/03/30.signed.pdf</x:v>
      </x:c>
      <x:c r="V19" s="28" t="str">
        <x:v>https://riam.edu.vn/nghi-dinh-ve-cong-tac-van-thu-phu-luc/</x:v>
      </x:c>
      <x:c r="W19" s="28" t="str">
        <x:v>ĐỐI CHIẾU MỘT PHẦN</x:v>
      </x:c>
      <x:c r="X19" s="28" t="str">
        <x:v>KHÔNG TỰ SINH ĐỊA DANH</x:v>
      </x:c>
      <x:c r="Y19" s="28" t="str">
        <x:v>Không tự chèn/sửa khi chưa có chứng cứ về đối tượng và rule.</x:v>
      </x:c>
    </x:row>
    <x:row r="20" ht="54" customHeight="1">
      <x:c r="A20" s="32" t="n">
        <x:v>14</x:v>
      </x:c>
      <x:c r="B20" s="34" t="str">
        <x:v>ND30.D.NG.NGAY</x:v>
      </x:c>
      <x:c r="C20" s="36" t="str">
        <x:v>Đầu văn bản</x:v>
      </x:c>
      <x:c r="D20" s="36" t="str">
        <x:v>Địa danh và thời gian ban hành</x:v>
      </x:c>
      <x:c r="E20" s="28" t="str">
        <x:v>Ngày</x:v>
      </x:c>
      <x:c r="F20" s="28" t="str">
        <x:v>4</x:v>
      </x:c>
      <x:c r="G20" s="28" t="str">
        <x:v>CHƯA ĐỊNH TUYẾN: xác nhận chế độ + loại văn bản + chủ thể + ngày áp dụng trước khi xét rule</x:v>
      </x:c>
      <x:c r="H20" s="28" t="str">
        <x:v>Thành phần của ngày tháng năm ban hành; không tự xác định thời điểm ký</x:v>
      </x:c>
      <x:c r="I20" s="28" t="str">
        <x:v>Times New Roman; Unicode; màu đen</x:v>
      </x:c>
      <x:c r="J20" s="28" t="str">
        <x:v>13–14</x:v>
      </x:c>
      <x:c r="K20" s="28" t="str">
        <x:v>Không áp dụng — giá trị số</x:v>
      </x:c>
      <x:c r="L20" s="28" t="str">
        <x:v>Không</x:v>
      </x:c>
      <x:c r="M20" s="28" t="str">
        <x:v>Có</x:v>
      </x:c>
      <x:c r="N20" s="28" t="str">
        <x:v>Cân đối dưới Quốc hiệu/Tiêu đề bên phải</x:v>
      </x:c>
      <x:c r="O20" s="28"/>
      <x:c r="P20" s="28"/>
      <x:c r="Q20" s="28"/>
      <x:c r="R20" s="28" t="str">
        <x:v>Văn bản/OOXML: xác định đối tượng trước khi sửa</x:v>
      </x:c>
      <x:c r="S20" s="28" t="str">
        <x:v>Ngày 01–09 ghi số 0 phía trước; giữ nguyên ngày được cung cấp, không tự điền</x:v>
      </x:c>
      <x:c r="T20" s="28" t="str">
        <x:v>NĐ30, Phụ lục I, Phần I, II.4; V.4</x:v>
      </x:c>
      <x:c r="U20" s="28" t="str">
        <x:v>https://datafiles.chinhphu.vn/cpp/files/vbpq/2020/03/30.signed.pdf</x:v>
      </x:c>
      <x:c r="V20" s="28" t="str">
        <x:v>https://riam.edu.vn/nghi-dinh-ve-cong-tac-van-thu-phu-luc/</x:v>
      </x:c>
      <x:c r="W20" s="28" t="str">
        <x:v>ĐỐI CHIẾU MỘT PHẦN</x:v>
      </x:c>
      <x:c r="X20" s="28" t="str">
        <x:v>KHÔNG TỰ ĐIỀN NGÀY</x:v>
      </x:c>
      <x:c r="Y20" s="28" t="str">
        <x:v>Không tự chèn/sửa khi chưa có chứng cứ về đối tượng và rule.</x:v>
      </x:c>
    </x:row>
    <x:row r="21" ht="54" customHeight="1">
      <x:c r="A21" s="32" t="n">
        <x:v>15</x:v>
      </x:c>
      <x:c r="B21" s="34" t="str">
        <x:v>ND30.D.NG.THANG</x:v>
      </x:c>
      <x:c r="C21" s="36" t="str">
        <x:v>Đầu văn bản</x:v>
      </x:c>
      <x:c r="D21" s="36" t="str">
        <x:v>Địa danh và thời gian ban hành</x:v>
      </x:c>
      <x:c r="E21" s="28" t="str">
        <x:v>Tháng</x:v>
      </x:c>
      <x:c r="F21" s="28" t="str">
        <x:v>4</x:v>
      </x:c>
      <x:c r="G21" s="28" t="str">
        <x:v>CHƯA ĐỊNH TUYẾN: xác nhận chế độ + loại văn bản + chủ thể + ngày áp dụng trước khi xét rule</x:v>
      </x:c>
      <x:c r="H21" s="28" t="str">
        <x:v>Thành phần của ngày tháng năm ban hành; không tự xác định thời điểm ký</x:v>
      </x:c>
      <x:c r="I21" s="28" t="str">
        <x:v>Times New Roman; Unicode; màu đen</x:v>
      </x:c>
      <x:c r="J21" s="28" t="str">
        <x:v>13–14</x:v>
      </x:c>
      <x:c r="K21" s="28" t="str">
        <x:v>Không áp dụng — giá trị số</x:v>
      </x:c>
      <x:c r="L21" s="28" t="str">
        <x:v>Không</x:v>
      </x:c>
      <x:c r="M21" s="28" t="str">
        <x:v>Có</x:v>
      </x:c>
      <x:c r="N21" s="28" t="str">
        <x:v>Cân đối dưới Quốc hiệu/Tiêu đề bên phải</x:v>
      </x:c>
      <x:c r="O21" s="28"/>
      <x:c r="P21" s="28"/>
      <x:c r="Q21" s="28"/>
      <x:c r="R21" s="28" t="str">
        <x:v>Văn bản/OOXML: xác định đối tượng trước khi sửa</x:v>
      </x:c>
      <x:c r="S21" s="28" t="str">
        <x:v>Tháng 01–02 ghi số 0 phía trước; không áp mẫu hai chữ số cho mọi tháng</x:v>
      </x:c>
      <x:c r="T21" s="28" t="str">
        <x:v>NĐ30, Phụ lục I, Phần I, II.4; V.4</x:v>
      </x:c>
      <x:c r="U21" s="28" t="str">
        <x:v>https://datafiles.chinhphu.vn/cpp/files/vbpq/2020/03/30.signed.pdf</x:v>
      </x:c>
      <x:c r="V21" s="28" t="str">
        <x:v>https://riam.edu.vn/nghi-dinh-ve-cong-tac-van-thu-phu-luc/</x:v>
      </x:c>
      <x:c r="W21" s="28" t="str">
        <x:v>ĐỐI CHIẾU MỘT PHẦN</x:v>
      </x:c>
      <x:c r="X21" s="28" t="str">
        <x:v>KHÔNG TỰ ĐIỀN NGÀY</x:v>
      </x:c>
      <x:c r="Y21" s="28" t="str">
        <x:v>Không tự chèn/sửa khi chưa có chứng cứ về đối tượng và rule.</x:v>
      </x:c>
    </x:row>
    <x:row r="22" ht="54" customHeight="1">
      <x:c r="A22" s="32" t="n">
        <x:v>16</x:v>
      </x:c>
      <x:c r="B22" s="34" t="str">
        <x:v>ND30.D.NG.NAM</x:v>
      </x:c>
      <x:c r="C22" s="36" t="str">
        <x:v>Đầu văn bản</x:v>
      </x:c>
      <x:c r="D22" s="36" t="str">
        <x:v>Địa danh và thời gian ban hành</x:v>
      </x:c>
      <x:c r="E22" s="28" t="str">
        <x:v>Năm</x:v>
      </x:c>
      <x:c r="F22" s="28" t="str">
        <x:v>4</x:v>
      </x:c>
      <x:c r="G22" s="28" t="str">
        <x:v>CHƯA ĐỊNH TUYẾN: xác nhận chế độ + loại văn bản + chủ thể + ngày áp dụng trước khi xét rule</x:v>
      </x:c>
      <x:c r="H22" s="28" t="str">
        <x:v>Thành phần của ngày tháng năm ban hành; không tự xác định thời điểm ký</x:v>
      </x:c>
      <x:c r="I22" s="28" t="str">
        <x:v>Times New Roman; Unicode; màu đen</x:v>
      </x:c>
      <x:c r="J22" s="28" t="str">
        <x:v>13–14</x:v>
      </x:c>
      <x:c r="K22" s="28" t="str">
        <x:v>Không áp dụng — giá trị số</x:v>
      </x:c>
      <x:c r="L22" s="28" t="str">
        <x:v>Không</x:v>
      </x:c>
      <x:c r="M22" s="28" t="str">
        <x:v>Có</x:v>
      </x:c>
      <x:c r="N22" s="28" t="str">
        <x:v>Cân đối dưới Quốc hiệu/Tiêu đề bên phải</x:v>
      </x:c>
      <x:c r="O22" s="28"/>
      <x:c r="P22" s="28"/>
      <x:c r="Q22" s="28"/>
      <x:c r="R22" s="28" t="str">
        <x:v>Văn bản/OOXML: xác định đối tượng trước khi sửa</x:v>
      </x:c>
      <x:c r="S22" s="28" t="str">
        <x:v>Năm viết đủ bốn chữ số; không tự xác định năm ban hành</x:v>
      </x:c>
      <x:c r="T22" s="28" t="str">
        <x:v>NĐ30, Phụ lục I, Phần I, II.4; V.4</x:v>
      </x:c>
      <x:c r="U22" s="28" t="str">
        <x:v>https://datafiles.chinhphu.vn/cpp/files/vbpq/2020/03/30.signed.pdf</x:v>
      </x:c>
      <x:c r="V22" s="28" t="str">
        <x:v>https://riam.edu.vn/nghi-dinh-ve-cong-tac-van-thu-phu-luc/</x:v>
      </x:c>
      <x:c r="W22" s="28" t="str">
        <x:v>ĐỐI CHIẾU MỘT PHẦN</x:v>
      </x:c>
      <x:c r="X22" s="28" t="str">
        <x:v>KHÔNG TỰ ĐIỀN NGÀY</x:v>
      </x:c>
      <x:c r="Y22" s="28" t="str">
        <x:v>Không tự chèn/sửa khi chưa có chứng cứ về đối tượng và rule.</x:v>
      </x:c>
    </x:row>
    <x:row r="23" ht="54" customHeight="1">
      <x:c r="A23" s="32" t="n">
        <x:v>17</x:v>
      </x:c>
      <x:c r="B23" s="34" t="str">
        <x:v>ND30.D.TY.TEN_LOAI</x:v>
      </x:c>
      <x:c r="C23" s="36" t="str">
        <x:v>Đầu văn bản</x:v>
      </x:c>
      <x:c r="D23" s="36" t="str">
        <x:v>Tên loại và trích yếu</x:v>
      </x:c>
      <x:c r="E23" s="28" t="str">
        <x:v>Tên loại văn bản</x:v>
      </x:c>
      <x:c r="F23" s="28" t="str">
        <x:v>5a</x:v>
      </x:c>
      <x:c r="G23" s="28" t="str">
        <x:v>Văn bản có tên loại riêng</x:v>
      </x:c>
      <x:c r="H23" s="28" t="str">
        <x:v>Tên loại văn bản hợp lệ; không ghi CÔNG VĂN như tiêu đề của công văn thông thường</x:v>
      </x:c>
      <x:c r="I23" s="28" t="str">
        <x:v>Times New Roman; Unicode; màu đen</x:v>
      </x:c>
      <x:c r="J23" s="28" t="str">
        <x:v>13–14</x:v>
      </x:c>
      <x:c r="K23" s="28" t="str">
        <x:v>IN HOA</x:v>
      </x:c>
      <x:c r="L23" s="28" t="str">
        <x:v>Có</x:v>
      </x:c>
      <x:c r="M23" s="28" t="str">
        <x:v>Không</x:v>
      </x:c>
      <x:c r="N23" s="28" t="str">
        <x:v>Căn giữa tại ô 5a (theo loại văn bản)</x:v>
      </x:c>
      <x:c r="O23" s="28"/>
      <x:c r="P23" s="28"/>
      <x:c r="Q23" s="28"/>
      <x:c r="R23" s="28" t="str">
        <x:v>Văn bản/OOXML: xác định đối tượng trước khi sửa</x:v>
      </x:c>
      <x:c r="S23" s="28" t="str">
        <x:v>Không có thông số đơn trị; theo rule của thành phần và loại văn bản</x:v>
      </x:c>
      <x:c r="T23" s="28" t="str">
        <x:v>NĐ30, Phụ lục I, Phần I, II.5; V.5</x:v>
      </x:c>
      <x:c r="U23" s="28" t="str">
        <x:v>https://datafiles.chinhphu.vn/cpp/files/vbpq/2020/03/30.signed.pdf</x:v>
      </x:c>
      <x:c r="V23" s="28" t="str">
        <x:v>https://riam.edu.vn/nghi-dinh-ve-cong-tac-van-thu-phu-luc/</x:v>
      </x:c>
      <x:c r="W23" s="28" t="str">
        <x:v>ĐỐI CHIẾU MỘT PHẦN</x:v>
      </x:c>
      <x:c r="X23" s="28" t="str">
        <x:v>READ_ONLY</x:v>
      </x:c>
      <x:c r="Y23" s="28" t="str">
        <x:v>Không tự chèn/sửa khi chưa có chứng cứ về đối tượng và rule.</x:v>
      </x:c>
    </x:row>
    <x:row r="24" ht="54" customHeight="1">
      <x:c r="A24" s="32" t="n">
        <x:v>18</x:v>
      </x:c>
      <x:c r="B24" s="34" t="str">
        <x:v>ND30.D.TY.TRICH_YEU</x:v>
      </x:c>
      <x:c r="C24" s="36" t="str">
        <x:v>Đầu văn bản</x:v>
      </x:c>
      <x:c r="D24" s="36" t="str">
        <x:v>Tên loại và trích yếu</x:v>
      </x:c>
      <x:c r="E24" s="28" t="str">
        <x:v>Trích yếu của văn bản có tên loại</x:v>
      </x:c>
      <x:c r="F24" s="28" t="str">
        <x:v>5a</x:v>
      </x:c>
      <x:c r="G24" s="28" t="str">
        <x:v>Văn bản có tên loại; dưới tên loại</x:v>
      </x:c>
      <x:c r="H24" s="28" t="str">
        <x:v>Trích yếu ngắn gọn phản ánh nội dung chính, tách với tên loại</x:v>
      </x:c>
      <x:c r="I24" s="28" t="str">
        <x:v>Times New Roman; Unicode; màu đen</x:v>
      </x:c>
      <x:c r="J24" s="28" t="str">
        <x:v>13–14</x:v>
      </x:c>
      <x:c r="K24" s="28" t="str">
        <x:v>In thường</x:v>
      </x:c>
      <x:c r="L24" s="28" t="str">
        <x:v>Có</x:v>
      </x:c>
      <x:c r="M24" s="28" t="str">
        <x:v>Không</x:v>
      </x:c>
      <x:c r="N24" s="28" t="str">
        <x:v>Căn giữa tại ô 5a (theo loại văn bản)</x:v>
      </x:c>
      <x:c r="O24" s="28"/>
      <x:c r="P24" s="28"/>
      <x:c r="Q24" s="28"/>
      <x:c r="R24" s="28" t="str">
        <x:v>Văn bản/OOXML: xác định đối tượng trước khi sửa</x:v>
      </x:c>
      <x:c r="S24" s="28" t="str">
        <x:v>Không có thông số đơn trị; theo rule của thành phần và loại văn bản</x:v>
      </x:c>
      <x:c r="T24" s="28" t="str">
        <x:v>NĐ30, Phụ lục I, Phần I, II.5; V.5</x:v>
      </x:c>
      <x:c r="U24" s="28" t="str">
        <x:v>https://datafiles.chinhphu.vn/cpp/files/vbpq/2020/03/30.signed.pdf</x:v>
      </x:c>
      <x:c r="V24" s="28" t="str">
        <x:v>https://riam.edu.vn/nghi-dinh-ve-cong-tac-van-thu-phu-luc/</x:v>
      </x:c>
      <x:c r="W24" s="28" t="str">
        <x:v>ĐỐI CHIẾU MỘT PHẦN</x:v>
      </x:c>
      <x:c r="X24" s="28" t="str">
        <x:v>READ_ONLY</x:v>
      </x:c>
      <x:c r="Y24" s="28" t="str">
        <x:v>Không tự chèn/sửa khi chưa có chứng cứ về đối tượng và rule.</x:v>
      </x:c>
    </x:row>
    <x:row r="25" ht="54" customHeight="1">
      <x:c r="A25" s="32" t="n">
        <x:v>19</x:v>
      </x:c>
      <x:c r="B25" s="34" t="str">
        <x:v>ND30.D.TY.DUONG_KE</x:v>
      </x:c>
      <x:c r="C25" s="36" t="str">
        <x:v>Đầu văn bản</x:v>
      </x:c>
      <x:c r="D25" s="36" t="str">
        <x:v>Tên loại và trích yếu</x:v>
      </x:c>
      <x:c r="E25" s="28" t="str">
        <x:v>Đường kẻ dưới trích yếu (khi mẫu yêu cầu)</x:v>
      </x:c>
      <x:c r="F25" s="28" t="str">
        <x:v>5a</x:v>
      </x:c>
      <x:c r="G25" s="28" t="str">
        <x:v>Dạng văn bản có tên loại</x:v>
      </x:c>
      <x:c r="H25" s="28" t="str">
        <x:v>Đường kẻ nét liền dưới trích yếu văn bản có tên loại (không áp cho công văn dạng 5b)</x:v>
      </x:c>
      <x:c r="I25" s="28" t="str">
        <x:v>Không áp dụng</x:v>
      </x:c>
      <x:c r="J25" s="28" t="str">
        <x:v>Không áp dụng</x:v>
      </x:c>
      <x:c r="K25" s="28"/>
      <x:c r="L25" s="28"/>
      <x:c r="M25" s="28"/>
      <x:c r="N25" s="28" t="str">
        <x:v>Căn giữa tại ô 5a (theo loại văn bản)</x:v>
      </x:c>
      <x:c r="O25" s="28"/>
      <x:c r="P25" s="28"/>
      <x:c r="Q25" s="28" t="str">
        <x:v>Nét liền ngang dài 1/3–1/2 độ dài dòng trích yếu</x:v>
      </x:c>
      <x:c r="R25" s="28" t="str">
        <x:v>Văn bản/OOXML: xác định đối tượng trước khi sửa</x:v>
      </x:c>
      <x:c r="S25" s="28" t="str">
        <x:v>Đường kẻ nét liền, dài bằng 1/3–1/2 độ dài dòng chữ trích yếu và cân đối; không lấy độ dài cố định của profile làm luật</x:v>
      </x:c>
      <x:c r="T25" s="28" t="str">
        <x:v>NĐ30, Phụ lục I, Phần I, II.5; V.5</x:v>
      </x:c>
      <x:c r="U25" s="28" t="str">
        <x:v>https://datafiles.chinhphu.vn/cpp/files/vbpq/2020/03/30.signed.pdf</x:v>
      </x:c>
      <x:c r="V25" s="28" t="str">
        <x:v>https://riam.edu.vn/nghi-dinh-ve-cong-tac-van-thu-phu-luc/</x:v>
      </x:c>
      <x:c r="W25" s="28" t="str">
        <x:v>ĐỐI CHIẾU MỘT PHẦN</x:v>
      </x:c>
      <x:c r="X25" s="28" t="str">
        <x:v>REVIEW TRƯỚC KHI SỬA</x:v>
      </x:c>
      <x:c r="Y25" s="28" t="str">
        <x:v>Không tự chèn/sửa khi chưa có chứng cứ về đối tượng và rule.</x:v>
      </x:c>
    </x:row>
    <x:row r="26" ht="54" customHeight="1">
      <x:c r="A26" s="32" t="n">
        <x:v>20</x:v>
      </x:c>
      <x:c r="B26" s="34" t="str">
        <x:v>ND30.D.TY.NHAN_VV</x:v>
      </x:c>
      <x:c r="C26" s="36" t="str">
        <x:v>Đầu văn bản</x:v>
      </x:c>
      <x:c r="D26" s="36" t="str">
        <x:v>Tên loại và trích yếu</x:v>
      </x:c>
      <x:c r="E26" s="28" t="str">
        <x:v>Cụm V/v đầu trích yếu công văn</x:v>
      </x:c>
      <x:c r="F26" s="28" t="str">
        <x:v>5b</x:v>
      </x:c>
      <x:c r="G26" s="28" t="str">
        <x:v>Chỉ công văn hành chính</x:v>
      </x:c>
      <x:c r="H26" s="28" t="str">
        <x:v>Cụm V/v đầu trích yếu công văn</x:v>
      </x:c>
      <x:c r="I26" s="28" t="str">
        <x:v>Times New Roman; Unicode; màu đen</x:v>
      </x:c>
      <x:c r="J26" s="28" t="str">
        <x:v>12–13</x:v>
      </x:c>
      <x:c r="K26" s="28" t="str">
        <x:v>V/v (viết tắt)</x:v>
      </x:c>
      <x:c r="L26" s="28" t="str">
        <x:v>Không</x:v>
      </x:c>
      <x:c r="M26" s="28" t="str">
        <x:v>Không</x:v>
      </x:c>
      <x:c r="N26" s="28" t="str">
        <x:v>Cân đối dưới số/ký hiệu tại ô 5b</x:v>
      </x:c>
      <x:c r="O26" s="28"/>
      <x:c r="P26" s="28"/>
      <x:c r="Q26" s="28"/>
      <x:c r="R26" s="28" t="str">
        <x:v>Text run đầu của trích yếu công văn</x:v>
      </x:c>
      <x:c r="S26" s="28" t="str">
        <x:v>V/v; không tự chèn cho mọi văn bản</x:v>
      </x:c>
      <x:c r="T26" s="28" t="str">
        <x:v>NĐ30, Phụ lục I, Phần I, II.5; V.5</x:v>
      </x:c>
      <x:c r="U26" s="28" t="str">
        <x:v>https://datafiles.chinhphu.vn/cpp/files/vbpq/2020/03/30.signed.pdf</x:v>
      </x:c>
      <x:c r="V26" s="28" t="str">
        <x:v>https://riam.edu.vn/nghi-dinh-ve-cong-tac-van-thu-phu-luc/</x:v>
      </x:c>
      <x:c r="W26" s="28" t="str">
        <x:v>ĐỐI CHIẾU MỘT PHẦN</x:v>
      </x:c>
      <x:c r="X26" s="28" t="str">
        <x:v>READ_ONLY</x:v>
      </x:c>
      <x:c r="Y26" s="28" t="str">
        <x:v>Không tự chèn/sửa khi chưa có chứng cứ về đối tượng và rule.</x:v>
      </x:c>
    </x:row>
    <x:row r="27" ht="54" customHeight="1">
      <x:c r="A27" s="32" t="n">
        <x:v>21</x:v>
      </x:c>
      <x:c r="B27" s="34" t="str">
        <x:v>ND30.D.TY.TRICH_YEU_CV</x:v>
      </x:c>
      <x:c r="C27" s="36" t="str">
        <x:v>Đầu văn bản</x:v>
      </x:c>
      <x:c r="D27" s="36" t="str">
        <x:v>Tên loại và trích yếu</x:v>
      </x:c>
      <x:c r="E27" s="28" t="str">
        <x:v>Nội dung trích yếu công văn</x:v>
      </x:c>
      <x:c r="F27" s="28" t="str">
        <x:v>5b</x:v>
      </x:c>
      <x:c r="G27" s="28" t="str">
        <x:v>Chỉ công văn; vị trí ô 5b dưới số, ký hiệu</x:v>
      </x:c>
      <x:c r="H27" s="28" t="str">
        <x:v>Nội dung trích yếu công văn</x:v>
      </x:c>
      <x:c r="I27" s="28" t="str">
        <x:v>Times New Roman; Unicode; màu đen</x:v>
      </x:c>
      <x:c r="J27" s="28" t="str">
        <x:v>12–13</x:v>
      </x:c>
      <x:c r="K27" s="28" t="str">
        <x:v>In thường</x:v>
      </x:c>
      <x:c r="L27" s="28" t="str">
        <x:v>Không</x:v>
      </x:c>
      <x:c r="M27" s="28" t="str">
        <x:v>Không</x:v>
      </x:c>
      <x:c r="N27" s="28" t="str">
        <x:v>Cân đối dưới số/ký hiệu tại ô 5b</x:v>
      </x:c>
      <x:c r="O27" s="28"/>
      <x:c r="P27" s="28"/>
      <x:c r="Q27" s="28"/>
      <x:c r="R27" s="28" t="str">
        <x:v>Một/một số text run bên dưới số và ký hiệu</x:v>
      </x:c>
      <x:c r="S27" s="28" t="str">
        <x:v>Trích yếu công văn mở bằng “V/v”; trình bày cân đối dưới số/ký hiệu (ô 5b); kiểm tra khoảng cách theo Phụ lục I</x:v>
      </x:c>
      <x:c r="T27" s="28" t="str">
        <x:v>NĐ30, Phụ lục I, Phần I, II.5; V.5</x:v>
      </x:c>
      <x:c r="U27" s="28" t="str">
        <x:v>https://datafiles.chinhphu.vn/cpp/files/vbpq/2020/03/30.signed.pdf</x:v>
      </x:c>
      <x:c r="V27" s="28" t="str">
        <x:v>https://riam.edu.vn/nghi-dinh-ve-cong-tac-van-thu-phu-luc/</x:v>
      </x:c>
      <x:c r="W27" s="28" t="str">
        <x:v>ĐỐI CHIẾU MỘT PHẦN</x:v>
      </x:c>
      <x:c r="X27" s="28" t="str">
        <x:v>READ_ONLY</x:v>
      </x:c>
      <x:c r="Y27" s="28" t="str">
        <x:v>Không tự chèn/sửa khi chưa có chứng cứ về đối tượng và rule.</x:v>
      </x:c>
    </x:row>
    <x:row r="28" ht="54" customHeight="1">
      <x:c r="A28" s="32" t="n">
        <x:v>22</x:v>
      </x:c>
      <x:c r="B28" s="34" t="str">
        <x:v>ND30.D.NHAN.KINH_GUI</x:v>
      </x:c>
      <x:c r="C28" s="36" t="str">
        <x:v>Đầu văn bản</x:v>
      </x:c>
      <x:c r="D28" s="36" t="str">
        <x:v>Người nhận trực tiếp đầu văn bản</x:v>
      </x:c>
      <x:c r="E28" s="28" t="str">
        <x:v>Nhãn Kính gửi:</x:v>
      </x:c>
      <x:c r="F28" s="28" t="str">
        <x:v>9a</x:v>
      </x:c>
      <x:c r="G28" s="28" t="str">
        <x:v>Công văn; hoặc Tờ trình/Báo cáo cấp dưới gửi cấp trên theo ND30</x:v>
      </x:c>
      <x:c r="H28" s="28" t="str">
        <x:v>Nhãn người nhận trực tiếp với dấu hai chấm</x:v>
      </x:c>
      <x:c r="I28" s="28" t="str">
        <x:v>Times New Roman; Unicode; màu đen</x:v>
      </x:c>
      <x:c r="J28" s="28" t="str">
        <x:v>13–14</x:v>
      </x:c>
      <x:c r="K28" s="28" t="str">
        <x:v>In thường</x:v>
      </x:c>
      <x:c r="L28" s="28" t="str">
        <x:v>Không</x:v>
      </x:c>
      <x:c r="M28" s="28" t="str">
        <x:v>Không</x:v>
      </x:c>
      <x:c r="N28" s="28" t="str">
        <x:v>Vị trí đầu nội dung theo mẫu</x:v>
      </x:c>
      <x:c r="O28" s="28"/>
      <x:c r="P28" s="28"/>
      <x:c r="Q28" s="28"/>
      <x:c r="R28" s="28" t="str">
        <x:v>Paragraph/text run; không tự đổi nhãn khác chế độ</x:v>
      </x:c>
      <x:c r="S28" s="28" t="str">
        <x:v>Kính gửi:</x:v>
      </x:c>
      <x:c r="T28" s="28" t="str">
        <x:v>NĐ30, Phụ lục I, Phần I, II.9; V.8.a</x:v>
      </x:c>
      <x:c r="U28" s="28" t="str">
        <x:v>https://datafiles.chinhphu.vn/cpp/files/vbpq/2020/03/30.signed.pdf</x:v>
      </x:c>
      <x:c r="V28" s="28" t="str">
        <x:v>https://riam.edu.vn/nghi-dinh-ve-cong-tac-van-thu-phu-luc/</x:v>
      </x:c>
      <x:c r="W28" s="28" t="str">
        <x:v>ĐỐI CHIẾU MỘT PHẦN</x:v>
      </x:c>
      <x:c r="X28" s="28" t="str">
        <x:v>READ_ONLY</x:v>
      </x:c>
      <x:c r="Y28" s="28" t="str">
        <x:v>Không tự chèn/sửa khi chưa có chứng cứ về đối tượng và rule.</x:v>
      </x:c>
    </x:row>
    <x:row r="29" ht="54" customHeight="1">
      <x:c r="A29" s="32" t="n">
        <x:v>23</x:v>
      </x:c>
      <x:c r="B29" s="34" t="str">
        <x:v>ND30.D.NHAN.DS_KINH_GUI</x:v>
      </x:c>
      <x:c r="C29" s="36" t="str">
        <x:v>Đầu văn bản</x:v>
      </x:c>
      <x:c r="D29" s="36" t="str">
        <x:v>Người nhận trực tiếp đầu văn bản</x:v>
      </x:c>
      <x:c r="E29" s="28" t="str">
        <x:v>Danh sách người nhận trực tiếp</x:v>
      </x:c>
      <x:c r="F29" s="28" t="str">
        <x:v>9a</x:v>
      </x:c>
      <x:c r="G29" s="28" t="str">
        <x:v>Công văn; hoặc Tờ trình/Báo cáo cấp dưới gửi cấp trên theo ND30</x:v>
      </x:c>
      <x:c r="H29" s="28" t="str">
        <x:v>Danh sách đối tượng nhận trực tiếp theo chủ thể đã xác minh</x:v>
      </x:c>
      <x:c r="I29" s="28" t="str">
        <x:v>Times New Roman; Unicode; màu đen</x:v>
      </x:c>
      <x:c r="J29" s="28" t="str">
        <x:v>13–14</x:v>
      </x:c>
      <x:c r="K29" s="28" t="str">
        <x:v>In thường</x:v>
      </x:c>
      <x:c r="L29" s="28" t="str">
        <x:v>Không</x:v>
      </x:c>
      <x:c r="M29" s="28" t="str">
        <x:v>Không</x:v>
      </x:c>
      <x:c r="N29" s="28" t="str">
        <x:v>Vị trí đầu nội dung theo mẫu</x:v>
      </x:c>
      <x:c r="O29" s="28"/>
      <x:c r="P29" s="28"/>
      <x:c r="Q29" s="28"/>
      <x:c r="R29" s="28" t="str">
        <x:v>Văn bản/OOXML: xác định đối tượng trước khi sửa</x:v>
      </x:c>
      <x:c r="S29" s="28" t="str">
        <x:v>Nhiều nơi: chấm phẩy giữa các nơi, dấu kết thúc theo mẫu</x:v>
      </x:c>
      <x:c r="T29" s="28" t="str">
        <x:v>NĐ30, Phụ lục I, Phần I, II.9; V.8.a</x:v>
      </x:c>
      <x:c r="U29" s="28" t="str">
        <x:v>https://datafiles.chinhphu.vn/cpp/files/vbpq/2020/03/30.signed.pdf</x:v>
      </x:c>
      <x:c r="V29" s="28" t="str">
        <x:v>https://riam.edu.vn/nghi-dinh-ve-cong-tac-van-thu-phu-luc/</x:v>
      </x:c>
      <x:c r="W29" s="28" t="str">
        <x:v>ĐỐI CHIẾU MỘT PHẦN</x:v>
      </x:c>
      <x:c r="X29" s="28" t="str">
        <x:v>KHÔNG TỰ ĐIỀN NGƯỜI NHẬN</x:v>
      </x:c>
      <x:c r="Y29" s="28" t="str">
        <x:v>Không tự chèn/sửa khi chưa có chứng cứ về đối tượng và rule.</x:v>
      </x:c>
    </x:row>
    <x:row r="30" ht="54" customHeight="1">
      <x:c r="A30" s="32" t="n">
        <x:v>24</x:v>
      </x:c>
      <x:c r="B30" s="34" t="str">
        <x:v>ND30.N.MD.MO_DAU</x:v>
      </x:c>
      <x:c r="C30" s="38" t="str">
        <x:v>Nội dung</x:v>
      </x:c>
      <x:c r="D30" s="38" t="str">
        <x:v>Mở đầu và căn cứ</x:v>
      </x:c>
      <x:c r="E30" s="28" t="str">
        <x:v>Đoạn dẫn nhập</x:v>
      </x:c>
      <x:c r="F30" s="28" t="str">
        <x:v>6</x:v>
      </x:c>
      <x:c r="G30" s="28" t="str">
        <x:v>CHƯA ĐỊNH TUYẾN: xác nhận chế độ + loại văn bản + chủ thể + ngày áp dụng trước khi xét rule</x:v>
      </x:c>
      <x:c r="H30" s="28" t="str">
        <x:v>Dẫn nhập/câu mở đầu theo loại văn bản và nghĩa vụ nội dung</x:v>
      </x:c>
      <x:c r="I30" s="28" t="str">
        <x:v>Times New Roman; Unicode; màu đen</x:v>
      </x:c>
      <x:c r="J30" s="28" t="str">
        <x:v>13–14</x:v>
      </x:c>
      <x:c r="K30" s="28" t="str">
        <x:v>In thường (trừ tiêu đề)</x:v>
      </x:c>
      <x:c r="L30" s="28" t="str">
        <x:v>Không mặc định</x:v>
      </x:c>
      <x:c r="M30" s="28" t="str">
        <x:v>Không mặc định</x:v>
      </x:c>
      <x:c r="N30" s="28" t="str">
        <x:v>Justify cho lời văn</x:v>
      </x:c>
      <x:c r="O30" s="28" t="str">
        <x:v>Dòng: single–1,5 lines; đoạn: ≥6 pt</x:v>
      </x:c>
      <x:c r="P30" s="28" t="str">
        <x:v>First line: 1 hoặc 1,27 cm</x:v>
      </x:c>
      <x:c r="Q30" s="28"/>
      <x:c r="R30" s="28" t="str">
        <x:v>Paragraph/Run theo kiểu khối MD; preserve list numbering/table/drawing nếu có</x:v>
      </x:c>
      <x:c r="S30" s="28" t="str">
        <x:v>Cỡ chữ 13–14 pt; không mặc định Exactly 19 pt</x:v>
      </x:c>
      <x:c r="T30" s="28" t="str">
        <x:v>NĐ30, Phụ lục I, Phần I, II.6; V.6</x:v>
      </x:c>
      <x:c r="U30" s="28" t="str">
        <x:v>https://datafiles.chinhphu.vn/cpp/files/vbpq/2020/03/30.signed.pdf</x:v>
      </x:c>
      <x:c r="V30" s="28" t="str">
        <x:v>https://riam.edu.vn/nghi-dinh-ve-cong-tac-van-thu-phu-luc/</x:v>
      </x:c>
      <x:c r="W30" s="28" t="str">
        <x:v>CHƯA ĐỦ BẰNG CHỨNG</x:v>
      </x:c>
      <x:c r="X30" s="28" t="str">
        <x:v>CHỈ SAU REVIEW</x:v>
      </x:c>
      <x:c r="Y30" s="28" t="str">
        <x:v>Không tự chèn/sửa khi chưa có chứng cứ về đối tượng và rule. | Trạng thái v1.0: CÓ ĐIỀU KIỆN</x:v>
      </x:c>
    </x:row>
    <x:row r="31" ht="54" customHeight="1">
      <x:c r="A31" s="32" t="n">
        <x:v>25</x:v>
      </x:c>
      <x:c r="B31" s="34" t="str">
        <x:v>ND30.N.MD.CAN_CU</x:v>
      </x:c>
      <x:c r="C31" s="38" t="str">
        <x:v>Nội dung</x:v>
      </x:c>
      <x:c r="D31" s="38" t="str">
        <x:v>Mở đầu và căn cứ</x:v>
      </x:c>
      <x:c r="E31" s="28" t="str">
        <x:v>Căn cứ ban hành</x:v>
      </x:c>
      <x:c r="F31" s="28" t="str">
        <x:v>6</x:v>
      </x:c>
      <x:c r="G31" s="28" t="str">
        <x:v>CHƯA ĐỊNH TUYẾN: xác nhận chế độ + loại văn bản + chủ thể + ngày áp dụng trước khi xét rule</x:v>
      </x:c>
      <x:c r="H31" s="28" t="str">
        <x:v>Căn cứ theo loại văn bản; không áp dụng một style cho mọi loại</x:v>
      </x:c>
      <x:c r="I31" s="28" t="str">
        <x:v>Times New Roman; Unicode; màu đen</x:v>
      </x:c>
      <x:c r="J31" s="28" t="str">
        <x:v>13–14</x:v>
      </x:c>
      <x:c r="K31" s="28" t="str">
        <x:v>In thường (trừ tiêu đề)</x:v>
      </x:c>
      <x:c r="L31" s="28" t="str">
        <x:v>Không mặc định</x:v>
      </x:c>
      <x:c r="M31" s="28" t="str">
        <x:v>Có điều kiện</x:v>
      </x:c>
      <x:c r="N31" s="28" t="str">
        <x:v>Justify cho lời văn</x:v>
      </x:c>
      <x:c r="O31" s="28" t="str">
        <x:v>Dòng: single–1,5 lines; đoạn: ≥6 pt</x:v>
      </x:c>
      <x:c r="P31" s="28" t="str">
        <x:v>First line: 1 hoặc 1,27 cm</x:v>
      </x:c>
      <x:c r="Q31" s="28"/>
      <x:c r="R31" s="28" t="str">
        <x:v>Paragraph/Run theo kiểu khối MD; preserve list numbering/table/drawing nếu có</x:v>
      </x:c>
      <x:c r="S31" s="28" t="str">
        <x:v>Nếu loại văn bản/mẫu yêu cầu phần căn cứ ban hành: từng căn cứ xuống dòng, kết thúc bằng “;”, căn cứ cuối bằng “.”; phân biệt căn cứ với câu mở đầu khác</x:v>
      </x:c>
      <x:c r="T31" s="28" t="str">
        <x:v>NĐ30, Phụ lục I, Phần I, mục II.6.a; đối chiếu Phụ lục III theo tên loại</x:v>
      </x:c>
      <x:c r="U31" s="28" t="str">
        <x:v>https://datafiles.chinhphu.vn/cpp/files/vbpq/2020/03/30.signed.pdf</x:v>
      </x:c>
      <x:c r="V31" s="28" t="str">
        <x:v>https://riam.edu.vn/nghi-dinh-ve-cong-tac-van-thu-phu-luc/</x:v>
      </x:c>
      <x:c r="W31" s="28" t="str">
        <x:v>CHƯA ĐỦ BẰNG CHỨNG</x:v>
      </x:c>
      <x:c r="X31" s="28" t="str">
        <x:v>CHỈ SAU REVIEW</x:v>
      </x:c>
      <x:c r="Y31" s="28" t="str">
        <x:v>Không tự chèn/sửa khi chưa có chứng cứ về đối tượng và rule. | Trạng thái v1.0: CÓ ĐIỀU KIỆN</x:v>
      </x:c>
    </x:row>
    <x:row r="32" ht="54" customHeight="1">
      <x:c r="A32" s="32" t="n">
        <x:v>26</x:v>
      </x:c>
      <x:c r="B32" s="34" t="str">
        <x:v>ND30.N.DM.PHAN</x:v>
      </x:c>
      <x:c r="C32" s="38" t="str">
        <x:v>Nội dung</x:v>
      </x:c>
      <x:c r="D32" s="38" t="str">
        <x:v>Đề mục</x:v>
      </x:c>
      <x:c r="E32" s="28" t="str">
        <x:v>Phần</x:v>
      </x:c>
      <x:c r="F32" s="28" t="str">
        <x:v>6</x:v>
      </x:c>
      <x:c r="G32" s="28" t="str">
        <x:v>CHƯA ĐỊNH TUYẾN: xác nhận chế độ + loại văn bản + chủ thể + ngày áp dụng trước khi xét rule</x:v>
      </x:c>
      <x:c r="H32" s="28" t="str">
        <x:v>Nhận diện số thứ tự và tiêu đề; tiêu đề phần/chương in hoa, đậm</x:v>
      </x:c>
      <x:c r="I32" s="28" t="str">
        <x:v>Times New Roman; Unicode; màu đen</x:v>
      </x:c>
      <x:c r="J32" s="28" t="str">
        <x:v>13–14</x:v>
      </x:c>
      <x:c r="K32" s="28" t="str">
        <x:v>Nhãn thường; tiêu đề IN HOA</x:v>
      </x:c>
      <x:c r="L32" s="28" t="str">
        <x:v>Có với nhãn và tiêu đề cấp mục</x:v>
      </x:c>
      <x:c r="M32" s="28" t="str">
        <x:v>Không mặc định</x:v>
      </x:c>
      <x:c r="N32" s="28" t="str">
        <x:v>Center ở nhãn/tiêu đề cấu trúc; phụ thuộc biến thể</x:v>
      </x:c>
      <x:c r="O32" s="28" t="str">
        <x:v>Dòng: single–1,5 lines; đoạn: ≥6 pt</x:v>
      </x:c>
      <x:c r="P32" s="28" t="str">
        <x:v>Thụt đầu dòng: theo quy định riêng cho tiêu đề/đề mục; KHÔNG kế thừa mặc định lời văn</x:v>
      </x:c>
      <x:c r="Q32" s="28"/>
      <x:c r="R32" s="28" t="str">
        <x:v>Paragraph/Run theo kiểu khối DM; preserve list numbering/table/drawing nếu có</x:v>
      </x:c>
      <x:c r="S32" s="28" t="str">
        <x:v>Từ “Phần” và số thứ tự phần dùng chữ số La Mã; dùng rule NĐ30 khi mẫu có phần</x:v>
      </x:c>
      <x:c r="T32" s="28" t="str">
        <x:v>NĐ30, Phụ lục I, Phần I, II.6; V.6</x:v>
      </x:c>
      <x:c r="U32" s="28" t="str">
        <x:v>https://datafiles.chinhphu.vn/cpp/files/vbpq/2020/03/30.signed.pdf</x:v>
      </x:c>
      <x:c r="V32" s="28" t="str">
        <x:v>https://riam.edu.vn/nghi-dinh-ve-cong-tac-van-thu-phu-luc/</x:v>
      </x:c>
      <x:c r="W32" s="28" t="str">
        <x:v>CHƯA ĐỦ BẰNG CHỨNG</x:v>
      </x:c>
      <x:c r="X32" s="28" t="str">
        <x:v>CHỈ SAU REVIEW</x:v>
      </x:c>
      <x:c r="Y32" s="28" t="str">
        <x:v>Không tự chèn/sửa khi chưa có chứng cứ về đối tượng và rule. | Trạng thái v1.0: CÓ ĐIỀU KIỆN | So sánh chéo cũ (không dùng làm rule): NĐ30 dùng số La Mã cho Phần/Chương; HD05 theo dạng văn bản</x:v>
      </x:c>
    </x:row>
    <x:row r="33" ht="54" customHeight="1">
      <x:c r="A33" s="32" t="n">
        <x:v>27</x:v>
      </x:c>
      <x:c r="B33" s="34" t="str">
        <x:v>ND30.N.DM.CHUONG</x:v>
      </x:c>
      <x:c r="C33" s="38" t="str">
        <x:v>Nội dung</x:v>
      </x:c>
      <x:c r="D33" s="38" t="str">
        <x:v>Đề mục</x:v>
      </x:c>
      <x:c r="E33" s="28" t="str">
        <x:v>Chương</x:v>
      </x:c>
      <x:c r="F33" s="28" t="str">
        <x:v>6</x:v>
      </x:c>
      <x:c r="G33" s="28" t="str">
        <x:v>CHƯA ĐỊNH TUYẾN: xác nhận chế độ + loại văn bản + chủ thể + ngày áp dụng trước khi xét rule</x:v>
      </x:c>
      <x:c r="H33" s="28" t="str">
        <x:v>Nhận diện số thứ tự và tiêu đề; tiêu đề phần/chương in hoa, đậm</x:v>
      </x:c>
      <x:c r="I33" s="28" t="str">
        <x:v>Times New Roman; Unicode; màu đen</x:v>
      </x:c>
      <x:c r="J33" s="28" t="str">
        <x:v>13–14</x:v>
      </x:c>
      <x:c r="K33" s="28" t="str">
        <x:v>Nhãn thường; tiêu đề IN HOA</x:v>
      </x:c>
      <x:c r="L33" s="28" t="str">
        <x:v>Có với nhãn và tiêu đề cấp mục</x:v>
      </x:c>
      <x:c r="M33" s="28" t="str">
        <x:v>Không mặc định</x:v>
      </x:c>
      <x:c r="N33" s="28" t="str">
        <x:v>Center ở nhãn/tiêu đề cấu trúc; phụ thuộc biến thể</x:v>
      </x:c>
      <x:c r="O33" s="28" t="str">
        <x:v>Dòng: single–1,5 lines; đoạn: ≥6 pt</x:v>
      </x:c>
      <x:c r="P33" s="28" t="str">
        <x:v>Thụt đầu dòng: theo quy định riêng cho tiêu đề/đề mục; KHÔNG kế thừa mặc định lời văn</x:v>
      </x:c>
      <x:c r="Q33" s="28"/>
      <x:c r="R33" s="28" t="str">
        <x:v>Paragraph/Run theo kiểu khối DM; preserve list numbering/table/drawing nếu có</x:v>
      </x:c>
      <x:c r="S33" s="28" t="str">
        <x:v>Từ “Chương” và số thứ tự chương dùng chữ số La Mã; dùng rule NĐ30 khi mẫu có chương</x:v>
      </x:c>
      <x:c r="T33" s="28" t="str">
        <x:v>NĐ30, Phụ lục I, Phần I, II.6; V.6</x:v>
      </x:c>
      <x:c r="U33" s="28" t="str">
        <x:v>https://datafiles.chinhphu.vn/cpp/files/vbpq/2020/03/30.signed.pdf</x:v>
      </x:c>
      <x:c r="V33" s="28" t="str">
        <x:v>https://riam.edu.vn/nghi-dinh-ve-cong-tac-van-thu-phu-luc/</x:v>
      </x:c>
      <x:c r="W33" s="28" t="str">
        <x:v>CHƯA ĐỦ BẰNG CHỨNG</x:v>
      </x:c>
      <x:c r="X33" s="28" t="str">
        <x:v>CHỈ SAU REVIEW</x:v>
      </x:c>
      <x:c r="Y33" s="28" t="str">
        <x:v>Không tự chèn/sửa khi chưa có chứng cứ về đối tượng và rule. | Trạng thái v1.0: CÓ ĐIỀU KIỆN | So sánh chéo cũ (không dùng làm rule): NĐ30 dùng số La Mã cho Phần/Chương; HD05 theo dạng văn bản</x:v>
      </x:c>
    </x:row>
    <x:row r="34" ht="54" customHeight="1">
      <x:c r="A34" s="32" t="n">
        <x:v>28</x:v>
      </x:c>
      <x:c r="B34" s="34" t="str">
        <x:v>ND30.N.DM.MUC</x:v>
      </x:c>
      <x:c r="C34" s="38" t="str">
        <x:v>Nội dung</x:v>
      </x:c>
      <x:c r="D34" s="38" t="str">
        <x:v>Đề mục</x:v>
      </x:c>
      <x:c r="E34" s="28" t="str">
        <x:v>Mục</x:v>
      </x:c>
      <x:c r="F34" s="28" t="str">
        <x:v>6</x:v>
      </x:c>
      <x:c r="G34" s="28" t="str">
        <x:v>CHƯA ĐỊNH TUYẾN: xác nhận chế độ + loại văn bản + chủ thể + ngày áp dụng trước khi xét rule</x:v>
      </x:c>
      <x:c r="H34" s="28" t="str">
        <x:v>Nhận diện số/tên Mục, Tiểu mục; xác minh biến thể</x:v>
      </x:c>
      <x:c r="I34" s="28" t="str">
        <x:v>Times New Roman; Unicode; màu đen</x:v>
      </x:c>
      <x:c r="J34" s="28" t="str">
        <x:v>13–14</x:v>
      </x:c>
      <x:c r="K34" s="28" t="str">
        <x:v>Nhãn thường; tiêu đề IN HOA</x:v>
      </x:c>
      <x:c r="L34" s="28" t="str">
        <x:v>Có với nhãn và tiêu đề cấp mục</x:v>
      </x:c>
      <x:c r="M34" s="28" t="str">
        <x:v>Không mặc định</x:v>
      </x:c>
      <x:c r="N34" s="28" t="str">
        <x:v>Center ở nhãn/tiêu đề cấu trúc; phụ thuộc biến thể</x:v>
      </x:c>
      <x:c r="O34" s="28" t="str">
        <x:v>Dòng: single–1,5 lines; đoạn: ≥6 pt</x:v>
      </x:c>
      <x:c r="P34" s="28" t="str">
        <x:v>Thụt đầu dòng: theo quy định riêng cho tiêu đề/đề mục; KHÔNG kế thừa mặc định lời văn</x:v>
      </x:c>
      <x:c r="Q34" s="28"/>
      <x:c r="R34" s="28" t="str">
        <x:v>Paragraph/Run theo kiểu khối DM; preserve list numbering/table/drawing nếu có</x:v>
      </x:c>
      <x:c r="S34" s="28" t="str">
        <x:v>NĐ30 nhãn số Ả Rập và title IN HOA khi áp bố cục có Chương/Mục</x:v>
      </x:c>
      <x:c r="T34" s="28" t="str">
        <x:v>NĐ30, Phụ lục I, Phần I, II.6; V.6</x:v>
      </x:c>
      <x:c r="U34" s="28" t="str">
        <x:v>https://datafiles.chinhphu.vn/cpp/files/vbpq/2020/03/30.signed.pdf</x:v>
      </x:c>
      <x:c r="V34" s="28" t="str">
        <x:v>https://riam.edu.vn/nghi-dinh-ve-cong-tac-van-thu-phu-luc/</x:v>
      </x:c>
      <x:c r="W34" s="28" t="str">
        <x:v>CHƯA ĐỦ BẰNG CHỨNG</x:v>
      </x:c>
      <x:c r="X34" s="28" t="str">
        <x:v>CHỈ SAU REVIEW</x:v>
      </x:c>
      <x:c r="Y34" s="28" t="str">
        <x:v>Không tự chèn/sửa khi chưa có chứng cứ về đối tượng và rule. | Trạng thái v1.0: CÓ ĐIỀU KIỆN</x:v>
      </x:c>
    </x:row>
    <x:row r="35" ht="54" customHeight="1">
      <x:c r="A35" s="32" t="n">
        <x:v>29</x:v>
      </x:c>
      <x:c r="B35" s="34" t="str">
        <x:v>ND30.N.DM.TIEU_MUC</x:v>
      </x:c>
      <x:c r="C35" s="38" t="str">
        <x:v>Nội dung</x:v>
      </x:c>
      <x:c r="D35" s="38" t="str">
        <x:v>Đề mục</x:v>
      </x:c>
      <x:c r="E35" s="28" t="str">
        <x:v>Tiểu mục</x:v>
      </x:c>
      <x:c r="F35" s="28" t="str">
        <x:v>6</x:v>
      </x:c>
      <x:c r="G35" s="28" t="str">
        <x:v>CHƯA ĐỊNH TUYẾN: xác nhận chế độ + loại văn bản + chủ thể + ngày áp dụng trước khi xét rule</x:v>
      </x:c>
      <x:c r="H35" s="28" t="str">
        <x:v>Nhận diện số/tên Mục, Tiểu mục; xác minh biến thể</x:v>
      </x:c>
      <x:c r="I35" s="28" t="str">
        <x:v>Times New Roman; Unicode; màu đen</x:v>
      </x:c>
      <x:c r="J35" s="28" t="str">
        <x:v>13–14</x:v>
      </x:c>
      <x:c r="K35" s="28" t="str">
        <x:v>Nhãn thường; tiêu đề IN HOA</x:v>
      </x:c>
      <x:c r="L35" s="28" t="str">
        <x:v>Có với nhãn và tiêu đề cấp mục</x:v>
      </x:c>
      <x:c r="M35" s="28" t="str">
        <x:v>Không mặc định</x:v>
      </x:c>
      <x:c r="N35" s="28" t="str">
        <x:v>Center ở nhãn/tiêu đề cấu trúc; phụ thuộc biến thể</x:v>
      </x:c>
      <x:c r="O35" s="28" t="str">
        <x:v>Dòng: single–1,5 lines; đoạn: ≥6 pt</x:v>
      </x:c>
      <x:c r="P35" s="28" t="str">
        <x:v>Thụt đầu dòng: theo quy định riêng cho tiêu đề/đề mục; KHÔNG kế thừa mặc định lời văn</x:v>
      </x:c>
      <x:c r="Q35" s="28"/>
      <x:c r="R35" s="28" t="str">
        <x:v>Paragraph/Run theo kiểu khối DM; preserve list numbering/table/drawing nếu có</x:v>
      </x:c>
      <x:c r="S35" s="28" t="str">
        <x:v>NĐ30 nhãn số Ả Rập và title IN HOA khi áp bố cục có Chương/Mục</x:v>
      </x:c>
      <x:c r="T35" s="28" t="str">
        <x:v>NĐ30, Phụ lục I, Phần I, II.6; V.6</x:v>
      </x:c>
      <x:c r="U35" s="28" t="str">
        <x:v>https://datafiles.chinhphu.vn/cpp/files/vbpq/2020/03/30.signed.pdf</x:v>
      </x:c>
      <x:c r="V35" s="28" t="str">
        <x:v>https://riam.edu.vn/nghi-dinh-ve-cong-tac-van-thu-phu-luc/</x:v>
      </x:c>
      <x:c r="W35" s="28" t="str">
        <x:v>CHƯA ĐỦ BẰNG CHỨNG</x:v>
      </x:c>
      <x:c r="X35" s="28" t="str">
        <x:v>CHỈ SAU REVIEW</x:v>
      </x:c>
      <x:c r="Y35" s="28" t="str">
        <x:v>Không tự chèn/sửa khi chưa có chứng cứ về đối tượng và rule. | Trạng thái v1.0: CÓ ĐIỀU KIỆN</x:v>
      </x:c>
    </x:row>
    <x:row r="36" ht="54" customHeight="1">
      <x:c r="A36" s="32" t="n">
        <x:v>30</x:v>
      </x:c>
      <x:c r="B36" s="34" t="str">
        <x:v>ND30.N.DIEU.SO_DIEU</x:v>
      </x:c>
      <x:c r="C36" s="38" t="str">
        <x:v>Nội dung</x:v>
      </x:c>
      <x:c r="D36" s="38" t="str">
        <x:v>Điều</x:v>
      </x:c>
      <x:c r="E36" s="28" t="str">
        <x:v>Số điều</x:v>
      </x:c>
      <x:c r="F36" s="28" t="str">
        <x:v>6</x:v>
      </x:c>
      <x:c r="G36" s="28" t="str">
        <x:v>CHƯA ĐỊNH TUYẾN: xác nhận chế độ + loại văn bản + chủ thể + ngày áp dụng trước khi xét rule</x:v>
      </x:c>
      <x:c r="H36" s="28" t="str">
        <x:v>Số điều</x:v>
      </x:c>
      <x:c r="I36" s="28" t="str">
        <x:v>Times New Roman; Unicode; màu đen</x:v>
      </x:c>
      <x:c r="J36" s="28" t="str">
        <x:v>13–14</x:v>
      </x:c>
      <x:c r="K36" s="28" t="str">
        <x:v>In thường</x:v>
      </x:c>
      <x:c r="L36" s="28" t="str">
        <x:v>Có với từ Điều + số + tên điều</x:v>
      </x:c>
      <x:c r="M36" s="28" t="str">
        <x:v>Không mặc định</x:v>
      </x:c>
      <x:c r="N36" s="28" t="str">
        <x:v>Theo cấu trúc Điều</x:v>
      </x:c>
      <x:c r="O36" s="28" t="str">
        <x:v>Dòng: single–1,5 lines; đoạn: ≥6 pt</x:v>
      </x:c>
      <x:c r="P36" s="28" t="str">
        <x:v>First line: 1 hoặc 1,27 cm</x:v>
      </x:c>
      <x:c r="Q36" s="28"/>
      <x:c r="R36" s="28" t="str">
        <x:v>Paragraph/Run theo kiểu khối DIEU; preserve list numbering/table/drawing nếu có</x:v>
      </x:c>
      <x:c r="S36" s="28" t="str">
        <x:v>Điều và số điều dạng “Điều 1.”; phải đối chiếu kiểu chữ với NĐ30, Phụ lục I, mục II.6</x:v>
      </x:c>
      <x:c r="T36" s="28" t="str">
        <x:v>NĐ30, Phụ lục I, Phần I, II.6; V.6</x:v>
      </x:c>
      <x:c r="U36" s="28" t="str">
        <x:v>https://datafiles.chinhphu.vn/cpp/files/vbpq/2020/03/30.signed.pdf</x:v>
      </x:c>
      <x:c r="V36" s="28" t="str">
        <x:v>https://riam.edu.vn/nghi-dinh-ve-cong-tac-van-thu-phu-luc/</x:v>
      </x:c>
      <x:c r="W36" s="28" t="str">
        <x:v>CHƯA ĐỦ BẰNG CHỨNG</x:v>
      </x:c>
      <x:c r="X36" s="28" t="str">
        <x:v>CHỈ SAU REVIEW</x:v>
      </x:c>
      <x:c r="Y36" s="28" t="str">
        <x:v>Không tự chèn/sửa khi chưa có chứng cứ về đối tượng và rule. | Trạng thái v1.0: CÓ ĐIỀU KIỆN | So sánh chéo cũ (không dùng làm rule): NĐ30: “Điều 1.”; phần nhãn/tên đậm; HD05 tương ứng Phụ lục 2</x:v>
      </x:c>
    </x:row>
    <x:row r="37" ht="54" customHeight="1">
      <x:c r="A37" s="32" t="n">
        <x:v>31</x:v>
      </x:c>
      <x:c r="B37" s="34" t="str">
        <x:v>ND30.N.DIEU.TEN_DIEU</x:v>
      </x:c>
      <x:c r="C37" s="38" t="str">
        <x:v>Nội dung</x:v>
      </x:c>
      <x:c r="D37" s="38" t="str">
        <x:v>Điều</x:v>
      </x:c>
      <x:c r="E37" s="28" t="str">
        <x:v>Tên điều</x:v>
      </x:c>
      <x:c r="F37" s="28" t="str">
        <x:v>6</x:v>
      </x:c>
      <x:c r="G37" s="28" t="str">
        <x:v>CHƯA ĐỊNH TUYẾN: xác nhận chế độ + loại văn bản + chủ thể + ngày áp dụng trước khi xét rule</x:v>
      </x:c>
      <x:c r="H37" s="28" t="str">
        <x:v>Tên điều</x:v>
      </x:c>
      <x:c r="I37" s="28" t="str">
        <x:v>Times New Roman; Unicode; màu đen</x:v>
      </x:c>
      <x:c r="J37" s="28" t="str">
        <x:v>13–14</x:v>
      </x:c>
      <x:c r="K37" s="28" t="str">
        <x:v>In thường</x:v>
      </x:c>
      <x:c r="L37" s="28" t="str">
        <x:v>Có với từ Điều + số + tên điều</x:v>
      </x:c>
      <x:c r="M37" s="28" t="str">
        <x:v>Không mặc định</x:v>
      </x:c>
      <x:c r="N37" s="28" t="str">
        <x:v>Theo cấu trúc Điều</x:v>
      </x:c>
      <x:c r="O37" s="28" t="str">
        <x:v>Dòng: single–1,5 lines; đoạn: ≥6 pt</x:v>
      </x:c>
      <x:c r="P37" s="28" t="str">
        <x:v>First line: 1 hoặc 1,27 cm</x:v>
      </x:c>
      <x:c r="Q37" s="28"/>
      <x:c r="R37" s="28" t="str">
        <x:v>Paragraph/Run theo kiểu khối DIEU; preserve list numbering/table/drawing nếu có</x:v>
      </x:c>
      <x:c r="S37" s="28" t="str">
        <x:v>Tên điều theo bố cục của văn bản có điều; không suy từ quy định của hệ Đảng</x:v>
      </x:c>
      <x:c r="T37" s="28" t="str">
        <x:v>NĐ30, Phụ lục I, Phần I, II.6; V.6</x:v>
      </x:c>
      <x:c r="U37" s="28" t="str">
        <x:v>https://datafiles.chinhphu.vn/cpp/files/vbpq/2020/03/30.signed.pdf</x:v>
      </x:c>
      <x:c r="V37" s="28" t="str">
        <x:v>https://riam.edu.vn/nghi-dinh-ve-cong-tac-van-thu-phu-luc/</x:v>
      </x:c>
      <x:c r="W37" s="28" t="str">
        <x:v>CHƯA ĐỦ BẰNG CHỨNG</x:v>
      </x:c>
      <x:c r="X37" s="28" t="str">
        <x:v>CHỈ SAU REVIEW</x:v>
      </x:c>
      <x:c r="Y37" s="28" t="str">
        <x:v>Không tự chèn/sửa khi chưa có chứng cứ về đối tượng và rule. | Trạng thái v1.0: CÓ ĐIỀU KIỆN | So sánh chéo cũ (không dùng làm rule): NĐ30: “Điều 1.”; phần nhãn/tên đậm; HD05 tương ứng Phụ lục 2</x:v>
      </x:c>
    </x:row>
    <x:row r="38" ht="54" customHeight="1">
      <x:c r="A38" s="32" t="n">
        <x:v>32</x:v>
      </x:c>
      <x:c r="B38" s="34" t="str">
        <x:v>ND30.N.DIEU.NOI_DUNG_DIEU</x:v>
      </x:c>
      <x:c r="C38" s="38" t="str">
        <x:v>Nội dung</x:v>
      </x:c>
      <x:c r="D38" s="38" t="str">
        <x:v>Điều</x:v>
      </x:c>
      <x:c r="E38" s="28" t="str">
        <x:v>Nội dung điều</x:v>
      </x:c>
      <x:c r="F38" s="28" t="str">
        <x:v>6</x:v>
      </x:c>
      <x:c r="G38" s="28" t="str">
        <x:v>CHƯA ĐỊNH TUYẾN: xác nhận chế độ + loại văn bản + chủ thể + ngày áp dụng trước khi xét rule</x:v>
      </x:c>
      <x:c r="H38" s="28" t="str">
        <x:v>Lời văn sau tên điều theo style body đã xác minh</x:v>
      </x:c>
      <x:c r="I38" s="28" t="str">
        <x:v>Times New Roman; Unicode; màu đen</x:v>
      </x:c>
      <x:c r="J38" s="28" t="str">
        <x:v>13–14</x:v>
      </x:c>
      <x:c r="K38" s="28" t="str">
        <x:v>In thường</x:v>
      </x:c>
      <x:c r="L38" s="28" t="str">
        <x:v>Không mặc định</x:v>
      </x:c>
      <x:c r="M38" s="28" t="str">
        <x:v>Không mặc định</x:v>
      </x:c>
      <x:c r="N38" s="28" t="str">
        <x:v>Theo cấu trúc Điều</x:v>
      </x:c>
      <x:c r="O38" s="28" t="str">
        <x:v>Dòng: single–1,5 lines; đoạn: ≥6 pt</x:v>
      </x:c>
      <x:c r="P38" s="28" t="str">
        <x:v>First line: 1 hoặc 1,27 cm</x:v>
      </x:c>
      <x:c r="Q38" s="28"/>
      <x:c r="R38" s="28" t="str">
        <x:v>Paragraph/Run theo kiểu khối DIEU; preserve list numbering/table/drawing nếu có</x:v>
      </x:c>
      <x:c r="S38" s="28" t="str">
        <x:v>Nội dung điều theo mẫu/loại văn bản NĐ30; không lấy quy tắc trình bày của HD05</x:v>
      </x:c>
      <x:c r="T38" s="28" t="str">
        <x:v>NĐ30, Phụ lục I, Phần I, II.6; V.6</x:v>
      </x:c>
      <x:c r="U38" s="28" t="str">
        <x:v>https://datafiles.chinhphu.vn/cpp/files/vbpq/2020/03/30.signed.pdf</x:v>
      </x:c>
      <x:c r="V38" s="28" t="str">
        <x:v>https://riam.edu.vn/nghi-dinh-ve-cong-tac-van-thu-phu-luc/</x:v>
      </x:c>
      <x:c r="W38" s="28" t="str">
        <x:v>CHƯA ĐỦ BẰNG CHỨNG</x:v>
      </x:c>
      <x:c r="X38" s="28" t="str">
        <x:v>CHỈ SAU REVIEW</x:v>
      </x:c>
      <x:c r="Y38" s="28" t="str">
        <x:v>Không tự chèn/sửa khi chưa có chứng cứ về đối tượng và rule. | Trạng thái v1.0: CÓ ĐIỀU KIỆN | So sánh chéo cũ (không dùng làm rule): NĐ30: “Điều 1.”; phần nhãn/tên đậm; HD05 tương ứng Phụ lục 2</x:v>
      </x:c>
    </x:row>
    <x:row r="39" ht="54" customHeight="1">
      <x:c r="A39" s="32" t="n">
        <x:v>33</x:v>
      </x:c>
      <x:c r="B39" s="34" t="str">
        <x:v>ND30.N.KD.KHOAN</x:v>
      </x:c>
      <x:c r="C39" s="38" t="str">
        <x:v>Nội dung</x:v>
      </x:c>
      <x:c r="D39" s="38" t="str">
        <x:v>Khoản, điểm và liệt kê</x:v>
      </x:c>
      <x:c r="E39" s="28" t="str">
        <x:v>Khoản</x:v>
      </x:c>
      <x:c r="F39" s="28" t="str">
        <x:v>6</x:v>
      </x:c>
      <x:c r="G39" s="28" t="str">
        <x:v>CHƯA ĐỊNH TUYẾN: xác nhận chế độ + loại văn bản + chủ thể + ngày áp dụng trước khi xét rule</x:v>
      </x:c>
      <x:c r="H39" s="28" t="str">
        <x:v>Khoản</x:v>
      </x:c>
      <x:c r="I39" s="28" t="str">
        <x:v>Times New Roman; Unicode; màu đen</x:v>
      </x:c>
      <x:c r="J39" s="28" t="str">
        <x:v>13–14</x:v>
      </x:c>
      <x:c r="K39" s="28" t="str">
        <x:v>In thường</x:v>
      </x:c>
      <x:c r="L39" s="28" t="str">
        <x:v>Không; khoản có tiêu đề thì tiêu đề đậm</x:v>
      </x:c>
      <x:c r="M39" s="28" t="str">
        <x:v>Không mặc định</x:v>
      </x:c>
      <x:c r="N39" s="28" t="str">
        <x:v>Justify cho lời văn</x:v>
      </x:c>
      <x:c r="O39" s="28" t="str">
        <x:v>Dòng: single–1,5 lines; đoạn: ≥6 pt</x:v>
      </x:c>
      <x:c r="P39" s="28" t="str">
        <x:v>First line: 1 hoặc 1,27 cm</x:v>
      </x:c>
      <x:c r="Q39" s="28"/>
      <x:c r="R39" s="28" t="str">
        <x:v>Paragraph/Run theo kiểu khối KD; preserve list numbering/table/drawing nếu có</x:v>
      </x:c>
      <x:c r="S39" s="28" t="str">
        <x:v>Khoản: 1. ...; điểm: a) ...; giữ số đánh tự động nếu được kiểm chứng</x:v>
      </x:c>
      <x:c r="T39" s="28" t="str">
        <x:v>NĐ30, Phụ lục I, Phần I, II.6; V.6</x:v>
      </x:c>
      <x:c r="U39" s="28" t="str">
        <x:v>https://datafiles.chinhphu.vn/cpp/files/vbpq/2020/03/30.signed.pdf</x:v>
      </x:c>
      <x:c r="V39" s="28" t="str">
        <x:v>https://riam.edu.vn/nghi-dinh-ve-cong-tac-van-thu-phu-luc/</x:v>
      </x:c>
      <x:c r="W39" s="28" t="str">
        <x:v>CHƯA ĐỦ BẰNG CHỨNG</x:v>
      </x:c>
      <x:c r="X39" s="28" t="str">
        <x:v>CHỈ SAU REVIEW</x:v>
      </x:c>
      <x:c r="Y39" s="28" t="str">
        <x:v>Không tự chèn/sửa khi chưa có chứng cứ về đối tượng và rule. | Trạng thái v1.0: CÓ ĐIỀU KIỆN</x:v>
      </x:c>
    </x:row>
    <x:row r="40" ht="54" customHeight="1">
      <x:c r="A40" s="32" t="n">
        <x:v>34</x:v>
      </x:c>
      <x:c r="B40" s="34" t="str">
        <x:v>ND30.N.KD.DIEM</x:v>
      </x:c>
      <x:c r="C40" s="38" t="str">
        <x:v>Nội dung</x:v>
      </x:c>
      <x:c r="D40" s="38" t="str">
        <x:v>Khoản, điểm và liệt kê</x:v>
      </x:c>
      <x:c r="E40" s="28" t="str">
        <x:v>Điểm</x:v>
      </x:c>
      <x:c r="F40" s="28" t="str">
        <x:v>6</x:v>
      </x:c>
      <x:c r="G40" s="28" t="str">
        <x:v>CHƯA ĐỊNH TUYẾN: xác nhận chế độ + loại văn bản + chủ thể + ngày áp dụng trước khi xét rule</x:v>
      </x:c>
      <x:c r="H40" s="28" t="str">
        <x:v>Điểm</x:v>
      </x:c>
      <x:c r="I40" s="28" t="str">
        <x:v>Times New Roman; Unicode; màu đen</x:v>
      </x:c>
      <x:c r="J40" s="28" t="str">
        <x:v>13–14</x:v>
      </x:c>
      <x:c r="K40" s="28" t="str">
        <x:v>In thường</x:v>
      </x:c>
      <x:c r="L40" s="28" t="str">
        <x:v>Không; khoản có tiêu đề thì tiêu đề đậm</x:v>
      </x:c>
      <x:c r="M40" s="28" t="str">
        <x:v>Không mặc định</x:v>
      </x:c>
      <x:c r="N40" s="28" t="str">
        <x:v>Justify cho lời văn</x:v>
      </x:c>
      <x:c r="O40" s="28" t="str">
        <x:v>Dòng: single–1,5 lines; đoạn: ≥6 pt</x:v>
      </x:c>
      <x:c r="P40" s="28" t="str">
        <x:v>First line: 1 hoặc 1,27 cm</x:v>
      </x:c>
      <x:c r="Q40" s="28"/>
      <x:c r="R40" s="28" t="str">
        <x:v>Paragraph/Run theo kiểu khối KD; preserve list numbering/table/drawing nếu có</x:v>
      </x:c>
      <x:c r="S40" s="28" t="str">
        <x:v>Khoản: 1. ...; điểm: a) ...; giữ số đánh tự động nếu được kiểm chứng</x:v>
      </x:c>
      <x:c r="T40" s="28" t="str">
        <x:v>NĐ30, Phụ lục I, Phần I, II.6; V.6</x:v>
      </x:c>
      <x:c r="U40" s="28" t="str">
        <x:v>https://datafiles.chinhphu.vn/cpp/files/vbpq/2020/03/30.signed.pdf</x:v>
      </x:c>
      <x:c r="V40" s="28" t="str">
        <x:v>https://riam.edu.vn/nghi-dinh-ve-cong-tac-van-thu-phu-luc/</x:v>
      </x:c>
      <x:c r="W40" s="28" t="str">
        <x:v>CHƯA ĐỦ BẰNG CHỨNG</x:v>
      </x:c>
      <x:c r="X40" s="28" t="str">
        <x:v>CHỈ SAU REVIEW</x:v>
      </x:c>
      <x:c r="Y40" s="28" t="str">
        <x:v>Không tự chèn/sửa khi chưa có chứng cứ về đối tượng và rule. | Trạng thái v1.0: CÓ ĐIỀU KIỆN</x:v>
      </x:c>
    </x:row>
    <x:row r="41" ht="54" customHeight="1">
      <x:c r="A41" s="32" t="n">
        <x:v>35</x:v>
      </x:c>
      <x:c r="B41" s="34" t="str">
        <x:v>ND30.N.KD.DANH_SACH</x:v>
      </x:c>
      <x:c r="C41" s="38" t="str">
        <x:v>Nội dung</x:v>
      </x:c>
      <x:c r="D41" s="38" t="str">
        <x:v>Khoản, điểm và liệt kê</x:v>
      </x:c>
      <x:c r="E41" s="28" t="str">
        <x:v>Danh sách liệt kê</x:v>
      </x:c>
      <x:c r="F41" s="28" t="str">
        <x:v>6</x:v>
      </x:c>
      <x:c r="G41" s="28" t="str">
        <x:v>CHƯA ĐỊNH TUYẾN: xác nhận chế độ + loại văn bản + chủ thể + ngày áp dụng trước khi xét rule</x:v>
      </x:c>
      <x:c r="H41" s="28" t="str">
        <x:v>Danh sách nghiệp vụ; phải xác định numbering/list contract trước khi sửa</x:v>
      </x:c>
      <x:c r="I41" s="28" t="str">
        <x:v>Times New Roman; Unicode; màu đen</x:v>
      </x:c>
      <x:c r="J41" s="28" t="str">
        <x:v>13–14</x:v>
      </x:c>
      <x:c r="K41" s="28" t="str">
        <x:v>In thường</x:v>
      </x:c>
      <x:c r="L41" s="28" t="str">
        <x:v>Không; khoản có tiêu đề thì tiêu đề đậm</x:v>
      </x:c>
      <x:c r="M41" s="28" t="str">
        <x:v>Không mặc định</x:v>
      </x:c>
      <x:c r="N41" s="28" t="str">
        <x:v>Justify cho lời văn</x:v>
      </x:c>
      <x:c r="O41" s="28" t="str">
        <x:v>Dòng: single–1,5 lines; đoạn: ≥6 pt</x:v>
      </x:c>
      <x:c r="P41" s="28" t="str">
        <x:v>First line: 1 hoặc 1,27 cm</x:v>
      </x:c>
      <x:c r="Q41" s="28"/>
      <x:c r="R41" s="28" t="str">
        <x:v>Paragraph/Run theo kiểu khối KD; preserve list numbering/table/drawing nếu có</x:v>
      </x:c>
      <x:c r="S41" s="28" t="str">
        <x:v>Khoản: 1. ...; điểm: a) ...; giữ số đánh tự động nếu được kiểm chứng</x:v>
      </x:c>
      <x:c r="T41" s="28" t="str">
        <x:v>NĐ30, Phụ lục I, Phần I, II.6; V.6</x:v>
      </x:c>
      <x:c r="U41" s="28" t="str">
        <x:v>https://datafiles.chinhphu.vn/cpp/files/vbpq/2020/03/30.signed.pdf</x:v>
      </x:c>
      <x:c r="V41" s="28" t="str">
        <x:v>https://riam.edu.vn/nghi-dinh-ve-cong-tac-van-thu-phu-luc/</x:v>
      </x:c>
      <x:c r="W41" s="28" t="str">
        <x:v>CẦN RÀ SOÁT</x:v>
      </x:c>
      <x:c r="X41" s="28" t="str">
        <x:v>CHỈ SAU REVIEW</x:v>
      </x:c>
      <x:c r="Y41" s="28" t="str">
        <x:v>Không tự chèn/sửa khi chưa có chứng cứ về đối tượng và rule.</x:v>
      </x:c>
    </x:row>
    <x:row r="42" ht="54" customHeight="1">
      <x:c r="A42" s="32" t="n">
        <x:v>36</x:v>
      </x:c>
      <x:c r="B42" s="34" t="str">
        <x:v>ND30.N.DOAN.VAN_BAN</x:v>
      </x:c>
      <x:c r="C42" s="38" t="str">
        <x:v>Nội dung</x:v>
      </x:c>
      <x:c r="D42" s="38" t="str">
        <x:v>Đoạn văn</x:v>
      </x:c>
      <x:c r="E42" s="28" t="str">
        <x:v>Nội dung đoạn văn thông thường</x:v>
      </x:c>
      <x:c r="F42" s="28" t="str">
        <x:v>6</x:v>
      </x:c>
      <x:c r="G42" s="28" t="str">
        <x:v>CHƯA ĐỊNH TUYẾN: xác nhận chế độ + loại văn bản + chủ thể + ngày áp dụng trước khi xét rule</x:v>
      </x:c>
      <x:c r="H42" s="28" t="str">
        <x:v>Đoạn văn thông thường: chữ đứng, căn đều 2 lề</x:v>
      </x:c>
      <x:c r="I42" s="28" t="str">
        <x:v>Times New Roman; Unicode; màu đen</x:v>
      </x:c>
      <x:c r="J42" s="28" t="str">
        <x:v>13–14</x:v>
      </x:c>
      <x:c r="K42" s="28" t="str">
        <x:v>In thường (trừ tiêu đề)</x:v>
      </x:c>
      <x:c r="L42" s="28" t="str">
        <x:v>Không mặc định</x:v>
      </x:c>
      <x:c r="M42" s="28" t="str">
        <x:v>Không mặc định</x:v>
      </x:c>
      <x:c r="N42" s="28" t="str">
        <x:v>Justify cho lời văn</x:v>
      </x:c>
      <x:c r="O42" s="28" t="str">
        <x:v>Dòng: single–1,5 lines; đoạn: ≥6 pt</x:v>
      </x:c>
      <x:c r="P42" s="28" t="str">
        <x:v>First line: 1 hoặc 1,27 cm</x:v>
      </x:c>
      <x:c r="Q42" s="28"/>
      <x:c r="R42" s="28" t="str">
        <x:v>Paragraph/Run theo kiểu khối DOAN; preserve list numbering/table/drawing nếu có</x:v>
      </x:c>
      <x:c r="S42" s="28" t="str">
        <x:v>Cỡ chữ 13–14 pt; không mặc định Exactly 19 pt</x:v>
      </x:c>
      <x:c r="T42" s="28" t="str">
        <x:v>NĐ30, Phụ lục I, Phần I, II.6; V.6</x:v>
      </x:c>
      <x:c r="U42" s="28" t="str">
        <x:v>https://datafiles.chinhphu.vn/cpp/files/vbpq/2020/03/30.signed.pdf</x:v>
      </x:c>
      <x:c r="V42" s="28" t="str">
        <x:v>https://riam.edu.vn/nghi-dinh-ve-cong-tac-van-thu-phu-luc/</x:v>
      </x:c>
      <x:c r="W42" s="28" t="str">
        <x:v>ĐỐI CHIẾU MỘT PHẦN</x:v>
      </x:c>
      <x:c r="X42" s="28" t="str">
        <x:v>CHỈ SAU REVIEW</x:v>
      </x:c>
      <x:c r="Y42" s="28" t="str">
        <x:v>Không tự chèn/sửa khi chưa có chứng cứ về đối tượng và rule.</x:v>
      </x:c>
    </x:row>
    <x:row r="43" ht="54" customHeight="1">
      <x:c r="A43" s="32" t="n">
        <x:v>37</x:v>
      </x:c>
      <x:c r="B43" s="34" t="str">
        <x:v>ND30.N.BANG.TIEU_DE</x:v>
      </x:c>
      <x:c r="C43" s="38" t="str">
        <x:v>Nội dung</x:v>
      </x:c>
      <x:c r="D43" s="38" t="str">
        <x:v>Bảng trong nội dung</x:v>
      </x:c>
      <x:c r="E43" s="28" t="str">
        <x:v>Tiêu đề bảng</x:v>
      </x:c>
      <x:c r="F43" s="28" t="str">
        <x:v>6</x:v>
      </x:c>
      <x:c r="G43" s="28" t="str">
        <x:v>CHƯA ĐỊNH TUYẾN: xác nhận chế độ + loại văn bản + chủ thể + ngày áp dụng trước khi xét rule</x:v>
      </x:c>
      <x:c r="H43" s="28" t="str">
        <x:v>Bảng trong nội dung: giữ dữ liệu, tiêu đề, đường viền, ô gộp, chiều cao hàng, ngắt trang</x:v>
      </x:c>
      <x:c r="I43" s="28" t="str">
        <x:v>Times New Roman; Unicode; màu đen</x:v>
      </x:c>
      <x:c r="J43" s="28" t="str">
        <x:v>Theo khối/bảng đã xác minh</x:v>
      </x:c>
      <x:c r="K43" s="28" t="str">
        <x:v>In thường (trừ tiêu đề)</x:v>
      </x:c>
      <x:c r="L43" s="28" t="str">
        <x:v>Tùy ô tiêu đề/ô thường</x:v>
      </x:c>
      <x:c r="M43" s="28" t="str">
        <x:v>Không mặc định</x:v>
      </x:c>
      <x:c r="N43" s="28" t="str">
        <x:v>Theo chức năng ô</x:v>
      </x:c>
      <x:c r="O43" s="28" t="str">
        <x:v>Theo kiểu bảng; không ép spacing body</x:v>
      </x:c>
      <x:c r="P43" s="28" t="str">
        <x:v>Theo nội dung ô; không mặc định 1 cm</x:v>
      </x:c>
      <x:c r="Q43" s="28"/>
      <x:c r="R43" s="28" t="str">
        <x:v>w:tbl/w:tr/w:tc; không dùng AI để tự gộp hoặc tái bố cục</x:v>
      </x:c>
      <x:c r="S43" s="28" t="str">
        <x:v>Autofit Window → Autofit Contents → chỉnh tay là quy trình kỹ thuật, không phải bắt buộc pháp lý</x:v>
      </x:c>
      <x:c r="T43" s="28" t="str">
        <x:v>NĐ30, Phụ lục I, Phần I, II.6; V.6</x:v>
      </x:c>
      <x:c r="U43" s="28" t="str">
        <x:v>https://datafiles.chinhphu.vn/cpp/files/vbpq/2020/03/30.signed.pdf</x:v>
      </x:c>
      <x:c r="V43" s="28" t="str">
        <x:v>https://riam.edu.vn/nghi-dinh-ve-cong-tac-van-thu-phu-luc/</x:v>
      </x:c>
      <x:c r="W43" s="28" t="str">
        <x:v>CẦN RÀ SOÁT</x:v>
      </x:c>
      <x:c r="X43" s="28" t="str">
        <x:v>READ_ONLY</x:v>
      </x:c>
      <x:c r="Y43" s="28" t="str">
        <x:v>Kỹ thuật tự động fit bảng chỉ là workflow của dự án; không suy thành thông số bắt buộc của NĐ30/HD05.</x:v>
      </x:c>
    </x:row>
    <x:row r="44" ht="54" customHeight="1">
      <x:c r="A44" s="32" t="n">
        <x:v>38</x:v>
      </x:c>
      <x:c r="B44" s="34" t="str">
        <x:v>ND30.N.BANG.DAU_BANG</x:v>
      </x:c>
      <x:c r="C44" s="38" t="str">
        <x:v>Nội dung</x:v>
      </x:c>
      <x:c r="D44" s="38" t="str">
        <x:v>Bảng trong nội dung</x:v>
      </x:c>
      <x:c r="E44" s="28" t="str">
        <x:v>Hàng đầu bảng</x:v>
      </x:c>
      <x:c r="F44" s="28" t="str">
        <x:v>6</x:v>
      </x:c>
      <x:c r="G44" s="28" t="str">
        <x:v>CHƯA ĐỊNH TUYẾN: xác nhận chế độ + loại văn bản + chủ thể + ngày áp dụng trước khi xét rule</x:v>
      </x:c>
      <x:c r="H44" s="28" t="str">
        <x:v>Bảng trong nội dung: giữ dữ liệu, tiêu đề, đường viền, ô gộp, chiều cao hàng, ngắt trang</x:v>
      </x:c>
      <x:c r="I44" s="28" t="str">
        <x:v>Times New Roman; Unicode; màu đen</x:v>
      </x:c>
      <x:c r="J44" s="28" t="str">
        <x:v>Theo khối/bảng đã xác minh</x:v>
      </x:c>
      <x:c r="K44" s="28" t="str">
        <x:v>In thường (trừ tiêu đề)</x:v>
      </x:c>
      <x:c r="L44" s="28" t="str">
        <x:v>Tùy ô tiêu đề/ô thường</x:v>
      </x:c>
      <x:c r="M44" s="28" t="str">
        <x:v>Không mặc định</x:v>
      </x:c>
      <x:c r="N44" s="28" t="str">
        <x:v>Theo chức năng ô</x:v>
      </x:c>
      <x:c r="O44" s="28" t="str">
        <x:v>Theo kiểu bảng; không ép spacing body</x:v>
      </x:c>
      <x:c r="P44" s="28" t="str">
        <x:v>Theo nội dung ô; không mặc định 1 cm</x:v>
      </x:c>
      <x:c r="Q44" s="28"/>
      <x:c r="R44" s="28" t="str">
        <x:v>w:tbl/w:tr/w:tc; không dùng AI để tự gộp hoặc tái bố cục</x:v>
      </x:c>
      <x:c r="S44" s="28" t="str">
        <x:v>Autofit Window → Autofit Contents → chỉnh tay là quy trình kỹ thuật, không phải bắt buộc pháp lý</x:v>
      </x:c>
      <x:c r="T44" s="28" t="str">
        <x:v>NĐ30, Phụ lục I, Phần I, II.6; V.6</x:v>
      </x:c>
      <x:c r="U44" s="28" t="str">
        <x:v>https://datafiles.chinhphu.vn/cpp/files/vbpq/2020/03/30.signed.pdf</x:v>
      </x:c>
      <x:c r="V44" s="28" t="str">
        <x:v>https://riam.edu.vn/nghi-dinh-ve-cong-tac-van-thu-phu-luc/</x:v>
      </x:c>
      <x:c r="W44" s="28" t="str">
        <x:v>CẦN RÀ SOÁT</x:v>
      </x:c>
      <x:c r="X44" s="28" t="str">
        <x:v>READ_ONLY</x:v>
      </x:c>
      <x:c r="Y44" s="28" t="str">
        <x:v>Kỹ thuật tự động fit bảng chỉ là workflow của dự án; không suy thành thông số bắt buộc của NĐ30/HD05.</x:v>
      </x:c>
    </x:row>
    <x:row r="45" ht="54" customHeight="1">
      <x:c r="A45" s="32" t="n">
        <x:v>39</x:v>
      </x:c>
      <x:c r="B45" s="34" t="str">
        <x:v>ND30.N.BANG.HANG</x:v>
      </x:c>
      <x:c r="C45" s="38" t="str">
        <x:v>Nội dung</x:v>
      </x:c>
      <x:c r="D45" s="38" t="str">
        <x:v>Bảng trong nội dung</x:v>
      </x:c>
      <x:c r="E45" s="28" t="str">
        <x:v>Hàng</x:v>
      </x:c>
      <x:c r="F45" s="28" t="str">
        <x:v>6</x:v>
      </x:c>
      <x:c r="G45" s="28" t="str">
        <x:v>CHƯA ĐỊNH TUYẾN: xác nhận chế độ + loại văn bản + chủ thể + ngày áp dụng trước khi xét rule</x:v>
      </x:c>
      <x:c r="H45" s="28" t="str">
        <x:v>Bảng trong nội dung: giữ dữ liệu, tiêu đề, đường viền, ô gộp, chiều cao hàng, ngắt trang</x:v>
      </x:c>
      <x:c r="I45" s="28" t="str">
        <x:v>Times New Roman; Unicode; màu đen</x:v>
      </x:c>
      <x:c r="J45" s="28" t="str">
        <x:v>Theo khối/bảng đã xác minh</x:v>
      </x:c>
      <x:c r="K45" s="28" t="str">
        <x:v>In thường (trừ tiêu đề)</x:v>
      </x:c>
      <x:c r="L45" s="28" t="str">
        <x:v>Tùy ô tiêu đề/ô thường</x:v>
      </x:c>
      <x:c r="M45" s="28" t="str">
        <x:v>Không mặc định</x:v>
      </x:c>
      <x:c r="N45" s="28" t="str">
        <x:v>Theo chức năng ô</x:v>
      </x:c>
      <x:c r="O45" s="28" t="str">
        <x:v>Theo kiểu bảng; không ép spacing body</x:v>
      </x:c>
      <x:c r="P45" s="28" t="str">
        <x:v>Theo nội dung ô; không mặc định 1 cm</x:v>
      </x:c>
      <x:c r="Q45" s="28"/>
      <x:c r="R45" s="28" t="str">
        <x:v>w:tbl/w:tr/w:tc; không dùng AI để tự gộp hoặc tái bố cục</x:v>
      </x:c>
      <x:c r="S45" s="28" t="str">
        <x:v>Autofit Window → Autofit Contents → chỉnh tay là quy trình kỹ thuật, không phải bắt buộc pháp lý</x:v>
      </x:c>
      <x:c r="T45" s="28" t="str">
        <x:v>NĐ30, Phụ lục I, Phần I, II.6; V.6</x:v>
      </x:c>
      <x:c r="U45" s="28" t="str">
        <x:v>https://datafiles.chinhphu.vn/cpp/files/vbpq/2020/03/30.signed.pdf</x:v>
      </x:c>
      <x:c r="V45" s="28" t="str">
        <x:v>https://riam.edu.vn/nghi-dinh-ve-cong-tac-van-thu-phu-luc/</x:v>
      </x:c>
      <x:c r="W45" s="28" t="str">
        <x:v>CẦN RÀ SOÁT</x:v>
      </x:c>
      <x:c r="X45" s="28" t="str">
        <x:v>READ_ONLY</x:v>
      </x:c>
      <x:c r="Y45" s="28" t="str">
        <x:v>Kỹ thuật tự động fit bảng chỉ là workflow của dự án; không suy thành thông số bắt buộc của NĐ30/HD05.</x:v>
      </x:c>
    </x:row>
    <x:row r="46" ht="54" customHeight="1">
      <x:c r="A46" s="32" t="n">
        <x:v>40</x:v>
      </x:c>
      <x:c r="B46" s="34" t="str">
        <x:v>ND30.N.BANG.O</x:v>
      </x:c>
      <x:c r="C46" s="38" t="str">
        <x:v>Nội dung</x:v>
      </x:c>
      <x:c r="D46" s="38" t="str">
        <x:v>Bảng trong nội dung</x:v>
      </x:c>
      <x:c r="E46" s="28" t="str">
        <x:v>Ô</x:v>
      </x:c>
      <x:c r="F46" s="28" t="str">
        <x:v>6</x:v>
      </x:c>
      <x:c r="G46" s="28" t="str">
        <x:v>CHƯA ĐỊNH TUYẾN: xác nhận chế độ + loại văn bản + chủ thể + ngày áp dụng trước khi xét rule</x:v>
      </x:c>
      <x:c r="H46" s="28" t="str">
        <x:v>Bảng trong nội dung: giữ dữ liệu, tiêu đề, đường viền, ô gộp, chiều cao hàng, ngắt trang</x:v>
      </x:c>
      <x:c r="I46" s="28" t="str">
        <x:v>Times New Roman; Unicode; màu đen</x:v>
      </x:c>
      <x:c r="J46" s="28" t="str">
        <x:v>Theo khối/bảng đã xác minh</x:v>
      </x:c>
      <x:c r="K46" s="28" t="str">
        <x:v>In thường (trừ tiêu đề)</x:v>
      </x:c>
      <x:c r="L46" s="28" t="str">
        <x:v>Tùy ô tiêu đề/ô thường</x:v>
      </x:c>
      <x:c r="M46" s="28" t="str">
        <x:v>Không mặc định</x:v>
      </x:c>
      <x:c r="N46" s="28" t="str">
        <x:v>Theo chức năng ô</x:v>
      </x:c>
      <x:c r="O46" s="28" t="str">
        <x:v>Theo kiểu bảng; không ép spacing body</x:v>
      </x:c>
      <x:c r="P46" s="28" t="str">
        <x:v>Theo nội dung ô; không mặc định 1 cm</x:v>
      </x:c>
      <x:c r="Q46" s="28"/>
      <x:c r="R46" s="28" t="str">
        <x:v>w:tbl/w:tr/w:tc; không dùng AI để tự gộp hoặc tái bố cục</x:v>
      </x:c>
      <x:c r="S46" s="28" t="str">
        <x:v>Autofit Window → Autofit Contents → chỉnh tay là quy trình kỹ thuật, không phải bắt buộc pháp lý</x:v>
      </x:c>
      <x:c r="T46" s="28" t="str">
        <x:v>NĐ30, Phụ lục I, Phần I, II.6; V.6</x:v>
      </x:c>
      <x:c r="U46" s="28" t="str">
        <x:v>https://datafiles.chinhphu.vn/cpp/files/vbpq/2020/03/30.signed.pdf</x:v>
      </x:c>
      <x:c r="V46" s="28" t="str">
        <x:v>https://riam.edu.vn/nghi-dinh-ve-cong-tac-van-thu-phu-luc/</x:v>
      </x:c>
      <x:c r="W46" s="28" t="str">
        <x:v>CẦN RÀ SOÁT</x:v>
      </x:c>
      <x:c r="X46" s="28" t="str">
        <x:v>READ_ONLY</x:v>
      </x:c>
      <x:c r="Y46" s="28" t="str">
        <x:v>Kỹ thuật tự động fit bảng chỉ là workflow của dự án; không suy thành thông số bắt buộc của NĐ30/HD05.</x:v>
      </x:c>
    </x:row>
    <x:row r="47" ht="54" customHeight="1">
      <x:c r="A47" s="32" t="n">
        <x:v>41</x:v>
      </x:c>
      <x:c r="B47" s="34" t="str">
        <x:v>ND30.N.BANG.GOP_O</x:v>
      </x:c>
      <x:c r="C47" s="38" t="str">
        <x:v>Nội dung</x:v>
      </x:c>
      <x:c r="D47" s="38" t="str">
        <x:v>Bảng trong nội dung</x:v>
      </x:c>
      <x:c r="E47" s="28" t="str">
        <x:v>Ô gộp</x:v>
      </x:c>
      <x:c r="F47" s="28" t="str">
        <x:v>6</x:v>
      </x:c>
      <x:c r="G47" s="28" t="str">
        <x:v>CHƯA ĐỊNH TUYẾN: xác nhận chế độ + loại văn bản + chủ thể + ngày áp dụng trước khi xét rule</x:v>
      </x:c>
      <x:c r="H47" s="28" t="str">
        <x:v>Bảng trong nội dung: giữ dữ liệu, tiêu đề, đường viền, ô gộp, chiều cao hàng, ngắt trang</x:v>
      </x:c>
      <x:c r="I47" s="28" t="str">
        <x:v>Times New Roman; Unicode; màu đen</x:v>
      </x:c>
      <x:c r="J47" s="28" t="str">
        <x:v>Theo khối/bảng đã xác minh</x:v>
      </x:c>
      <x:c r="K47" s="28" t="str">
        <x:v>In thường (trừ tiêu đề)</x:v>
      </x:c>
      <x:c r="L47" s="28" t="str">
        <x:v>Tùy ô tiêu đề/ô thường</x:v>
      </x:c>
      <x:c r="M47" s="28" t="str">
        <x:v>Không mặc định</x:v>
      </x:c>
      <x:c r="N47" s="28" t="str">
        <x:v>Theo chức năng ô</x:v>
      </x:c>
      <x:c r="O47" s="28" t="str">
        <x:v>Theo kiểu bảng; không ép spacing body</x:v>
      </x:c>
      <x:c r="P47" s="28" t="str">
        <x:v>Theo nội dung ô; không mặc định 1 cm</x:v>
      </x:c>
      <x:c r="Q47" s="28"/>
      <x:c r="R47" s="28" t="str">
        <x:v>w:tbl/w:tr/w:tc; không dùng AI để tự gộp hoặc tái bố cục</x:v>
      </x:c>
      <x:c r="S47" s="28" t="str">
        <x:v>Autofit Window → Autofit Contents → chỉnh tay là quy trình kỹ thuật, không phải bắt buộc pháp lý</x:v>
      </x:c>
      <x:c r="T47" s="28" t="str">
        <x:v>NĐ30, Phụ lục I, Phần I, II.6; V.6</x:v>
      </x:c>
      <x:c r="U47" s="28" t="str">
        <x:v>https://datafiles.chinhphu.vn/cpp/files/vbpq/2020/03/30.signed.pdf</x:v>
      </x:c>
      <x:c r="V47" s="28" t="str">
        <x:v>https://riam.edu.vn/nghi-dinh-ve-cong-tac-van-thu-phu-luc/</x:v>
      </x:c>
      <x:c r="W47" s="28" t="str">
        <x:v>CẦN RÀ SOÁT</x:v>
      </x:c>
      <x:c r="X47" s="28" t="str">
        <x:v>READ_ONLY</x:v>
      </x:c>
      <x:c r="Y47" s="28" t="str">
        <x:v>Kỹ thuật tự động fit bảng chỉ là workflow của dự án; không suy thành thông số bắt buộc của NĐ30/HD05.</x:v>
      </x:c>
    </x:row>
    <x:row r="48" ht="54" customHeight="1">
      <x:c r="A48" s="32" t="n">
        <x:v>42</x:v>
      </x:c>
      <x:c r="B48" s="34" t="str">
        <x:v>ND30.N.HINH.DOI_TUONG</x:v>
      </x:c>
      <x:c r="C48" s="38" t="str">
        <x:v>Nội dung</x:v>
      </x:c>
      <x:c r="D48" s="38" t="str">
        <x:v>Hình, sơ đồ</x:v>
      </x:c>
      <x:c r="E48" s="28" t="str">
        <x:v>Hình/sơ đồ</x:v>
      </x:c>
      <x:c r="F48" s="28" t="str">
        <x:v>6</x:v>
      </x:c>
      <x:c r="G48" s="28" t="str">
        <x:v>CHƯA ĐỊNH TUYẾN: xác nhận chế độ + loại văn bản + chủ thể + ngày áp dụng trước khi xét rule</x:v>
      </x:c>
      <x:c r="H48" s="28" t="str">
        <x:v>Giữ nguyên hình, sơ đồ và neo vị trí; không tái tạo ảnh</x:v>
      </x:c>
      <x:c r="I48" s="28" t="str">
        <x:v>Times New Roman; Unicode; màu đen</x:v>
      </x:c>
      <x:c r="J48" s="28" t="str">
        <x:v>Theo đối tượng/mẫu</x:v>
      </x:c>
      <x:c r="K48" s="28" t="str">
        <x:v>In thường (trừ tiêu đề)</x:v>
      </x:c>
      <x:c r="L48" s="28" t="str">
        <x:v>Theo chú thích nếu có</x:v>
      </x:c>
      <x:c r="M48" s="28" t="str">
        <x:v>Không mặc định</x:v>
      </x:c>
      <x:c r="N48" s="28" t="str">
        <x:v>Theo ngữ cảnh</x:v>
      </x:c>
      <x:c r="O48" s="28" t="str">
        <x:v>Theo đoạn chứa hình hoặc chú thích đã nhận diện; không mặc định giãn dòng của lời văn</x:v>
      </x:c>
      <x:c r="P48" s="28" t="str">
        <x:v>Không mặc định thụt đầu dòng; kiểm tra anchor/đoạn chứa hình</x:v>
      </x:c>
      <x:c r="Q48" s="28"/>
      <x:c r="R48" s="28" t="str">
        <x:v>Drawing/inline/anchor; kiểm tra sau render</x:v>
      </x:c>
      <x:c r="S48" s="28" t="str">
        <x:v>Chưa có thông số đơn trị được xác minh cho đối tượng hình/chú thích; cần phân biệt image, anchor và caption</x:v>
      </x:c>
      <x:c r="T48" s="28" t="str">
        <x:v>NĐ30, Phụ lục I, Phần I, II.6; V.6</x:v>
      </x:c>
      <x:c r="U48" s="28" t="str">
        <x:v>https://datafiles.chinhphu.vn/cpp/files/vbpq/2020/03/30.signed.pdf</x:v>
      </x:c>
      <x:c r="V48" s="28" t="str">
        <x:v>https://riam.edu.vn/nghi-dinh-ve-cong-tac-van-thu-phu-luc/</x:v>
      </x:c>
      <x:c r="W48" s="28" t="str">
        <x:v>CẦN RÀ SOÁT</x:v>
      </x:c>
      <x:c r="X48" s="28" t="str">
        <x:v>READ_ONLY</x:v>
      </x:c>
      <x:c r="Y48" s="28" t="str">
        <x:v>Không tự chèn/sửa khi chưa có chứng cứ về đối tượng và rule.</x:v>
      </x:c>
    </x:row>
    <x:row r="49" ht="54" customHeight="1">
      <x:c r="A49" s="32" t="n">
        <x:v>43</x:v>
      </x:c>
      <x:c r="B49" s="34" t="str">
        <x:v>ND30.N.HINH.CHU_THICH</x:v>
      </x:c>
      <x:c r="C49" s="38" t="str">
        <x:v>Nội dung</x:v>
      </x:c>
      <x:c r="D49" s="38" t="str">
        <x:v>Hình, sơ đồ</x:v>
      </x:c>
      <x:c r="E49" s="28" t="str">
        <x:v>Chú thích hình/sơ đồ</x:v>
      </x:c>
      <x:c r="F49" s="28" t="str">
        <x:v>6</x:v>
      </x:c>
      <x:c r="G49" s="28" t="str">
        <x:v>CHƯA ĐỊNH TUYẾN: xác nhận chế độ + loại văn bản + chủ thể + ngày áp dụng trước khi xét rule</x:v>
      </x:c>
      <x:c r="H49" s="28" t="str">
        <x:v>Giữ nguyên hình, sơ đồ và neo vị trí; không tái tạo ảnh</x:v>
      </x:c>
      <x:c r="I49" s="28" t="str">
        <x:v>Times New Roman; Unicode; màu đen</x:v>
      </x:c>
      <x:c r="J49" s="28" t="str">
        <x:v>Theo đối tượng/mẫu</x:v>
      </x:c>
      <x:c r="K49" s="28" t="str">
        <x:v>In thường (trừ tiêu đề)</x:v>
      </x:c>
      <x:c r="L49" s="28" t="str">
        <x:v>Theo chú thích nếu có</x:v>
      </x:c>
      <x:c r="M49" s="28" t="str">
        <x:v>Không mặc định</x:v>
      </x:c>
      <x:c r="N49" s="28" t="str">
        <x:v>Theo ngữ cảnh</x:v>
      </x:c>
      <x:c r="O49" s="28" t="str">
        <x:v>Theo đoạn chứa hình hoặc chú thích đã nhận diện; không mặc định giãn dòng của lời văn</x:v>
      </x:c>
      <x:c r="P49" s="28" t="str">
        <x:v>Không mặc định thụt đầu dòng; kiểm tra anchor/đoạn chứa hình</x:v>
      </x:c>
      <x:c r="Q49" s="28"/>
      <x:c r="R49" s="28" t="str">
        <x:v>Drawing/inline/anchor; kiểm tra sau render</x:v>
      </x:c>
      <x:c r="S49" s="28" t="str">
        <x:v>Chưa có thông số đơn trị được xác minh cho đối tượng hình/chú thích; cần phân biệt image, anchor và caption</x:v>
      </x:c>
      <x:c r="T49" s="28" t="str">
        <x:v>NĐ30, Phụ lục I, Phần I, II.6; V.6</x:v>
      </x:c>
      <x:c r="U49" s="28" t="str">
        <x:v>https://datafiles.chinhphu.vn/cpp/files/vbpq/2020/03/30.signed.pdf</x:v>
      </x:c>
      <x:c r="V49" s="28" t="str">
        <x:v>https://riam.edu.vn/nghi-dinh-ve-cong-tac-van-thu-phu-luc/</x:v>
      </x:c>
      <x:c r="W49" s="28" t="str">
        <x:v>CẦN RÀ SOÁT</x:v>
      </x:c>
      <x:c r="X49" s="28" t="str">
        <x:v>READ_ONLY</x:v>
      </x:c>
      <x:c r="Y49" s="28" t="str">
        <x:v>Không tự chèn/sửa khi chưa có chứng cứ về đối tượng và rule.</x:v>
      </x:c>
    </x:row>
    <x:row r="50" ht="54" customHeight="1">
      <x:c r="A50" s="32" t="n">
        <x:v>44</x:v>
      </x:c>
      <x:c r="B50" s="34" t="str">
        <x:v>ND30.N.KET.DOAN_KET</x:v>
      </x:c>
      <x:c r="C50" s="38" t="str">
        <x:v>Nội dung</x:v>
      </x:c>
      <x:c r="D50" s="38" t="str">
        <x:v>Kết thúc nội dung</x:v>
      </x:c>
      <x:c r="E50" s="28" t="str">
        <x:v>Đoạn kết nếu có</x:v>
      </x:c>
      <x:c r="F50" s="28" t="str">
        <x:v>6</x:v>
      </x:c>
      <x:c r="G50" s="28" t="str">
        <x:v>CHƯA ĐỊNH TUYẾN: xác nhận chế độ + loại văn bản + chủ thể + ngày áp dụng trước khi xét rule</x:v>
      </x:c>
      <x:c r="H50" s="28" t="str">
        <x:v>Đoạn kết nội dung nếu có; áp body style trừ mẫu có quy định riêng</x:v>
      </x:c>
      <x:c r="I50" s="28" t="str">
        <x:v>Times New Roman; Unicode; màu đen</x:v>
      </x:c>
      <x:c r="J50" s="28" t="str">
        <x:v>13–14</x:v>
      </x:c>
      <x:c r="K50" s="28" t="str">
        <x:v>In thường (trừ tiêu đề)</x:v>
      </x:c>
      <x:c r="L50" s="28" t="str">
        <x:v>Không mặc định</x:v>
      </x:c>
      <x:c r="M50" s="28" t="str">
        <x:v>Không mặc định</x:v>
      </x:c>
      <x:c r="N50" s="28" t="str">
        <x:v>Justify cho lời văn</x:v>
      </x:c>
      <x:c r="O50" s="28" t="str">
        <x:v>Dòng: single–1,5 lines; đoạn: ≥6 pt</x:v>
      </x:c>
      <x:c r="P50" s="28" t="str">
        <x:v>First line: 1 hoặc 1,27 cm</x:v>
      </x:c>
      <x:c r="Q50" s="28"/>
      <x:c r="R50" s="28" t="str">
        <x:v>Paragraph/Run theo kiểu khối KET; preserve list numbering/table/drawing nếu có</x:v>
      </x:c>
      <x:c r="S50" s="28" t="str">
        <x:v>Cỡ chữ 13–14 pt; không mặc định Exactly 19 pt</x:v>
      </x:c>
      <x:c r="T50" s="28" t="str">
        <x:v>NĐ30, Phụ lục I, Phần I, II.6; V.6</x:v>
      </x:c>
      <x:c r="U50" s="28" t="str">
        <x:v>https://datafiles.chinhphu.vn/cpp/files/vbpq/2020/03/30.signed.pdf</x:v>
      </x:c>
      <x:c r="V50" s="28" t="str">
        <x:v>https://riam.edu.vn/nghi-dinh-ve-cong-tac-van-thu-phu-luc/</x:v>
      </x:c>
      <x:c r="W50" s="28" t="str">
        <x:v>CHƯA ĐỦ BẰNG CHỨNG</x:v>
      </x:c>
      <x:c r="X50" s="28" t="str">
        <x:v>CHỈ SAU REVIEW</x:v>
      </x:c>
      <x:c r="Y50" s="28" t="str">
        <x:v>Không tự chèn/sửa khi chưa có chứng cứ về đối tượng và rule. | Trạng thái v1.0: CÓ ĐIỀU KIỆN</x:v>
      </x:c>
    </x:row>
    <x:row r="51" ht="54" customHeight="1">
      <x:c r="A51" s="32" t="n">
        <x:v>45</x:v>
      </x:c>
      <x:c r="B51" s="34" t="str">
        <x:v>ND30.C.NN.NHAN_NOI_NHAN</x:v>
      </x:c>
      <x:c r="C51" s="40" t="str">
        <x:v>Cuối văn bản</x:v>
      </x:c>
      <x:c r="D51" s="40" t="str">
        <x:v>Nơi nhận cuối văn bản</x:v>
      </x:c>
      <x:c r="E51" s="28" t="str">
        <x:v>Nhãn Nơi nhận:</x:v>
      </x:c>
      <x:c r="F51" s="28" t="str">
        <x:v>9b</x:v>
      </x:c>
      <x:c r="G51" s="28" t="str">
        <x:v>Cần có nơi nhận theo loại/đối tượng</x:v>
      </x:c>
      <x:c r="H51" s="28" t="str">
        <x:v>Nhãn Nơi nhận:</x:v>
      </x:c>
      <x:c r="I51" s="28" t="str">
        <x:v>Times New Roman; Unicode; màu đen</x:v>
      </x:c>
      <x:c r="J51" s="28" t="str">
        <x:v>12</x:v>
      </x:c>
      <x:c r="K51" s="28" t="str">
        <x:v>In thường</x:v>
      </x:c>
      <x:c r="L51" s="28" t="str">
        <x:v>Có</x:v>
      </x:c>
      <x:c r="M51" s="28" t="str">
        <x:v>Có</x:v>
      </x:c>
      <x:c r="N51" s="28"/>
      <x:c r="O51" s="28"/>
      <x:c r="P51" s="28"/>
      <x:c r="Q51" s="28"/>
      <x:c r="R51" s="28" t="str">
        <x:v>Text run trên dòng riêng</x:v>
      </x:c>
      <x:c r="S51" s="28" t="str">
        <x:v>Nhãn “Nơi nhận:” trình bày theo NĐ30, Phụ lục I, mục II.9</x:v>
      </x:c>
      <x:c r="T51" s="28" t="str">
        <x:v>NĐ30, Phụ lục I, Phần I, II.9; V.8</x:v>
      </x:c>
      <x:c r="U51" s="28" t="str">
        <x:v>https://datafiles.chinhphu.vn/cpp/files/vbpq/2020/03/30.signed.pdf</x:v>
      </x:c>
      <x:c r="V51" s="28" t="str">
        <x:v>https://riam.edu.vn/nghi-dinh-ve-cong-tac-van-thu-phu-luc/</x:v>
      </x:c>
      <x:c r="W51" s="28" t="str">
        <x:v>CẦN RÀ SOÁT</x:v>
      </x:c>
      <x:c r="X51" s="28" t="str">
        <x:v>READ_ONLY</x:v>
      </x:c>
      <x:c r="Y51" s="28" t="str">
        <x:v>Không tự chèn/sửa khi chưa có chứng cứ về đối tượng và rule. | So sánh chéo cũ (không dùng làm rule): Nơi nhận:; HD05 có gạch ngang bên dưới</x:v>
      </x:c>
    </x:row>
    <x:row r="52" ht="54" customHeight="1">
      <x:c r="A52" s="32" t="n">
        <x:v>46</x:v>
      </x:c>
      <x:c r="B52" s="34" t="str">
        <x:v>ND30.C.NN.DANH_SACH</x:v>
      </x:c>
      <x:c r="C52" s="40" t="str">
        <x:v>Cuối văn bản</x:v>
      </x:c>
      <x:c r="D52" s="40" t="str">
        <x:v>Nơi nhận cuối văn bản</x:v>
      </x:c>
      <x:c r="E52" s="28" t="str">
        <x:v>Danh sách người/cơ quan nhận</x:v>
      </x:c>
      <x:c r="F52" s="28" t="str">
        <x:v>9b</x:v>
      </x:c>
      <x:c r="G52" s="28" t="str">
        <x:v>Cần có nơi nhận theo loại/đối tượng</x:v>
      </x:c>
      <x:c r="H52" s="28" t="str">
        <x:v>Danh sách nơi nhận và nơi lưu theo đúng đối tượng đã xác minh</x:v>
      </x:c>
      <x:c r="I52" s="28" t="str">
        <x:v>Times New Roman; Unicode; màu đen</x:v>
      </x:c>
      <x:c r="J52" s="28" t="str">
        <x:v>11</x:v>
      </x:c>
      <x:c r="K52" s="28" t="str">
        <x:v>In thường</x:v>
      </x:c>
      <x:c r="L52" s="28" t="str">
        <x:v>Không</x:v>
      </x:c>
      <x:c r="M52" s="28" t="str">
        <x:v>Không</x:v>
      </x:c>
      <x:c r="N52" s="28"/>
      <x:c r="O52" s="28"/>
      <x:c r="P52" s="28"/>
      <x:c r="Q52" s="28"/>
      <x:c r="R52" s="28" t="str">
        <x:v>Văn bản/OOXML: xác định đối tượng trước khi sửa</x:v>
      </x:c>
      <x:c r="S52" s="28" t="str">
        <x:v>Đúng dấu câu theo NĐ30; Như trên chỉ khi có Kính gửi</x:v>
      </x:c>
      <x:c r="T52" s="28" t="str">
        <x:v>NĐ30, Phụ lục I, Phần I, II.9; V.8</x:v>
      </x:c>
      <x:c r="U52" s="28" t="str">
        <x:v>https://datafiles.chinhphu.vn/cpp/files/vbpq/2020/03/30.signed.pdf</x:v>
      </x:c>
      <x:c r="V52" s="28" t="str">
        <x:v>https://riam.edu.vn/nghi-dinh-ve-cong-tac-van-thu-phu-luc/</x:v>
      </x:c>
      <x:c r="W52" s="28" t="str">
        <x:v>ĐỐI CHIẾU MỘT PHẦN</x:v>
      </x:c>
      <x:c r="X52" s="28" t="str">
        <x:v>KHÔNG TỰ ĐIỀN ĐƠN VỊ NHẬN</x:v>
      </x:c>
      <x:c r="Y52" s="28" t="str">
        <x:v>Không tự chèn/sửa khi chưa có chứng cứ về đối tượng và rule.</x:v>
      </x:c>
    </x:row>
    <x:row r="53" ht="54" customHeight="1">
      <x:c r="A53" s="32" t="n">
        <x:v>47</x:v>
      </x:c>
      <x:c r="B53" s="34" t="str">
        <x:v>ND30.C.NN.NHU_TREN</x:v>
      </x:c>
      <x:c r="C53" s="40" t="str">
        <x:v>Cuối văn bản</x:v>
      </x:c>
      <x:c r="D53" s="40" t="str">
        <x:v>Nơi nhận cuối văn bản</x:v>
      </x:c>
      <x:c r="E53" s="28" t="str">
        <x:v>Dòng Như trên theo điều kiện</x:v>
      </x:c>
      <x:c r="F53" s="28" t="str">
        <x:v>9b</x:v>
      </x:c>
      <x:c r="G53" s="28" t="str">
        <x:v>Cần có nơi nhận theo loại/đối tượng</x:v>
      </x:c>
      <x:c r="H53" s="28" t="str">
        <x:v>Danh sách nơi nhận và nơi lưu theo đúng đối tượng đã xác minh</x:v>
      </x:c>
      <x:c r="I53" s="28" t="str">
        <x:v>Times New Roman; Unicode; màu đen</x:v>
      </x:c>
      <x:c r="J53" s="28" t="str">
        <x:v>11</x:v>
      </x:c>
      <x:c r="K53" s="28" t="str">
        <x:v>In thường</x:v>
      </x:c>
      <x:c r="L53" s="28" t="str">
        <x:v>Không</x:v>
      </x:c>
      <x:c r="M53" s="28" t="str">
        <x:v>Không</x:v>
      </x:c>
      <x:c r="N53" s="28"/>
      <x:c r="O53" s="28"/>
      <x:c r="P53" s="28"/>
      <x:c r="Q53" s="28"/>
      <x:c r="R53" s="28" t="str">
        <x:v>Văn bản/OOXML: xác định đối tượng trước khi sửa</x:v>
      </x:c>
      <x:c r="S53" s="28" t="str">
        <x:v>Đúng dấu câu theo NĐ30; Như trên chỉ khi có Kính gửi</x:v>
      </x:c>
      <x:c r="T53" s="28" t="str">
        <x:v>NĐ30, Phụ lục I, Phần I, II.9; V.8</x:v>
      </x:c>
      <x:c r="U53" s="28" t="str">
        <x:v>https://datafiles.chinhphu.vn/cpp/files/vbpq/2020/03/30.signed.pdf</x:v>
      </x:c>
      <x:c r="V53" s="28" t="str">
        <x:v>https://riam.edu.vn/nghi-dinh-ve-cong-tac-van-thu-phu-luc/</x:v>
      </x:c>
      <x:c r="W53" s="28" t="str">
        <x:v>ĐỐI CHIẾU MỘT PHẦN</x:v>
      </x:c>
      <x:c r="X53" s="28" t="str">
        <x:v>KHÔNG TỰ ĐIỀN ĐƠN VỊ NHẬN</x:v>
      </x:c>
      <x:c r="Y53" s="28" t="str">
        <x:v>Không tự chèn/sửa khi chưa có chứng cứ về đối tượng và rule.</x:v>
      </x:c>
    </x:row>
    <x:row r="54" ht="54" customHeight="1">
      <x:c r="A54" s="32" t="n">
        <x:v>48</x:v>
      </x:c>
      <x:c r="B54" s="34" t="str">
        <x:v>ND30.C.NN.NOI_LUU</x:v>
      </x:c>
      <x:c r="C54" s="40" t="str">
        <x:v>Cuối văn bản</x:v>
      </x:c>
      <x:c r="D54" s="40" t="str">
        <x:v>Nơi nhận cuối văn bản</x:v>
      </x:c>
      <x:c r="E54" s="28" t="str">
        <x:v>Dòng lưu hồ sơ</x:v>
      </x:c>
      <x:c r="F54" s="28" t="str">
        <x:v>9b</x:v>
      </x:c>
      <x:c r="G54" s="28" t="str">
        <x:v>Cần có nơi nhận theo loại/đối tượng</x:v>
      </x:c>
      <x:c r="H54" s="28" t="str">
        <x:v>Danh sách nơi nhận và nơi lưu theo đúng đối tượng đã xác minh</x:v>
      </x:c>
      <x:c r="I54" s="28" t="str">
        <x:v>Times New Roman; Unicode; màu đen</x:v>
      </x:c>
      <x:c r="J54" s="28" t="str">
        <x:v>11</x:v>
      </x:c>
      <x:c r="K54" s="28" t="str">
        <x:v>In thường</x:v>
      </x:c>
      <x:c r="L54" s="28" t="str">
        <x:v>Không</x:v>
      </x:c>
      <x:c r="M54" s="28" t="str">
        <x:v>Không</x:v>
      </x:c>
      <x:c r="N54" s="28"/>
      <x:c r="O54" s="28"/>
      <x:c r="P54" s="28"/>
      <x:c r="Q54" s="28"/>
      <x:c r="R54" s="28" t="str">
        <x:v>Văn bản/OOXML: xác định đối tượng trước khi sửa</x:v>
      </x:c>
      <x:c r="S54" s="28" t="str">
        <x:v>Đúng dấu câu theo NĐ30; Như trên chỉ khi có Kính gửi</x:v>
      </x:c>
      <x:c r="T54" s="28" t="str">
        <x:v>NĐ30, Phụ lục I, Phần I, II.9; V.8</x:v>
      </x:c>
      <x:c r="U54" s="28" t="str">
        <x:v>https://datafiles.chinhphu.vn/cpp/files/vbpq/2020/03/30.signed.pdf</x:v>
      </x:c>
      <x:c r="V54" s="28" t="str">
        <x:v>https://riam.edu.vn/nghi-dinh-ve-cong-tac-van-thu-phu-luc/</x:v>
      </x:c>
      <x:c r="W54" s="28" t="str">
        <x:v>ĐỐI CHIẾU MỘT PHẦN</x:v>
      </x:c>
      <x:c r="X54" s="28" t="str">
        <x:v>KHÔNG TỰ ĐIỀN ĐƠN VỊ NHẬN</x:v>
      </x:c>
      <x:c r="Y54" s="28" t="str">
        <x:v>Không tự chèn/sửa khi chưa có chứng cứ về đối tượng và rule.</x:v>
      </x:c>
    </x:row>
    <x:row r="55" ht="54" customHeight="1">
      <x:c r="A55" s="32" t="n">
        <x:v>49</x:v>
      </x:c>
      <x:c r="B55" s="34" t="str">
        <x:v>ND30.C.KY.QUYEN_HAN</x:v>
      </x:c>
      <x:c r="C55" s="40" t="str">
        <x:v>Cuối văn bản</x:v>
      </x:c>
      <x:c r="D55" s="40" t="str">
        <x:v>Khối ký</x:v>
      </x:c>
      <x:c r="E55" s="28" t="str">
        <x:v>Quyền hạn ký</x:v>
      </x:c>
      <x:c r="F55" s="28" t="str">
        <x:v>7a</x:v>
      </x:c>
      <x:c r="G55" s="28" t="str">
        <x:v>Khối ký tùy thẩm quyền/loại văn bản</x:v>
      </x:c>
      <x:c r="H55" s="28" t="str">
        <x:v>Quyền hạn ký</x:v>
      </x:c>
      <x:c r="I55" s="28" t="str">
        <x:v>Times New Roman; Unicode; màu đen</x:v>
      </x:c>
      <x:c r="J55" s="28" t="str">
        <x:v>13–14</x:v>
      </x:c>
      <x:c r="K55" s="28" t="str">
        <x:v>IN HOA</x:v>
      </x:c>
      <x:c r="L55" s="28" t="str">
        <x:v>Có</x:v>
      </x:c>
      <x:c r="M55" s="28" t="str">
        <x:v>Không</x:v>
      </x:c>
      <x:c r="N55" s="28" t="str">
        <x:v>Căn giữa vùng ký ở bên phải</x:v>
      </x:c>
      <x:c r="O55" s="28"/>
      <x:c r="P55" s="28"/>
      <x:c r="Q55" s="28"/>
      <x:c r="R55" s="28" t="str">
        <x:v>Văn bản/OOXML: xác định đối tượng trước khi sửa</x:v>
      </x:c>
      <x:c r="S55" s="28" t="str">
        <x:v>Theo thẩm quyền thực tế: TM., KT., TL., TUQ., Q. (khi phù hợp); không tự chọn người/chức danh</x:v>
      </x:c>
      <x:c r="T55" s="28" t="str">
        <x:v>NĐ30, Phụ lục I, Phần I, II.7; V.7</x:v>
      </x:c>
      <x:c r="U55" s="28" t="str">
        <x:v>https://datafiles.chinhphu.vn/cpp/files/vbpq/2020/03/30.signed.pdf</x:v>
      </x:c>
      <x:c r="V55" s="28" t="str">
        <x:v>https://riam.edu.vn/nghi-dinh-ve-cong-tac-van-thu-phu-luc/</x:v>
      </x:c>
      <x:c r="W55" s="28" t="str">
        <x:v>ĐỐI CHIẾU MỘT PHẦN</x:v>
      </x:c>
      <x:c r="X55" s="28" t="str">
        <x:v>KHÔNG TỰ XÁC NHẬN THẨM QUYỀN</x:v>
      </x:c>
      <x:c r="Y55" s="28" t="str">
        <x:v>Không tự chèn/sửa khi chưa có chứng cứ về đối tượng và rule.</x:v>
      </x:c>
    </x:row>
    <x:row r="56" ht="54" customHeight="1">
      <x:c r="A56" s="32" t="n">
        <x:v>50</x:v>
      </x:c>
      <x:c r="B56" s="34" t="str">
        <x:v>ND30.C.KY.CHUC_VU</x:v>
      </x:c>
      <x:c r="C56" s="40" t="str">
        <x:v>Cuối văn bản</x:v>
      </x:c>
      <x:c r="D56" s="40" t="str">
        <x:v>Khối ký</x:v>
      </x:c>
      <x:c r="E56" s="28" t="str">
        <x:v>Chức vụ/chức danh người ký</x:v>
      </x:c>
      <x:c r="F56" s="28" t="str">
        <x:v>7a</x:v>
      </x:c>
      <x:c r="G56" s="28" t="str">
        <x:v>Khối ký tùy thẩm quyền/loại văn bản</x:v>
      </x:c>
      <x:c r="H56" s="28" t="str">
        <x:v>Chức vụ/chức danh người ký</x:v>
      </x:c>
      <x:c r="I56" s="28" t="str">
        <x:v>Times New Roman; Unicode; màu đen</x:v>
      </x:c>
      <x:c r="J56" s="28" t="str">
        <x:v>13–14</x:v>
      </x:c>
      <x:c r="K56" s="28" t="str">
        <x:v>IN HOA</x:v>
      </x:c>
      <x:c r="L56" s="28" t="str">
        <x:v>Có</x:v>
      </x:c>
      <x:c r="M56" s="28" t="str">
        <x:v>Không</x:v>
      </x:c>
      <x:c r="N56" s="28" t="str">
        <x:v>Căn giữa vùng ký ở bên phải</x:v>
      </x:c>
      <x:c r="O56" s="28"/>
      <x:c r="P56" s="28"/>
      <x:c r="Q56" s="28"/>
      <x:c r="R56" s="28" t="str">
        <x:v>Văn bản/OOXML: xác định đối tượng trước khi sửa</x:v>
      </x:c>
      <x:c r="S56" s="28" t="str">
        <x:v>Chức vụ theo dữ liệu người ký, không tự điền</x:v>
      </x:c>
      <x:c r="T56" s="28" t="str">
        <x:v>NĐ30, Phụ lục I, Phần I, II.7; V.7</x:v>
      </x:c>
      <x:c r="U56" s="28" t="str">
        <x:v>https://datafiles.chinhphu.vn/cpp/files/vbpq/2020/03/30.signed.pdf</x:v>
      </x:c>
      <x:c r="V56" s="28" t="str">
        <x:v>https://riam.edu.vn/nghi-dinh-ve-cong-tac-van-thu-phu-luc/</x:v>
      </x:c>
      <x:c r="W56" s="28" t="str">
        <x:v>ĐỐI CHIẾU MỘT PHẦN</x:v>
      </x:c>
      <x:c r="X56" s="28" t="str">
        <x:v>READ_ONLY</x:v>
      </x:c>
      <x:c r="Y56" s="28" t="str">
        <x:v>Không tự chèn/sửa khi chưa có chứng cứ về đối tượng và rule.</x:v>
      </x:c>
    </x:row>
    <x:row r="57" ht="54" customHeight="1">
      <x:c r="A57" s="32" t="n">
        <x:v>51</x:v>
      </x:c>
      <x:c r="B57" s="34" t="str">
        <x:v>ND30.C.KY.CHU_KY</x:v>
      </x:c>
      <x:c r="C57" s="40" t="str">
        <x:v>Cuối văn bản</x:v>
      </x:c>
      <x:c r="D57" s="40" t="str">
        <x:v>Khối ký</x:v>
      </x:c>
      <x:c r="E57" s="28" t="str">
        <x:v>Vị trí chữ ký của người có thẩm quyền</x:v>
      </x:c>
      <x:c r="F57" s="28" t="str">
        <x:v>7c</x:v>
      </x:c>
      <x:c r="G57" s="28" t="str">
        <x:v>Khối ký tùy thẩm quyền/loại văn bản</x:v>
      </x:c>
      <x:c r="H57" s="28" t="str">
        <x:v>Vị trí chữ ký của người có thẩm quyền</x:v>
      </x:c>
      <x:c r="I57" s="28" t="str">
        <x:v>Không áp dụng</x:v>
      </x:c>
      <x:c r="J57" s="28" t="str">
        <x:v>Không áp dụng</x:v>
      </x:c>
      <x:c r="K57" s="28" t="str">
        <x:v>Không áp dụng</x:v>
      </x:c>
      <x:c r="L57" s="28" t="str">
        <x:v>Không áp dụng</x:v>
      </x:c>
      <x:c r="M57" s="28" t="str">
        <x:v>Không</x:v>
      </x:c>
      <x:c r="N57" s="28" t="str">
        <x:v>Căn giữa vùng ký ở bên phải</x:v>
      </x:c>
      <x:c r="O57" s="28"/>
      <x:c r="P57" s="28"/>
      <x:c r="Q57" s="28"/>
      <x:c r="R57" s="28" t="str">
        <x:v>Văn bản/OOXML: xác định đối tượng trước khi sửa</x:v>
      </x:c>
      <x:c r="S57" s="28" t="str">
        <x:v>Chỉ xác định vùng trống/protected cho chữ ký</x:v>
      </x:c>
      <x:c r="T57" s="28" t="str">
        <x:v>NĐ30, Phụ lục I, Phần I, II.7; V.7</x:v>
      </x:c>
      <x:c r="U57" s="28" t="str">
        <x:v>https://datafiles.chinhphu.vn/cpp/files/vbpq/2020/03/30.signed.pdf</x:v>
      </x:c>
      <x:c r="V57" s="28" t="str">
        <x:v>https://riam.edu.vn/nghi-dinh-ve-cong-tac-van-thu-phu-luc/</x:v>
      </x:c>
      <x:c r="W57" s="28" t="str">
        <x:v>CHƯA ĐỦ BẰNG CHỨNG</x:v>
      </x:c>
      <x:c r="X57" s="28" t="str">
        <x:v>PROTECTED; KHÔNG KÝ</x:v>
      </x:c>
      <x:c r="Y57" s="28" t="str">
        <x:v>Không tự chèn/sửa khi chưa có chứng cứ về đối tượng và rule. | Trạng thái v1.0: CÓ ĐIỀU KIỆN</x:v>
      </x:c>
    </x:row>
    <x:row r="58" ht="54" customHeight="1">
      <x:c r="A58" s="32" t="n">
        <x:v>52</x:v>
      </x:c>
      <x:c r="B58" s="34" t="str">
        <x:v>ND30.C.KY.HO_TEN</x:v>
      </x:c>
      <x:c r="C58" s="40" t="str">
        <x:v>Cuối văn bản</x:v>
      </x:c>
      <x:c r="D58" s="40" t="str">
        <x:v>Khối ký</x:v>
      </x:c>
      <x:c r="E58" s="28" t="str">
        <x:v>Họ tên người ký</x:v>
      </x:c>
      <x:c r="F58" s="28" t="str">
        <x:v>7b</x:v>
      </x:c>
      <x:c r="G58" s="28" t="str">
        <x:v>Khối ký tùy thẩm quyền/loại văn bản</x:v>
      </x:c>
      <x:c r="H58" s="28" t="str">
        <x:v>Họ tên người ký</x:v>
      </x:c>
      <x:c r="I58" s="28" t="str">
        <x:v>Times New Roman; Unicode; màu đen</x:v>
      </x:c>
      <x:c r="J58" s="28" t="str">
        <x:v>13–14</x:v>
      </x:c>
      <x:c r="K58" s="28" t="str">
        <x:v>Viết hoa chữ đầu các thành tố họ tên</x:v>
      </x:c>
      <x:c r="L58" s="28" t="str">
        <x:v>Có</x:v>
      </x:c>
      <x:c r="M58" s="28" t="str">
        <x:v>Không</x:v>
      </x:c>
      <x:c r="N58" s="28" t="str">
        <x:v>Căn giữa vùng ký ở bên phải</x:v>
      </x:c>
      <x:c r="O58" s="28"/>
      <x:c r="P58" s="28"/>
      <x:c r="Q58" s="28"/>
      <x:c r="R58" s="28" t="str">
        <x:v>Văn bản/OOXML: xác định đối tượng trước khi sửa</x:v>
      </x:c>
      <x:c r="S58" s="28" t="str">
        <x:v>Chỉ dùng họ tên được cung cấp; không tự điền</x:v>
      </x:c>
      <x:c r="T58" s="28" t="str">
        <x:v>NĐ30, Phụ lục I, Phần I, II.7; V.7</x:v>
      </x:c>
      <x:c r="U58" s="28" t="str">
        <x:v>https://datafiles.chinhphu.vn/cpp/files/vbpq/2020/03/30.signed.pdf</x:v>
      </x:c>
      <x:c r="V58" s="28" t="str">
        <x:v>https://riam.edu.vn/nghi-dinh-ve-cong-tac-van-thu-phu-luc/</x:v>
      </x:c>
      <x:c r="W58" s="28" t="str">
        <x:v>ĐỐI CHIẾU MỘT PHẦN</x:v>
      </x:c>
      <x:c r="X58" s="28" t="str">
        <x:v>READ_ONLY</x:v>
      </x:c>
      <x:c r="Y58" s="28" t="str">
        <x:v>Không tự chèn/sửa khi chưa có chứng cứ về đối tượng và rule.</x:v>
      </x:c>
    </x:row>
    <x:row r="59" ht="54" customHeight="1">
      <x:c r="A59" s="32" t="n">
        <x:v>53</x:v>
      </x:c>
      <x:c r="B59" s="34" t="str">
        <x:v>ND30.C.KY.KHOI_KY</x:v>
      </x:c>
      <x:c r="C59" s="40" t="str">
        <x:v>Cuối văn bản</x:v>
      </x:c>
      <x:c r="D59" s="40" t="str">
        <x:v>Khối ký</x:v>
      </x:c>
      <x:c r="E59" s="28" t="str">
        <x:v>Một khối ký có thể lặp nhiều instance</x:v>
      </x:c>
      <x:c r="F59" s="28" t="str">
        <x:v>7a/7b/7c</x:v>
      </x:c>
      <x:c r="G59" s="28" t="str">
        <x:v>Khối ký tùy thẩm quyền/loại văn bản</x:v>
      </x:c>
      <x:c r="H59" s="28" t="str">
        <x:v>Cụm signer lặp được; bố cục nhiều người ký/biên bản theo mẫu riêng</x:v>
      </x:c>
      <x:c r="I59" s="28" t="str">
        <x:v>Theo trường con</x:v>
      </x:c>
      <x:c r="J59" s="28" t="str">
        <x:v>Theo trường con</x:v>
      </x:c>
      <x:c r="K59" s="28" t="str">
        <x:v>Theo tên trường</x:v>
      </x:c>
      <x:c r="L59" s="28" t="str">
        <x:v>Theo trường con</x:v>
      </x:c>
      <x:c r="M59" s="28" t="str">
        <x:v>Không</x:v>
      </x:c>
      <x:c r="N59" s="28" t="str">
        <x:v>Căn giữa vùng ký ở bên phải</x:v>
      </x:c>
      <x:c r="O59" s="28"/>
      <x:c r="P59" s="28"/>
      <x:c r="Q59" s="28"/>
      <x:c r="R59" s="28" t="str">
        <x:v>Văn bản/OOXML: xác định đối tượng trước khi sửa</x:v>
      </x:c>
      <x:c r="S59" s="28" t="str">
        <x:v>Không gộp ND30.C.KY.* thành một style duy nhất</x:v>
      </x:c>
      <x:c r="T59" s="28" t="str">
        <x:v>NĐ30, Phụ lục I, Phần I, II.7; V.7</x:v>
      </x:c>
      <x:c r="U59" s="28" t="str">
        <x:v>https://datafiles.chinhphu.vn/cpp/files/vbpq/2020/03/30.signed.pdf</x:v>
      </x:c>
      <x:c r="V59" s="28" t="str">
        <x:v>https://riam.edu.vn/nghi-dinh-ve-cong-tac-van-thu-phu-luc/</x:v>
      </x:c>
      <x:c r="W59" s="28" t="str">
        <x:v>CHƯA ĐỦ BẰNG CHỨNG</x:v>
      </x:c>
      <x:c r="X59" s="28" t="str">
        <x:v>READ_ONLY</x:v>
      </x:c>
      <x:c r="Y59" s="28" t="str">
        <x:v>Không tự chèn/sửa khi chưa có chứng cứ về đối tượng và rule. | Trạng thái v1.0: CÓ ĐIỀU KIỆN</x:v>
      </x:c>
    </x:row>
    <x:row r="60" ht="54" customHeight="1">
      <x:c r="A60" s="32" t="n">
        <x:v>54</x:v>
      </x:c>
      <x:c r="B60" s="34" t="str">
        <x:v>ND30.C.DAU.DAU_CO_QUAN</x:v>
      </x:c>
      <x:c r="C60" s="40" t="str">
        <x:v>Cuối văn bản</x:v>
      </x:c>
      <x:c r="D60" s="40" t="str">
        <x:v>Dấu và chữ ký số</x:v>
      </x:c>
      <x:c r="E60" s="28" t="str">
        <x:v>Vị trí dấu của cơ quan ban hành</x:v>
      </x:c>
      <x:c r="F60" s="28" t="str">
        <x:v>8</x:v>
      </x:c>
      <x:c r="G60" s="28" t="str">
        <x:v>CHƯA ĐỊNH TUYẾN: xác nhận chế độ + loại văn bản + chủ thể + ngày áp dụng trước khi xét rule</x:v>
      </x:c>
      <x:c r="H60" s="28" t="str">
        <x:v>Vùng dấu hoặc chữ ký số của cơ quan trong bản chính; không phải thao tác soạn thảo</x:v>
      </x:c>
      <x:c r="I60" s="28" t="str">
        <x:v>Không áp dụng</x:v>
      </x:c>
      <x:c r="J60" s="28" t="str">
        <x:v>Không áp dụng</x:v>
      </x:c>
      <x:c r="K60" s="28" t="str">
        <x:v>Không áp dụng</x:v>
      </x:c>
      <x:c r="L60" s="28" t="str">
        <x:v>Không áp dụng</x:v>
      </x:c>
      <x:c r="M60" s="28" t="str">
        <x:v>Không áp dụng</x:v>
      </x:c>
      <x:c r="N60" s="28"/>
      <x:c r="O60" s="28"/>
      <x:c r="P60" s="28"/>
      <x:c r="Q60" s="28"/>
      <x:c r="R60" s="28" t="str">
        <x:v>Protected visual/signature anchor; không chèn hoặc xóa</x:v>
      </x:c>
      <x:c r="S60" s="28" t="str">
        <x:v>Không kiểm tra hiệu lực ký số nếu chưa có dịch vụ/xác thực</x:v>
      </x:c>
      <x:c r="T60" s="28" t="str">
        <x:v>NĐ30, Phụ lục I, Phần I, II.8</x:v>
      </x:c>
      <x:c r="U60" s="28" t="str">
        <x:v>https://datafiles.chinhphu.vn/cpp/files/vbpq/2020/03/30.signed.pdf</x:v>
      </x:c>
      <x:c r="V60" s="28" t="str">
        <x:v>https://riam.edu.vn/nghi-dinh-ve-cong-tac-van-thu-phu-luc/</x:v>
      </x:c>
      <x:c r="W60" s="28" t="str">
        <x:v>CHƯA ĐỦ BẰNG CHỨNG</x:v>
      </x:c>
      <x:c r="X60" s="28" t="str">
        <x:v>BẢO VỆ / KHÔNG TỰ SỬA</x:v>
      </x:c>
      <x:c r="Y60" s="28" t="str">
        <x:v>Ngoài phạm vi can thiệp khi soạn thảo; không tự tạo chữ ký số/dấu hay xác nhận pháp lý. | Trạng thái v1.0: BẢO VỆ</x:v>
      </x:c>
    </x:row>
    <x:row r="61" ht="54" customHeight="1">
      <x:c r="A61" s="32" t="n">
        <x:v>55</x:v>
      </x:c>
      <x:c r="B61" s="34" t="str">
        <x:v>ND30.C.DAU.CHU_KY_SO</x:v>
      </x:c>
      <x:c r="C61" s="40" t="str">
        <x:v>Cuối văn bản</x:v>
      </x:c>
      <x:c r="D61" s="40" t="str">
        <x:v>Dấu và chữ ký số</x:v>
      </x:c>
      <x:c r="E61" s="28" t="str">
        <x:v>Chữ ký số cơ quan trên bản văn bản điện tử</x:v>
      </x:c>
      <x:c r="F61" s="28" t="str">
        <x:v>8</x:v>
      </x:c>
      <x:c r="G61" s="28" t="str">
        <x:v>CHƯA ĐỊNH TUYẾN: xác nhận chế độ + loại văn bản + chủ thể + ngày áp dụng trước khi xét rule</x:v>
      </x:c>
      <x:c r="H61" s="28" t="str">
        <x:v>Vùng dấu hoặc chữ ký số của cơ quan trong bản chính; không phải thao tác soạn thảo</x:v>
      </x:c>
      <x:c r="I61" s="28" t="str">
        <x:v>Không áp dụng</x:v>
      </x:c>
      <x:c r="J61" s="28" t="str">
        <x:v>Không áp dụng</x:v>
      </x:c>
      <x:c r="K61" s="28" t="str">
        <x:v>Không áp dụng</x:v>
      </x:c>
      <x:c r="L61" s="28" t="str">
        <x:v>Không áp dụng</x:v>
      </x:c>
      <x:c r="M61" s="28" t="str">
        <x:v>Không áp dụng</x:v>
      </x:c>
      <x:c r="N61" s="28"/>
      <x:c r="O61" s="28"/>
      <x:c r="P61" s="28"/>
      <x:c r="Q61" s="28"/>
      <x:c r="R61" s="28" t="str">
        <x:v>Protected visual/signature anchor; không chèn hoặc xóa</x:v>
      </x:c>
      <x:c r="S61" s="28" t="str">
        <x:v>Không kiểm tra hiệu lực ký số nếu chưa có dịch vụ/xác thực</x:v>
      </x:c>
      <x:c r="T61" s="28" t="str">
        <x:v>NĐ30, Phụ lục I, Phần I, II.8</x:v>
      </x:c>
      <x:c r="U61" s="28" t="str">
        <x:v>https://datafiles.chinhphu.vn/cpp/files/vbpq/2020/03/30.signed.pdf</x:v>
      </x:c>
      <x:c r="V61" s="28" t="str">
        <x:v>https://riam.edu.vn/nghi-dinh-ve-cong-tac-van-thu-phu-luc/</x:v>
      </x:c>
      <x:c r="W61" s="28" t="str">
        <x:v>CHƯA ĐỦ BẰNG CHỨNG</x:v>
      </x:c>
      <x:c r="X61" s="28" t="str">
        <x:v>BẢO VỆ / KHÔNG TỰ SỬA</x:v>
      </x:c>
      <x:c r="Y61" s="28" t="str">
        <x:v>Ngoài phạm vi can thiệp khi soạn thảo; không tự tạo chữ ký số/dấu hay xác nhận pháp lý. | Trạng thái v1.0: BẢO VỆ</x:v>
      </x:c>
    </x:row>
    <x:row r="62" ht="54" customHeight="1">
      <x:c r="A62" s="32" t="n">
        <x:v>56</x:v>
      </x:c>
      <x:c r="B62" s="34" t="str">
        <x:v>ND30.G.TRANG.KHO_GIAY</x:v>
      </x:c>
      <x:c r="C62" s="42" t="str">
        <x:v>Định dạng chung</x:v>
      </x:c>
      <x:c r="D62" s="42" t="str">
        <x:v>Khổ giấy, lề, trang</x:v>
      </x:c>
      <x:c r="E62" s="28" t="str">
        <x:v>Khổ giấy</x:v>
      </x:c>
      <x:c r="F62" s="28" t="str">
        <x:v>—</x:v>
      </x:c>
      <x:c r="G62" s="28" t="str">
        <x:v>Văn bản chính trong phạm vi plugin</x:v>
      </x:c>
      <x:c r="H62" s="28" t="str">
        <x:v>Khổ giấy A4 cho văn bản chính</x:v>
      </x:c>
      <x:c r="I62" s="28" t="str">
        <x:v>Không áp dụng</x:v>
      </x:c>
      <x:c r="J62" s="28" t="str">
        <x:v>Không áp dụng</x:v>
      </x:c>
      <x:c r="K62" s="28"/>
      <x:c r="L62" s="28"/>
      <x:c r="M62" s="28"/>
      <x:c r="N62" s="28"/>
      <x:c r="O62" s="28"/>
      <x:c r="P62" s="28"/>
      <x:c r="Q62" s="28"/>
      <x:c r="R62" s="28" t="str">
        <x:v>w:sectPr/w:pgSz/w:pgMar; xử lý theo section</x:v>
      </x:c>
      <x:c r="S62" s="28" t="str">
        <x:v>Giấy A4: 210 × 297 mm theo NĐ30, Phụ lục I; ngoại lệ chỉ khi có căn cứ riêng</x:v>
      </x:c>
      <x:c r="T62" s="28" t="str">
        <x:v>NĐ30, Phụ lục I, Phần I, I (Quy định chung)</x:v>
      </x:c>
      <x:c r="U62" s="28" t="str">
        <x:v>https://datafiles.chinhphu.vn/cpp/files/vbpq/2020/03/30.signed.pdf</x:v>
      </x:c>
      <x:c r="V62" s="28" t="str">
        <x:v>https://riam.edu.vn/nghi-dinh-ve-cong-tac-van-thu-phu-luc/</x:v>
      </x:c>
      <x:c r="W62" s="28" t="str">
        <x:v>CẦN RÀ SOÁT</x:v>
      </x:c>
      <x:c r="X62" s="28" t="str">
        <x:v>CHỈ SAU REVIEW</x:v>
      </x:c>
      <x:c r="Y62" s="28" t="str">
        <x:v>Không tự chèn/sửa khi chưa có chứng cứ về đối tượng và rule. | So sánh chéo cũ (không dùng làm rule): 210 × 297 mm; HD05: một số giấy tờ hành chính theo chế độ có A5/mẫu in sẵn</x:v>
      </x:c>
    </x:row>
    <x:row r="63" ht="54" customHeight="1">
      <x:c r="A63" s="32" t="n">
        <x:v>57</x:v>
      </x:c>
      <x:c r="B63" s="34" t="str">
        <x:v>ND30.G.TRANG.HUONG_GIAY</x:v>
      </x:c>
      <x:c r="C63" s="42" t="str">
        <x:v>Định dạng chung</x:v>
      </x:c>
      <x:c r="D63" s="42" t="str">
        <x:v>Khổ giấy, lề, trang</x:v>
      </x:c>
      <x:c r="E63" s="28" t="str">
        <x:v>Hướng giấy</x:v>
      </x:c>
      <x:c r="F63" s="28" t="str">
        <x:v>—</x:v>
      </x:c>
      <x:c r="G63" s="28" t="str">
        <x:v>CHƯA ĐỊNH TUYẾN: xác nhận chế độ + loại văn bản + chủ thể + ngày áp dụng trước khi xét rule</x:v>
      </x:c>
      <x:c r="H63" s="28" t="str">
        <x:v>Portrait; landscape khi bảng/biểu cần và thỏa điều kiện</x:v>
      </x:c>
      <x:c r="I63" s="28" t="str">
        <x:v>Không áp dụng</x:v>
      </x:c>
      <x:c r="J63" s="28" t="str">
        <x:v>Không áp dụng</x:v>
      </x:c>
      <x:c r="K63" s="28"/>
      <x:c r="L63" s="28"/>
      <x:c r="M63" s="28"/>
      <x:c r="N63" s="28"/>
      <x:c r="O63" s="28"/>
      <x:c r="P63" s="28"/>
      <x:c r="Q63" s="28"/>
      <x:c r="R63" s="28" t="str">
        <x:v>w:sectPr/w:pgSz/w:pgMar; xử lý theo section</x:v>
      </x:c>
      <x:c r="S63" s="28" t="str">
        <x:v>Mặc định portrait; landscape cục bộ cho bảng, không xoay toàn tài liệu tùy tiện</x:v>
      </x:c>
      <x:c r="T63" s="28" t="str">
        <x:v>NĐ30, Phụ lục I, Phần I, I (Quy định chung)</x:v>
      </x:c>
      <x:c r="U63" s="28" t="str">
        <x:v>https://datafiles.chinhphu.vn/cpp/files/vbpq/2020/03/30.signed.pdf</x:v>
      </x:c>
      <x:c r="V63" s="28" t="str">
        <x:v>https://riam.edu.vn/nghi-dinh-ve-cong-tac-van-thu-phu-luc/</x:v>
      </x:c>
      <x:c r="W63" s="28" t="str">
        <x:v>CHƯA ĐỦ BẰNG CHỨNG</x:v>
      </x:c>
      <x:c r="X63" s="28" t="str">
        <x:v>CHỈ SAU REVIEW</x:v>
      </x:c>
      <x:c r="Y63" s="28" t="str">
        <x:v>Không tự chèn/sửa khi chưa có chứng cứ về đối tượng và rule. | Trạng thái v1.0: CÓ ĐIỀU KIỆN</x:v>
      </x:c>
    </x:row>
    <x:row r="64" ht="54" customHeight="1">
      <x:c r="A64" s="32" t="n">
        <x:v>58</x:v>
      </x:c>
      <x:c r="B64" s="34" t="str">
        <x:v>ND30.G.TRANG.LE_TRANG</x:v>
      </x:c>
      <x:c r="C64" s="42" t="str">
        <x:v>Định dạng chung</x:v>
      </x:c>
      <x:c r="D64" s="42" t="str">
        <x:v>Khổ giấy, lề, trang</x:v>
      </x:c>
      <x:c r="E64" s="28" t="str">
        <x:v>Lề trang</x:v>
      </x:c>
      <x:c r="F64" s="28" t="str">
        <x:v>—</x:v>
      </x:c>
      <x:c r="G64" s="28" t="str">
        <x:v>CHƯA ĐỊNH TUYẾN: xác nhận chế độ + loại văn bản + chủ thể + ngày áp dụng trước khi xét rule</x:v>
      </x:c>
      <x:c r="H64" s="28" t="str">
        <x:v>Lề trang theo hệ và section</x:v>
      </x:c>
      <x:c r="I64" s="28" t="str">
        <x:v>Không áp dụng</x:v>
      </x:c>
      <x:c r="J64" s="28" t="str">
        <x:v>Không áp dụng</x:v>
      </x:c>
      <x:c r="K64" s="28"/>
      <x:c r="L64" s="28"/>
      <x:c r="M64" s="28"/>
      <x:c r="N64" s="28"/>
      <x:c r="O64" s="28"/>
      <x:c r="P64" s="28"/>
      <x:c r="Q64" s="28"/>
      <x:c r="R64" s="28" t="str">
        <x:v>w:sectPr/w:pgSz/w:pgMar; xử lý theo section</x:v>
      </x:c>
      <x:c r="S64" s="28" t="str">
        <x:v>Trên/dưới: 20–25 mm; trái:30–35 mm; phải:15–20 mm</x:v>
      </x:c>
      <x:c r="T64" s="28" t="str">
        <x:v>NĐ30, Phụ lục I, Phần I, I (Quy định chung)</x:v>
      </x:c>
      <x:c r="U64" s="28" t="str">
        <x:v>https://datafiles.chinhphu.vn/cpp/files/vbpq/2020/03/30.signed.pdf</x:v>
      </x:c>
      <x:c r="V64" s="28" t="str">
        <x:v>https://riam.edu.vn/nghi-dinh-ve-cong-tac-van-thu-phu-luc/</x:v>
      </x:c>
      <x:c r="W64" s="28" t="str">
        <x:v>ĐỐI CHIẾU MỘT PHẦN</x:v>
      </x:c>
      <x:c r="X64" s="28" t="str">
        <x:v>CHỈ SAU REVIEW</x:v>
      </x:c>
      <x:c r="Y64" s="28" t="str">
        <x:v>Không tự chèn/sửa khi chưa có chứng cứ về đối tượng và rule.</x:v>
      </x:c>
    </x:row>
    <x:row r="65" ht="54" customHeight="1">
      <x:c r="A65" s="32" t="n">
        <x:v>59</x:v>
      </x:c>
      <x:c r="B65" s="34" t="str">
        <x:v>ND30.G.CHU.PHONG</x:v>
      </x:c>
      <x:c r="C65" s="42" t="str">
        <x:v>Định dạng chung</x:v>
      </x:c>
      <x:c r="D65" s="42" t="str">
        <x:v>Phông và chữ</x:v>
      </x:c>
      <x:c r="E65" s="28" t="str">
        <x:v>Phông chữ</x:v>
      </x:c>
      <x:c r="F65" s="28" t="str">
        <x:v>—</x:v>
      </x:c>
      <x:c r="G65" s="28" t="str">
        <x:v>CHƯA ĐỊNH TUYẾN: xác nhận chế độ + loại văn bản + chủ thể + ngày áp dụng trước khi xét rule</x:v>
      </x:c>
      <x:c r="H65" s="28" t="str">
        <x:v>Áp dụng theo từng component</x:v>
      </x:c>
      <x:c r="I65" s="28" t="str">
        <x:v>Times New Roman; Unicode; đen</x:v>
      </x:c>
      <x:c r="J65" s="28"/>
      <x:c r="K65" s="28"/>
      <x:c r="L65" s="28"/>
      <x:c r="M65" s="28"/>
      <x:c r="N65" s="28"/>
      <x:c r="O65" s="28"/>
      <x:c r="P65" s="28"/>
      <x:c r="Q65" s="28"/>
      <x:c r="R65" s="28" t="str">
        <x:v>Font props w:rFonts, w:sz, w:b, w:i; theo từng vùng</x:v>
      </x:c>
      <x:c r="S65" s="28" t="str">
        <x:v>Times New Roman; Unicode TCVN 6909:2001; đen</x:v>
      </x:c>
      <x:c r="T65" s="28" t="str">
        <x:v>NĐ30, Phụ lục I, Phần I, I (Quy định chung)</x:v>
      </x:c>
      <x:c r="U65" s="28" t="str">
        <x:v>https://datafiles.chinhphu.vn/cpp/files/vbpq/2020/03/30.signed.pdf</x:v>
      </x:c>
      <x:c r="V65" s="28" t="str">
        <x:v>https://riam.edu.vn/nghi-dinh-ve-cong-tac-van-thu-phu-luc/</x:v>
      </x:c>
      <x:c r="W65" s="28" t="str">
        <x:v>ĐỐI CHIẾU MỘT PHẦN</x:v>
      </x:c>
      <x:c r="X65" s="28" t="str">
        <x:v>CHỈ SAU REVIEW</x:v>
      </x:c>
      <x:c r="Y65" s="28" t="str">
        <x:v>Không tự chèn/sửa khi chưa có chứng cứ về đối tượng và rule.</x:v>
      </x:c>
    </x:row>
    <x:row r="66" ht="54" customHeight="1">
      <x:c r="A66" s="32" t="n">
        <x:v>60</x:v>
      </x:c>
      <x:c r="B66" s="34" t="str">
        <x:v>ND30.G.CHU.CO_CHU</x:v>
      </x:c>
      <x:c r="C66" s="42" t="str">
        <x:v>Định dạng chung</x:v>
      </x:c>
      <x:c r="D66" s="42" t="str">
        <x:v>Phông và chữ</x:v>
      </x:c>
      <x:c r="E66" s="28" t="str">
        <x:v>Cỡ chữ</x:v>
      </x:c>
      <x:c r="F66" s="28" t="str">
        <x:v>—</x:v>
      </x:c>
      <x:c r="G66" s="28" t="str">
        <x:v>CHƯA ĐỊNH TUYẾN: xác nhận chế độ + loại văn bản + chủ thể + ngày áp dụng trước khi xét rule</x:v>
      </x:c>
      <x:c r="H66" s="28" t="str">
        <x:v>Áp dụng theo từng component</x:v>
      </x:c>
      <x:c r="I66" s="28" t="str">
        <x:v>Times New Roman; Unicode; đen</x:v>
      </x:c>
      <x:c r="J66" s="28"/>
      <x:c r="K66" s="28"/>
      <x:c r="L66" s="28"/>
      <x:c r="M66" s="28"/>
      <x:c r="N66" s="28"/>
      <x:c r="O66" s="28"/>
      <x:c r="P66" s="28"/>
      <x:c r="Q66" s="28"/>
      <x:c r="R66" s="28" t="str">
        <x:v>Font props w:rFonts, w:sz, w:b, w:i; theo từng vùng</x:v>
      </x:c>
      <x:c r="S66" s="28" t="str">
        <x:v>Cỡ chữ phải tra theo từng thành phần; có trường sử dụng 10–11 pt (ký hiệu soạn thảo/số bản); không có một khoảng chung cho toàn văn bản</x:v>
      </x:c>
      <x:c r="T66" s="28" t="str">
        <x:v>NĐ30, Phụ lục I, Phần I, I (Quy định chung)</x:v>
      </x:c>
      <x:c r="U66" s="28" t="str">
        <x:v>https://datafiles.chinhphu.vn/cpp/files/vbpq/2020/03/30.signed.pdf</x:v>
      </x:c>
      <x:c r="V66" s="28" t="str">
        <x:v>https://riam.edu.vn/nghi-dinh-ve-cong-tac-van-thu-phu-luc/</x:v>
      </x:c>
      <x:c r="W66" s="28" t="str">
        <x:v>ĐỐI CHIẾU MỘT PHẦN</x:v>
      </x:c>
      <x:c r="X66" s="28" t="str">
        <x:v>CHỈ SAU REVIEW</x:v>
      </x:c>
      <x:c r="Y66" s="28" t="str">
        <x:v>Không tự chèn/sửa khi chưa có chứng cứ về đối tượng và rule.</x:v>
      </x:c>
    </x:row>
    <x:row r="67" ht="54" customHeight="1">
      <x:c r="A67" s="32" t="n">
        <x:v>61</x:v>
      </x:c>
      <x:c r="B67" s="34" t="str">
        <x:v>ND30.G.CHU.KIEU_CHU</x:v>
      </x:c>
      <x:c r="C67" s="42" t="str">
        <x:v>Định dạng chung</x:v>
      </x:c>
      <x:c r="D67" s="42" t="str">
        <x:v>Phông và chữ</x:v>
      </x:c>
      <x:c r="E67" s="28" t="str">
        <x:v>Kiểu chữ</x:v>
      </x:c>
      <x:c r="F67" s="28" t="str">
        <x:v>—</x:v>
      </x:c>
      <x:c r="G67" s="28" t="str">
        <x:v>CHƯA ĐỊNH TUYẾN: xác nhận chế độ + loại văn bản + chủ thể + ngày áp dụng trước khi xét rule</x:v>
      </x:c>
      <x:c r="H67" s="28" t="str">
        <x:v>Áp dụng theo từng component</x:v>
      </x:c>
      <x:c r="I67" s="28" t="str">
        <x:v>Times New Roman; Unicode; đen</x:v>
      </x:c>
      <x:c r="J67" s="28"/>
      <x:c r="K67" s="28"/>
      <x:c r="L67" s="28"/>
      <x:c r="M67" s="28"/>
      <x:c r="N67" s="28"/>
      <x:c r="O67" s="28"/>
      <x:c r="P67" s="28"/>
      <x:c r="Q67" s="28"/>
      <x:c r="R67" s="28" t="str">
        <x:v>Font props w:rFonts, w:sz, w:b, w:i; theo từng vùng</x:v>
      </x:c>
      <x:c r="S67" s="28" t="str">
        <x:v>Từng trường quyết định bold/italic/case; không dùng quy tắc universal</x:v>
      </x:c>
      <x:c r="T67" s="28" t="str">
        <x:v>NĐ30, Phụ lục I, Phần I, I (Quy định chung)</x:v>
      </x:c>
      <x:c r="U67" s="28" t="str">
        <x:v>https://datafiles.chinhphu.vn/cpp/files/vbpq/2020/03/30.signed.pdf</x:v>
      </x:c>
      <x:c r="V67" s="28" t="str">
        <x:v>https://riam.edu.vn/nghi-dinh-ve-cong-tac-van-thu-phu-luc/</x:v>
      </x:c>
      <x:c r="W67" s="28" t="str">
        <x:v>ĐỐI CHIẾU MỘT PHẦN</x:v>
      </x:c>
      <x:c r="X67" s="28" t="str">
        <x:v>CHỈ SAU REVIEW</x:v>
      </x:c>
      <x:c r="Y67" s="28" t="str">
        <x:v>Không tự chèn/sửa khi chưa có chứng cứ về đối tượng và rule.</x:v>
      </x:c>
    </x:row>
    <x:row r="68" ht="54" customHeight="1">
      <x:c r="A68" s="32" t="n">
        <x:v>62</x:v>
      </x:c>
      <x:c r="B68" s="34" t="str">
        <x:v>ND30.G.DOAN.CAN_LE</x:v>
      </x:c>
      <x:c r="C68" s="42" t="str">
        <x:v>Định dạng chung</x:v>
      </x:c>
      <x:c r="D68" s="42" t="str">
        <x:v>Dãn cách và căn chỉnh</x:v>
      </x:c>
      <x:c r="E68" s="28" t="str">
        <x:v>Căn lề</x:v>
      </x:c>
      <x:c r="F68" s="28" t="str">
        <x:v>—</x:v>
      </x:c>
      <x:c r="G68" s="28" t="str">
        <x:v>CHƯA ĐỊNH TUYẾN: xác nhận chế độ + loại văn bản + chủ thể + ngày áp dụng trước khi xét rule</x:v>
      </x:c>
      <x:c r="H68" s="28" t="str">
        <x:v>Căn đều hai lề nội dung chính; thành phần đầu/cuối dùng vị trí riêng</x:v>
      </x:c>
      <x:c r="I68" s="28" t="str">
        <x:v>Times New Roman</x:v>
      </x:c>
      <x:c r="J68" s="28"/>
      <x:c r="K68" s="28"/>
      <x:c r="L68" s="28"/>
      <x:c r="M68" s="28"/>
      <x:c r="N68" s="28" t="str">
        <x:v>Justify đối với lời văn</x:v>
      </x:c>
      <x:c r="O68" s="28"/>
      <x:c r="P68" s="28"/>
      <x:c r="Q68" s="28"/>
      <x:c r="R68" s="28" t="str">
        <x:v>w:pPr/w:jc, w:spacing, w:ind; không sửa rời khỏi cấu trúc đối tượng</x:v>
      </x:c>
      <x:c r="S68" s="28" t="str">
        <x:v>Áp dụng nội dung chính, không ép khối tên/số/ký</x:v>
      </x:c>
      <x:c r="T68" s="28" t="str">
        <x:v>NĐ30, Phụ lục I, Phần I, I (Quy định chung)</x:v>
      </x:c>
      <x:c r="U68" s="28" t="str">
        <x:v>https://datafiles.chinhphu.vn/cpp/files/vbpq/2020/03/30.signed.pdf</x:v>
      </x:c>
      <x:c r="V68" s="28" t="str">
        <x:v>https://riam.edu.vn/nghi-dinh-ve-cong-tac-van-thu-phu-luc/</x:v>
      </x:c>
      <x:c r="W68" s="28" t="str">
        <x:v>ĐỐI CHIẾU MỘT PHẦN</x:v>
      </x:c>
      <x:c r="X68" s="28" t="str">
        <x:v>CHỈ SAU REVIEW</x:v>
      </x:c>
      <x:c r="Y68" s="28" t="str">
        <x:v>Không tự chèn/sửa khi chưa có chứng cứ về đối tượng và rule.</x:v>
      </x:c>
    </x:row>
    <x:row r="69" ht="54" customHeight="1">
      <x:c r="A69" s="32" t="n">
        <x:v>63</x:v>
      </x:c>
      <x:c r="B69" s="34" t="str">
        <x:v>ND30.G.DOAN.GIUA_DONG</x:v>
      </x:c>
      <x:c r="C69" s="42" t="str">
        <x:v>Định dạng chung</x:v>
      </x:c>
      <x:c r="D69" s="42" t="str">
        <x:v>Dãn cách và căn chỉnh</x:v>
      </x:c>
      <x:c r="E69" s="28" t="str">
        <x:v>Khoảng cách dòng</x:v>
      </x:c>
      <x:c r="F69" s="28" t="str">
        <x:v>—</x:v>
      </x:c>
      <x:c r="G69" s="28" t="str">
        <x:v>CHƯA ĐỊNH TUYẾN: xác nhận chế độ + loại văn bản + chủ thể + ngày áp dụng trước khi xét rule</x:v>
      </x:c>
      <x:c r="H69" s="28" t="str">
        <x:v>Khoảng cách dòng</x:v>
      </x:c>
      <x:c r="I69" s="28" t="str">
        <x:v>Times New Roman</x:v>
      </x:c>
      <x:c r="J69" s="28"/>
      <x:c r="K69" s="28"/>
      <x:c r="L69" s="28"/>
      <x:c r="M69" s="28"/>
      <x:c r="N69" s="28"/>
      <x:c r="O69" s="28" t="str">
        <x:v>single–1,5 lines</x:v>
      </x:c>
      <x:c r="P69" s="28"/>
      <x:c r="Q69" s="28"/>
      <x:c r="R69" s="28" t="str">
        <x:v>w:pPr/w:jc, w:spacing, w:ind; không sửa rời khỏi cấu trúc đối tượng</x:v>
      </x:c>
      <x:c r="S69" s="28" t="str">
        <x:v>ND30 không bắt buộc Exactly 19 pt</x:v>
      </x:c>
      <x:c r="T69" s="28" t="str">
        <x:v>NĐ30, Phụ lục I, Phần I, I (Quy định chung)</x:v>
      </x:c>
      <x:c r="U69" s="28" t="str">
        <x:v>https://datafiles.chinhphu.vn/cpp/files/vbpq/2020/03/30.signed.pdf</x:v>
      </x:c>
      <x:c r="V69" s="28" t="str">
        <x:v>https://riam.edu.vn/nghi-dinh-ve-cong-tac-van-thu-phu-luc/</x:v>
      </x:c>
      <x:c r="W69" s="28" t="str">
        <x:v>ĐỐI CHIẾU MỘT PHẦN</x:v>
      </x:c>
      <x:c r="X69" s="28" t="str">
        <x:v>CHỈ SAU REVIEW</x:v>
      </x:c>
      <x:c r="Y69" s="28" t="str">
        <x:v>Không tự chèn/sửa khi chưa có chứng cứ về đối tượng và rule.</x:v>
      </x:c>
    </x:row>
    <x:row r="70" ht="54" customHeight="1">
      <x:c r="A70" s="32" t="n">
        <x:v>64</x:v>
      </x:c>
      <x:c r="B70" s="34" t="str">
        <x:v>ND30.G.DOAN.GIUA_DOAN</x:v>
      </x:c>
      <x:c r="C70" s="42" t="str">
        <x:v>Định dạng chung</x:v>
      </x:c>
      <x:c r="D70" s="42" t="str">
        <x:v>Dãn cách và căn chỉnh</x:v>
      </x:c>
      <x:c r="E70" s="28" t="str">
        <x:v>Khoảng cách đoạn</x:v>
      </x:c>
      <x:c r="F70" s="28" t="str">
        <x:v>—</x:v>
      </x:c>
      <x:c r="G70" s="28" t="str">
        <x:v>CHƯA ĐỊNH TUYẾN: xác nhận chế độ + loại văn bản + chủ thể + ngày áp dụng trước khi xét rule</x:v>
      </x:c>
      <x:c r="H70" s="28" t="str">
        <x:v>Khoảng cách đoạn</x:v>
      </x:c>
      <x:c r="I70" s="28" t="str">
        <x:v>Times New Roman</x:v>
      </x:c>
      <x:c r="J70" s="28"/>
      <x:c r="K70" s="28"/>
      <x:c r="L70" s="28"/>
      <x:c r="M70" s="28"/>
      <x:c r="N70" s="28"/>
      <x:c r="O70" s="28" t="str">
        <x:v>≥6 pt</x:v>
      </x:c>
      <x:c r="P70" s="28"/>
      <x:c r="Q70" s="28"/>
      <x:c r="R70" s="28" t="str">
        <x:v>w:pPr/w:jc, w:spacing, w:ind; không sửa rời khỏi cấu trúc đối tượng</x:v>
      </x:c>
      <x:c r="S70" s="28" t="str">
        <x:v>Tối thiểu 6 pt giữa các đoạn nội dung chính</x:v>
      </x:c>
      <x:c r="T70" s="28" t="str">
        <x:v>NĐ30, Phụ lục I, Phần I, I (Quy định chung)</x:v>
      </x:c>
      <x:c r="U70" s="28" t="str">
        <x:v>https://datafiles.chinhphu.vn/cpp/files/vbpq/2020/03/30.signed.pdf</x:v>
      </x:c>
      <x:c r="V70" s="28" t="str">
        <x:v>https://riam.edu.vn/nghi-dinh-ve-cong-tac-van-thu-phu-luc/</x:v>
      </x:c>
      <x:c r="W70" s="28" t="str">
        <x:v>ĐỐI CHIẾU MỘT PHẦN</x:v>
      </x:c>
      <x:c r="X70" s="28" t="str">
        <x:v>CHỈ SAU REVIEW</x:v>
      </x:c>
      <x:c r="Y70" s="28" t="str">
        <x:v>Không tự chèn/sửa khi chưa có chứng cứ về đối tượng và rule.</x:v>
      </x:c>
    </x:row>
    <x:row r="71" ht="54" customHeight="1">
      <x:c r="A71" s="32" t="n">
        <x:v>65</x:v>
      </x:c>
      <x:c r="B71" s="34" t="str">
        <x:v>ND30.G.DOAN.THUT_DONG</x:v>
      </x:c>
      <x:c r="C71" s="42" t="str">
        <x:v>Định dạng chung</x:v>
      </x:c>
      <x:c r="D71" s="42" t="str">
        <x:v>Dãn cách và căn chỉnh</x:v>
      </x:c>
      <x:c r="E71" s="28" t="str">
        <x:v>Thụt đầu dòng</x:v>
      </x:c>
      <x:c r="F71" s="28" t="str">
        <x:v>—</x:v>
      </x:c>
      <x:c r="G71" s="28" t="str">
        <x:v>CHƯA ĐỊNH TUYẾN: xác nhận chế độ + loại văn bản + chủ thể + ngày áp dụng trước khi xét rule</x:v>
      </x:c>
      <x:c r="H71" s="28" t="str">
        <x:v>Thụt đầu dòng</x:v>
      </x:c>
      <x:c r="I71" s="28" t="str">
        <x:v>Times New Roman</x:v>
      </x:c>
      <x:c r="J71" s="28"/>
      <x:c r="K71" s="28"/>
      <x:c r="L71" s="28"/>
      <x:c r="M71" s="28"/>
      <x:c r="N71" s="28"/>
      <x:c r="O71" s="28"/>
      <x:c r="P71" s="28" t="str">
        <x:v>1 hoặc 1,27 cm</x:v>
      </x:c>
      <x:c r="Q71" s="28"/>
      <x:c r="R71" s="28" t="str">
        <x:v>w:pPr/w:jc, w:spacing, w:ind; không sửa rời khỏi cấu trúc đối tượng</x:v>
      </x:c>
      <x:c r="S71" s="28" t="str">
        <x:v>Không áp dụng mặc định cho đoạn bảng/tiêu đề</x:v>
      </x:c>
      <x:c r="T71" s="28" t="str">
        <x:v>NĐ30, Phụ lục I, Phần I, I (Quy định chung)</x:v>
      </x:c>
      <x:c r="U71" s="28" t="str">
        <x:v>https://datafiles.chinhphu.vn/cpp/files/vbpq/2020/03/30.signed.pdf</x:v>
      </x:c>
      <x:c r="V71" s="28" t="str">
        <x:v>https://riam.edu.vn/nghi-dinh-ve-cong-tac-van-thu-phu-luc/</x:v>
      </x:c>
      <x:c r="W71" s="28" t="str">
        <x:v>ĐỐI CHIẾU MỘT PHẦN</x:v>
      </x:c>
      <x:c r="X71" s="28" t="str">
        <x:v>CHỈ SAU REVIEW</x:v>
      </x:c>
      <x:c r="Y71" s="28" t="str">
        <x:v>Không tự chèn/sửa khi chưa có chứng cứ về đối tượng và rule.</x:v>
      </x:c>
    </x:row>
    <x:row r="72" ht="54" customHeight="1">
      <x:c r="A72" s="32" t="n">
        <x:v>66</x:v>
      </x:c>
      <x:c r="B72" s="34" t="str">
        <x:v>ND30.G.PHAN_TRANG.SECTION</x:v>
      </x:c>
      <x:c r="C72" s="42" t="str">
        <x:v>Định dạng chung</x:v>
      </x:c>
      <x:c r="D72" s="42" t="str">
        <x:v>Phân trang</x:v>
      </x:c>
      <x:c r="E72" s="28" t="str">
        <x:v>Section</x:v>
      </x:c>
      <x:c r="F72" s="28" t="str">
        <x:v>—</x:v>
      </x:c>
      <x:c r="G72" s="28" t="str">
        <x:v>CHƯA ĐỊNH TUYẾN: xác nhận chế độ + loại văn bản + chủ thể + ngày áp dụng trước khi xét rule</x:v>
      </x:c>
      <x:c r="H72" s="28" t="str">
        <x:v>Quản lý section, pagebreak/keepNext nhưng chỉ khi có bằng chứng bố cục</x:v>
      </x:c>
      <x:c r="I72" s="28" t="str">
        <x:v>Không áp dụng</x:v>
      </x:c>
      <x:c r="J72" s="28" t="str">
        <x:v>Không áp dụng</x:v>
      </x:c>
      <x:c r="K72" s="28"/>
      <x:c r="L72" s="28"/>
      <x:c r="M72" s="28"/>
      <x:c r="N72" s="28"/>
      <x:c r="O72" s="28"/>
      <x:c r="P72" s="28"/>
      <x:c r="Q72" s="28"/>
      <x:c r="R72" s="28" t="str">
        <x:v>w:sectPr, w:br, w:keepNext (điều kiện)</x:v>
      </x:c>
      <x:c r="S72" s="28" t="str">
        <x:v>Không có một giá trị pháp lý mặc định cho tất cả tiêu đề</x:v>
      </x:c>
      <x:c r="T72" s="28" t="str">
        <x:v>NĐ30, Phụ lục I, Phần I, I (Quy định chung)</x:v>
      </x:c>
      <x:c r="U72" s="28" t="str">
        <x:v>https://datafiles.chinhphu.vn/cpp/files/vbpq/2020/03/30.signed.pdf</x:v>
      </x:c>
      <x:c r="V72" s="28" t="str">
        <x:v>https://riam.edu.vn/nghi-dinh-ve-cong-tac-van-thu-phu-luc/</x:v>
      </x:c>
      <x:c r="W72" s="28" t="str">
        <x:v>CẦN QA KỸ THUẬT</x:v>
      </x:c>
      <x:c r="X72" s="28" t="str">
        <x:v>REVIEW TRƯỚC KHI SỬA</x:v>
      </x:c>
      <x:c r="Y72" s="28" t="str">
        <x:v>Thiết lập kỹ thuật DOCX, không phải một “thành phần thể thức” pháp lý độc lập. | Trạng thái v1.0: THIẾT LẬP KỸ THUẬT</x:v>
      </x:c>
    </x:row>
    <x:row r="73" ht="54" customHeight="1">
      <x:c r="A73" s="32" t="n">
        <x:v>67</x:v>
      </x:c>
      <x:c r="B73" s="34" t="str">
        <x:v>ND30.G.PHAN_TRANG.NGAT_TRANG</x:v>
      </x:c>
      <x:c r="C73" s="42" t="str">
        <x:v>Định dạng chung</x:v>
      </x:c>
      <x:c r="D73" s="42" t="str">
        <x:v>Phân trang</x:v>
      </x:c>
      <x:c r="E73" s="28" t="str">
        <x:v>Ngắt trang</x:v>
      </x:c>
      <x:c r="F73" s="28" t="str">
        <x:v>—</x:v>
      </x:c>
      <x:c r="G73" s="28" t="str">
        <x:v>CHƯA ĐỊNH TUYẾN: xác nhận chế độ + loại văn bản + chủ thể + ngày áp dụng trước khi xét rule</x:v>
      </x:c>
      <x:c r="H73" s="28" t="str">
        <x:v>Quản lý section, pagebreak/keepNext nhưng chỉ khi có bằng chứng bố cục</x:v>
      </x:c>
      <x:c r="I73" s="28" t="str">
        <x:v>Không áp dụng</x:v>
      </x:c>
      <x:c r="J73" s="28" t="str">
        <x:v>Không áp dụng</x:v>
      </x:c>
      <x:c r="K73" s="28"/>
      <x:c r="L73" s="28"/>
      <x:c r="M73" s="28"/>
      <x:c r="N73" s="28"/>
      <x:c r="O73" s="28"/>
      <x:c r="P73" s="28"/>
      <x:c r="Q73" s="28"/>
      <x:c r="R73" s="28" t="str">
        <x:v>w:sectPr, w:br, w:keepNext (điều kiện)</x:v>
      </x:c>
      <x:c r="S73" s="28" t="str">
        <x:v>Không có một giá trị pháp lý mặc định cho tất cả tiêu đề</x:v>
      </x:c>
      <x:c r="T73" s="28" t="str">
        <x:v>NĐ30, Phụ lục I, Phần I, I (Quy định chung)</x:v>
      </x:c>
      <x:c r="U73" s="28" t="str">
        <x:v>https://datafiles.chinhphu.vn/cpp/files/vbpq/2020/03/30.signed.pdf</x:v>
      </x:c>
      <x:c r="V73" s="28" t="str">
        <x:v>https://riam.edu.vn/nghi-dinh-ve-cong-tac-van-thu-phu-luc/</x:v>
      </x:c>
      <x:c r="W73" s="28" t="str">
        <x:v>CẦN QA KỸ THUẬT</x:v>
      </x:c>
      <x:c r="X73" s="28" t="str">
        <x:v>REVIEW TRƯỚC KHI SỬA</x:v>
      </x:c>
      <x:c r="Y73" s="28" t="str">
        <x:v>Thiết lập kỹ thuật DOCX, không phải một “thành phần thể thức” pháp lý độc lập. | Trạng thái v1.0: THIẾT LẬP KỸ THUẬT</x:v>
      </x:c>
    </x:row>
    <x:row r="74" ht="54" customHeight="1">
      <x:c r="A74" s="32" t="n">
        <x:v>68</x:v>
      </x:c>
      <x:c r="B74" s="34" t="str">
        <x:v>ND30.G.PHAN_TRANG.KEEP_WITH_NEXT</x:v>
      </x:c>
      <x:c r="C74" s="42" t="str">
        <x:v>Định dạng chung</x:v>
      </x:c>
      <x:c r="D74" s="42" t="str">
        <x:v>Phân trang</x:v>
      </x:c>
      <x:c r="E74" s="28" t="str">
        <x:v>Giữ cùng đoạn tiếp</x:v>
      </x:c>
      <x:c r="F74" s="28" t="str">
        <x:v>—</x:v>
      </x:c>
      <x:c r="G74" s="28" t="str">
        <x:v>CHƯA ĐỊNH TUYẾN: xác nhận chế độ + loại văn bản + chủ thể + ngày áp dụng trước khi xét rule</x:v>
      </x:c>
      <x:c r="H74" s="28" t="str">
        <x:v>Quản lý section, pagebreak/keepNext nhưng chỉ khi có bằng chứng bố cục</x:v>
      </x:c>
      <x:c r="I74" s="28" t="str">
        <x:v>Không áp dụng</x:v>
      </x:c>
      <x:c r="J74" s="28" t="str">
        <x:v>Không áp dụng</x:v>
      </x:c>
      <x:c r="K74" s="28"/>
      <x:c r="L74" s="28"/>
      <x:c r="M74" s="28"/>
      <x:c r="N74" s="28"/>
      <x:c r="O74" s="28"/>
      <x:c r="P74" s="28"/>
      <x:c r="Q74" s="28"/>
      <x:c r="R74" s="28" t="str">
        <x:v>w:sectPr, w:br, w:keepNext (điều kiện)</x:v>
      </x:c>
      <x:c r="S74" s="28" t="str">
        <x:v>Không có một giá trị pháp lý mặc định cho tất cả tiêu đề</x:v>
      </x:c>
      <x:c r="T74" s="28" t="str">
        <x:v>NĐ30, Phụ lục I, Phần I, I (Quy định chung)</x:v>
      </x:c>
      <x:c r="U74" s="28" t="str">
        <x:v>https://datafiles.chinhphu.vn/cpp/files/vbpq/2020/03/30.signed.pdf</x:v>
      </x:c>
      <x:c r="V74" s="28" t="str">
        <x:v>https://riam.edu.vn/nghi-dinh-ve-cong-tac-van-thu-phu-luc/</x:v>
      </x:c>
      <x:c r="W74" s="28" t="str">
        <x:v>CẦN QA KỸ THUẬT</x:v>
      </x:c>
      <x:c r="X74" s="28" t="str">
        <x:v>REVIEW TRƯỚC KHI SỬA</x:v>
      </x:c>
      <x:c r="Y74" s="28" t="str">
        <x:v>Thiết lập kỹ thuật DOCX, không phải một “thành phần thể thức” pháp lý độc lập. | Trạng thái v1.0: THIẾT LẬP KỸ THUẬT</x:v>
      </x:c>
    </x:row>
    <x:row r="75" ht="54" customHeight="1">
      <x:c r="A75" s="32" t="n">
        <x:v>69</x:v>
      </x:c>
      <x:c r="B75" s="34" t="str">
        <x:v>ND30.G.SO_TRANG.VI_TRI</x:v>
      </x:c>
      <x:c r="C75" s="42" t="str">
        <x:v>Định dạng chung</x:v>
      </x:c>
      <x:c r="D75" s="42" t="str">
        <x:v>Đánh số trang</x:v>
      </x:c>
      <x:c r="E75" s="28" t="str">
        <x:v>Vị trí số trang</x:v>
      </x:c>
      <x:c r="F75" s="28" t="str">
        <x:v>—</x:v>
      </x:c>
      <x:c r="G75" s="28" t="str">
        <x:v>CHƯA ĐỊNH TUYẾN: xác nhận chế độ + loại văn bản + chủ thể + ngày áp dụng trước khi xét rule</x:v>
      </x:c>
      <x:c r="H75" s="28" t="str">
        <x:v>Số trang bằng chữ số Ả Rập, trang đầu không hiển thị</x:v>
      </x:c>
      <x:c r="I75" s="28" t="str">
        <x:v>Times New Roman</x:v>
      </x:c>
      <x:c r="J75" s="28" t="str">
        <x:v>13–14</x:v>
      </x:c>
      <x:c r="K75" s="28"/>
      <x:c r="L75" s="28"/>
      <x:c r="M75" s="28"/>
      <x:c r="N75" s="28" t="str">
        <x:v>Căn giữa ngang vùng nội dung, trong lề trên</x:v>
      </x:c>
      <x:c r="O75" s="28"/>
      <x:c r="P75" s="28"/>
      <x:c r="Q75" s="28"/>
      <x:c r="R75" s="28" t="str">
        <x:v>PAGE field / header pagination; khác HEAD logic</x:v>
      </x:c>
      <x:c r="S75" s="28" t="str">
        <x:v>ND30: ở giữa lề trên; trang 1 không hiện</x:v>
      </x:c>
      <x:c r="T75" s="28" t="str">
        <x:v>NĐ30, Phụ lục I, Phần I, I (Quy định chung)</x:v>
      </x:c>
      <x:c r="U75" s="28" t="str">
        <x:v>https://datafiles.chinhphu.vn/cpp/files/vbpq/2020/03/30.signed.pdf</x:v>
      </x:c>
      <x:c r="V75" s="28" t="str">
        <x:v>https://riam.edu.vn/nghi-dinh-ve-cong-tac-van-thu-phu-luc/</x:v>
      </x:c>
      <x:c r="W75" s="28" t="str">
        <x:v>ĐỐI CHIẾU MỘT PHẦN</x:v>
      </x:c>
      <x:c r="X75" s="28" t="str">
        <x:v>CHỈ SAU REVIEW</x:v>
      </x:c>
      <x:c r="Y75" s="28" t="str">
        <x:v>Không tự chèn/sửa khi chưa có chứng cứ về đối tượng và rule.</x:v>
      </x:c>
    </x:row>
    <x:row r="76" ht="54" customHeight="1">
      <x:c r="A76" s="32" t="n">
        <x:v>70</x:v>
      </x:c>
      <x:c r="B76" s="34" t="str">
        <x:v>ND30.G.SO_TRANG.DINH_DANG</x:v>
      </x:c>
      <x:c r="C76" s="42" t="str">
        <x:v>Định dạng chung</x:v>
      </x:c>
      <x:c r="D76" s="42" t="str">
        <x:v>Đánh số trang</x:v>
      </x:c>
      <x:c r="E76" s="28" t="str">
        <x:v>Định dạng số trang</x:v>
      </x:c>
      <x:c r="F76" s="28" t="str">
        <x:v>—</x:v>
      </x:c>
      <x:c r="G76" s="28" t="str">
        <x:v>CHƯA ĐỊNH TUYẾN: xác nhận chế độ + loại văn bản + chủ thể + ngày áp dụng trước khi xét rule</x:v>
      </x:c>
      <x:c r="H76" s="28" t="str">
        <x:v>Số trang bằng chữ số Ả Rập, trang đầu không hiển thị</x:v>
      </x:c>
      <x:c r="I76" s="28" t="str">
        <x:v>Times New Roman</x:v>
      </x:c>
      <x:c r="J76" s="28" t="str">
        <x:v>13–14</x:v>
      </x:c>
      <x:c r="K76" s="28"/>
      <x:c r="L76" s="28"/>
      <x:c r="M76" s="28"/>
      <x:c r="N76" s="28" t="str">
        <x:v>Căn giữa ngang vùng nội dung, trong lề trên</x:v>
      </x:c>
      <x:c r="O76" s="28"/>
      <x:c r="P76" s="28"/>
      <x:c r="Q76" s="28"/>
      <x:c r="R76" s="28" t="str">
        <x:v>PAGE field / header pagination; khác HEAD logic</x:v>
      </x:c>
      <x:c r="S76" s="28" t="str">
        <x:v>ND30: ở giữa lề trên; trang 1 không hiện</x:v>
      </x:c>
      <x:c r="T76" s="28" t="str">
        <x:v>NĐ30, Phụ lục I, Phần I, I (Quy định chung)</x:v>
      </x:c>
      <x:c r="U76" s="28" t="str">
        <x:v>https://datafiles.chinhphu.vn/cpp/files/vbpq/2020/03/30.signed.pdf</x:v>
      </x:c>
      <x:c r="V76" s="28" t="str">
        <x:v>https://riam.edu.vn/nghi-dinh-ve-cong-tac-van-thu-phu-luc/</x:v>
      </x:c>
      <x:c r="W76" s="28" t="str">
        <x:v>ĐỐI CHIẾU MỘT PHẦN</x:v>
      </x:c>
      <x:c r="X76" s="28" t="str">
        <x:v>CHỈ SAU REVIEW</x:v>
      </x:c>
      <x:c r="Y76" s="28" t="str">
        <x:v>Không tự chèn/sửa khi chưa có chứng cứ về đối tượng và rule.</x:v>
      </x:c>
    </x:row>
    <x:row r="77" ht="54" customHeight="1">
      <x:c r="A77" s="32" t="n">
        <x:v>71</x:v>
      </x:c>
      <x:c r="B77" s="34" t="str">
        <x:v>ND30.X.MAT.MUC_DO</x:v>
      </x:c>
      <x:c r="C77" s="44" t="str">
        <x:v>Thể thức bổ sung</x:v>
      </x:c>
      <x:c r="D77" s="44" t="str">
        <x:v>Chỉ độ mật</x:v>
      </x:c>
      <x:c r="E77" s="28" t="str">
        <x:v>Mức độ mật và dấu chỉ tương ứng</x:v>
      </x:c>
      <x:c r="F77" s="28" t="str">
        <x:v>10a</x:v>
      </x:c>
      <x:c r="G77" s="28" t="str">
        <x:v>Chỉ khi nội dung/chủ thể có thẩm quyền và yêu cầu bổ sung hợp lệ</x:v>
      </x:c>
      <x:c r="H77" s="28" t="str">
        <x:v>Dấu mật, hình thức/độ mật theo pháp luật bảo vệ bí mật nhà nước</x:v>
      </x:c>
      <x:c r="I77" s="28" t="str">
        <x:v>Theo quy định chuyên ngành</x:v>
      </x:c>
      <x:c r="J77" s="28"/>
      <x:c r="K77" s="28"/>
      <x:c r="L77" s="28"/>
      <x:c r="M77" s="28"/>
      <x:c r="N77" s="28"/>
      <x:c r="O77" s="28"/>
      <x:c r="P77" s="28"/>
      <x:c r="Q77" s="28"/>
      <x:c r="R77" s="28" t="str">
        <x:v>Metadata + vùng trình bày có điều kiện; đánh giá thủ công trước sửa</x:v>
      </x:c>
      <x:c r="S77" s="28" t="str">
        <x:v>Không xác định mức mật bằng AI; cần nguồn riêng và thẩm quyền phê duyệt</x:v>
      </x:c>
      <x:c r="T77" s="28" t="str">
        <x:v>NĐ30, Phụ lục I, III.2.a; quy định BV BMNN</x:v>
      </x:c>
      <x:c r="U77" s="28" t="str">
        <x:v>https://datafiles.chinhphu.vn/cpp/files/vbpq/2020/03/30.signed.pdf</x:v>
      </x:c>
      <x:c r="V77" s="28" t="str">
        <x:v>https://riam.edu.vn/nghi-dinh-ve-cong-tac-van-thu-phu-luc/</x:v>
      </x:c>
      <x:c r="W77" s="28" t="str">
        <x:v>CHƯA ĐỦ BẰNG CHỨNG</x:v>
      </x:c>
      <x:c r="X77" s="28" t="str">
        <x:v>BẢO VỆ / KHÔNG TỰ SỬA</x:v>
      </x:c>
      <x:c r="Y77" s="28" t="str">
        <x:v>Không tự chèn/sửa khi chưa có chứng cứ về đối tượng và rule. | Trạng thái v1.0: BẢO VỆ</x:v>
      </x:c>
    </x:row>
    <x:row r="78" ht="54" customHeight="1">
      <x:c r="A78" s="32" t="n">
        <x:v>72</x:v>
      </x:c>
      <x:c r="B78" s="34" t="str">
        <x:v>ND30.X.KHAN.MUC_DO</x:v>
      </x:c>
      <x:c r="C78" s="44" t="str">
        <x:v>Thể thức bổ sung</x:v>
      </x:c>
      <x:c r="D78" s="44" t="str">
        <x:v>Chỉ mức độ khẩn</x:v>
      </x:c>
      <x:c r="E78" s="28" t="str">
        <x:v>Mức độ khẩn</x:v>
      </x:c>
      <x:c r="F78" s="28" t="str">
        <x:v>10b</x:v>
      </x:c>
      <x:c r="G78" s="28" t="str">
        <x:v>Chỉ khi nội dung/chủ thể có thẩm quyền và yêu cầu bổ sung hợp lệ</x:v>
      </x:c>
      <x:c r="H78" s="28" t="str">
        <x:v>Dấu HỎA TỐC / THƯỢNG KHẨN / KHẨN theo quyết định có thẩm quyền</x:v>
      </x:c>
      <x:c r="I78" s="28" t="str">
        <x:v>Times New Roman</x:v>
      </x:c>
      <x:c r="J78" s="28" t="str">
        <x:v>13–14</x:v>
      </x:c>
      <x:c r="K78" s="28" t="str">
        <x:v>IN HOA</x:v>
      </x:c>
      <x:c r="L78" s="28" t="str">
        <x:v>Có</x:v>
      </x:c>
      <x:c r="M78" s="28" t="str">
        <x:v>Không</x:v>
      </x:c>
      <x:c r="N78" s="28"/>
      <x:c r="O78" s="28"/>
      <x:c r="P78" s="28"/>
      <x:c r="Q78" s="28"/>
      <x:c r="R78" s="28" t="str">
        <x:v>Metadata + vùng trình bày có điều kiện; đánh giá thủ công trước sửa</x:v>
      </x:c>
      <x:c r="S78" s="28" t="str">
        <x:v>Dấu mức độ khẩn phải theo từng cấp (HỎA TỐC / THƯỢNG KHẨN / KHẨN), màu/khung/kích thước theo mẫu pháp lý; kích thước chưa map đối chiếu từng mẫu ⇒ CHƯA TỰ SỬA</x:v>
      </x:c>
      <x:c r="T78" s="28" t="str">
        <x:v>NĐ30, Phụ lục I, Phần I, III (Thể thức bổ sung)</x:v>
      </x:c>
      <x:c r="U78" s="28" t="str">
        <x:v>https://datafiles.chinhphu.vn/cpp/files/vbpq/2020/03/30.signed.pdf</x:v>
      </x:c>
      <x:c r="V78" s="28" t="str">
        <x:v>https://riam.edu.vn/nghi-dinh-ve-cong-tac-van-thu-phu-luc/</x:v>
      </x:c>
      <x:c r="W78" s="28" t="str">
        <x:v>CHƯA ĐỦ BẰNG CHỨNG</x:v>
      </x:c>
      <x:c r="X78" s="28" t="str">
        <x:v>KHÔNG TỰ CHÈN</x:v>
      </x:c>
      <x:c r="Y78" s="28" t="str">
        <x:v>Không tự chèn/sửa khi chưa có chứng cứ về đối tượng và rule. | Trạng thái v1.0: CÓ ĐIỀU KIỆN | So sánh cũ (không tham gia xác nhận): NĐ30: kích thước khung tùy mức: 30×8, 40×8, 20×8 mm; HD05: cỡ 14, theo nội dung/mẫu</x:v>
      </x:c>
    </x:row>
    <x:row r="79" ht="54" customHeight="1">
      <x:c r="A79" s="32" t="n">
        <x:v>73</x:v>
      </x:c>
      <x:c r="B79" s="34" t="str">
        <x:v>ND30.X.LUU_HANH.CHI_DAN</x:v>
      </x:c>
      <x:c r="C79" s="44" t="str">
        <x:v>Thể thức bổ sung</x:v>
      </x:c>
      <x:c r="D79" s="44" t="str">
        <x:v>Phạm vi lưu hành</x:v>
      </x:c>
      <x:c r="E79" s="28" t="str">
        <x:v>Chỉ dẫn phạm vi lưu hành</x:v>
      </x:c>
      <x:c r="F79" s="28" t="str">
        <x:v>11</x:v>
      </x:c>
      <x:c r="G79" s="28" t="str">
        <x:v>Chỉ khi nội dung/chủ thể có thẩm quyền và yêu cầu bổ sung hợp lệ</x:v>
      </x:c>
      <x:c r="H79" s="28" t="str">
        <x:v>Chỉ dẫn phạm vi lưu hành/phổ biến theo quyết định có thẩm quyền</x:v>
      </x:c>
      <x:c r="I79" s="28" t="str">
        <x:v>Times New Roman</x:v>
      </x:c>
      <x:c r="J79" s="28" t="str">
        <x:v>13–14</x:v>
      </x:c>
      <x:c r="K79" s="28" t="str">
        <x:v>IN HOA</x:v>
      </x:c>
      <x:c r="L79" s="28" t="str">
        <x:v>Có</x:v>
      </x:c>
      <x:c r="M79" s="28" t="str">
        <x:v>Không</x:v>
      </x:c>
      <x:c r="N79" s="28"/>
      <x:c r="O79" s="28"/>
      <x:c r="P79" s="28"/>
      <x:c r="Q79" s="28"/>
      <x:c r="R79" s="28" t="str">
        <x:v>Metadata + vùng trình bày có điều kiện; đánh giá thủ công trước sửa</x:v>
      </x:c>
      <x:c r="S79" s="28" t="str">
        <x:v>NĐ30: ô 11, khung viền đơn</x:v>
      </x:c>
      <x:c r="T79" s="28" t="str">
        <x:v>NĐ30, Phụ lục I, Phần I, III (Thể thức bổ sung)</x:v>
      </x:c>
      <x:c r="U79" s="28" t="str">
        <x:v>https://datafiles.chinhphu.vn/cpp/files/vbpq/2020/03/30.signed.pdf</x:v>
      </x:c>
      <x:c r="V79" s="28" t="str">
        <x:v>https://riam.edu.vn/nghi-dinh-ve-cong-tac-van-thu-phu-luc/</x:v>
      </x:c>
      <x:c r="W79" s="28" t="str">
        <x:v>CHƯA ĐỦ BẰNG CHỨNG</x:v>
      </x:c>
      <x:c r="X79" s="28" t="str">
        <x:v>KHÔNG TỰ CHÈN</x:v>
      </x:c>
      <x:c r="Y79" s="28" t="str">
        <x:v>Không tự chèn/sửa khi chưa có chứng cứ về đối tượng và rule. | Trạng thái v1.0: CÓ ĐIỀU KIỆN | So sánh cũ (không tham gia xác nhận): NĐ30: ô 11, khung viền đơn; HD05: góc phải trang 1 (ngoại lệ “Không phổ biến...” ở trang cuối)</x:v>
      </x:c>
    </x:row>
    <x:row r="80" ht="54" customHeight="1">
      <x:c r="A80" s="32" t="n">
        <x:v>74</x:v>
      </x:c>
      <x:c r="B80" s="34" t="str">
        <x:v>ND30.X.SOAN.KY_HIEU_NGUOI_SOAN</x:v>
      </x:c>
      <x:c r="C80" s="44" t="str">
        <x:v>Thể thức bổ sung</x:v>
      </x:c>
      <x:c r="D80" s="44" t="str">
        <x:v>Thông tin soạn thảo/phát hành</x:v>
      </x:c>
      <x:c r="E80" s="28" t="str">
        <x:v>Ký hiệu người soạn</x:v>
      </x:c>
      <x:c r="F80" s="28" t="str">
        <x:v>12</x:v>
      </x:c>
      <x:c r="G80" s="28" t="str">
        <x:v>Chỉ khi nội dung/chủ thể có thẩm quyền và yêu cầu bổ sung hợp lệ</x:v>
      </x:c>
      <x:c r="H80" s="28" t="str">
        <x:v>Ký hiệu soạn thảo và số bản phát hành lấy từ quy trình văn thư</x:v>
      </x:c>
      <x:c r="I80" s="28" t="str">
        <x:v>Times New Roman</x:v>
      </x:c>
      <x:c r="J80" s="28" t="str">
        <x:v>11</x:v>
      </x:c>
      <x:c r="K80" s="28" t="str">
        <x:v>IN HOA</x:v>
      </x:c>
      <x:c r="L80" s="28" t="str">
        <x:v>Không</x:v>
      </x:c>
      <x:c r="M80" s="28" t="str">
        <x:v>Không</x:v>
      </x:c>
      <x:c r="N80" s="28"/>
      <x:c r="O80" s="28"/>
      <x:c r="P80" s="28"/>
      <x:c r="Q80" s="28"/>
      <x:c r="R80" s="28" t="str">
        <x:v>Metadata + vùng trình bày có điều kiện; đánh giá thủ công trước sửa</x:v>
      </x:c>
      <x:c r="S80" s="28" t="str">
        <x:v>Cỡ chữ 11 pt (quy định); không phải khoảng 10–11 pt</x:v>
      </x:c>
      <x:c r="T80" s="28" t="str">
        <x:v>NĐ30, Phụ lục I, Phần I, III (Thể thức bổ sung)</x:v>
      </x:c>
      <x:c r="U80" s="28" t="str">
        <x:v>https://datafiles.chinhphu.vn/cpp/files/vbpq/2020/03/30.signed.pdf</x:v>
      </x:c>
      <x:c r="V80" s="28" t="str">
        <x:v>https://riam.edu.vn/nghi-dinh-ve-cong-tac-van-thu-phu-luc/</x:v>
      </x:c>
      <x:c r="W80" s="28" t="str">
        <x:v>CHƯA ĐỦ BẰNG CHỨNG</x:v>
      </x:c>
      <x:c r="X80" s="28" t="str">
        <x:v>KHÔNG TỰ CHÈN</x:v>
      </x:c>
      <x:c r="Y80" s="28" t="str">
        <x:v>Không tự chèn/sửa khi chưa có chứng cứ về đối tượng và rule. | Trạng thái v1.0: CÓ ĐIỀU KIỆN</x:v>
      </x:c>
    </x:row>
    <x:row r="81" ht="54" customHeight="1">
      <x:c r="A81" s="32" t="n">
        <x:v>75</x:v>
      </x:c>
      <x:c r="B81" s="34" t="str">
        <x:v>ND30.X.SOAN.SO_BAN</x:v>
      </x:c>
      <x:c r="C81" s="44" t="str">
        <x:v>Thể thức bổ sung</x:v>
      </x:c>
      <x:c r="D81" s="44" t="str">
        <x:v>Thông tin soạn thảo/phát hành</x:v>
      </x:c>
      <x:c r="E81" s="28" t="str">
        <x:v>Số lượng bản phát hành</x:v>
      </x:c>
      <x:c r="F81" s="28" t="str">
        <x:v>12</x:v>
      </x:c>
      <x:c r="G81" s="28" t="str">
        <x:v>Chỉ khi nội dung/chủ thể có thẩm quyền và yêu cầu bổ sung hợp lệ</x:v>
      </x:c>
      <x:c r="H81" s="28" t="str">
        <x:v>Ký hiệu soạn thảo và số bản phát hành lấy từ quy trình văn thư</x:v>
      </x:c>
      <x:c r="I81" s="28" t="str">
        <x:v>Times New Roman</x:v>
      </x:c>
      <x:c r="J81" s="28" t="str">
        <x:v>11</x:v>
      </x:c>
      <x:c r="K81" s="28" t="str">
        <x:v>Chữ số Ả Rập</x:v>
      </x:c>
      <x:c r="L81" s="28" t="str">
        <x:v>Không</x:v>
      </x:c>
      <x:c r="M81" s="28" t="str">
        <x:v>Không</x:v>
      </x:c>
      <x:c r="N81" s="28"/>
      <x:c r="O81" s="28"/>
      <x:c r="P81" s="28"/>
      <x:c r="Q81" s="28"/>
      <x:c r="R81" s="28" t="str">
        <x:v>Metadata + vùng trình bày có điều kiện; đánh giá thủ công trước sửa</x:v>
      </x:c>
      <x:c r="S81" s="28" t="str">
        <x:v>Cỡ chữ 11 pt (quy định); không phải khoảng 10–11 pt</x:v>
      </x:c>
      <x:c r="T81" s="28" t="str">
        <x:v>NĐ30, Phụ lục I, Phần I, III (Thể thức bổ sung)</x:v>
      </x:c>
      <x:c r="U81" s="28" t="str">
        <x:v>https://datafiles.chinhphu.vn/cpp/files/vbpq/2020/03/30.signed.pdf</x:v>
      </x:c>
      <x:c r="V81" s="28" t="str">
        <x:v>https://riam.edu.vn/nghi-dinh-ve-cong-tac-van-thu-phu-luc/</x:v>
      </x:c>
      <x:c r="W81" s="28" t="str">
        <x:v>CHƯA ĐỦ BẰNG CHỨNG</x:v>
      </x:c>
      <x:c r="X81" s="28" t="str">
        <x:v>KHÔNG TỰ CHÈN</x:v>
      </x:c>
      <x:c r="Y81" s="28" t="str">
        <x:v>Không tự chèn/sửa khi chưa có chứng cứ về đối tượng và rule. | Trạng thái v1.0: CÓ ĐIỀU KIỆN</x:v>
      </x:c>
    </x:row>
    <x:row r="82" ht="54" customHeight="1">
      <x:c r="A82" s="32" t="n">
        <x:v>76</x:v>
      </x:c>
      <x:c r="B82" s="34" t="str">
        <x:v>ND30.X.LIEN_HE.DIA_CHI</x:v>
      </x:c>
      <x:c r="C82" s="44" t="str">
        <x:v>Thể thức bổ sung</x:v>
      </x:c>
      <x:c r="D82" s="44" t="str">
        <x:v>Thông tin liên hệ</x:v>
      </x:c>
      <x:c r="E82" s="28" t="str">
        <x:v>Địa chỉ liên hệ</x:v>
      </x:c>
      <x:c r="F82" s="28" t="str">
        <x:v>13</x:v>
      </x:c>
      <x:c r="G82" s="28" t="str">
        <x:v>Chỉ khi nội dung/chủ thể có thẩm quyền và yêu cầu bổ sung hợp lệ</x:v>
      </x:c>
      <x:c r="H82" s="28" t="str">
        <x:v>Thông tin liên hệ cơ quan chỉ khi cần thiết</x:v>
      </x:c>
      <x:c r="I82" s="28" t="str">
        <x:v>Times New Roman</x:v>
      </x:c>
      <x:c r="J82" s="28" t="str">
        <x:v>11–12</x:v>
      </x:c>
      <x:c r="K82" s="28" t="str">
        <x:v>In thường</x:v>
      </x:c>
      <x:c r="L82" s="28" t="str">
        <x:v>Không</x:v>
      </x:c>
      <x:c r="M82" s="28" t="str">
        <x:v>Không</x:v>
      </x:c>
      <x:c r="N82" s="28"/>
      <x:c r="O82" s="28"/>
      <x:c r="P82" s="28"/>
      <x:c r="Q82" s="28"/>
      <x:c r="R82" s="28" t="str">
        <x:v>Paragraph/contact block; preserve hyperlink and text</x:v>
      </x:c>
      <x:c r="S82" s="28" t="str">
        <x:v>NĐ30: trang đầu, dưới đường kẻ ngang hết vùng trình bày</x:v>
      </x:c>
      <x:c r="T82" s="28" t="str">
        <x:v>NĐ30, Phụ lục I, Phần I, III (Thể thức bổ sung)</x:v>
      </x:c>
      <x:c r="U82" s="28" t="str">
        <x:v>https://datafiles.chinhphu.vn/cpp/files/vbpq/2020/03/30.signed.pdf</x:v>
      </x:c>
      <x:c r="V82" s="28" t="str">
        <x:v>https://riam.edu.vn/nghi-dinh-ve-cong-tac-van-thu-phu-luc/</x:v>
      </x:c>
      <x:c r="W82" s="28" t="str">
        <x:v>CHƯA ĐỦ BẰNG CHỨNG</x:v>
      </x:c>
      <x:c r="X82" s="28" t="str">
        <x:v>KHÔNG TỰ CHÈN</x:v>
      </x:c>
      <x:c r="Y82" s="28" t="str">
        <x:v>Không tự chèn/sửa khi chưa có chứng cứ về đối tượng và rule. | Trạng thái v1.0: CÓ ĐIỀU KIỆN | So sánh cũ (không tham gia xác nhận): NĐ30: trang đầu, dưới đường kẻ ngang hết vùng trình bày; HD05: trang cuối dưới đường kẻ ngang</x:v>
      </x:c>
    </x:row>
    <x:row r="83" ht="54" customHeight="1">
      <x:c r="A83" s="32" t="n">
        <x:v>77</x:v>
      </x:c>
      <x:c r="B83" s="34" t="str">
        <x:v>ND30.X.LIEN_HE.EMAIL</x:v>
      </x:c>
      <x:c r="C83" s="44" t="str">
        <x:v>Thể thức bổ sung</x:v>
      </x:c>
      <x:c r="D83" s="44" t="str">
        <x:v>Thông tin liên hệ</x:v>
      </x:c>
      <x:c r="E83" s="28" t="str">
        <x:v>Email</x:v>
      </x:c>
      <x:c r="F83" s="28" t="str">
        <x:v>13</x:v>
      </x:c>
      <x:c r="G83" s="28" t="str">
        <x:v>Chỉ khi nội dung/chủ thể có thẩm quyền và yêu cầu bổ sung hợp lệ</x:v>
      </x:c>
      <x:c r="H83" s="28" t="str">
        <x:v>Thông tin liên hệ cơ quan chỉ khi cần thiết</x:v>
      </x:c>
      <x:c r="I83" s="28" t="str">
        <x:v>Times New Roman</x:v>
      </x:c>
      <x:c r="J83" s="28" t="str">
        <x:v>11–12</x:v>
      </x:c>
      <x:c r="K83" s="28" t="str">
        <x:v>In thường</x:v>
      </x:c>
      <x:c r="L83" s="28" t="str">
        <x:v>Không</x:v>
      </x:c>
      <x:c r="M83" s="28" t="str">
        <x:v>Không</x:v>
      </x:c>
      <x:c r="N83" s="28"/>
      <x:c r="O83" s="28"/>
      <x:c r="P83" s="28"/>
      <x:c r="Q83" s="28"/>
      <x:c r="R83" s="28" t="str">
        <x:v>Paragraph/contact block; preserve hyperlink and text</x:v>
      </x:c>
      <x:c r="S83" s="28" t="str">
        <x:v>NĐ30: trang đầu, dưới đường kẻ ngang hết vùng trình bày</x:v>
      </x:c>
      <x:c r="T83" s="28" t="str">
        <x:v>NĐ30, Phụ lục I, Phần I, III (Thể thức bổ sung)</x:v>
      </x:c>
      <x:c r="U83" s="28" t="str">
        <x:v>https://datafiles.chinhphu.vn/cpp/files/vbpq/2020/03/30.signed.pdf</x:v>
      </x:c>
      <x:c r="V83" s="28" t="str">
        <x:v>https://riam.edu.vn/nghi-dinh-ve-cong-tac-van-thu-phu-luc/</x:v>
      </x:c>
      <x:c r="W83" s="28" t="str">
        <x:v>CHƯA ĐỦ BẰNG CHỨNG</x:v>
      </x:c>
      <x:c r="X83" s="28" t="str">
        <x:v>KHÔNG TỰ CHÈN</x:v>
      </x:c>
      <x:c r="Y83" s="28" t="str">
        <x:v>Không tự chèn/sửa khi chưa có chứng cứ về đối tượng và rule. | Trạng thái v1.0: CÓ ĐIỀU KIỆN | So sánh cũ (không tham gia xác nhận): NĐ30: trang đầu, dưới đường kẻ ngang hết vùng trình bày; HD05: trang cuối dưới đường kẻ ngang</x:v>
      </x:c>
    </x:row>
    <x:row r="84" ht="54" customHeight="1">
      <x:c r="A84" s="32" t="n">
        <x:v>78</x:v>
      </x:c>
      <x:c r="B84" s="34" t="str">
        <x:v>ND30.X.LIEN_HE.DIEN_THOAI</x:v>
      </x:c>
      <x:c r="C84" s="44" t="str">
        <x:v>Thể thức bổ sung</x:v>
      </x:c>
      <x:c r="D84" s="44" t="str">
        <x:v>Thông tin liên hệ</x:v>
      </x:c>
      <x:c r="E84" s="28" t="str">
        <x:v>Điện thoại</x:v>
      </x:c>
      <x:c r="F84" s="28" t="str">
        <x:v>13</x:v>
      </x:c>
      <x:c r="G84" s="28" t="str">
        <x:v>Chỉ khi nội dung/chủ thể có thẩm quyền và yêu cầu bổ sung hợp lệ</x:v>
      </x:c>
      <x:c r="H84" s="28" t="str">
        <x:v>Thông tin liên hệ cơ quan chỉ khi cần thiết</x:v>
      </x:c>
      <x:c r="I84" s="28" t="str">
        <x:v>Times New Roman</x:v>
      </x:c>
      <x:c r="J84" s="28" t="str">
        <x:v>11–12</x:v>
      </x:c>
      <x:c r="K84" s="28" t="str">
        <x:v>In thường</x:v>
      </x:c>
      <x:c r="L84" s="28" t="str">
        <x:v>Không</x:v>
      </x:c>
      <x:c r="M84" s="28" t="str">
        <x:v>Không</x:v>
      </x:c>
      <x:c r="N84" s="28"/>
      <x:c r="O84" s="28"/>
      <x:c r="P84" s="28"/>
      <x:c r="Q84" s="28"/>
      <x:c r="R84" s="28" t="str">
        <x:v>Paragraph/contact block; preserve hyperlink and text</x:v>
      </x:c>
      <x:c r="S84" s="28" t="str">
        <x:v>NĐ30: trang đầu, dưới đường kẻ ngang hết vùng trình bày</x:v>
      </x:c>
      <x:c r="T84" s="28" t="str">
        <x:v>NĐ30, Phụ lục I, Phần I, III (Thể thức bổ sung)</x:v>
      </x:c>
      <x:c r="U84" s="28" t="str">
        <x:v>https://datafiles.chinhphu.vn/cpp/files/vbpq/2020/03/30.signed.pdf</x:v>
      </x:c>
      <x:c r="V84" s="28" t="str">
        <x:v>https://riam.edu.vn/nghi-dinh-ve-cong-tac-van-thu-phu-luc/</x:v>
      </x:c>
      <x:c r="W84" s="28" t="str">
        <x:v>CHƯA ĐỦ BẰNG CHỨNG</x:v>
      </x:c>
      <x:c r="X84" s="28" t="str">
        <x:v>KHÔNG TỰ CHÈN</x:v>
      </x:c>
      <x:c r="Y84" s="28" t="str">
        <x:v>Không tự chèn/sửa khi chưa có chứng cứ về đối tượng và rule. | Trạng thái v1.0: CÓ ĐIỀU KIỆN | So sánh cũ (không tham gia xác nhận): NĐ30: trang đầu, dưới đường kẻ ngang hết vùng trình bày; HD05: trang cuối dưới đường kẻ ngang</x:v>
      </x:c>
    </x:row>
    <x:row r="85" ht="54" customHeight="1">
      <x:c r="A85" s="32" t="n">
        <x:v>79</x:v>
      </x:c>
      <x:c r="B85" s="34" t="str">
        <x:v>ND30.X.LIEN_HE.WEB</x:v>
      </x:c>
      <x:c r="C85" s="44" t="str">
        <x:v>Thể thức bổ sung</x:v>
      </x:c>
      <x:c r="D85" s="44" t="str">
        <x:v>Thông tin liên hệ</x:v>
      </x:c>
      <x:c r="E85" s="28" t="str">
        <x:v>Website</x:v>
      </x:c>
      <x:c r="F85" s="28" t="str">
        <x:v>13</x:v>
      </x:c>
      <x:c r="G85" s="28" t="str">
        <x:v>Chỉ khi nội dung/chủ thể có thẩm quyền và yêu cầu bổ sung hợp lệ</x:v>
      </x:c>
      <x:c r="H85" s="28" t="str">
        <x:v>Thông tin liên hệ cơ quan chỉ khi cần thiết</x:v>
      </x:c>
      <x:c r="I85" s="28" t="str">
        <x:v>Times New Roman</x:v>
      </x:c>
      <x:c r="J85" s="28" t="str">
        <x:v>11–12</x:v>
      </x:c>
      <x:c r="K85" s="28" t="str">
        <x:v>In thường</x:v>
      </x:c>
      <x:c r="L85" s="28" t="str">
        <x:v>Không</x:v>
      </x:c>
      <x:c r="M85" s="28" t="str">
        <x:v>Không</x:v>
      </x:c>
      <x:c r="N85" s="28"/>
      <x:c r="O85" s="28"/>
      <x:c r="P85" s="28"/>
      <x:c r="Q85" s="28"/>
      <x:c r="R85" s="28" t="str">
        <x:v>Paragraph/contact block; preserve hyperlink and text</x:v>
      </x:c>
      <x:c r="S85" s="28" t="str">
        <x:v>NĐ30: trang đầu, dưới đường kẻ ngang hết vùng trình bày</x:v>
      </x:c>
      <x:c r="T85" s="28" t="str">
        <x:v>NĐ30, Phụ lục I, Phần I, III (Thể thức bổ sung)</x:v>
      </x:c>
      <x:c r="U85" s="28" t="str">
        <x:v>https://datafiles.chinhphu.vn/cpp/files/vbpq/2020/03/30.signed.pdf</x:v>
      </x:c>
      <x:c r="V85" s="28" t="str">
        <x:v>https://riam.edu.vn/nghi-dinh-ve-cong-tac-van-thu-phu-luc/</x:v>
      </x:c>
      <x:c r="W85" s="28" t="str">
        <x:v>CHƯA ĐỦ BẰNG CHỨNG</x:v>
      </x:c>
      <x:c r="X85" s="28" t="str">
        <x:v>KHÔNG TỰ CHÈN</x:v>
      </x:c>
      <x:c r="Y85" s="28" t="str">
        <x:v>Không tự chèn/sửa khi chưa có chứng cứ về đối tượng và rule. | Trạng thái v1.0: CÓ ĐIỀU KIỆN | So sánh cũ (không tham gia xác nhận): NĐ30: trang đầu, dưới đường kẻ ngang hết vùng trình bày; HD05: trang cuối dưới đường kẻ ngang</x:v>
      </x:c>
    </x:row>
    <x:row r="86" ht="54" customHeight="1">
      <x:c r="A86" s="32" t="n">
        <x:v>80</x:v>
      </x:c>
      <x:c r="B86" s="34" t="str">
        <x:v>ND30.X.LIEN_HE.FAX</x:v>
      </x:c>
      <x:c r="C86" s="44" t="str">
        <x:v>Thể thức bổ sung</x:v>
      </x:c>
      <x:c r="D86" s="44" t="str">
        <x:v>Thông tin liên hệ</x:v>
      </x:c>
      <x:c r="E86" s="28" t="str">
        <x:v>Số fax</x:v>
      </x:c>
      <x:c r="F86" s="28" t="str">
        <x:v>13</x:v>
      </x:c>
      <x:c r="G86" s="28" t="str">
        <x:v>Chỉ khi nội dung/chủ thể có thẩm quyền và yêu cầu bổ sung hợp lệ</x:v>
      </x:c>
      <x:c r="H86" s="28" t="str">
        <x:v>Thông tin liên hệ cơ quan chỉ khi cần thiết</x:v>
      </x:c>
      <x:c r="I86" s="28" t="str">
        <x:v>Times New Roman</x:v>
      </x:c>
      <x:c r="J86" s="28" t="str">
        <x:v>11–12</x:v>
      </x:c>
      <x:c r="K86" s="28" t="str">
        <x:v>In thường</x:v>
      </x:c>
      <x:c r="L86" s="28" t="str">
        <x:v>Không</x:v>
      </x:c>
      <x:c r="M86" s="28" t="str">
        <x:v>Không</x:v>
      </x:c>
      <x:c r="N86" s="28"/>
      <x:c r="O86" s="28"/>
      <x:c r="P86" s="28"/>
      <x:c r="Q86" s="28"/>
      <x:c r="R86" s="28" t="str">
        <x:v>Paragraph/contact block; preserve hyperlink and text</x:v>
      </x:c>
      <x:c r="S86" s="28" t="str">
        <x:v>NĐ30: trang đầu, dưới đường kẻ ngang hết vùng trình bày</x:v>
      </x:c>
      <x:c r="T86" s="28" t="str">
        <x:v>NĐ30, Phụ lục I, Phần I, III (Thể thức bổ sung)</x:v>
      </x:c>
      <x:c r="U86" s="28" t="str">
        <x:v>https://datafiles.chinhphu.vn/cpp/files/vbpq/2020/03/30.signed.pdf</x:v>
      </x:c>
      <x:c r="V86" s="28" t="str">
        <x:v>https://riam.edu.vn/nghi-dinh-ve-cong-tac-van-thu-phu-luc/</x:v>
      </x:c>
      <x:c r="W86" s="28" t="str">
        <x:v>CHƯA ĐỦ BẰNG CHỨNG</x:v>
      </x:c>
      <x:c r="X86" s="28" t="str">
        <x:v>KHÔNG TỰ CHÈN</x:v>
      </x:c>
      <x:c r="Y86" s="28" t="str">
        <x:v>Không tự chèn/sửa khi chưa có chứng cứ về đối tượng và rule. | Trạng thái v1.0: CÓ ĐIỀU KIỆN | So sánh cũ (không tham gia xác nhận): NĐ30: trang đầu, dưới đường kẻ ngang hết vùng trình bày; HD05: trang cuối dưới đường kẻ ngang</x:v>
      </x:c>
    </x:row>
  </x:sheetData>
  <x:mergeCells>
    <x:mergeCell ref="A1:Y1"/>
    <x:mergeCell ref="A2:Y2"/>
    <x:mergeCell ref="A3:Y3"/>
    <x:mergeCell ref="A4:Y4"/>
  </x:mergeCells>
  <x:conditionalFormatting sqref="W7:W86">
    <x:cfRule type="expression" dxfId="6" priority="1">
      <x:formula>$W7="ĐỐI CHIẾU MỘT PHẦN"</x:formula>
    </x:cfRule>
    <x:cfRule type="expression" dxfId="7" priority="2">
      <x:formula>$W7="CHƯA ĐỦ BẰNG CHỨNG"</x:formula>
    </x:cfRule>
    <x:cfRule type="expression" dxfId="8" priority="3">
      <x:formula>$W7="CẦN RÀ SOÁT"</x:formula>
    </x:cfRule>
    <x:cfRule type="expression" dxfId="9" priority="4">
      <x:formula>$W7="CẦN QA KỸ THUẬT"</x:formula>
    </x:cfRule>
  </x:conditionalFormatting>
  <x:dataValidations count="1">
    <x:dataValidation type="list" sqref="W7:W86">
      <x:formula1>INDIRECT("DANH_MUC!$A$2:$A$5")</x:formula1>
    </x:dataValidation>
  </x:dataValidations>
  <x:pageMargins left="0.7" right="0.7" top="0.75" bottom="0.75" header="0.3" footer="0.3"/>
  <x:tableParts count="1">
    <x:tablePart xmlns:r="http://schemas.openxmlformats.org/officeDocument/2006/relationships" r:id="R4fee05a8966c42d6"/>
  </x:tableParts>
</x:worksheet>
</file>

<file path=xl/worksheets/sheet3.xml><?xml version="1.0" encoding="utf-8"?>
<x:worksheet xmlns:x="http://schemas.openxmlformats.org/spreadsheetml/2006/main">
  <x:sheetViews>
    <x:sheetView workbookViewId="0">
      <x:pane xSplit="2" ySplit="6" topLeftCell="C7" activePane="bottomRight" state="frozen"/>
    </x:sheetView>
  </x:sheetViews>
  <x:sheetFormatPr defaultRowHeight="15"/>
  <x:cols>
    <x:col min="1" max="1" width="6" hidden="0" customWidth="1"/>
    <x:col min="2" max="2" width="33" hidden="0" customWidth="1"/>
    <x:col min="3" max="3" width="17" hidden="0" customWidth="1"/>
    <x:col min="4" max="4" width="26" hidden="0" customWidth="1"/>
    <x:col min="5" max="5" width="36" hidden="0" customWidth="1"/>
    <x:col min="6" max="6" width="10" hidden="0" customWidth="1"/>
    <x:col min="7" max="7" width="52" hidden="0" customWidth="1"/>
    <x:col min="8" max="8" width="48" hidden="0" customWidth="1"/>
    <x:col min="9" max="9" width="28" hidden="0" customWidth="1"/>
    <x:col min="10" max="10" width="13" hidden="0" customWidth="1"/>
    <x:col min="11" max="11" width="26" hidden="0" customWidth="1"/>
    <x:col min="12" max="12" width="14" hidden="0" customWidth="1"/>
    <x:col min="13" max="13" width="17" hidden="0" customWidth="1"/>
    <x:col min="14" max="14" width="28" hidden="0" customWidth="1"/>
    <x:col min="15" max="15" width="35" hidden="0" customWidth="1"/>
    <x:col min="16" max="16" width="32" hidden="0" customWidth="1"/>
    <x:col min="17" max="17" width="39" hidden="0" customWidth="1"/>
    <x:col min="18" max="18" width="46" hidden="0" customWidth="1"/>
    <x:col min="19" max="19" width="48" hidden="0" customWidth="1"/>
    <x:col min="20" max="20" width="43" hidden="0" customWidth="1"/>
    <x:col min="21" max="21" width="35" hidden="0" customWidth="1"/>
    <x:col min="22" max="22" width="35" hidden="0" customWidth="1"/>
    <x:col min="23" max="23" width="30" hidden="0" customWidth="1"/>
    <x:col min="24" max="24" width="34" hidden="0" customWidth="1"/>
    <x:col min="25" max="25" width="52" hidden="0" customWidth="1"/>
  </x:cols>
  <x:sheetData>
    <x:row r="1" ht="42" customHeight="1">
      <x:c r="A1" s="48" t="str">
        <x:v>HD05  /  CẤU TRÚC &amp; RULE ĐỊNH DẠNG VĂN BẢN ĐẢNG</x:v>
      </x:c>
      <x:c r="B1" s="48"/>
      <x:c r="C1" s="48"/>
      <x:c r="D1" s="48"/>
      <x:c r="E1" s="48"/>
      <x:c r="F1" s="48"/>
      <x:c r="G1" s="48"/>
      <x:c r="H1" s="48"/>
      <x:c r="I1" s="48"/>
      <x:c r="J1" s="48"/>
      <x:c r="K1" s="48"/>
      <x:c r="L1" s="48"/>
      <x:c r="M1" s="48"/>
      <x:c r="N1" s="48"/>
      <x:c r="O1" s="48"/>
      <x:c r="P1" s="48"/>
      <x:c r="Q1" s="48"/>
      <x:c r="R1" s="48"/>
      <x:c r="S1" s="48"/>
      <x:c r="T1" s="48"/>
      <x:c r="U1" s="48"/>
      <x:c r="V1" s="48"/>
      <x:c r="W1" s="48"/>
      <x:c r="X1" s="48"/>
      <x:c r="Y1" s="48"/>
    </x:row>
    <x:row r="2" ht="26" customHeight="1">
      <x:c r="A2" s="9" t="str">
        <x:v>Danh mục nguồn v1.2.1 · Bảng tham chiếu dùng để phân tích/QA DOCX · KHÔNG phải rule pack đã được phê duyệt để tự sửa</x:v>
      </x:c>
      <x:c r="B2" s="9"/>
      <x:c r="C2" s="9"/>
      <x:c r="D2" s="9"/>
      <x:c r="E2" s="9"/>
      <x:c r="F2" s="9"/>
      <x:c r="G2" s="9"/>
      <x:c r="H2" s="9"/>
      <x:c r="I2" s="9"/>
      <x:c r="J2" s="9"/>
      <x:c r="K2" s="9"/>
      <x:c r="L2" s="9"/>
      <x:c r="M2" s="9"/>
      <x:c r="N2" s="9"/>
      <x:c r="O2" s="9"/>
      <x:c r="P2" s="9"/>
      <x:c r="Q2" s="9"/>
      <x:c r="R2" s="9"/>
      <x:c r="S2" s="9"/>
      <x:c r="T2" s="9"/>
      <x:c r="U2" s="9"/>
      <x:c r="V2" s="9"/>
      <x:c r="W2" s="9"/>
      <x:c r="X2" s="9"/>
      <x:c r="Y2" s="9"/>
    </x:row>
    <x:row r="3" ht="25" customHeight="1">
      <x:c r="A3" s="13" t="str">
        <x:v>QUAN TRỌNG: Ô pháp lý ≠ mã trường; “Trống / theo mẫu” không có nghĩa bằng 0. Quy tắc hiệu lực phụ thuộc loại văn bản, cơ quan và thời điểm.</x:v>
      </x:c>
      <x:c r="B3" s="13"/>
      <x:c r="C3" s="13"/>
      <x:c r="D3" s="13"/>
      <x:c r="E3" s="13"/>
      <x:c r="F3" s="13"/>
      <x:c r="G3" s="13"/>
      <x:c r="H3" s="13"/>
      <x:c r="I3" s="13"/>
      <x:c r="J3" s="13"/>
      <x:c r="K3" s="13"/>
      <x:c r="L3" s="13"/>
      <x:c r="M3" s="13"/>
      <x:c r="N3" s="13"/>
      <x:c r="O3" s="13"/>
      <x:c r="P3" s="13"/>
      <x:c r="Q3" s="13"/>
      <x:c r="R3" s="13"/>
      <x:c r="S3" s="13"/>
      <x:c r="T3" s="13"/>
      <x:c r="U3" s="13"/>
      <x:c r="V3" s="13"/>
      <x:c r="W3" s="13"/>
      <x:c r="X3" s="13"/>
      <x:c r="Y3" s="13"/>
    </x:row>
    <x:row r="4" ht="24" customHeight="1">
      <x:c r="A4" s="17" t="str">
        <x:v>Trạng thái: ĐÃ ĐỐI CHIẾU / ĐỐI CHIẾU NỀN / CÓ ĐIỀU KIỆN / CẦN RÀ SOÁT / BẢO VỆ / THIẾT LẬP KỸ THUẬT · Không tự chèn số, ngày, người nhận, người ký, dấu.</x:v>
      </x:c>
      <x:c r="B4" s="17"/>
      <x:c r="C4" s="17"/>
      <x:c r="D4" s="17"/>
      <x:c r="E4" s="17"/>
      <x:c r="F4" s="17"/>
      <x:c r="G4" s="17"/>
      <x:c r="H4" s="17"/>
      <x:c r="I4" s="17"/>
      <x:c r="J4" s="17"/>
      <x:c r="K4" s="17"/>
      <x:c r="L4" s="17"/>
      <x:c r="M4" s="17"/>
      <x:c r="N4" s="17"/>
      <x:c r="O4" s="17"/>
      <x:c r="P4" s="17"/>
      <x:c r="Q4" s="17"/>
      <x:c r="R4" s="17"/>
      <x:c r="S4" s="17"/>
      <x:c r="T4" s="17"/>
      <x:c r="U4" s="17"/>
      <x:c r="V4" s="17"/>
      <x:c r="W4" s="17"/>
      <x:c r="X4" s="17"/>
      <x:c r="Y4" s="17"/>
    </x:row>
    <x:row r="6" ht="36" customHeight="1">
      <x:c r="A6" s="54" t="str">
        <x:v>STT</x:v>
      </x:c>
      <x:c r="B6" s="54" t="str">
        <x:v>Mã trường chuẩn</x:v>
      </x:c>
      <x:c r="C6" s="54" t="str">
        <x:v>Vùng</x:v>
      </x:c>
      <x:c r="D6" s="54" t="str">
        <x:v>Nhóm</x:v>
      </x:c>
      <x:c r="E6" s="54" t="str">
        <x:v>Tên trường/thành phần</x:v>
      </x:c>
      <x:c r="F6" s="54" t="str">
        <x:v>Ô pháp lý</x:v>
      </x:c>
      <x:c r="G6" s="54" t="str">
        <x:v>Điều kiện áp dụng (không phải mức xác minh)</x:v>
      </x:c>
      <x:c r="H6" s="54" t="str">
        <x:v>Quy tắc nội dung/hiện diện</x:v>
      </x:c>
      <x:c r="I6" s="54" t="str">
        <x:v>Font chữ</x:v>
      </x:c>
      <x:c r="J6" s="54" t="str">
        <x:v>Cỡ chữ (pt)</x:v>
      </x:c>
      <x:c r="K6" s="54" t="str">
        <x:v>Chữ hoa/thường</x:v>
      </x:c>
      <x:c r="L6" s="54" t="str">
        <x:v>Đậm</x:v>
      </x:c>
      <x:c r="M6" s="54" t="str">
        <x:v>Nghiêng</x:v>
      </x:c>
      <x:c r="N6" s="54" t="str">
        <x:v>Căn chỉnh</x:v>
      </x:c>
      <x:c r="O6" s="54" t="str">
        <x:v>Giãn dòng/đoạn</x:v>
      </x:c>
      <x:c r="P6" s="54" t="str">
        <x:v>Thụt/lề/khoảng cách</x:v>
      </x:c>
      <x:c r="Q6" s="54" t="str">
        <x:v>Đường kẻ/ký tự</x:v>
      </x:c>
      <x:c r="R6" s="54" t="str">
        <x:v>Thiết lập/đối tượng DOCX</x:v>
      </x:c>
      <x:c r="S6" s="54" t="str">
        <x:v>Thông số cụ thể &amp; giới hạn</x:v>
      </x:c>
      <x:c r="T6" s="54" t="str">
        <x:v>Nguồn/điều khoản</x:v>
      </x:c>
      <x:c r="U6" s="54" t="str">
        <x:v>URL nguồn chính thức</x:v>
      </x:c>
      <x:c r="V6" s="54" t="str">
        <x:v>URL tham chiếu chi tiết</x:v>
      </x:c>
      <x:c r="W6" s="54" t="str">
        <x:v>Mức xác minh (cấp dòng, chưa nghiệm thu thuộc tính)</x:v>
      </x:c>
      <x:c r="X6" s="54" t="str">
        <x:v>Chính sách thao tác (tách khỏi kiểm chứng)</x:v>
      </x:c>
      <x:c r="Y6" s="54" t="str">
        <x:v>Ghi chú / ngoại lệ / lịch sử chuyển đổi</x:v>
      </x:c>
    </x:row>
    <x:row r="7" ht="54" customHeight="1">
      <x:c r="A7" s="32" t="n">
        <x:v>1</x:v>
      </x:c>
      <x:c r="B7" s="34" t="str">
        <x:v>HD05.D.CQ.CAP_TREN</x:v>
      </x:c>
      <x:c r="C7" s="36" t="str">
        <x:v>Đầu văn bản</x:v>
      </x:c>
      <x:c r="D7" s="36" t="str">
        <x:v>Tổ chức, cơ quan Đảng ban hành</x:v>
      </x:c>
      <x:c r="E7" s="28" t="str">
        <x:v>Tên tổ chức/cơ quan cấp trên khi có</x:v>
      </x:c>
      <x:c r="F7" s="28" t="str">
        <x:v>2</x:v>
      </x:c>
      <x:c r="G7" s="28" t="str">
        <x:v>CHƯA ĐỊNH TUYẾN: xác nhận chế độ + loại văn bản + chủ thể + ngày áp dụng trước khi xét rule</x:v>
      </x:c>
      <x:c r="H7" s="28" t="str">
        <x:v>Tên tổ chức/cơ quan cấp trên khi có</x:v>
      </x:c>
      <x:c r="I7" s="28" t="str">
        <x:v>Times New Roman; Unicode; màu đen</x:v>
      </x:c>
      <x:c r="J7" s="28" t="str">
        <x:v>14</x:v>
      </x:c>
      <x:c r="K7" s="28" t="str">
        <x:v>In hoa</x:v>
      </x:c>
      <x:c r="L7" s="28" t="str">
        <x:v>Không</x:v>
      </x:c>
      <x:c r="M7" s="28" t="str">
        <x:v>Không</x:v>
      </x:c>
      <x:c r="N7" s="28" t="str">
        <x:v>Căn giữa trong khối trái, trang 1</x:v>
      </x:c>
      <x:c r="O7" s="28"/>
      <x:c r="P7" s="28"/>
      <x:c r="Q7" s="28"/>
      <x:c r="R7" s="28" t="str">
        <x:v>Word paragraph(s) / run(s) trong khối tên cơ quan</x:v>
      </x:c>
      <x:c r="S7" s="28" t="str">
        <x:v>Tên chính thức; dòng cấp trên có điều kiện; tên dài có thể xuống dòng</x:v>
      </x:c>
      <x:c r="T7" s="28" t="str">
        <x:v>HD05, Phần II, I.2; Phụ lục 2 mục 2</x:v>
      </x:c>
      <x:c r="U7" s="28" t="str">
        <x:v>https://dangcongsan.vn/vanphongtrunguong/van-ban-cua-dang/huong-dan-so-05-hd-vptw-ngay-27-5-2026-cua-van-phong-trung-uong-dang-ve-the-thuc-va-ky-thuat-trinh-bay-van-ban-cua-dang.html?categoryId=3000525</x:v>
      </x:c>
      <x:c r="V7" s="28" t="str">
        <x:v>https://thuvienphapluat.vn/van-ban/Bo-may-hanh-chinh/Huong-dan-05-HD-VPTW-2026-the-thuc-va-ky-thuat-trinh-bay-van-ban-cua-Dang-707499.aspx</x:v>
      </x:c>
      <x:c r="W7" s="28" t="str">
        <x:v>ĐỐI CHIẾU MỘT PHẦN</x:v>
      </x:c>
      <x:c r="X7" s="28" t="str">
        <x:v>READ_ONLY</x:v>
      </x:c>
      <x:c r="Y7" s="28" t="str">
        <x:v>Không tự chèn/sửa khi chưa có chứng cứ về đối tượng và rule.</x:v>
      </x:c>
    </x:row>
    <x:row r="8" ht="54" customHeight="1">
      <x:c r="A8" s="32" t="n">
        <x:v>2</x:v>
      </x:c>
      <x:c r="B8" s="34" t="str">
        <x:v>HD05.D.CQ.BAN_HANH</x:v>
      </x:c>
      <x:c r="C8" s="36" t="str">
        <x:v>Đầu văn bản</x:v>
      </x:c>
      <x:c r="D8" s="36" t="str">
        <x:v>Tổ chức, cơ quan Đảng ban hành</x:v>
      </x:c>
      <x:c r="E8" s="28" t="str">
        <x:v>Tên tổ chức/cơ quan Đảng ban hành</x:v>
      </x:c>
      <x:c r="F8" s="28" t="str">
        <x:v>2</x:v>
      </x:c>
      <x:c r="G8" s="28" t="str">
        <x:v>CHƯA ĐỊNH TUYẾN: xác nhận chế độ + loại văn bản + chủ thể + ngày áp dụng trước khi xét rule</x:v>
      </x:c>
      <x:c r="H8" s="28" t="str">
        <x:v>Tên tổ chức/cơ quan Đảng ban hành</x:v>
      </x:c>
      <x:c r="I8" s="28" t="str">
        <x:v>Times New Roman; Unicode; màu đen</x:v>
      </x:c>
      <x:c r="J8" s="28" t="str">
        <x:v>14</x:v>
      </x:c>
      <x:c r="K8" s="28" t="str">
        <x:v>In hoa</x:v>
      </x:c>
      <x:c r="L8" s="28" t="str">
        <x:v>Có</x:v>
      </x:c>
      <x:c r="M8" s="28" t="str">
        <x:v>Không</x:v>
      </x:c>
      <x:c r="N8" s="28" t="str">
        <x:v>Căn giữa trong khối trái, trang 1</x:v>
      </x:c>
      <x:c r="O8" s="28"/>
      <x:c r="P8" s="28"/>
      <x:c r="Q8" s="28"/>
      <x:c r="R8" s="28" t="str">
        <x:v>Word paragraph(s) / run(s) trong khối tên cơ quan</x:v>
      </x:c>
      <x:c r="S8" s="28" t="str">
        <x:v>Tên chính thức; dòng cấp trên có điều kiện; tên dài có thể xuống dòng</x:v>
      </x:c>
      <x:c r="T8" s="28" t="str">
        <x:v>HD05, Phần II, I.2; Phụ lục 2 mục 2</x:v>
      </x:c>
      <x:c r="U8" s="28" t="str">
        <x:v>https://dangcongsan.vn/vanphongtrunguong/van-ban-cua-dang/huong-dan-so-05-hd-vptw-ngay-27-5-2026-cua-van-phong-trung-uong-dang-ve-the-thuc-va-ky-thuat-trinh-bay-van-ban-cua-dang.html?categoryId=3000525</x:v>
      </x:c>
      <x:c r="V8" s="28" t="str">
        <x:v>https://thuvienphapluat.vn/van-ban/Bo-may-hanh-chinh/Huong-dan-05-HD-VPTW-2026-the-thuc-va-ky-thuat-trinh-bay-van-ban-cua-Dang-707499.aspx</x:v>
      </x:c>
      <x:c r="W8" s="28" t="str">
        <x:v>ĐỐI CHIẾU MỘT PHẦN</x:v>
      </x:c>
      <x:c r="X8" s="28" t="str">
        <x:v>READ_ONLY</x:v>
      </x:c>
      <x:c r="Y8" s="28" t="str">
        <x:v>Không tự chèn/sửa khi chưa có chứng cứ về đối tượng và rule.</x:v>
      </x:c>
    </x:row>
    <x:row r="9" ht="54" customHeight="1">
      <x:c r="A9" s="32" t="n">
        <x:v>3</x:v>
      </x:c>
      <x:c r="B9" s="34" t="str">
        <x:v>HD05.D.CQ.DAU_SAO</x:v>
      </x:c>
      <x:c r="C9" s="36" t="str">
        <x:v>Đầu văn bản</x:v>
      </x:c>
      <x:c r="D9" s="36" t="str">
        <x:v>Tổ chức, cơ quan Đảng ban hành</x:v>
      </x:c>
      <x:c r="E9" s="28" t="str">
        <x:v>Dấu sao * bên dưới tên cơ quan</x:v>
      </x:c>
      <x:c r="F9" s="28" t="str">
        <x:v>2</x:v>
      </x:c>
      <x:c r="G9" s="28" t="str">
        <x:v>CHƯA ĐỊNH TUYẾN: xác nhận chế độ + loại văn bản + chủ thể + ngày áp dụng trước khi xét rule</x:v>
      </x:c>
      <x:c r="H9" s="28" t="str">
        <x:v>Dấu sao * bên dưới tên cơ quan</x:v>
      </x:c>
      <x:c r="I9" s="28" t="str">
        <x:v>Times New Roman</x:v>
      </x:c>
      <x:c r="J9" s="28" t="str">
        <x:v>Theo phụ lục/mẫu cụ thể</x:v>
      </x:c>
      <x:c r="K9" s="28"/>
      <x:c r="L9" s="28"/>
      <x:c r="M9" s="28"/>
      <x:c r="N9" s="28"/>
      <x:c r="O9" s="28"/>
      <x:c r="P9" s="28"/>
      <x:c r="Q9" s="28" t="str">
        <x:v>Ký tự dấu sao (*) đúng vị trí dưới tên cơ quan, không thay bằng đường kẻ</x:v>
      </x:c>
      <x:c r="R9" s="28" t="str">
        <x:v>Text run/paragraph chứa dấu *</x:v>
      </x:c>
      <x:c r="S9" s="28" t="str">
        <x:v>Dấu sao (*) ở vị trí dưới tên cơ quan theo HD05; không suy rộng số dấu sao khi chưa có mẫu ngoại lệ</x:v>
      </x:c>
      <x:c r="T9" s="28" t="str">
        <x:v>HD05, Phần II, I.2; Phụ lục 2</x:v>
      </x:c>
      <x:c r="U9" s="28" t="str">
        <x:v>https://dangcongsan.vn/vanphongtrunguong/van-ban-cua-dang/huong-dan-so-05-hd-vptw-ngay-27-5-2026-cua-van-phong-trung-uong-dang-ve-the-thuc-va-ky-thuat-trinh-bay-van-ban-cua-dang.html?categoryId=3000525</x:v>
      </x:c>
      <x:c r="V9" s="28" t="str">
        <x:v>https://thuvienphapluat.vn/van-ban/Bo-may-hanh-chinh/Huong-dan-05-HD-VPTW-2026-the-thuc-va-ky-thuat-trinh-bay-van-ban-cua-Dang-707499.aspx</x:v>
      </x:c>
      <x:c r="W9" s="28" t="str">
        <x:v>ĐỐI CHIẾU MỘT PHẦN</x:v>
      </x:c>
      <x:c r="X9" s="28" t="str">
        <x:v>READ_ONLY</x:v>
      </x:c>
      <x:c r="Y9" s="28" t="str">
        <x:v>Không tự chèn/sửa khi chưa có chứng cứ về đối tượng và rule. | Trạng thái v1.0: CÓ ĐIỀU KIỆN</x:v>
      </x:c>
    </x:row>
    <x:row r="10" ht="54" customHeight="1">
      <x:c r="A10" s="32" t="n">
        <x:v>4</x:v>
      </x:c>
      <x:c r="B10" s="34" t="str">
        <x:v>HD05.D.CQ.LIEN_CO_QUAN</x:v>
      </x:c>
      <x:c r="C10" s="36" t="str">
        <x:v>Đầu văn bản</x:v>
      </x:c>
      <x:c r="D10" s="36" t="str">
        <x:v>Tổ chức, cơ quan Đảng ban hành</x:v>
      </x:c>
      <x:c r="E10" s="28" t="str">
        <x:v>Tên tổ chức, cơ quan liên cơ quan</x:v>
      </x:c>
      <x:c r="F10" s="28" t="str">
        <x:v>2</x:v>
      </x:c>
      <x:c r="G10" s="28" t="str">
        <x:v>joint_issuer</x:v>
      </x:c>
      <x:c r="H10" s="28" t="str">
        <x:v>Tên tổ chức, cơ quan liên cơ quan</x:v>
      </x:c>
      <x:c r="I10" s="28" t="str">
        <x:v>Times New Roman; Unicode; màu đen</x:v>
      </x:c>
      <x:c r="J10" s="28" t="str">
        <x:v>14</x:v>
      </x:c>
      <x:c r="K10" s="28" t="str">
        <x:v>In hoa</x:v>
      </x:c>
      <x:c r="L10" s="28" t="str">
        <x:v>Không</x:v>
      </x:c>
      <x:c r="M10" s="28" t="str">
        <x:v>Không</x:v>
      </x:c>
      <x:c r="N10" s="28" t="str">
        <x:v>Căn giữa trong khối trái, trang 1</x:v>
      </x:c>
      <x:c r="O10" s="28"/>
      <x:c r="P10" s="28"/>
      <x:c r="Q10" s="28"/>
      <x:c r="R10" s="28" t="str">
        <x:v>Word paragraph(s) / run(s) trong khối tên cơ quan</x:v>
      </x:c>
      <x:c r="S10" s="28" t="str">
        <x:v>Tên chính thức; dòng cấp trên có điều kiện; tên dài có thể xuống dòng</x:v>
      </x:c>
      <x:c r="T10" s="28" t="str">
        <x:v>HD05, Phần II, I.2; Phụ lục 2 mục 2</x:v>
      </x:c>
      <x:c r="U10" s="28" t="str">
        <x:v>https://dangcongsan.vn/vanphongtrunguong/van-ban-cua-dang/huong-dan-so-05-hd-vptw-ngay-27-5-2026-cua-van-phong-trung-uong-dang-ve-the-thuc-va-ky-thuat-trinh-bay-van-ban-cua-dang.html?categoryId=3000525</x:v>
      </x:c>
      <x:c r="V10" s="28" t="str">
        <x:v>https://thuvienphapluat.vn/van-ban/Bo-may-hanh-chinh/Huong-dan-05-HD-VPTW-2026-the-thuc-va-ky-thuat-trinh-bay-van-ban-cua-Dang-707499.aspx</x:v>
      </x:c>
      <x:c r="W10" s="28" t="str">
        <x:v>CHƯA ĐỦ BẰNG CHỨNG</x:v>
      </x:c>
      <x:c r="X10" s="28" t="str">
        <x:v>READ_ONLY</x:v>
      </x:c>
      <x:c r="Y10" s="28" t="str">
        <x:v>Xác minh thẩm quyền/biến thể liên cơ quan; không tự suy đoán tên và số người ký. | Trạng thái v1.0: CÓ ĐIỀU KIỆN</x:v>
      </x:c>
    </x:row>
    <x:row r="11" ht="54" customHeight="1">
      <x:c r="A11" s="32" t="n">
        <x:v>5</x:v>
      </x:c>
      <x:c r="B11" s="34" t="str">
        <x:v>HD05.D.CQ.DAI_HOI</x:v>
      </x:c>
      <x:c r="C11" s="36" t="str">
        <x:v>Đầu văn bản</x:v>
      </x:c>
      <x:c r="D11" s="36" t="str">
        <x:v>Tổ chức, cơ quan Đảng ban hành</x:v>
      </x:c>
      <x:c r="E11" s="28" t="str">
        <x:v>Tên đại hội hoặc cơ quan thuộc đại hội</x:v>
      </x:c>
      <x:c r="F11" s="28" t="str">
        <x:v>2</x:v>
      </x:c>
      <x:c r="G11" s="28" t="str">
        <x:v>party_congress</x:v>
      </x:c>
      <x:c r="H11" s="28" t="str">
        <x:v>Tên đại hội hoặc cơ quan thuộc đại hội</x:v>
      </x:c>
      <x:c r="I11" s="28" t="str">
        <x:v>Times New Roman; Unicode; màu đen</x:v>
      </x:c>
      <x:c r="J11" s="28" t="str">
        <x:v>14</x:v>
      </x:c>
      <x:c r="K11" s="28" t="str">
        <x:v>In hoa</x:v>
      </x:c>
      <x:c r="L11" s="28" t="str">
        <x:v>Không</x:v>
      </x:c>
      <x:c r="M11" s="28" t="str">
        <x:v>Không</x:v>
      </x:c>
      <x:c r="N11" s="28" t="str">
        <x:v>Căn giữa trong khối trái, trang 1</x:v>
      </x:c>
      <x:c r="O11" s="28"/>
      <x:c r="P11" s="28"/>
      <x:c r="Q11" s="28"/>
      <x:c r="R11" s="28" t="str">
        <x:v>Word paragraph(s) / run(s) trong khối tên cơ quan</x:v>
      </x:c>
      <x:c r="S11" s="28" t="str">
        <x:v>Tên chính thức; dòng cấp trên có điều kiện; tên dài có thể xuống dòng</x:v>
      </x:c>
      <x:c r="T11" s="28" t="str">
        <x:v>HD05, Phần II, I.2; Phụ lục 2 mục 2</x:v>
      </x:c>
      <x:c r="U11" s="28" t="str">
        <x:v>https://dangcongsan.vn/vanphongtrunguong/van-ban-cua-dang/huong-dan-so-05-hd-vptw-ngay-27-5-2026-cua-van-phong-trung-uong-dang-ve-the-thuc-va-ky-thuat-trinh-bay-van-ban-cua-dang.html?categoryId=3000525</x:v>
      </x:c>
      <x:c r="V11" s="28" t="str">
        <x:v>https://thuvienphapluat.vn/van-ban/Bo-may-hanh-chinh/Huong-dan-05-HD-VPTW-2026-the-thuc-va-ky-thuat-trinh-bay-van-ban-cua-Dang-707499.aspx</x:v>
      </x:c>
      <x:c r="W11" s="28" t="str">
        <x:v>CHƯA ĐỦ BẰNG CHỨNG</x:v>
      </x:c>
      <x:c r="X11" s="28" t="str">
        <x:v>READ_ONLY</x:v>
      </x:c>
      <x:c r="Y11" s="28" t="str">
        <x:v>Tên đại hội/cơ quan thuộc đại hội theo đúng chủ thể phát hành; xem HD05 I.2.1.1. | Trạng thái v1.0: CÓ ĐIỀU KIỆN</x:v>
      </x:c>
    </x:row>
    <x:row r="12" ht="54" customHeight="1">
      <x:c r="A12" s="32" t="n">
        <x:v>6</x:v>
      </x:c>
      <x:c r="B12" s="34" t="str">
        <x:v>HD05.D.TD.TIEU_DE_DANG</x:v>
      </x:c>
      <x:c r="C12" s="36" t="str">
        <x:v>Đầu văn bản</x:v>
      </x:c>
      <x:c r="D12" s="36" t="str">
        <x:v>Tiêu đề Đảng</x:v>
      </x:c>
      <x:c r="E12" s="28" t="str">
        <x:v>Dòng ĐẢNG CỘNG SẢN VIỆT NAM</x:v>
      </x:c>
      <x:c r="F12" s="28" t="str">
        <x:v>1</x:v>
      </x:c>
      <x:c r="G12" s="28" t="str">
        <x:v>CHƯA ĐỊNH TUYẾN: xác nhận chế độ + loại văn bản + chủ thể + ngày áp dụng trước khi xét rule</x:v>
      </x:c>
      <x:c r="H12" s="28" t="str">
        <x:v>Dòng ĐẢNG CỘNG SẢN VIỆT NAM</x:v>
      </x:c>
      <x:c r="I12" s="28" t="str">
        <x:v>Times New Roman; Unicode; màu đen</x:v>
      </x:c>
      <x:c r="J12" s="28" t="str">
        <x:v>15</x:v>
      </x:c>
      <x:c r="K12" s="28" t="str">
        <x:v>IN HOA</x:v>
      </x:c>
      <x:c r="L12" s="28" t="str">
        <x:v>Có</x:v>
      </x:c>
      <x:c r="M12" s="28" t="str">
        <x:v>Không</x:v>
      </x:c>
      <x:c r="N12" s="28" t="str">
        <x:v>Góc phải, dòng đầu trang 1</x:v>
      </x:c>
      <x:c r="O12" s="28"/>
      <x:c r="P12" s="28"/>
      <x:c r="Q12" s="28"/>
      <x:c r="R12" s="28" t="str">
        <x:v>Văn bản/OOXML: xác định đối tượng trước khi sửa</x:v>
      </x:c>
      <x:c r="S12" s="28" t="str">
        <x:v>ĐẢNG CỘNG SẢN VIỆT NAM</x:v>
      </x:c>
      <x:c r="T12" s="28" t="str">
        <x:v>HD05, Phần II, I.1; Phụ lục 2 mục 1</x:v>
      </x:c>
      <x:c r="U12" s="28" t="str">
        <x:v>https://dangcongsan.vn/vanphongtrunguong/van-ban-cua-dang/huong-dan-so-05-hd-vptw-ngay-27-5-2026-cua-van-phong-trung-uong-dang-ve-the-thuc-va-ky-thuat-trinh-bay-van-ban-cua-dang.html?categoryId=3000525</x:v>
      </x:c>
      <x:c r="V12" s="28" t="str">
        <x:v>https://thuvienphapluat.vn/van-ban/Bo-may-hanh-chinh/Huong-dan-05-HD-VPTW-2026-the-thuc-va-ky-thuat-trinh-bay-van-ban-cua-Dang-707499.aspx</x:v>
      </x:c>
      <x:c r="W12" s="28" t="str">
        <x:v>ĐỐI CHIẾU MỘT PHẦN</x:v>
      </x:c>
      <x:c r="X12" s="28" t="str">
        <x:v>READ_ONLY</x:v>
      </x:c>
      <x:c r="Y12" s="28" t="str">
        <x:v>Không tự chèn/sửa khi chưa có chứng cứ về đối tượng và rule.</x:v>
      </x:c>
    </x:row>
    <x:row r="13" ht="54" customHeight="1">
      <x:c r="A13" s="32" t="n">
        <x:v>7</x:v>
      </x:c>
      <x:c r="B13" s="34" t="str">
        <x:v>HD05.D.TD.DUONG_KE</x:v>
      </x:c>
      <x:c r="C13" s="36" t="str">
        <x:v>Đầu văn bản</x:v>
      </x:c>
      <x:c r="D13" s="36" t="str">
        <x:v>Tiêu đề Đảng</x:v>
      </x:c>
      <x:c r="E13" s="28" t="str">
        <x:v>Đường kẻ dưới tiêu đề Đảng</x:v>
      </x:c>
      <x:c r="F13" s="28" t="str">
        <x:v>1</x:v>
      </x:c>
      <x:c r="G13" s="28" t="str">
        <x:v>CHƯA ĐỊNH TUYẾN: xác nhận chế độ + loại văn bản + chủ thể + ngày áp dụng trước khi xét rule</x:v>
      </x:c>
      <x:c r="H13" s="28" t="str">
        <x:v>Đường kẻ dưới tiêu đề Đảng</x:v>
      </x:c>
      <x:c r="I13" s="28" t="str">
        <x:v>Không áp dụng</x:v>
      </x:c>
      <x:c r="J13" s="28" t="str">
        <x:v>Không áp dụng</x:v>
      </x:c>
      <x:c r="K13" s="28"/>
      <x:c r="L13" s="28"/>
      <x:c r="M13" s="28"/>
      <x:c r="N13" s="28" t="str">
        <x:v>Cân đối ngay dưới tiêu đề</x:v>
      </x:c>
      <x:c r="O13" s="28"/>
      <x:c r="P13" s="28"/>
      <x:c r="Q13" s="28" t="str">
        <x:v>Đường ngang nét liền bằng độ dài tiêu đề Đảng</x:v>
      </x:c>
      <x:c r="R13" s="28" t="str">
        <x:v>Văn bản/OOXML: xác định đối tượng trước khi sửa</x:v>
      </x:c>
      <x:c r="S13" s="28" t="str">
        <x:v>Không thay bằng chuỗi ký tự dấu nối</x:v>
      </x:c>
      <x:c r="T13" s="28" t="str">
        <x:v>HD05, Phần II, I.1.2</x:v>
      </x:c>
      <x:c r="U13" s="28" t="str">
        <x:v>https://dangcongsan.vn/vanphongtrunguong/van-ban-cua-dang/huong-dan-so-05-hd-vptw-ngay-27-5-2026-cua-van-phong-trung-uong-dang-ve-the-thuc-va-ky-thuat-trinh-bay-van-ban-cua-dang.html?categoryId=3000525</x:v>
      </x:c>
      <x:c r="V13" s="28" t="str">
        <x:v>https://thuvienphapluat.vn/van-ban/Bo-may-hanh-chinh/Huong-dan-05-HD-VPTW-2026-the-thuc-va-ky-thuat-trinh-bay-van-ban-cua-Dang-707499.aspx</x:v>
      </x:c>
      <x:c r="W13" s="28" t="str">
        <x:v>ĐỐI CHIẾU MỘT PHẦN</x:v>
      </x:c>
      <x:c r="X13" s="28" t="str">
        <x:v>READ_ONLY</x:v>
      </x:c>
      <x:c r="Y13" s="28" t="str">
        <x:v>Không tự chèn/sửa khi chưa có chứng cứ về đối tượng và rule.</x:v>
      </x:c>
    </x:row>
    <x:row r="14" ht="54" customHeight="1">
      <x:c r="A14" s="32" t="n">
        <x:v>8</x:v>
      </x:c>
      <x:c r="B14" s="34" t="str">
        <x:v>HD05.D.SK.NHAN_SO</x:v>
      </x:c>
      <x:c r="C14" s="36" t="str">
        <x:v>Đầu văn bản</x:v>
      </x:c>
      <x:c r="D14" s="36" t="str">
        <x:v>Số và ký hiệu</x:v>
      </x:c>
      <x:c r="E14" s="28" t="str">
        <x:v>Nhãn Số</x:v>
      </x:c>
      <x:c r="F14" s="28" t="str">
        <x:v>3</x:v>
      </x:c>
      <x:c r="G14" s="28" t="str">
        <x:v>CHƯA ĐỊNH TUYẾN: xác nhận chế độ + loại văn bản + chủ thể + ngày áp dụng trước khi xét rule</x:v>
      </x:c>
      <x:c r="H14" s="28" t="str">
        <x:v>Nhãn Số (không dấu hai chấm)</x:v>
      </x:c>
      <x:c r="I14" s="28" t="str">
        <x:v>Times New Roman; Unicode; màu đen</x:v>
      </x:c>
      <x:c r="J14" s="28" t="str">
        <x:v>14</x:v>
      </x:c>
      <x:c r="K14" s="28" t="str">
        <x:v>Không áp dụng — nhãn văn bản</x:v>
      </x:c>
      <x:c r="L14" s="28" t="str">
        <x:v>Không</x:v>
      </x:c>
      <x:c r="M14" s="28" t="str">
        <x:v>Không</x:v>
      </x:c>
      <x:c r="N14" s="28" t="str">
        <x:v>Căn giữa dưới khối tên cơ quan</x:v>
      </x:c>
      <x:c r="O14" s="28"/>
      <x:c r="P14" s="28"/>
      <x:c r="Q14" s="28" t="str">
        <x:v>Không đặt dấu : sau Số</x:v>
      </x:c>
      <x:c r="R14" s="28" t="str">
        <x:v>Text runs cùng đoạn; ký hiệu cấu trúc là text, không tự tạo số</x:v>
      </x:c>
      <x:c r="S14" s="28" t="str">
        <x:v>Số</x:v>
      </x:c>
      <x:c r="T14" s="28" t="str">
        <x:v>HD05, Phần II, I.3; Phụ lục 2 mục 3</x:v>
      </x:c>
      <x:c r="U14" s="28" t="str">
        <x:v>https://dangcongsan.vn/vanphongtrunguong/van-ban-cua-dang/huong-dan-so-05-hd-vptw-ngay-27-5-2026-cua-van-phong-trung-uong-dang-ve-the-thuc-va-ky-thuat-trinh-bay-van-ban-cua-dang.html?categoryId=3000525</x:v>
      </x:c>
      <x:c r="V14" s="28" t="str">
        <x:v>https://thuvienphapluat.vn/van-ban/Bo-may-hanh-chinh/Huong-dan-05-HD-VPTW-2026-the-thuc-va-ky-thuat-trinh-bay-van-ban-cua-Dang-707499.aspx</x:v>
      </x:c>
      <x:c r="W14" s="28" t="str">
        <x:v>ĐỐI CHIẾU MỘT PHẦN</x:v>
      </x:c>
      <x:c r="X14" s="28" t="str">
        <x:v>READ_ONLY</x:v>
      </x:c>
      <x:c r="Y14" s="28" t="str">
        <x:v>Không tự chèn/sửa khi chưa có chứng cứ về đối tượng và rule.</x:v>
      </x:c>
    </x:row>
    <x:row r="15" ht="54" customHeight="1">
      <x:c r="A15" s="32" t="n">
        <x:v>9</x:v>
      </x:c>
      <x:c r="B15" s="34" t="str">
        <x:v>HD05.D.SK.SO_VAN_BAN</x:v>
      </x:c>
      <x:c r="C15" s="36" t="str">
        <x:v>Đầu văn bản</x:v>
      </x:c>
      <x:c r="D15" s="36" t="str">
        <x:v>Số và ký hiệu</x:v>
      </x:c>
      <x:c r="E15" s="28" t="str">
        <x:v>Số thứ tự văn bản</x:v>
      </x:c>
      <x:c r="F15" s="28" t="str">
        <x:v>3</x:v>
      </x:c>
      <x:c r="G15" s="28" t="str">
        <x:v>CHƯA ĐỊNH TUYẾN: xác nhận chế độ + loại văn bản + chủ thể + ngày áp dụng trước khi xét rule</x:v>
      </x:c>
      <x:c r="H15" s="28" t="str">
        <x:v>Số văn bản lấy từ sổ văn thư; chỉ kiểm tra định dạng, không tự cấp số</x:v>
      </x:c>
      <x:c r="I15" s="28" t="str">
        <x:v>Times New Roman; Unicode; màu đen</x:v>
      </x:c>
      <x:c r="J15" s="28" t="str">
        <x:v>14</x:v>
      </x:c>
      <x:c r="K15" s="28" t="str">
        <x:v>Chữ số Ả Rập; không áp dụng quy tắc IN HOA</x:v>
      </x:c>
      <x:c r="L15" s="28" t="str">
        <x:v>Không</x:v>
      </x:c>
      <x:c r="M15" s="28" t="str">
        <x:v>Không</x:v>
      </x:c>
      <x:c r="N15" s="28" t="str">
        <x:v>Căn giữa dưới khối tên cơ quan</x:v>
      </x:c>
      <x:c r="O15" s="28"/>
      <x:c r="P15" s="28"/>
      <x:c r="Q15" s="28"/>
      <x:c r="R15" s="28" t="str">
        <x:v>Text runs cùng đoạn; ký hiệu cấu trúc là text, không tự tạo số</x:v>
      </x:c>
      <x:c r="S15" s="28" t="str">
        <x:v>Số văn bản &lt;10 ghi số 0 phía trước (01–09); KHÔNG tự cấp số</x:v>
      </x:c>
      <x:c r="T15" s="28" t="str">
        <x:v>HD05, Phần II, I.3; Phụ lục 2 mục 3</x:v>
      </x:c>
      <x:c r="U15" s="28" t="str">
        <x:v>https://dangcongsan.vn/vanphongtrunguong/van-ban-cua-dang/huong-dan-so-05-hd-vptw-ngay-27-5-2026-cua-van-phong-trung-uong-dang-ve-the-thuc-va-ky-thuat-trinh-bay-van-ban-cua-dang.html?categoryId=3000525</x:v>
      </x:c>
      <x:c r="V15" s="28" t="str">
        <x:v>https://thuvienphapluat.vn/van-ban/Bo-may-hanh-chinh/Huong-dan-05-HD-VPTW-2026-the-thuc-va-ky-thuat-trinh-bay-van-ban-cua-Dang-707499.aspx</x:v>
      </x:c>
      <x:c r="W15" s="28" t="str">
        <x:v>ĐỐI CHIẾU MỘT PHẦN</x:v>
      </x:c>
      <x:c r="X15" s="28" t="str">
        <x:v>KHÔNG TỰ CẤP SỐ</x:v>
      </x:c>
      <x:c r="Y15" s="28" t="str">
        <x:v>Không tự chèn/sửa khi chưa có chứng cứ về đối tượng và rule.</x:v>
      </x:c>
    </x:row>
    <x:row r="16" ht="54" customHeight="1">
      <x:c r="A16" s="32" t="n">
        <x:v>10</x:v>
      </x:c>
      <x:c r="B16" s="34" t="str">
        <x:v>HD05.D.SK.KY_HIEU_LOAI</x:v>
      </x:c>
      <x:c r="C16" s="36" t="str">
        <x:v>Đầu văn bản</x:v>
      </x:c>
      <x:c r="D16" s="36" t="str">
        <x:v>Số và ký hiệu</x:v>
      </x:c>
      <x:c r="E16" s="28" t="str">
        <x:v>Ký hiệu thể loại văn bản</x:v>
      </x:c>
      <x:c r="F16" s="28" t="str">
        <x:v>3</x:v>
      </x:c>
      <x:c r="G16" s="28" t="str">
        <x:v>Văn bản có tên loại; công văn theo quy ước riêng</x:v>
      </x:c>
      <x:c r="H16" s="28" t="str">
        <x:v>Ký hiệu thể loại văn bản</x:v>
      </x:c>
      <x:c r="I16" s="28" t="str">
        <x:v>Times New Roman; Unicode; màu đen</x:v>
      </x:c>
      <x:c r="J16" s="28" t="str">
        <x:v>14</x:v>
      </x:c>
      <x:c r="K16" s="28" t="str">
        <x:v>Đúng dạng viết tắt trong danh mục HD05: CTr, TTr, NQ, BC…; KHÔNG ép IN HOA toàn bộ</x:v>
      </x:c>
      <x:c r="L16" s="28" t="str">
        <x:v>Không</x:v>
      </x:c>
      <x:c r="M16" s="28" t="str">
        <x:v>Không</x:v>
      </x:c>
      <x:c r="N16" s="28" t="str">
        <x:v>Căn giữa dưới khối tên cơ quan</x:v>
      </x:c>
      <x:c r="O16" s="28"/>
      <x:c r="P16" s="28"/>
      <x:c r="Q16" s="28"/>
      <x:c r="R16" s="28" t="str">
        <x:v>Text runs cùng đoạn; ký hiệu cấu trúc là text, không tự tạo số</x:v>
      </x:c>
      <x:c r="S16" s="28" t="str">
        <x:v>Tra chính xác mã loại theo HD05, gồm CTr và TTr; không upper-case hóa mặc định</x:v>
      </x:c>
      <x:c r="T16" s="28" t="str">
        <x:v>HD05, Phần II, I.3; Phụ lục 2 mục 3</x:v>
      </x:c>
      <x:c r="U16" s="28" t="str">
        <x:v>https://dangcongsan.vn/vanphongtrunguong/van-ban-cua-dang/huong-dan-so-05-hd-vptw-ngay-27-5-2026-cua-van-phong-trung-uong-dang-ve-the-thuc-va-ky-thuat-trinh-bay-van-ban-cua-dang.html?categoryId=3000525</x:v>
      </x:c>
      <x:c r="V16" s="28" t="str">
        <x:v>https://thuvienphapluat.vn/van-ban/Bo-may-hanh-chinh/Huong-dan-05-HD-VPTW-2026-the-thuc-va-ky-thuat-trinh-bay-van-ban-cua-Dang-707499.aspx</x:v>
      </x:c>
      <x:c r="W16" s="28" t="str">
        <x:v>ĐỐI CHIẾU MỘT PHẦN</x:v>
      </x:c>
      <x:c r="X16" s="28" t="str">
        <x:v>KHÔNG TỰ SUY DIỄN MÃ</x:v>
      </x:c>
      <x:c r="Y16" s="28" t="str">
        <x:v>Không tự chèn/sửa khi chưa có chứng cứ về đối tượng và rule.</x:v>
      </x:c>
    </x:row>
    <x:row r="17" ht="54" customHeight="1">
      <x:c r="A17" s="32" t="n">
        <x:v>11</x:v>
      </x:c>
      <x:c r="B17" s="34" t="str">
        <x:v>HD05.D.SK.KY_HIEU_CO_QUAN</x:v>
      </x:c>
      <x:c r="C17" s="36" t="str">
        <x:v>Đầu văn bản</x:v>
      </x:c>
      <x:c r="D17" s="36" t="str">
        <x:v>Số và ký hiệu</x:v>
      </x:c>
      <x:c r="E17" s="28" t="str">
        <x:v>Ký hiệu tổ chức/cơ quan Đảng</x:v>
      </x:c>
      <x:c r="F17" s="28" t="str">
        <x:v>3</x:v>
      </x:c>
      <x:c r="G17" s="28" t="str">
        <x:v>CHƯA ĐỊNH TUYẾN: xác nhận chế độ + loại văn bản + chủ thể + ngày áp dụng trước khi xét rule</x:v>
      </x:c>
      <x:c r="H17" s="28" t="str">
        <x:v>Ký hiệu tổ chức/cơ quan Đảng</x:v>
      </x:c>
      <x:c r="I17" s="28" t="str">
        <x:v>Times New Roman; Unicode; màu đen</x:v>
      </x:c>
      <x:c r="J17" s="28" t="str">
        <x:v>14</x:v>
      </x:c>
      <x:c r="K17" s="28" t="str">
        <x:v>Theo mã cơ quan đã xác minh, giữ nguyên chính tả ký hiệu</x:v>
      </x:c>
      <x:c r="L17" s="28" t="str">
        <x:v>Không</x:v>
      </x:c>
      <x:c r="M17" s="28" t="str">
        <x:v>Không</x:v>
      </x:c>
      <x:c r="N17" s="28" t="str">
        <x:v>Căn giữa dưới khối tên cơ quan</x:v>
      </x:c>
      <x:c r="O17" s="28"/>
      <x:c r="P17" s="28"/>
      <x:c r="Q17" s="28"/>
      <x:c r="R17" s="28" t="str">
        <x:v>Text runs cùng đoạn; ký hiệu cấu trúc là text, không tự tạo số</x:v>
      </x:c>
      <x:c r="S17" s="28" t="str">
        <x:v>Theo cơ quan và sổ/quy chế viết tắt đã xác minh</x:v>
      </x:c>
      <x:c r="T17" s="28" t="str">
        <x:v>HD05, Phần II, I.3; Phụ lục 2 mục 3</x:v>
      </x:c>
      <x:c r="U17" s="28" t="str">
        <x:v>https://dangcongsan.vn/vanphongtrunguong/van-ban-cua-dang/huong-dan-so-05-hd-vptw-ngay-27-5-2026-cua-van-phong-trung-uong-dang-ve-the-thuc-va-ky-thuat-trinh-bay-van-ban-cua-dang.html?categoryId=3000525</x:v>
      </x:c>
      <x:c r="V17" s="28" t="str">
        <x:v>https://thuvienphapluat.vn/van-ban/Bo-may-hanh-chinh/Huong-dan-05-HD-VPTW-2026-the-thuc-va-ky-thuat-trinh-bay-van-ban-cua-Dang-707499.aspx</x:v>
      </x:c>
      <x:c r="W17" s="28" t="str">
        <x:v>ĐỐI CHIẾU MỘT PHẦN</x:v>
      </x:c>
      <x:c r="X17" s="28" t="str">
        <x:v>KHÔNG TỰ ĐIỀN MÃ</x:v>
      </x:c>
      <x:c r="Y17" s="28" t="str">
        <x:v>Không tự chèn/sửa khi chưa có chứng cứ về đối tượng và rule.</x:v>
      </x:c>
    </x:row>
    <x:row r="18" ht="54" customHeight="1">
      <x:c r="A18" s="32" t="n">
        <x:v>12</x:v>
      </x:c>
      <x:c r="B18" s="34" t="str">
        <x:v>HD05.D.SK.DAU_PHAN_CACH</x:v>
      </x:c>
      <x:c r="C18" s="36" t="str">
        <x:v>Đầu văn bản</x:v>
      </x:c>
      <x:c r="D18" s="36" t="str">
        <x:v>Số và ký hiệu</x:v>
      </x:c>
      <x:c r="E18" s="28" t="str">
        <x:v>Dấu phân cách trong số, ký hiệu</x:v>
      </x:c>
      <x:c r="F18" s="28" t="str">
        <x:v>3</x:v>
      </x:c>
      <x:c r="G18" s="28" t="str">
        <x:v>CHƯA ĐỊNH TUYẾN: xác nhận chế độ + loại văn bản + chủ thể + ngày áp dụng trước khi xét rule</x:v>
      </x:c>
      <x:c r="H18" s="28" t="str">
        <x:v>Dấu phân cách trong số, ký hiệu</x:v>
      </x:c>
      <x:c r="I18" s="28" t="str">
        <x:v>Times New Roman; Unicode; màu đen</x:v>
      </x:c>
      <x:c r="J18" s="28" t="str">
        <x:v>14</x:v>
      </x:c>
      <x:c r="K18" s="28" t="str">
        <x:v>Không áp dụng — dấu phân cách</x:v>
      </x:c>
      <x:c r="L18" s="28" t="str">
        <x:v>Không</x:v>
      </x:c>
      <x:c r="M18" s="28" t="str">
        <x:v>Không</x:v>
      </x:c>
      <x:c r="N18" s="28" t="str">
        <x:v>Căn giữa dưới khối tên cơ quan</x:v>
      </x:c>
      <x:c r="O18" s="28"/>
      <x:c r="P18" s="28"/>
      <x:c r="Q18" s="28" t="str">
        <x:v>Ký hiệu theo mẫu: Số 05-HD/VPTW; phân cách - và / đúng vị trí</x:v>
      </x:c>
      <x:c r="R18" s="28" t="str">
        <x:v>Text runs cùng đoạn; ký hiệu cấu trúc là text, không tự tạo số</x:v>
      </x:c>
      <x:c r="S18" s="28" t="str">
        <x:v>Không thêm khoảng trắng trong cụm ký hiệu</x:v>
      </x:c>
      <x:c r="T18" s="28" t="str">
        <x:v>HD05, Phần II, I.3; Phụ lục 2 mục 3</x:v>
      </x:c>
      <x:c r="U18" s="28" t="str">
        <x:v>https://dangcongsan.vn/vanphongtrunguong/van-ban-cua-dang/huong-dan-so-05-hd-vptw-ngay-27-5-2026-cua-van-phong-trung-uong-dang-ve-the-thuc-va-ky-thuat-trinh-bay-van-ban-cua-dang.html?categoryId=3000525</x:v>
      </x:c>
      <x:c r="V18" s="28" t="str">
        <x:v>https://thuvienphapluat.vn/van-ban/Bo-may-hanh-chinh/Huong-dan-05-HD-VPTW-2026-the-thuc-va-ky-thuat-trinh-bay-van-ban-cua-Dang-707499.aspx</x:v>
      </x:c>
      <x:c r="W18" s="28" t="str">
        <x:v>ĐỐI CHIẾU MỘT PHẦN</x:v>
      </x:c>
      <x:c r="X18" s="28" t="str">
        <x:v>READ_ONLY</x:v>
      </x:c>
      <x:c r="Y18" s="28" t="str">
        <x:v>Không tự chèn/sửa khi chưa có chứng cứ về đối tượng và rule.</x:v>
      </x:c>
    </x:row>
    <x:row r="19" ht="54" customHeight="1">
      <x:c r="A19" s="32" t="n">
        <x:v>13</x:v>
      </x:c>
      <x:c r="B19" s="34" t="str">
        <x:v>HD05.D.NG.DIA_DANH</x:v>
      </x:c>
      <x:c r="C19" s="36" t="str">
        <x:v>Đầu văn bản</x:v>
      </x:c>
      <x:c r="D19" s="36" t="str">
        <x:v>Địa danh và thời gian ban hành</x:v>
      </x:c>
      <x:c r="E19" s="28" t="str">
        <x:v>Địa danh</x:v>
      </x:c>
      <x:c r="F19" s="28" t="str">
        <x:v>4</x:v>
      </x:c>
      <x:c r="G19" s="28" t="str">
        <x:v>CHƯA ĐỊNH TUYẾN: xác nhận chế độ + loại văn bản + chủ thể + ngày áp dụng trước khi xét rule</x:v>
      </x:c>
      <x:c r="H19" s="28" t="str">
        <x:v>Tên địa danh chính thức theo cơ quan/tổ chức và đơn vị hành chính tại thời điểm ban hành</x:v>
      </x:c>
      <x:c r="I19" s="28" t="str">
        <x:v>Times New Roman; Unicode; màu đen</x:v>
      </x:c>
      <x:c r="J19" s="28" t="str">
        <x:v>14</x:v>
      </x:c>
      <x:c r="K19" s="28" t="str">
        <x:v>Viết hoa chữ cái đầu địa danh</x:v>
      </x:c>
      <x:c r="L19" s="28" t="str">
        <x:v>Không</x:v>
      </x:c>
      <x:c r="M19" s="28" t="str">
        <x:v>Có</x:v>
      </x:c>
      <x:c r="N19" s="28" t="str">
        <x:v>Cân đối dưới Quốc hiệu/Tiêu đề bên phải</x:v>
      </x:c>
      <x:c r="O19" s="28"/>
      <x:c r="P19" s="28"/>
      <x:c r="Q19" s="28"/>
      <x:c r="R19" s="28" t="str">
        <x:v>Văn bản/OOXML: xác định đối tượng trước khi sửa</x:v>
      </x:c>
      <x:c r="S19" s="28" t="str">
        <x:v>{địa danh}, ngày {ngày} tháng {tháng} năm {năm}; riêng số 0 theo điều kiện của ngày/tháng</x:v>
      </x:c>
      <x:c r="T19" s="28" t="str">
        <x:v>HD05, Phần II, I.4; Phụ lục 2 mục 4</x:v>
      </x:c>
      <x:c r="U19" s="28" t="str">
        <x:v>https://dangcongsan.vn/vanphongtrunguong/van-ban-cua-dang/huong-dan-so-05-hd-vptw-ngay-27-5-2026-cua-van-phong-trung-uong-dang-ve-the-thuc-va-ky-thuat-trinh-bay-van-ban-cua-dang.html?categoryId=3000525</x:v>
      </x:c>
      <x:c r="V19" s="28" t="str">
        <x:v>https://thuvienphapluat.vn/van-ban/Bo-may-hanh-chinh/Huong-dan-05-HD-VPTW-2026-the-thuc-va-ky-thuat-trinh-bay-van-ban-cua-Dang-707499.aspx</x:v>
      </x:c>
      <x:c r="W19" s="28" t="str">
        <x:v>ĐỐI CHIẾU MỘT PHẦN</x:v>
      </x:c>
      <x:c r="X19" s="28" t="str">
        <x:v>KHÔNG TỰ SINH ĐỊA DANH</x:v>
      </x:c>
      <x:c r="Y19" s="28" t="str">
        <x:v>Không tự chèn/sửa khi chưa có chứng cứ về đối tượng và rule.</x:v>
      </x:c>
    </x:row>
    <x:row r="20" ht="54" customHeight="1">
      <x:c r="A20" s="32" t="n">
        <x:v>14</x:v>
      </x:c>
      <x:c r="B20" s="34" t="str">
        <x:v>HD05.D.NG.NGAY</x:v>
      </x:c>
      <x:c r="C20" s="36" t="str">
        <x:v>Đầu văn bản</x:v>
      </x:c>
      <x:c r="D20" s="36" t="str">
        <x:v>Địa danh và thời gian ban hành</x:v>
      </x:c>
      <x:c r="E20" s="28" t="str">
        <x:v>Ngày</x:v>
      </x:c>
      <x:c r="F20" s="28" t="str">
        <x:v>4</x:v>
      </x:c>
      <x:c r="G20" s="28" t="str">
        <x:v>CHƯA ĐỊNH TUYẾN: xác nhận chế độ + loại văn bản + chủ thể + ngày áp dụng trước khi xét rule</x:v>
      </x:c>
      <x:c r="H20" s="28" t="str">
        <x:v>Thành phần của ngày tháng năm ban hành; không tự xác định thời điểm ký</x:v>
      </x:c>
      <x:c r="I20" s="28" t="str">
        <x:v>Times New Roman; Unicode; màu đen</x:v>
      </x:c>
      <x:c r="J20" s="28" t="str">
        <x:v>14</x:v>
      </x:c>
      <x:c r="K20" s="28" t="str">
        <x:v>Không áp dụng — giá trị số</x:v>
      </x:c>
      <x:c r="L20" s="28" t="str">
        <x:v>Không</x:v>
      </x:c>
      <x:c r="M20" s="28" t="str">
        <x:v>Có</x:v>
      </x:c>
      <x:c r="N20" s="28" t="str">
        <x:v>Cân đối dưới Quốc hiệu/Tiêu đề bên phải</x:v>
      </x:c>
      <x:c r="O20" s="28"/>
      <x:c r="P20" s="28"/>
      <x:c r="Q20" s="28"/>
      <x:c r="R20" s="28" t="str">
        <x:v>Văn bản/OOXML: xác định đối tượng trước khi sửa</x:v>
      </x:c>
      <x:c r="S20" s="28" t="str">
        <x:v>Ngày 01–09 ghi số 0 phía trước; giữ nguyên ngày được cung cấp, không tự điền</x:v>
      </x:c>
      <x:c r="T20" s="28" t="str">
        <x:v>HD05, Phần II, I.4; Phụ lục 2 mục 4</x:v>
      </x:c>
      <x:c r="U20" s="28" t="str">
        <x:v>https://dangcongsan.vn/vanphongtrunguong/van-ban-cua-dang/huong-dan-so-05-hd-vptw-ngay-27-5-2026-cua-van-phong-trung-uong-dang-ve-the-thuc-va-ky-thuat-trinh-bay-van-ban-cua-dang.html?categoryId=3000525</x:v>
      </x:c>
      <x:c r="V20" s="28" t="str">
        <x:v>https://thuvienphapluat.vn/van-ban/Bo-may-hanh-chinh/Huong-dan-05-HD-VPTW-2026-the-thuc-va-ky-thuat-trinh-bay-van-ban-cua-Dang-707499.aspx</x:v>
      </x:c>
      <x:c r="W20" s="28" t="str">
        <x:v>ĐỐI CHIẾU MỘT PHẦN</x:v>
      </x:c>
      <x:c r="X20" s="28" t="str">
        <x:v>KHÔNG TỰ ĐIỀN NGÀY</x:v>
      </x:c>
      <x:c r="Y20" s="28" t="str">
        <x:v>Không tự chèn/sửa khi chưa có chứng cứ về đối tượng và rule.</x:v>
      </x:c>
    </x:row>
    <x:row r="21" ht="54" customHeight="1">
      <x:c r="A21" s="32" t="n">
        <x:v>15</x:v>
      </x:c>
      <x:c r="B21" s="34" t="str">
        <x:v>HD05.D.NG.THANG</x:v>
      </x:c>
      <x:c r="C21" s="36" t="str">
        <x:v>Đầu văn bản</x:v>
      </x:c>
      <x:c r="D21" s="36" t="str">
        <x:v>Địa danh và thời gian ban hành</x:v>
      </x:c>
      <x:c r="E21" s="28" t="str">
        <x:v>Tháng</x:v>
      </x:c>
      <x:c r="F21" s="28" t="str">
        <x:v>4</x:v>
      </x:c>
      <x:c r="G21" s="28" t="str">
        <x:v>CHƯA ĐỊNH TUYẾN: xác nhận chế độ + loại văn bản + chủ thể + ngày áp dụng trước khi xét rule</x:v>
      </x:c>
      <x:c r="H21" s="28" t="str">
        <x:v>Thành phần của ngày tháng năm ban hành; không tự xác định thời điểm ký</x:v>
      </x:c>
      <x:c r="I21" s="28" t="str">
        <x:v>Times New Roman; Unicode; màu đen</x:v>
      </x:c>
      <x:c r="J21" s="28" t="str">
        <x:v>14</x:v>
      </x:c>
      <x:c r="K21" s="28" t="str">
        <x:v>Không áp dụng — giá trị số</x:v>
      </x:c>
      <x:c r="L21" s="28" t="str">
        <x:v>Không</x:v>
      </x:c>
      <x:c r="M21" s="28" t="str">
        <x:v>Có</x:v>
      </x:c>
      <x:c r="N21" s="28" t="str">
        <x:v>Cân đối dưới Quốc hiệu/Tiêu đề bên phải</x:v>
      </x:c>
      <x:c r="O21" s="28"/>
      <x:c r="P21" s="28"/>
      <x:c r="Q21" s="28"/>
      <x:c r="R21" s="28" t="str">
        <x:v>Văn bản/OOXML: xác định đối tượng trước khi sửa</x:v>
      </x:c>
      <x:c r="S21" s="28" t="str">
        <x:v>Tháng 01–02 ghi số 0 phía trước; không áp mẫu hai chữ số cho mọi tháng</x:v>
      </x:c>
      <x:c r="T21" s="28" t="str">
        <x:v>HD05, Phần II, I.4; Phụ lục 2 mục 4</x:v>
      </x:c>
      <x:c r="U21" s="28" t="str">
        <x:v>https://dangcongsan.vn/vanphongtrunguong/van-ban-cua-dang/huong-dan-so-05-hd-vptw-ngay-27-5-2026-cua-van-phong-trung-uong-dang-ve-the-thuc-va-ky-thuat-trinh-bay-van-ban-cua-dang.html?categoryId=3000525</x:v>
      </x:c>
      <x:c r="V21" s="28" t="str">
        <x:v>https://thuvienphapluat.vn/van-ban/Bo-may-hanh-chinh/Huong-dan-05-HD-VPTW-2026-the-thuc-va-ky-thuat-trinh-bay-van-ban-cua-Dang-707499.aspx</x:v>
      </x:c>
      <x:c r="W21" s="28" t="str">
        <x:v>ĐỐI CHIẾU MỘT PHẦN</x:v>
      </x:c>
      <x:c r="X21" s="28" t="str">
        <x:v>KHÔNG TỰ ĐIỀN NGÀY</x:v>
      </x:c>
      <x:c r="Y21" s="28" t="str">
        <x:v>Không tự chèn/sửa khi chưa có chứng cứ về đối tượng và rule.</x:v>
      </x:c>
    </x:row>
    <x:row r="22" ht="54" customHeight="1">
      <x:c r="A22" s="32" t="n">
        <x:v>16</x:v>
      </x:c>
      <x:c r="B22" s="34" t="str">
        <x:v>HD05.D.NG.NAM</x:v>
      </x:c>
      <x:c r="C22" s="36" t="str">
        <x:v>Đầu văn bản</x:v>
      </x:c>
      <x:c r="D22" s="36" t="str">
        <x:v>Địa danh và thời gian ban hành</x:v>
      </x:c>
      <x:c r="E22" s="28" t="str">
        <x:v>Năm</x:v>
      </x:c>
      <x:c r="F22" s="28" t="str">
        <x:v>4</x:v>
      </x:c>
      <x:c r="G22" s="28" t="str">
        <x:v>CHƯA ĐỊNH TUYẾN: xác nhận chế độ + loại văn bản + chủ thể + ngày áp dụng trước khi xét rule</x:v>
      </x:c>
      <x:c r="H22" s="28" t="str">
        <x:v>Thành phần của ngày tháng năm ban hành; không tự xác định thời điểm ký</x:v>
      </x:c>
      <x:c r="I22" s="28" t="str">
        <x:v>Times New Roman; Unicode; màu đen</x:v>
      </x:c>
      <x:c r="J22" s="28" t="str">
        <x:v>14</x:v>
      </x:c>
      <x:c r="K22" s="28" t="str">
        <x:v>Không áp dụng — giá trị số</x:v>
      </x:c>
      <x:c r="L22" s="28" t="str">
        <x:v>Không</x:v>
      </x:c>
      <x:c r="M22" s="28" t="str">
        <x:v>Có</x:v>
      </x:c>
      <x:c r="N22" s="28" t="str">
        <x:v>Cân đối dưới Quốc hiệu/Tiêu đề bên phải</x:v>
      </x:c>
      <x:c r="O22" s="28"/>
      <x:c r="P22" s="28"/>
      <x:c r="Q22" s="28"/>
      <x:c r="R22" s="28" t="str">
        <x:v>Văn bản/OOXML: xác định đối tượng trước khi sửa</x:v>
      </x:c>
      <x:c r="S22" s="28" t="str">
        <x:v>Năm viết đủ bốn chữ số; không tự xác định năm ban hành</x:v>
      </x:c>
      <x:c r="T22" s="28" t="str">
        <x:v>HD05, Phần II, I.4; Phụ lục 2 mục 4</x:v>
      </x:c>
      <x:c r="U22" s="28" t="str">
        <x:v>https://dangcongsan.vn/vanphongtrunguong/van-ban-cua-dang/huong-dan-so-05-hd-vptw-ngay-27-5-2026-cua-van-phong-trung-uong-dang-ve-the-thuc-va-ky-thuat-trinh-bay-van-ban-cua-dang.html?categoryId=3000525</x:v>
      </x:c>
      <x:c r="V22" s="28" t="str">
        <x:v>https://thuvienphapluat.vn/van-ban/Bo-may-hanh-chinh/Huong-dan-05-HD-VPTW-2026-the-thuc-va-ky-thuat-trinh-bay-van-ban-cua-Dang-707499.aspx</x:v>
      </x:c>
      <x:c r="W22" s="28" t="str">
        <x:v>ĐỐI CHIẾU MỘT PHẦN</x:v>
      </x:c>
      <x:c r="X22" s="28" t="str">
        <x:v>KHÔNG TỰ ĐIỀN NGÀY</x:v>
      </x:c>
      <x:c r="Y22" s="28" t="str">
        <x:v>Không tự chèn/sửa khi chưa có chứng cứ về đối tượng và rule.</x:v>
      </x:c>
    </x:row>
    <x:row r="23" ht="54" customHeight="1">
      <x:c r="A23" s="32" t="n">
        <x:v>17</x:v>
      </x:c>
      <x:c r="B23" s="34" t="str">
        <x:v>HD05.D.TY.TEN_LOAI</x:v>
      </x:c>
      <x:c r="C23" s="36" t="str">
        <x:v>Đầu văn bản</x:v>
      </x:c>
      <x:c r="D23" s="36" t="str">
        <x:v>Tên loại và trích yếu</x:v>
      </x:c>
      <x:c r="E23" s="28" t="str">
        <x:v>Tên loại văn bản Đảng</x:v>
      </x:c>
      <x:c r="F23" s="28" t="str">
        <x:v>5a</x:v>
      </x:c>
      <x:c r="G23" s="28" t="str">
        <x:v>Văn bản có tên loại riêng</x:v>
      </x:c>
      <x:c r="H23" s="28" t="str">
        <x:v>Tên loại văn bản hợp lệ; không ghi CÔNG VĂN như tiêu đề của công văn thông thường</x:v>
      </x:c>
      <x:c r="I23" s="28" t="str">
        <x:v>Times New Roman; Unicode; màu đen</x:v>
      </x:c>
      <x:c r="J23" s="28" t="str">
        <x:v>15–16</x:v>
      </x:c>
      <x:c r="K23" s="28" t="str">
        <x:v>IN HOA</x:v>
      </x:c>
      <x:c r="L23" s="28" t="str">
        <x:v>Có</x:v>
      </x:c>
      <x:c r="M23" s="28" t="str">
        <x:v>Không</x:v>
      </x:c>
      <x:c r="N23" s="28" t="str">
        <x:v>Căn giữa tại ô 5a (theo loại văn bản)</x:v>
      </x:c>
      <x:c r="O23" s="28"/>
      <x:c r="P23" s="28"/>
      <x:c r="Q23" s="28"/>
      <x:c r="R23" s="28" t="str">
        <x:v>Văn bản/OOXML: xác định đối tượng trước khi sửa</x:v>
      </x:c>
      <x:c r="S23" s="28" t="str">
        <x:v>Không có thông số đơn trị; theo rule của thành phần và loại văn bản</x:v>
      </x:c>
      <x:c r="T23" s="28" t="str">
        <x:v>HD05, Phần II, I.5; Phụ lục 2 mục 5</x:v>
      </x:c>
      <x:c r="U23" s="28" t="str">
        <x:v>https://dangcongsan.vn/vanphongtrunguong/van-ban-cua-dang/huong-dan-so-05-hd-vptw-ngay-27-5-2026-cua-van-phong-trung-uong-dang-ve-the-thuc-va-ky-thuat-trinh-bay-van-ban-cua-dang.html?categoryId=3000525</x:v>
      </x:c>
      <x:c r="V23" s="28" t="str">
        <x:v>https://thuvienphapluat.vn/van-ban/Bo-may-hanh-chinh/Huong-dan-05-HD-VPTW-2026-the-thuc-va-ky-thuat-trinh-bay-van-ban-cua-Dang-707499.aspx</x:v>
      </x:c>
      <x:c r="W23" s="28" t="str">
        <x:v>ĐỐI CHIẾU MỘT PHẦN</x:v>
      </x:c>
      <x:c r="X23" s="28" t="str">
        <x:v>READ_ONLY</x:v>
      </x:c>
      <x:c r="Y23" s="28" t="str">
        <x:v>Không tự chèn/sửa khi chưa có chứng cứ về đối tượng và rule.</x:v>
      </x:c>
    </x:row>
    <x:row r="24" ht="54" customHeight="1">
      <x:c r="A24" s="32" t="n">
        <x:v>18</x:v>
      </x:c>
      <x:c r="B24" s="34" t="str">
        <x:v>HD05.D.TY.TRICH_YEU</x:v>
      </x:c>
      <x:c r="C24" s="36" t="str">
        <x:v>Đầu văn bản</x:v>
      </x:c>
      <x:c r="D24" s="36" t="str">
        <x:v>Tên loại và trích yếu</x:v>
      </x:c>
      <x:c r="E24" s="28" t="str">
        <x:v>Trích yếu của văn bản Đảng có tên loại</x:v>
      </x:c>
      <x:c r="F24" s="28" t="str">
        <x:v>5a</x:v>
      </x:c>
      <x:c r="G24" s="28" t="str">
        <x:v>Văn bản có tên loại; dưới tên loại</x:v>
      </x:c>
      <x:c r="H24" s="28" t="str">
        <x:v>Trích yếu ngắn gọn phản ánh nội dung chính, tách với tên loại</x:v>
      </x:c>
      <x:c r="I24" s="28" t="str">
        <x:v>Times New Roman; Unicode; màu đen</x:v>
      </x:c>
      <x:c r="J24" s="28" t="str">
        <x:v>14–15</x:v>
      </x:c>
      <x:c r="K24" s="28" t="str">
        <x:v>In thường</x:v>
      </x:c>
      <x:c r="L24" s="28" t="str">
        <x:v>Có</x:v>
      </x:c>
      <x:c r="M24" s="28" t="str">
        <x:v>Không</x:v>
      </x:c>
      <x:c r="N24" s="28" t="str">
        <x:v>Căn giữa tại ô 5a (theo loại văn bản)</x:v>
      </x:c>
      <x:c r="O24" s="28"/>
      <x:c r="P24" s="28"/>
      <x:c r="Q24" s="28"/>
      <x:c r="R24" s="28" t="str">
        <x:v>Văn bản/OOXML: xác định đối tượng trước khi sửa</x:v>
      </x:c>
      <x:c r="S24" s="28" t="str">
        <x:v>Không có thông số đơn trị; theo rule của thành phần và loại văn bản</x:v>
      </x:c>
      <x:c r="T24" s="28" t="str">
        <x:v>HD05, Phần II, I.5; Phụ lục 2 mục 5</x:v>
      </x:c>
      <x:c r="U24" s="28" t="str">
        <x:v>https://dangcongsan.vn/vanphongtrunguong/van-ban-cua-dang/huong-dan-so-05-hd-vptw-ngay-27-5-2026-cua-van-phong-trung-uong-dang-ve-the-thuc-va-ky-thuat-trinh-bay-van-ban-cua-dang.html?categoryId=3000525</x:v>
      </x:c>
      <x:c r="V24" s="28" t="str">
        <x:v>https://thuvienphapluat.vn/van-ban/Bo-may-hanh-chinh/Huong-dan-05-HD-VPTW-2026-the-thuc-va-ky-thuat-trinh-bay-van-ban-cua-Dang-707499.aspx</x:v>
      </x:c>
      <x:c r="W24" s="28" t="str">
        <x:v>ĐỐI CHIẾU MỘT PHẦN</x:v>
      </x:c>
      <x:c r="X24" s="28" t="str">
        <x:v>READ_ONLY</x:v>
      </x:c>
      <x:c r="Y24" s="28" t="str">
        <x:v>Không tự chèn/sửa khi chưa có chứng cứ về đối tượng và rule.</x:v>
      </x:c>
    </x:row>
    <x:row r="25" ht="54" customHeight="1">
      <x:c r="A25" s="32" t="n">
        <x:v>19</x:v>
      </x:c>
      <x:c r="B25" s="34" t="str">
        <x:v>HD05.D.TY.NAM_DAU_GACH</x:v>
      </x:c>
      <x:c r="C25" s="36" t="str">
        <x:v>Đầu văn bản</x:v>
      </x:c>
      <x:c r="D25" s="36" t="str">
        <x:v>Tên loại và trích yếu</x:v>
      </x:c>
      <x:c r="E25" s="28" t="str">
        <x:v>Đúng 5 dấu gạch nối dưới trích yếu theo mẫu</x:v>
      </x:c>
      <x:c r="F25" s="28" t="str">
        <x:v>5a</x:v>
      </x:c>
      <x:c r="G25" s="28" t="str">
        <x:v>Tên loại và trích yếu theo mẫu Đảng</x:v>
      </x:c>
      <x:c r="H25" s="28" t="str">
        <x:v>Đúng 5 dấu gạch nối dưới trích yếu theo mẫu</x:v>
      </x:c>
      <x:c r="I25" s="28" t="str">
        <x:v>Times New Roman</x:v>
      </x:c>
      <x:c r="J25" s="28" t="str">
        <x:v>Theo mẫu</x:v>
      </x:c>
      <x:c r="K25" s="28"/>
      <x:c r="L25" s="28"/>
      <x:c r="M25" s="28"/>
      <x:c r="N25" s="28" t="str">
        <x:v>Căn giữa tại ô 5a (theo loại văn bản)</x:v>
      </x:c>
      <x:c r="O25" s="28"/>
      <x:c r="P25" s="28"/>
      <x:c r="Q25" s="28" t="str">
        <x:v>Đúng 5 ký tự gạch nối: -----</x:v>
      </x:c>
      <x:c r="R25" s="28" t="str">
        <x:v>Text run; kiểm tra literal; không biến thành Shape</x:v>
      </x:c>
      <x:c r="S25" s="28" t="str">
        <x:v>Số dấu phải là 5, không suy ra chiều dài đường Shape</x:v>
      </x:c>
      <x:c r="T25" s="28" t="str">
        <x:v>HD05, Phần II, I.5; Phụ lục 2 mục 5</x:v>
      </x:c>
      <x:c r="U25" s="28" t="str">
        <x:v>https://dangcongsan.vn/vanphongtrunguong/van-ban-cua-dang/huong-dan-so-05-hd-vptw-ngay-27-5-2026-cua-van-phong-trung-uong-dang-ve-the-thuc-va-ky-thuat-trinh-bay-van-ban-cua-dang.html?categoryId=3000525</x:v>
      </x:c>
      <x:c r="V25" s="28" t="str">
        <x:v>https://thuvienphapluat.vn/van-ban/Bo-may-hanh-chinh/Huong-dan-05-HD-VPTW-2026-the-thuc-va-ky-thuat-trinh-bay-van-ban-cua-Dang-707499.aspx</x:v>
      </x:c>
      <x:c r="W25" s="28" t="str">
        <x:v>ĐỐI CHIẾU MỘT PHẦN</x:v>
      </x:c>
      <x:c r="X25" s="28" t="str">
        <x:v>REVIEW TRƯỚC KHI SỬA</x:v>
      </x:c>
      <x:c r="Y25" s="28" t="str">
        <x:v>Không tự chèn/sửa khi chưa có chứng cứ về đối tượng và rule.</x:v>
      </x:c>
    </x:row>
    <x:row r="26" ht="54" customHeight="1">
      <x:c r="A26" s="32" t="n">
        <x:v>20</x:v>
      </x:c>
      <x:c r="B26" s="34" t="str">
        <x:v>HD05.D.TY.TRICH_YEU_CV</x:v>
      </x:c>
      <x:c r="C26" s="36" t="str">
        <x:v>Đầu văn bản</x:v>
      </x:c>
      <x:c r="D26" s="36" t="str">
        <x:v>Tên loại và trích yếu</x:v>
      </x:c>
      <x:c r="E26" s="28" t="str">
        <x:v>Trích yếu công văn Đảng dưới số/ký hiệu</x:v>
      </x:c>
      <x:c r="F26" s="28" t="str">
        <x:v>5b</x:v>
      </x:c>
      <x:c r="G26" s="28" t="str">
        <x:v>Chỉ công văn; vị trí ô 5b dưới số, ký hiệu</x:v>
      </x:c>
      <x:c r="H26" s="28" t="str">
        <x:v>Trích yếu công văn Đảng dưới số/ký hiệu</x:v>
      </x:c>
      <x:c r="I26" s="28" t="str">
        <x:v>Times New Roman; Unicode; màu đen</x:v>
      </x:c>
      <x:c r="J26" s="28" t="str">
        <x:v>12</x:v>
      </x:c>
      <x:c r="K26" s="28" t="str">
        <x:v>In thường</x:v>
      </x:c>
      <x:c r="L26" s="28" t="str">
        <x:v>Không</x:v>
      </x:c>
      <x:c r="M26" s="28" t="str">
        <x:v>Có</x:v>
      </x:c>
      <x:c r="N26" s="28" t="str">
        <x:v>Cân đối dưới số/ký hiệu tại ô 5b</x:v>
      </x:c>
      <x:c r="O26" s="28"/>
      <x:c r="P26" s="28"/>
      <x:c r="Q26" s="28"/>
      <x:c r="R26" s="28" t="str">
        <x:v>Một/một số text run bên dưới số và ký hiệu</x:v>
      </x:c>
      <x:c r="S26" s="28" t="str">
        <x:v>HD05: ví dụ bằng “về việc”; chữ nghiêng, không tự chuyển V/v khi chưa xác minh</x:v>
      </x:c>
      <x:c r="T26" s="28" t="str">
        <x:v>HD05, Phần II, I.5; Phụ lục 2 mục 5</x:v>
      </x:c>
      <x:c r="U26" s="28" t="str">
        <x:v>https://dangcongsan.vn/vanphongtrunguong/van-ban-cua-dang/huong-dan-so-05-hd-vptw-ngay-27-5-2026-cua-van-phong-trung-uong-dang-ve-the-thuc-va-ky-thuat-trinh-bay-van-ban-cua-dang.html?categoryId=3000525</x:v>
      </x:c>
      <x:c r="V26" s="28" t="str">
        <x:v>https://thuvienphapluat.vn/van-ban/Bo-may-hanh-chinh/Huong-dan-05-HD-VPTW-2026-the-thuc-va-ky-thuat-trinh-bay-van-ban-cua-Dang-707499.aspx</x:v>
      </x:c>
      <x:c r="W26" s="28" t="str">
        <x:v>ĐỐI CHIẾU MỘT PHẦN</x:v>
      </x:c>
      <x:c r="X26" s="28" t="str">
        <x:v>READ_ONLY</x:v>
      </x:c>
      <x:c r="Y26" s="28" t="str">
        <x:v>HD05 Phụ lục 2: trích yếu công văn cỡ 12, NGHIÊNG (khác ND30: chữ đứng). Kiểm tra đúng thể loại công văn.</x:v>
      </x:c>
    </x:row>
    <x:row r="27" ht="54" customHeight="1">
      <x:c r="A27" s="32" t="n">
        <x:v>21</x:v>
      </x:c>
      <x:c r="B27" s="34" t="str">
        <x:v>HD05.D.TY.CHU_DE_DAI_HOI</x:v>
      </x:c>
      <x:c r="C27" s="36" t="str">
        <x:v>Đầu văn bản</x:v>
      </x:c>
      <x:c r="D27" s="36" t="str">
        <x:v>Tên loại và trích yếu</x:v>
      </x:c>
      <x:c r="E27" s="28" t="str">
        <x:v>Chủ đề thay thế theo ngoại lệ báo cáo chính trị đại hội</x:v>
      </x:c>
      <x:c r="F27" s="28" t="str">
        <x:v>5a</x:v>
      </x:c>
      <x:c r="G27" s="28" t="str">
        <x:v>Báo cáo chính trị trình đại hội có chủ đề thay tên loại/trích yếu</x:v>
      </x:c>
      <x:c r="H27" s="28" t="str">
        <x:v>Chủ đề thay thế theo ngoại lệ báo cáo chính trị đại hội</x:v>
      </x:c>
      <x:c r="I27" s="28" t="str">
        <x:v>Times New Roman; Unicode; màu đen</x:v>
      </x:c>
      <x:c r="J27" s="28" t="str">
        <x:v>Theo mẫu riêng</x:v>
      </x:c>
      <x:c r="K27" s="28" t="str">
        <x:v>Theo chủ đề chính thức</x:v>
      </x:c>
      <x:c r="L27" s="28" t="str">
        <x:v>Theo mẫu</x:v>
      </x:c>
      <x:c r="M27" s="28" t="str">
        <x:v>Theo mẫu</x:v>
      </x:c>
      <x:c r="N27" s="28" t="str">
        <x:v>Căn giữa tại ô 5a (theo loại văn bản)</x:v>
      </x:c>
      <x:c r="O27" s="28"/>
      <x:c r="P27" s="28"/>
      <x:c r="Q27" s="28"/>
      <x:c r="R27" s="28" t="str">
        <x:v>Văn bản/OOXML: xác định đối tượng trước khi sửa</x:v>
      </x:c>
      <x:c r="S27" s="28" t="str">
        <x:v>Không áp dụng cho mọi văn bản đại hội</x:v>
      </x:c>
      <x:c r="T27" s="28" t="str">
        <x:v>HD05, Phần II, I.5; Phụ lục 2 mục 5</x:v>
      </x:c>
      <x:c r="U27" s="28" t="str">
        <x:v>https://dangcongsan.vn/vanphongtrunguong/van-ban-cua-dang/huong-dan-so-05-hd-vptw-ngay-27-5-2026-cua-van-phong-trung-uong-dang-ve-the-thuc-va-ky-thuat-trinh-bay-van-ban-cua-dang.html?categoryId=3000525</x:v>
      </x:c>
      <x:c r="V27" s="28" t="str">
        <x:v>https://thuvienphapluat.vn/van-ban/Bo-may-hanh-chinh/Huong-dan-05-HD-VPTW-2026-the-thuc-va-ky-thuat-trinh-bay-van-ban-cua-Dang-707499.aspx</x:v>
      </x:c>
      <x:c r="W27" s="28" t="str">
        <x:v>CHƯA ĐỦ BẰNG CHỨNG</x:v>
      </x:c>
      <x:c r="X27" s="28" t="str">
        <x:v>KHÔNG TỰ SUY DIỄN</x:v>
      </x:c>
      <x:c r="Y27" s="28" t="str">
        <x:v>Không tự chèn/sửa khi chưa có chứng cứ về đối tượng và rule. | Trạng thái v1.0: CÓ ĐIỀU KIỆN</x:v>
      </x:c>
    </x:row>
    <x:row r="28" ht="54" customHeight="1">
      <x:c r="A28" s="32" t="n">
        <x:v>22</x:v>
      </x:c>
      <x:c r="B28" s="34" t="str">
        <x:v>HD05.D.NHAN.KINH_GUI</x:v>
      </x:c>
      <x:c r="C28" s="36" t="str">
        <x:v>Đầu văn bản</x:v>
      </x:c>
      <x:c r="D28" s="36" t="str">
        <x:v>Người nhận trực tiếp đầu văn bản</x:v>
      </x:c>
      <x:c r="E28" s="28" t="str">
        <x:v>Nhãn Kính gửi:</x:v>
      </x:c>
      <x:c r="F28" s="28" t="str">
        <x:v>5a</x:v>
      </x:c>
      <x:c r="G28" s="28" t="str">
        <x:v>Chỉ áp dụng Công văn theo HD05, khi có nơi nhận trực tiếp; ô 5a</x:v>
      </x:c>
      <x:c r="H28" s="28" t="str">
        <x:v>Nhãn người nhận trực tiếp với dấu hai chấm</x:v>
      </x:c>
      <x:c r="I28" s="28" t="str">
        <x:v>Times New Roman; Unicode; màu đen</x:v>
      </x:c>
      <x:c r="J28" s="28" t="str">
        <x:v>14</x:v>
      </x:c>
      <x:c r="K28" s="28" t="str">
        <x:v>In thường</x:v>
      </x:c>
      <x:c r="L28" s="28" t="str">
        <x:v>Không</x:v>
      </x:c>
      <x:c r="M28" s="28" t="str">
        <x:v>Có</x:v>
      </x:c>
      <x:c r="N28" s="28" t="str">
        <x:v>Vị trí đầu nội dung theo mẫu</x:v>
      </x:c>
      <x:c r="O28" s="28"/>
      <x:c r="P28" s="28"/>
      <x:c r="Q28" s="28"/>
      <x:c r="R28" s="28" t="str">
        <x:v>Paragraph/text run; không tự đổi nhãn khác chế độ</x:v>
      </x:c>
      <x:c r="S28" s="28" t="str">
        <x:v>“Kính gửi:” đối với công văn, ô 5a; không phải lỗi trùng định danh với tên loại; áp theo loại văn bản</x:v>
      </x:c>
      <x:c r="T28" s="28" t="str">
        <x:v>HD05, Phần II, I.9; Phụ lục 2 mục 9</x:v>
      </x:c>
      <x:c r="U28" s="28" t="str">
        <x:v>https://dangcongsan.vn/vanphongtrunguong/van-ban-cua-dang/huong-dan-so-05-hd-vptw-ngay-27-5-2026-cua-van-phong-trung-uong-dang-ve-the-thuc-va-ky-thuat-trinh-bay-van-ban-cua-dang.html?categoryId=3000525</x:v>
      </x:c>
      <x:c r="V28" s="28" t="str">
        <x:v>https://thuvienphapluat.vn/van-ban/Bo-may-hanh-chinh/Huong-dan-05-HD-VPTW-2026-the-thuc-va-ky-thuat-trinh-bay-van-ban-cua-Dang-707499.aspx</x:v>
      </x:c>
      <x:c r="W28" s="28" t="str">
        <x:v>ĐỐI CHIẾU MỘT PHẦN</x:v>
      </x:c>
      <x:c r="X28" s="28" t="str">
        <x:v>READ_ONLY</x:v>
      </x:c>
      <x:c r="Y28" s="28" t="str">
        <x:v>Không tự chèn/sửa khi chưa có chứng cứ về đối tượng và rule.</x:v>
      </x:c>
    </x:row>
    <x:row r="29" ht="54" customHeight="1">
      <x:c r="A29" s="32" t="n">
        <x:v>23</x:v>
      </x:c>
      <x:c r="B29" s="34" t="str">
        <x:v>HD05.D.NHAN.DS_KINH_GUI</x:v>
      </x:c>
      <x:c r="C29" s="36" t="str">
        <x:v>Đầu văn bản</x:v>
      </x:c>
      <x:c r="D29" s="36" t="str">
        <x:v>Người nhận trực tiếp đầu văn bản</x:v>
      </x:c>
      <x:c r="E29" s="28" t="str">
        <x:v>Danh sách người nhận của công văn</x:v>
      </x:c>
      <x:c r="F29" s="28" t="str">
        <x:v>5a</x:v>
      </x:c>
      <x:c r="G29" s="28" t="str">
        <x:v>Chỉ áp dụng Công văn theo HD05, khi có nơi nhận trực tiếp; ô 5a</x:v>
      </x:c>
      <x:c r="H29" s="28" t="str">
        <x:v>Danh sách đối tượng nhận trực tiếp theo chủ thể đã xác minh</x:v>
      </x:c>
      <x:c r="I29" s="28" t="str">
        <x:v>Times New Roman; Unicode; màu đen</x:v>
      </x:c>
      <x:c r="J29" s="28" t="str">
        <x:v>14–15</x:v>
      </x:c>
      <x:c r="K29" s="28" t="str">
        <x:v>In thường</x:v>
      </x:c>
      <x:c r="L29" s="28" t="str">
        <x:v>Không</x:v>
      </x:c>
      <x:c r="M29" s="28" t="str">
        <x:v>Không</x:v>
      </x:c>
      <x:c r="N29" s="28" t="str">
        <x:v>Vị trí đầu nội dung theo mẫu</x:v>
      </x:c>
      <x:c r="O29" s="28"/>
      <x:c r="P29" s="28"/>
      <x:c r="Q29" s="28"/>
      <x:c r="R29" s="28" t="str">
        <x:v>Văn bản/OOXML: xác định đối tượng trước khi sửa</x:v>
      </x:c>
      <x:c r="S29" s="28" t="str">
        <x:v>Nhiều nơi: chấm phẩy giữa các nơi, dấu kết thúc theo mẫu</x:v>
      </x:c>
      <x:c r="T29" s="28" t="str">
        <x:v>HD05, Phần II, I.9; Phụ lục 2 mục 9</x:v>
      </x:c>
      <x:c r="U29" s="28" t="str">
        <x:v>https://dangcongsan.vn/vanphongtrunguong/van-ban-cua-dang/huong-dan-so-05-hd-vptw-ngay-27-5-2026-cua-van-phong-trung-uong-dang-ve-the-thuc-va-ky-thuat-trinh-bay-van-ban-cua-dang.html?categoryId=3000525</x:v>
      </x:c>
      <x:c r="V29" s="28" t="str">
        <x:v>https://thuvienphapluat.vn/van-ban/Bo-may-hanh-chinh/Huong-dan-05-HD-VPTW-2026-the-thuc-va-ky-thuat-trinh-bay-van-ban-cua-Dang-707499.aspx</x:v>
      </x:c>
      <x:c r="W29" s="28" t="str">
        <x:v>ĐỐI CHIẾU MỘT PHẦN</x:v>
      </x:c>
      <x:c r="X29" s="28" t="str">
        <x:v>KHÔNG TỰ ĐIỀN NGƯỜI NHẬN</x:v>
      </x:c>
      <x:c r="Y29" s="28" t="str">
        <x:v>Không tự chèn/sửa khi chưa có chứng cứ về đối tượng và rule.</x:v>
      </x:c>
    </x:row>
    <x:row r="30" ht="54" customHeight="1">
      <x:c r="A30" s="32" t="n">
        <x:v>24</x:v>
      </x:c>
      <x:c r="B30" s="34" t="str">
        <x:v>HD05.D.NHAN.KINH_TRINH</x:v>
      </x:c>
      <x:c r="C30" s="36" t="str">
        <x:v>Đầu văn bản</x:v>
      </x:c>
      <x:c r="D30" s="36" t="str">
        <x:v>Người nhận trực tiếp đầu văn bản</x:v>
      </x:c>
      <x:c r="E30" s="28" t="str">
        <x:v>Nhãn Kính trình:</x:v>
      </x:c>
      <x:c r="F30" s="28" t="str">
        <x:v>9b</x:v>
      </x:c>
      <x:c r="G30" s="28" t="str">
        <x:v>Chỉ áp dụng Tờ trình theo HD05, khi đúng chủ thể/đối tượng nhận; ô 9b</x:v>
      </x:c>
      <x:c r="H30" s="28" t="str">
        <x:v>Nhãn người nhận trực tiếp với dấu hai chấm</x:v>
      </x:c>
      <x:c r="I30" s="28" t="str">
        <x:v>Times New Roman; Unicode; màu đen</x:v>
      </x:c>
      <x:c r="J30" s="28" t="str">
        <x:v>14</x:v>
      </x:c>
      <x:c r="K30" s="28" t="str">
        <x:v>In thường</x:v>
      </x:c>
      <x:c r="L30" s="28" t="str">
        <x:v>Không</x:v>
      </x:c>
      <x:c r="M30" s="28" t="str">
        <x:v>Có</x:v>
      </x:c>
      <x:c r="N30" s="28" t="str">
        <x:v>Vị trí đầu nội dung theo mẫu</x:v>
      </x:c>
      <x:c r="O30" s="28"/>
      <x:c r="P30" s="28"/>
      <x:c r="Q30" s="28"/>
      <x:c r="R30" s="28" t="str">
        <x:v>Paragraph/text run; không tự đổi nhãn khác chế độ</x:v>
      </x:c>
      <x:c r="S30" s="28" t="str">
        <x:v>“Kính trình:” đối với tờ trình, ô 9b; phân biệt với “Nơi nhận” cuối tại 9a</x:v>
      </x:c>
      <x:c r="T30" s="28" t="str">
        <x:v>HD05, Phần II, I.9; Phụ lục 2 mục 9</x:v>
      </x:c>
      <x:c r="U30" s="28" t="str">
        <x:v>https://dangcongsan.vn/vanphongtrunguong/van-ban-cua-dang/huong-dan-so-05-hd-vptw-ngay-27-5-2026-cua-van-phong-trung-uong-dang-ve-the-thuc-va-ky-thuat-trinh-bay-van-ban-cua-dang.html?categoryId=3000525</x:v>
      </x:c>
      <x:c r="V30" s="28" t="str">
        <x:v>https://thuvienphapluat.vn/van-ban/Bo-may-hanh-chinh/Huong-dan-05-HD-VPTW-2026-the-thuc-va-ky-thuat-trinh-bay-van-ban-cua-Dang-707499.aspx</x:v>
      </x:c>
      <x:c r="W30" s="28" t="str">
        <x:v>ĐỐI CHIẾU MỘT PHẦN</x:v>
      </x:c>
      <x:c r="X30" s="28" t="str">
        <x:v>READ_ONLY</x:v>
      </x:c>
      <x:c r="Y30" s="28" t="str">
        <x:v>Không tự chèn/sửa khi chưa có chứng cứ về đối tượng và rule.</x:v>
      </x:c>
    </x:row>
    <x:row r="31" ht="54" customHeight="1">
      <x:c r="A31" s="32" t="n">
        <x:v>25</x:v>
      </x:c>
      <x:c r="B31" s="34" t="str">
        <x:v>HD05.D.NHAN.DS_KINH_TRINH</x:v>
      </x:c>
      <x:c r="C31" s="36" t="str">
        <x:v>Đầu văn bản</x:v>
      </x:c>
      <x:c r="D31" s="36" t="str">
        <x:v>Người nhận trực tiếp đầu văn bản</x:v>
      </x:c>
      <x:c r="E31" s="28" t="str">
        <x:v>Danh sách đối tượng được trình</x:v>
      </x:c>
      <x:c r="F31" s="28" t="str">
        <x:v>9b</x:v>
      </x:c>
      <x:c r="G31" s="28" t="str">
        <x:v>Chỉ áp dụng Tờ trình theo HD05, khi đúng chủ thể/đối tượng nhận; ô 9b</x:v>
      </x:c>
      <x:c r="H31" s="28" t="str">
        <x:v>Danh sách đối tượng nhận trực tiếp theo chủ thể đã xác minh</x:v>
      </x:c>
      <x:c r="I31" s="28" t="str">
        <x:v>Times New Roman; Unicode; màu đen</x:v>
      </x:c>
      <x:c r="J31" s="28" t="str">
        <x:v>14–15</x:v>
      </x:c>
      <x:c r="K31" s="28" t="str">
        <x:v>In thường</x:v>
      </x:c>
      <x:c r="L31" s="28" t="str">
        <x:v>Không</x:v>
      </x:c>
      <x:c r="M31" s="28" t="str">
        <x:v>Không</x:v>
      </x:c>
      <x:c r="N31" s="28" t="str">
        <x:v>Vị trí đầu nội dung theo mẫu</x:v>
      </x:c>
      <x:c r="O31" s="28"/>
      <x:c r="P31" s="28"/>
      <x:c r="Q31" s="28"/>
      <x:c r="R31" s="28" t="str">
        <x:v>Văn bản/OOXML: xác định đối tượng trước khi sửa</x:v>
      </x:c>
      <x:c r="S31" s="28" t="str">
        <x:v>Nhiều nơi: chấm phẩy giữa các nơi, dấu kết thúc theo mẫu</x:v>
      </x:c>
      <x:c r="T31" s="28" t="str">
        <x:v>HD05, Phần II, I.9; Phụ lục 2 mục 9</x:v>
      </x:c>
      <x:c r="U31" s="28" t="str">
        <x:v>https://dangcongsan.vn/vanphongtrunguong/van-ban-cua-dang/huong-dan-so-05-hd-vptw-ngay-27-5-2026-cua-van-phong-trung-uong-dang-ve-the-thuc-va-ky-thuat-trinh-bay-van-ban-cua-dang.html?categoryId=3000525</x:v>
      </x:c>
      <x:c r="V31" s="28" t="str">
        <x:v>https://thuvienphapluat.vn/van-ban/Bo-may-hanh-chinh/Huong-dan-05-HD-VPTW-2026-the-thuc-va-ky-thuat-trinh-bay-van-ban-cua-Dang-707499.aspx</x:v>
      </x:c>
      <x:c r="W31" s="28" t="str">
        <x:v>ĐỐI CHIẾU MỘT PHẦN</x:v>
      </x:c>
      <x:c r="X31" s="28" t="str">
        <x:v>KHÔNG TỰ ĐIỀN NGƯỜI NHẬN</x:v>
      </x:c>
      <x:c r="Y31" s="28" t="str">
        <x:v>Không tự chèn/sửa khi chưa có chứng cứ về đối tượng và rule.</x:v>
      </x:c>
    </x:row>
    <x:row r="32" ht="54" customHeight="1">
      <x:c r="A32" s="32" t="n">
        <x:v>26</x:v>
      </x:c>
      <x:c r="B32" s="34" t="str">
        <x:v>HD05.N.MD.MO_DAU</x:v>
      </x:c>
      <x:c r="C32" s="38" t="str">
        <x:v>Nội dung</x:v>
      </x:c>
      <x:c r="D32" s="38" t="str">
        <x:v>Mở đầu và căn cứ</x:v>
      </x:c>
      <x:c r="E32" s="28" t="str">
        <x:v>Đoạn dẫn nhập</x:v>
      </x:c>
      <x:c r="F32" s="28" t="str">
        <x:v>6</x:v>
      </x:c>
      <x:c r="G32" s="28" t="str">
        <x:v>CHƯA ĐỊNH TUYẾN: xác nhận chế độ + loại văn bản + chủ thể + ngày áp dụng trước khi xét rule</x:v>
      </x:c>
      <x:c r="H32" s="28" t="str">
        <x:v>Dẫn nhập/câu mở đầu theo loại văn bản và nghĩa vụ nội dung</x:v>
      </x:c>
      <x:c r="I32" s="28" t="str">
        <x:v>Times New Roman; Unicode; màu đen</x:v>
      </x:c>
      <x:c r="J32" s="28" t="str">
        <x:v>14–15</x:v>
      </x:c>
      <x:c r="K32" s="28" t="str">
        <x:v>In thường (trừ tiêu đề)</x:v>
      </x:c>
      <x:c r="L32" s="28" t="str">
        <x:v>Không mặc định</x:v>
      </x:c>
      <x:c r="M32" s="28" t="str">
        <x:v>Không mặc định</x:v>
      </x:c>
      <x:c r="N32" s="28" t="str">
        <x:v>Justify cho lời văn</x:v>
      </x:c>
      <x:c r="O32" s="28" t="str">
        <x:v>Exactly 18–22 pt; đoạn ≥6 pt</x:v>
      </x:c>
      <x:c r="P32" s="28" t="str">
        <x:v>First line khoảng 10 mm</x:v>
      </x:c>
      <x:c r="Q32" s="28"/>
      <x:c r="R32" s="28" t="str">
        <x:v>Paragraph/Run theo kiểu khối MD; preserve list numbering/table/drawing nếu có</x:v>
      </x:c>
      <x:c r="S32" s="28" t="str">
        <x:v>Font 14–15 pt; cấu hình 19 pt là lựa chọn trong khoảng, không phải hằng số pháp lý</x:v>
      </x:c>
      <x:c r="T32" s="28" t="str">
        <x:v>HD05, Phần II, I.6 và IV; Phụ lục 2 mục 6</x:v>
      </x:c>
      <x:c r="U32" s="28" t="str">
        <x:v>https://dangcongsan.vn/vanphongtrunguong/van-ban-cua-dang/huong-dan-so-05-hd-vptw-ngay-27-5-2026-cua-van-phong-trung-uong-dang-ve-the-thuc-va-ky-thuat-trinh-bay-van-ban-cua-dang.html?categoryId=3000525</x:v>
      </x:c>
      <x:c r="V32" s="28" t="str">
        <x:v>https://thuvienphapluat.vn/van-ban/Bo-may-hanh-chinh/Huong-dan-05-HD-VPTW-2026-the-thuc-va-ky-thuat-trinh-bay-van-ban-cua-Dang-707499.aspx</x:v>
      </x:c>
      <x:c r="W32" s="28" t="str">
        <x:v>CHƯA ĐỦ BẰNG CHỨNG</x:v>
      </x:c>
      <x:c r="X32" s="28" t="str">
        <x:v>CHỈ SAU REVIEW</x:v>
      </x:c>
      <x:c r="Y32" s="28" t="str">
        <x:v>Không tự chèn/sửa khi chưa có chứng cứ về đối tượng và rule. | Trạng thái v1.0: CÓ ĐIỀU KIỆN</x:v>
      </x:c>
    </x:row>
    <x:row r="33" ht="54" customHeight="1">
      <x:c r="A33" s="32" t="n">
        <x:v>27</x:v>
      </x:c>
      <x:c r="B33" s="34" t="str">
        <x:v>HD05.N.MD.CAN_CU</x:v>
      </x:c>
      <x:c r="C33" s="38" t="str">
        <x:v>Nội dung</x:v>
      </x:c>
      <x:c r="D33" s="38" t="str">
        <x:v>Mở đầu và căn cứ</x:v>
      </x:c>
      <x:c r="E33" s="28" t="str">
        <x:v>Căn cứ ban hành</x:v>
      </x:c>
      <x:c r="F33" s="28" t="str">
        <x:v>6</x:v>
      </x:c>
      <x:c r="G33" s="28" t="str">
        <x:v>CHƯA ĐỊNH TUYẾN: xác nhận chế độ + loại văn bản + chủ thể + ngày áp dụng trước khi xét rule</x:v>
      </x:c>
      <x:c r="H33" s="28" t="str">
        <x:v>Căn cứ theo loại văn bản; không áp dụng một style cho mọi loại</x:v>
      </x:c>
      <x:c r="I33" s="28" t="str">
        <x:v>Times New Roman; Unicode; màu đen</x:v>
      </x:c>
      <x:c r="J33" s="28" t="str">
        <x:v>14–15</x:v>
      </x:c>
      <x:c r="K33" s="28" t="str">
        <x:v>In thường (trừ tiêu đề)</x:v>
      </x:c>
      <x:c r="L33" s="28" t="str">
        <x:v>Không mặc định</x:v>
      </x:c>
      <x:c r="M33" s="28" t="str">
        <x:v>Theo quy tắc căn cứ HD05</x:v>
      </x:c>
      <x:c r="N33" s="28" t="str">
        <x:v>Justify cho lời văn</x:v>
      </x:c>
      <x:c r="O33" s="28" t="str">
        <x:v>Exactly 18–22 pt; đoạn ≥6 pt</x:v>
      </x:c>
      <x:c r="P33" s="28" t="str">
        <x:v>First line khoảng 10 mm</x:v>
      </x:c>
      <x:c r="Q33" s="28" t="str">
        <x:v>Trước mỗi căn cứ có một dấu gạch ngang (-); các căn cứ ngăn theo dấu câu quy định</x:v>
      </x:c>
      <x:c r="R33" s="28" t="str">
        <x:v>Paragraph/Run theo kiểu khối MD; preserve list numbering/table/drawing nếu có</x:v>
      </x:c>
      <x:c r="S33" s="28" t="str">
        <x:v>Mỗi căn cứ một dòng/khổ, mở đầu bằng “-”; cuối mỗi căn cứ dùng “;”, riêng căn cứ cuối dùng “.”</x:v>
      </x:c>
      <x:c r="T33" s="28" t="str">
        <x:v>HD05, Phần II mục 6.2.3</x:v>
      </x:c>
      <x:c r="U33" s="28" t="str">
        <x:v>https://dangcongsan.vn/vanphongtrunguong/van-ban-cua-dang/huong-dan-so-05-hd-vptw-ngay-27-5-2026-cua-van-phong-trung-uong-dang-ve-the-thuc-va-ky-thuat-trinh-bay-van-ban-cua-dang.html?categoryId=3000525</x:v>
      </x:c>
      <x:c r="V33" s="28" t="str">
        <x:v>https://thuvienphapluat.vn/van-ban/Bo-may-hanh-chinh/Huong-dan-05-HD-VPTW-2026-the-thuc-va-ky-thuat-trinh-bay-van-ban-cua-Dang-707499.aspx</x:v>
      </x:c>
      <x:c r="W33" s="28" t="str">
        <x:v>CHƯA ĐỦ BẰNG CHỨNG</x:v>
      </x:c>
      <x:c r="X33" s="28" t="str">
        <x:v>CHỈ SAU REVIEW</x:v>
      </x:c>
      <x:c r="Y33" s="28" t="str">
        <x:v>Không tự chèn/sửa khi chưa có chứng cứ về đối tượng và rule. | Trạng thái v1.0: CÓ ĐIỀU KIỆN</x:v>
      </x:c>
    </x:row>
    <x:row r="34" ht="54" customHeight="1">
      <x:c r="A34" s="32" t="n">
        <x:v>28</x:v>
      </x:c>
      <x:c r="B34" s="34" t="str">
        <x:v>HD05.N.DM.PHAN</x:v>
      </x:c>
      <x:c r="C34" s="38" t="str">
        <x:v>Nội dung</x:v>
      </x:c>
      <x:c r="D34" s="38" t="str">
        <x:v>Đề mục</x:v>
      </x:c>
      <x:c r="E34" s="28" t="str">
        <x:v>Phần</x:v>
      </x:c>
      <x:c r="F34" s="28" t="str">
        <x:v>6</x:v>
      </x:c>
      <x:c r="G34" s="28" t="str">
        <x:v>CHƯA ĐỊNH TUYẾN: xác nhận chế độ + loại văn bản + chủ thể + ngày áp dụng trước khi xét rule</x:v>
      </x:c>
      <x:c r="H34" s="28" t="str">
        <x:v>Nhận diện số thứ tự và tiêu đề; tiêu đề phần/chương in hoa, đậm</x:v>
      </x:c>
      <x:c r="I34" s="28" t="str">
        <x:v>Times New Roman; Unicode; màu đen</x:v>
      </x:c>
      <x:c r="J34" s="28" t="str">
        <x:v>14–15</x:v>
      </x:c>
      <x:c r="K34" s="28" t="str">
        <x:v>Nhãn thường; tiêu đề IN HOA</x:v>
      </x:c>
      <x:c r="L34" s="28" t="str">
        <x:v>Có với nhãn và tiêu đề cấp mục</x:v>
      </x:c>
      <x:c r="M34" s="28" t="str">
        <x:v>Không mặc định</x:v>
      </x:c>
      <x:c r="N34" s="28" t="str">
        <x:v>Center ở nhãn/tiêu đề cấu trúc; phụ thuộc biến thể</x:v>
      </x:c>
      <x:c r="O34" s="28" t="str">
        <x:v>Exactly 18–22 pt; đoạn ≥6 pt</x:v>
      </x:c>
      <x:c r="P34" s="28" t="str">
        <x:v>Thụt đầu dòng: theo quy định riêng cho tiêu đề/đề mục; KHÔNG kế thừa mặc định lời văn</x:v>
      </x:c>
      <x:c r="Q34" s="28"/>
      <x:c r="R34" s="28" t="str">
        <x:v>Paragraph/Run theo kiểu khối DM; preserve list numbering/table/drawing nếu có</x:v>
      </x:c>
      <x:c r="S34" s="28" t="str">
        <x:v>Phần: số La Mã hoặc ghi bằng chữ; trình bày giữa hai lề, tên phần ở dòng tiếp theo (HD05 6.2.4.a)</x:v>
      </x:c>
      <x:c r="T34" s="28" t="str">
        <x:v>HD05, Phần II, I.6 và IV; Phụ lục 2 mục 6</x:v>
      </x:c>
      <x:c r="U34" s="28" t="str">
        <x:v>https://dangcongsan.vn/vanphongtrunguong/van-ban-cua-dang/huong-dan-so-05-hd-vptw-ngay-27-5-2026-cua-van-phong-trung-uong-dang-ve-the-thuc-va-ky-thuat-trinh-bay-van-ban-cua-dang.html?categoryId=3000525</x:v>
      </x:c>
      <x:c r="V34" s="28" t="str">
        <x:v>https://thuvienphapluat.vn/van-ban/Bo-may-hanh-chinh/Huong-dan-05-HD-VPTW-2026-the-thuc-va-ky-thuat-trinh-bay-van-ban-cua-Dang-707499.aspx</x:v>
      </x:c>
      <x:c r="W34" s="28" t="str">
        <x:v>CHƯA ĐỦ BẰNG CHỨNG</x:v>
      </x:c>
      <x:c r="X34" s="28" t="str">
        <x:v>CHỈ SAU REVIEW</x:v>
      </x:c>
      <x:c r="Y34" s="28" t="str">
        <x:v>Không tự chèn/sửa khi chưa có chứng cứ về đối tượng và rule. | Trạng thái v1.0: CÓ ĐIỀU KIỆN | So sánh chéo cũ (không dùng làm rule): NĐ30 dùng số La Mã cho Phần/Chương; HD05 theo dạng văn bản</x:v>
      </x:c>
    </x:row>
    <x:row r="35" ht="54" customHeight="1">
      <x:c r="A35" s="32" t="n">
        <x:v>29</x:v>
      </x:c>
      <x:c r="B35" s="34" t="str">
        <x:v>HD05.N.DM.CHUONG</x:v>
      </x:c>
      <x:c r="C35" s="38" t="str">
        <x:v>Nội dung</x:v>
      </x:c>
      <x:c r="D35" s="38" t="str">
        <x:v>Đề mục</x:v>
      </x:c>
      <x:c r="E35" s="28" t="str">
        <x:v>Chương</x:v>
      </x:c>
      <x:c r="F35" s="28" t="str">
        <x:v>6</x:v>
      </x:c>
      <x:c r="G35" s="28" t="str">
        <x:v>CHƯA ĐỊNH TUYẾN: xác nhận chế độ + loại văn bản + chủ thể + ngày áp dụng trước khi xét rule</x:v>
      </x:c>
      <x:c r="H35" s="28" t="str">
        <x:v>Nhận diện số thứ tự và tiêu đề; tiêu đề phần/chương in hoa, đậm</x:v>
      </x:c>
      <x:c r="I35" s="28" t="str">
        <x:v>Times New Roman; Unicode; màu đen</x:v>
      </x:c>
      <x:c r="J35" s="28" t="str">
        <x:v>14–15</x:v>
      </x:c>
      <x:c r="K35" s="28" t="str">
        <x:v>Nhãn thường; tiêu đề IN HOA</x:v>
      </x:c>
      <x:c r="L35" s="28" t="str">
        <x:v>Có với nhãn và tiêu đề cấp mục</x:v>
      </x:c>
      <x:c r="M35" s="28" t="str">
        <x:v>Không mặc định</x:v>
      </x:c>
      <x:c r="N35" s="28" t="str">
        <x:v>Center ở nhãn/tiêu đề cấu trúc; phụ thuộc biến thể</x:v>
      </x:c>
      <x:c r="O35" s="28" t="str">
        <x:v>Exactly 18–22 pt; đoạn ≥6 pt</x:v>
      </x:c>
      <x:c r="P35" s="28" t="str">
        <x:v>Thụt đầu dòng: theo quy định riêng cho tiêu đề/đề mục; KHÔNG kế thừa mặc định lời văn</x:v>
      </x:c>
      <x:c r="Q35" s="28"/>
      <x:c r="R35" s="28" t="str">
        <x:v>Paragraph/Run theo kiểu khối DM; preserve list numbering/table/drawing nếu có</x:v>
      </x:c>
      <x:c r="S35" s="28" t="str">
        <x:v>Chương: số La Mã hoặc ghi bằng chữ; trình bày giữa hai lề, tên chương ở dòng tiếp theo (HD05 6.2.4.a)</x:v>
      </x:c>
      <x:c r="T35" s="28" t="str">
        <x:v>HD05, Phần II, I.6 và IV; Phụ lục 2 mục 6</x:v>
      </x:c>
      <x:c r="U35" s="28" t="str">
        <x:v>https://dangcongsan.vn/vanphongtrunguong/van-ban-cua-dang/huong-dan-so-05-hd-vptw-ngay-27-5-2026-cua-van-phong-trung-uong-dang-ve-the-thuc-va-ky-thuat-trinh-bay-van-ban-cua-dang.html?categoryId=3000525</x:v>
      </x:c>
      <x:c r="V35" s="28" t="str">
        <x:v>https://thuvienphapluat.vn/van-ban/Bo-may-hanh-chinh/Huong-dan-05-HD-VPTW-2026-the-thuc-va-ky-thuat-trinh-bay-van-ban-cua-Dang-707499.aspx</x:v>
      </x:c>
      <x:c r="W35" s="28" t="str">
        <x:v>CHƯA ĐỦ BẰNG CHỨNG</x:v>
      </x:c>
      <x:c r="X35" s="28" t="str">
        <x:v>CHỈ SAU REVIEW</x:v>
      </x:c>
      <x:c r="Y35" s="28" t="str">
        <x:v>Không tự chèn/sửa khi chưa có chứng cứ về đối tượng và rule. | Trạng thái v1.0: CÓ ĐIỀU KIỆN | So sánh chéo cũ (không dùng làm rule): NĐ30 dùng số La Mã cho Phần/Chương; HD05 theo dạng văn bản</x:v>
      </x:c>
    </x:row>
    <x:row r="36" ht="54" customHeight="1">
      <x:c r="A36" s="32" t="n">
        <x:v>30</x:v>
      </x:c>
      <x:c r="B36" s="34" t="str">
        <x:v>HD05.N.DM.MUC</x:v>
      </x:c>
      <x:c r="C36" s="38" t="str">
        <x:v>Nội dung</x:v>
      </x:c>
      <x:c r="D36" s="38" t="str">
        <x:v>Đề mục</x:v>
      </x:c>
      <x:c r="E36" s="28" t="str">
        <x:v>Mục</x:v>
      </x:c>
      <x:c r="F36" s="28" t="str">
        <x:v>6</x:v>
      </x:c>
      <x:c r="G36" s="28" t="str">
        <x:v>CHƯA ĐỊNH TUYẾN: xác nhận chế độ + loại văn bản + chủ thể + ngày áp dụng trước khi xét rule</x:v>
      </x:c>
      <x:c r="H36" s="28" t="str">
        <x:v>Nhận diện số/tên Mục, Tiểu mục; xác minh biến thể</x:v>
      </x:c>
      <x:c r="I36" s="28" t="str">
        <x:v>Times New Roman; Unicode; màu đen</x:v>
      </x:c>
      <x:c r="J36" s="28" t="str">
        <x:v>14–15</x:v>
      </x:c>
      <x:c r="K36" s="28" t="str">
        <x:v>Nhãn thường; tiêu đề IN HOA</x:v>
      </x:c>
      <x:c r="L36" s="28" t="str">
        <x:v>Có với nhãn và tiêu đề cấp mục</x:v>
      </x:c>
      <x:c r="M36" s="28" t="str">
        <x:v>Không mặc định</x:v>
      </x:c>
      <x:c r="N36" s="28" t="str">
        <x:v>Center ở nhãn/tiêu đề cấu trúc; phụ thuộc biến thể</x:v>
      </x:c>
      <x:c r="O36" s="28" t="str">
        <x:v>Exactly 18–22 pt; đoạn ≥6 pt</x:v>
      </x:c>
      <x:c r="P36" s="28" t="str">
        <x:v>Thụt đầu dòng: theo quy định riêng cho tiêu đề/đề mục; KHÔNG kế thừa mặc định lời văn</x:v>
      </x:c>
      <x:c r="Q36" s="28"/>
      <x:c r="R36" s="28" t="str">
        <x:v>Paragraph/Run theo kiểu khối DM; preserve list numbering/table/drawing nếu có</x:v>
      </x:c>
      <x:c r="S36" s="28" t="str">
        <x:v>Mục: số Ả Rập, căn giữa; tên mục ở dòng liền kề (HD05 6.2.4.b)</x:v>
      </x:c>
      <x:c r="T36" s="28" t="str">
        <x:v>HD05, Phần II, I.6 và IV; Phụ lục 2 mục 6</x:v>
      </x:c>
      <x:c r="U36" s="28" t="str">
        <x:v>https://dangcongsan.vn/vanphongtrunguong/van-ban-cua-dang/huong-dan-so-05-hd-vptw-ngay-27-5-2026-cua-van-phong-trung-uong-dang-ve-the-thuc-va-ky-thuat-trinh-bay-van-ban-cua-dang.html?categoryId=3000525</x:v>
      </x:c>
      <x:c r="V36" s="28" t="str">
        <x:v>https://thuvienphapluat.vn/van-ban/Bo-may-hanh-chinh/Huong-dan-05-HD-VPTW-2026-the-thuc-va-ky-thuat-trinh-bay-van-ban-cua-Dang-707499.aspx</x:v>
      </x:c>
      <x:c r="W36" s="28" t="str">
        <x:v>CHƯA ĐỦ BẰNG CHỨNG</x:v>
      </x:c>
      <x:c r="X36" s="28" t="str">
        <x:v>CHỈ SAU REVIEW</x:v>
      </x:c>
      <x:c r="Y36" s="28" t="str">
        <x:v>Không tự chèn/sửa khi chưa có chứng cứ về đối tượng và rule. | Trạng thái v1.0: CÓ ĐIỀU KIỆN | So sánh chéo cũ (không dùng làm rule): NĐ30 nhãn số Ả Rập và title IN HOA khi áp bố cục có Chương/Mục</x:v>
      </x:c>
    </x:row>
    <x:row r="37" ht="54" customHeight="1">
      <x:c r="A37" s="32" t="n">
        <x:v>31</x:v>
      </x:c>
      <x:c r="B37" s="34" t="str">
        <x:v>HD05.N.DM.TIEU_MUC</x:v>
      </x:c>
      <x:c r="C37" s="38" t="str">
        <x:v>Nội dung</x:v>
      </x:c>
      <x:c r="D37" s="38" t="str">
        <x:v>Đề mục</x:v>
      </x:c>
      <x:c r="E37" s="28" t="str">
        <x:v>Tiểu mục</x:v>
      </x:c>
      <x:c r="F37" s="28" t="str">
        <x:v>6</x:v>
      </x:c>
      <x:c r="G37" s="28" t="str">
        <x:v>CHƯA ĐỊNH TUYẾN: xác nhận chế độ + loại văn bản + chủ thể + ngày áp dụng trước khi xét rule</x:v>
      </x:c>
      <x:c r="H37" s="28" t="str">
        <x:v>Nhận diện số/tên Mục, Tiểu mục; xác minh biến thể</x:v>
      </x:c>
      <x:c r="I37" s="28" t="str">
        <x:v>Times New Roman; Unicode; màu đen</x:v>
      </x:c>
      <x:c r="J37" s="28" t="str">
        <x:v>14–15</x:v>
      </x:c>
      <x:c r="K37" s="28" t="str">
        <x:v>Nhãn thường; tiêu đề IN HOA</x:v>
      </x:c>
      <x:c r="L37" s="28" t="str">
        <x:v>Có với nhãn và tiêu đề cấp mục</x:v>
      </x:c>
      <x:c r="M37" s="28" t="str">
        <x:v>Không mặc định</x:v>
      </x:c>
      <x:c r="N37" s="28" t="str">
        <x:v>Center ở nhãn/tiêu đề cấu trúc; phụ thuộc biến thể</x:v>
      </x:c>
      <x:c r="O37" s="28" t="str">
        <x:v>Exactly 18–22 pt; đoạn ≥6 pt</x:v>
      </x:c>
      <x:c r="P37" s="28" t="str">
        <x:v>Thụt đầu dòng: theo quy định riêng cho tiêu đề/đề mục; KHÔNG kế thừa mặc định lời văn</x:v>
      </x:c>
      <x:c r="Q37" s="28"/>
      <x:c r="R37" s="28" t="str">
        <x:v>Paragraph/Run theo kiểu khối DM; preserve list numbering/table/drawing nếu có</x:v>
      </x:c>
      <x:c r="S37" s="28" t="str">
        <x:v>Tiểu mục: chưa có định nghĩa riêng trong HD05 6.2.4; cần source/mẫu hợp lệ trước khi áp dụng</x:v>
      </x:c>
      <x:c r="T37" s="28" t="str">
        <x:v>HD05, Phần II, I.6 và IV; Phụ lục 2 mục 6</x:v>
      </x:c>
      <x:c r="U37" s="28" t="str">
        <x:v>https://dangcongsan.vn/vanphongtrunguong/van-ban-cua-dang/huong-dan-so-05-hd-vptw-ngay-27-5-2026-cua-van-phong-trung-uong-dang-ve-the-thuc-va-ky-thuat-trinh-bay-van-ban-cua-dang.html?categoryId=3000525</x:v>
      </x:c>
      <x:c r="V37" s="28" t="str">
        <x:v>https://thuvienphapluat.vn/van-ban/Bo-may-hanh-chinh/Huong-dan-05-HD-VPTW-2026-the-thuc-va-ky-thuat-trinh-bay-van-ban-cua-Dang-707499.aspx</x:v>
      </x:c>
      <x:c r="W37" s="28" t="str">
        <x:v>CẦN RÀ SOÁT</x:v>
      </x:c>
      <x:c r="X37" s="28" t="str">
        <x:v>READ_ONLY / KHÔNG TỰ SỬA</x:v>
      </x:c>
      <x:c r="Y37" s="28" t="str">
        <x:v>Không tự chèn/sửa khi chưa có chứng cứ về đối tượng và rule. | Trạng thái v1.0: CÓ ĐIỀU KIỆN | So sánh chéo cũ (không dùng làm rule): NĐ30 nhãn số Ả Rập và title IN HOA khi áp bố cục có Chương/Mục</x:v>
      </x:c>
    </x:row>
    <x:row r="38" ht="54" customHeight="1">
      <x:c r="A38" s="32" t="n">
        <x:v>32</x:v>
      </x:c>
      <x:c r="B38" s="34" t="str">
        <x:v>HD05.N.DIEU.SO_DIEU</x:v>
      </x:c>
      <x:c r="C38" s="38" t="str">
        <x:v>Nội dung</x:v>
      </x:c>
      <x:c r="D38" s="38" t="str">
        <x:v>Điều</x:v>
      </x:c>
      <x:c r="E38" s="28" t="str">
        <x:v>Số điều</x:v>
      </x:c>
      <x:c r="F38" s="28" t="str">
        <x:v>6</x:v>
      </x:c>
      <x:c r="G38" s="28" t="str">
        <x:v>CHƯA ĐỊNH TUYẾN: xác nhận chế độ + loại văn bản + chủ thể + ngày áp dụng trước khi xét rule</x:v>
      </x:c>
      <x:c r="H38" s="28" t="str">
        <x:v>Số điều</x:v>
      </x:c>
      <x:c r="I38" s="28" t="str">
        <x:v>Times New Roman; Unicode; màu đen</x:v>
      </x:c>
      <x:c r="J38" s="28" t="str">
        <x:v>14–15</x:v>
      </x:c>
      <x:c r="K38" s="28" t="str">
        <x:v>In thường</x:v>
      </x:c>
      <x:c r="L38" s="28" t="str">
        <x:v>Có với từ Điều + số + tên điều</x:v>
      </x:c>
      <x:c r="M38" s="28" t="str">
        <x:v>Không mặc định</x:v>
      </x:c>
      <x:c r="N38" s="28" t="str">
        <x:v>Theo cấu trúc Điều</x:v>
      </x:c>
      <x:c r="O38" s="28" t="str">
        <x:v>Exactly 18–22 pt; đoạn ≥6 pt</x:v>
      </x:c>
      <x:c r="P38" s="28" t="str">
        <x:v>First line khoảng 10 mm</x:v>
      </x:c>
      <x:c r="Q38" s="28"/>
      <x:c r="R38" s="28" t="str">
        <x:v>Paragraph/Run theo kiểu khối DIEU; preserve list numbering/table/drawing nếu có</x:v>
      </x:c>
      <x:c r="S38" s="28" t="str">
        <x:v>Điều: số thứ tự bằng số Ả Rập, sau số thứ tự có dấu chấm (HD05 6.2.4.c)</x:v>
      </x:c>
      <x:c r="T38" s="28" t="str">
        <x:v>HD05, Phần II, I.6 và IV; Phụ lục 2 mục 6</x:v>
      </x:c>
      <x:c r="U38" s="28" t="str">
        <x:v>https://dangcongsan.vn/vanphongtrunguong/van-ban-cua-dang/huong-dan-so-05-hd-vptw-ngay-27-5-2026-cua-van-phong-trung-uong-dang-ve-the-thuc-va-ky-thuat-trinh-bay-van-ban-cua-dang.html?categoryId=3000525</x:v>
      </x:c>
      <x:c r="V38" s="28" t="str">
        <x:v>https://thuvienphapluat.vn/van-ban/Bo-may-hanh-chinh/Huong-dan-05-HD-VPTW-2026-the-thuc-va-ky-thuat-trinh-bay-van-ban-cua-Dang-707499.aspx</x:v>
      </x:c>
      <x:c r="W38" s="28" t="str">
        <x:v>CHƯA ĐỦ BẰNG CHỨNG</x:v>
      </x:c>
      <x:c r="X38" s="28" t="str">
        <x:v>CHỈ SAU REVIEW</x:v>
      </x:c>
      <x:c r="Y38" s="28" t="str">
        <x:v>Không tự chèn/sửa khi chưa có chứng cứ về đối tượng và rule. | Trạng thái v1.0: CÓ ĐIỀU KIỆN | So sánh chéo cũ (không dùng làm rule): NĐ30: “Điều 1.”; phần nhãn/tên đậm; HD05 tương ứng Phụ lục 2</x:v>
      </x:c>
    </x:row>
    <x:row r="39" ht="54" customHeight="1">
      <x:c r="A39" s="32" t="n">
        <x:v>33</x:v>
      </x:c>
      <x:c r="B39" s="34" t="str">
        <x:v>HD05.N.DIEU.TEN_DIEU</x:v>
      </x:c>
      <x:c r="C39" s="38" t="str">
        <x:v>Nội dung</x:v>
      </x:c>
      <x:c r="D39" s="38" t="str">
        <x:v>Điều</x:v>
      </x:c>
      <x:c r="E39" s="28" t="str">
        <x:v>Tên điều</x:v>
      </x:c>
      <x:c r="F39" s="28" t="str">
        <x:v>6</x:v>
      </x:c>
      <x:c r="G39" s="28" t="str">
        <x:v>CHƯA ĐỊNH TUYẾN: xác nhận chế độ + loại văn bản + chủ thể + ngày áp dụng trước khi xét rule</x:v>
      </x:c>
      <x:c r="H39" s="28" t="str">
        <x:v>Tên điều</x:v>
      </x:c>
      <x:c r="I39" s="28" t="str">
        <x:v>Times New Roman; Unicode; màu đen</x:v>
      </x:c>
      <x:c r="J39" s="28" t="str">
        <x:v>14–15</x:v>
      </x:c>
      <x:c r="K39" s="28" t="str">
        <x:v>In thường</x:v>
      </x:c>
      <x:c r="L39" s="28" t="str">
        <x:v>Có với từ Điều + số + tên điều</x:v>
      </x:c>
      <x:c r="M39" s="28" t="str">
        <x:v>Không mặc định</x:v>
      </x:c>
      <x:c r="N39" s="28" t="str">
        <x:v>Theo cấu trúc Điều</x:v>
      </x:c>
      <x:c r="O39" s="28" t="str">
        <x:v>Exactly 18–22 pt; đoạn ≥6 pt</x:v>
      </x:c>
      <x:c r="P39" s="28" t="str">
        <x:v>First line khoảng 10 mm</x:v>
      </x:c>
      <x:c r="Q39" s="28"/>
      <x:c r="R39" s="28" t="str">
        <x:v>Paragraph/Run theo kiểu khối DIEU; preserve list numbering/table/drawing nếu có</x:v>
      </x:c>
      <x:c r="S39" s="28" t="str">
        <x:v>Tên điều cùng dòng với từ “Điều” và số điều (HD05 6.2.4.c)</x:v>
      </x:c>
      <x:c r="T39" s="28" t="str">
        <x:v>HD05, Phần II, I.6 và IV; Phụ lục 2 mục 6</x:v>
      </x:c>
      <x:c r="U39" s="28" t="str">
        <x:v>https://dangcongsan.vn/vanphongtrunguong/van-ban-cua-dang/huong-dan-so-05-hd-vptw-ngay-27-5-2026-cua-van-phong-trung-uong-dang-ve-the-thuc-va-ky-thuat-trinh-bay-van-ban-cua-dang.html?categoryId=3000525</x:v>
      </x:c>
      <x:c r="V39" s="28" t="str">
        <x:v>https://thuvienphapluat.vn/van-ban/Bo-may-hanh-chinh/Huong-dan-05-HD-VPTW-2026-the-thuc-va-ky-thuat-trinh-bay-van-ban-cua-Dang-707499.aspx</x:v>
      </x:c>
      <x:c r="W39" s="28" t="str">
        <x:v>CHƯA ĐỦ BẰNG CHỨNG</x:v>
      </x:c>
      <x:c r="X39" s="28" t="str">
        <x:v>CHỈ SAU REVIEW</x:v>
      </x:c>
      <x:c r="Y39" s="28" t="str">
        <x:v>Không tự chèn/sửa khi chưa có chứng cứ về đối tượng và rule. | Trạng thái v1.0: CÓ ĐIỀU KIỆN | So sánh chéo cũ (không dùng làm rule): NĐ30: “Điều 1.”; phần nhãn/tên đậm; HD05 tương ứng Phụ lục 2</x:v>
      </x:c>
    </x:row>
    <x:row r="40" ht="54" customHeight="1">
      <x:c r="A40" s="32" t="n">
        <x:v>34</x:v>
      </x:c>
      <x:c r="B40" s="34" t="str">
        <x:v>HD05.N.DIEU.NOI_DUNG_DIEU</x:v>
      </x:c>
      <x:c r="C40" s="38" t="str">
        <x:v>Nội dung</x:v>
      </x:c>
      <x:c r="D40" s="38" t="str">
        <x:v>Điều</x:v>
      </x:c>
      <x:c r="E40" s="28" t="str">
        <x:v>Nội dung điều</x:v>
      </x:c>
      <x:c r="F40" s="28" t="str">
        <x:v>6</x:v>
      </x:c>
      <x:c r="G40" s="28" t="str">
        <x:v>CHƯA ĐỊNH TUYẾN: xác nhận chế độ + loại văn bản + chủ thể + ngày áp dụng trước khi xét rule</x:v>
      </x:c>
      <x:c r="H40" s="28" t="str">
        <x:v>Lời văn sau tên điều theo style body đã xác minh</x:v>
      </x:c>
      <x:c r="I40" s="28" t="str">
        <x:v>Times New Roman; Unicode; màu đen</x:v>
      </x:c>
      <x:c r="J40" s="28" t="str">
        <x:v>14–15</x:v>
      </x:c>
      <x:c r="K40" s="28" t="str">
        <x:v>In thường</x:v>
      </x:c>
      <x:c r="L40" s="28" t="str">
        <x:v>Không mặc định</x:v>
      </x:c>
      <x:c r="M40" s="28" t="str">
        <x:v>Không mặc định</x:v>
      </x:c>
      <x:c r="N40" s="28" t="str">
        <x:v>Theo cấu trúc Điều</x:v>
      </x:c>
      <x:c r="O40" s="28" t="str">
        <x:v>Exactly 18–22 pt; đoạn ≥6 pt</x:v>
      </x:c>
      <x:c r="P40" s="28" t="str">
        <x:v>First line khoảng 10 mm</x:v>
      </x:c>
      <x:c r="Q40" s="28"/>
      <x:c r="R40" s="28" t="str">
        <x:v>Paragraph/Run theo kiểu khối DIEU; preserve list numbering/table/drawing nếu có</x:v>
      </x:c>
      <x:c r="S40" s="28" t="str">
        <x:v>Nội dung điều có thể trình bày cùng dòng với từ “Điều” và số điều (HD05 6.2.4.c)</x:v>
      </x:c>
      <x:c r="T40" s="28" t="str">
        <x:v>HD05, Phần II, I.6 và IV; Phụ lục 2 mục 6</x:v>
      </x:c>
      <x:c r="U40" s="28" t="str">
        <x:v>https://dangcongsan.vn/vanphongtrunguong/van-ban-cua-dang/huong-dan-so-05-hd-vptw-ngay-27-5-2026-cua-van-phong-trung-uong-dang-ve-the-thuc-va-ky-thuat-trinh-bay-van-ban-cua-dang.html?categoryId=3000525</x:v>
      </x:c>
      <x:c r="V40" s="28" t="str">
        <x:v>https://thuvienphapluat.vn/van-ban/Bo-may-hanh-chinh/Huong-dan-05-HD-VPTW-2026-the-thuc-va-ky-thuat-trinh-bay-van-ban-cua-Dang-707499.aspx</x:v>
      </x:c>
      <x:c r="W40" s="28" t="str">
        <x:v>CHƯA ĐỦ BẰNG CHỨNG</x:v>
      </x:c>
      <x:c r="X40" s="28" t="str">
        <x:v>CHỈ SAU REVIEW</x:v>
      </x:c>
      <x:c r="Y40" s="28" t="str">
        <x:v>Không tự chèn/sửa khi chưa có chứng cứ về đối tượng và rule. | Trạng thái v1.0: CÓ ĐIỀU KIỆN | So sánh chéo cũ (không dùng làm rule): NĐ30: “Điều 1.”; phần nhãn/tên đậm; HD05 tương ứng Phụ lục 2</x:v>
      </x:c>
    </x:row>
    <x:row r="41" ht="54" customHeight="1">
      <x:c r="A41" s="32" t="n">
        <x:v>35</x:v>
      </x:c>
      <x:c r="B41" s="34" t="str">
        <x:v>HD05.N.KD.KHOAN</x:v>
      </x:c>
      <x:c r="C41" s="38" t="str">
        <x:v>Nội dung</x:v>
      </x:c>
      <x:c r="D41" s="38" t="str">
        <x:v>Khoản, điểm và liệt kê</x:v>
      </x:c>
      <x:c r="E41" s="28" t="str">
        <x:v>Khoản</x:v>
      </x:c>
      <x:c r="F41" s="28" t="str">
        <x:v>6</x:v>
      </x:c>
      <x:c r="G41" s="28" t="str">
        <x:v>CHƯA ĐỊNH TUYẾN: xác nhận chế độ + loại văn bản + chủ thể + ngày áp dụng trước khi xét rule</x:v>
      </x:c>
      <x:c r="H41" s="28" t="str">
        <x:v>Khoản</x:v>
      </x:c>
      <x:c r="I41" s="28" t="str">
        <x:v>Times New Roman; Unicode; màu đen</x:v>
      </x:c>
      <x:c r="J41" s="28" t="str">
        <x:v>14–15</x:v>
      </x:c>
      <x:c r="K41" s="28" t="str">
        <x:v>In thường</x:v>
      </x:c>
      <x:c r="L41" s="28" t="str">
        <x:v>Không; khoản có tiêu đề thì tiêu đề đậm</x:v>
      </x:c>
      <x:c r="M41" s="28" t="str">
        <x:v>Không mặc định</x:v>
      </x:c>
      <x:c r="N41" s="28" t="str">
        <x:v>Justify cho lời văn</x:v>
      </x:c>
      <x:c r="O41" s="28" t="str">
        <x:v>Exactly 18–22 pt; đoạn ≥6 pt</x:v>
      </x:c>
      <x:c r="P41" s="28" t="str">
        <x:v>First line khoảng 10 mm</x:v>
      </x:c>
      <x:c r="Q41" s="28"/>
      <x:c r="R41" s="28" t="str">
        <x:v>Paragraph/Run theo kiểu khối KD; preserve list numbering/table/drawing nếu có</x:v>
      </x:c>
      <x:c r="S41" s="28" t="str">
        <x:v>Khoản: 1. ...; điểm: a) ...; giữ số đánh tự động nếu được kiểm chứng</x:v>
      </x:c>
      <x:c r="T41" s="28" t="str">
        <x:v>HD05, Phần II, I.6 và IV; Phụ lục 2 mục 6</x:v>
      </x:c>
      <x:c r="U41" s="28" t="str">
        <x:v>https://dangcongsan.vn/vanphongtrunguong/van-ban-cua-dang/huong-dan-so-05-hd-vptw-ngay-27-5-2026-cua-van-phong-trung-uong-dang-ve-the-thuc-va-ky-thuat-trinh-bay-van-ban-cua-dang.html?categoryId=3000525</x:v>
      </x:c>
      <x:c r="V41" s="28" t="str">
        <x:v>https://thuvienphapluat.vn/van-ban/Bo-may-hanh-chinh/Huong-dan-05-HD-VPTW-2026-the-thuc-va-ky-thuat-trinh-bay-van-ban-cua-Dang-707499.aspx</x:v>
      </x:c>
      <x:c r="W41" s="28" t="str">
        <x:v>CHƯA ĐỦ BẰNG CHỨNG</x:v>
      </x:c>
      <x:c r="X41" s="28" t="str">
        <x:v>CHỈ SAU REVIEW</x:v>
      </x:c>
      <x:c r="Y41" s="28" t="str">
        <x:v>Không tự chèn/sửa khi chưa có chứng cứ về đối tượng và rule. | Trạng thái v1.0: CÓ ĐIỀU KIỆN</x:v>
      </x:c>
    </x:row>
    <x:row r="42" ht="54" customHeight="1">
      <x:c r="A42" s="32" t="n">
        <x:v>36</x:v>
      </x:c>
      <x:c r="B42" s="34" t="str">
        <x:v>HD05.N.KD.DIEM</x:v>
      </x:c>
      <x:c r="C42" s="38" t="str">
        <x:v>Nội dung</x:v>
      </x:c>
      <x:c r="D42" s="38" t="str">
        <x:v>Khoản, điểm và liệt kê</x:v>
      </x:c>
      <x:c r="E42" s="28" t="str">
        <x:v>Điểm</x:v>
      </x:c>
      <x:c r="F42" s="28" t="str">
        <x:v>6</x:v>
      </x:c>
      <x:c r="G42" s="28" t="str">
        <x:v>CHƯA ĐỊNH TUYẾN: xác nhận chế độ + loại văn bản + chủ thể + ngày áp dụng trước khi xét rule</x:v>
      </x:c>
      <x:c r="H42" s="28" t="str">
        <x:v>Điểm</x:v>
      </x:c>
      <x:c r="I42" s="28" t="str">
        <x:v>Times New Roman; Unicode; màu đen</x:v>
      </x:c>
      <x:c r="J42" s="28" t="str">
        <x:v>14–15</x:v>
      </x:c>
      <x:c r="K42" s="28" t="str">
        <x:v>In thường</x:v>
      </x:c>
      <x:c r="L42" s="28" t="str">
        <x:v>Không; khoản có tiêu đề thì tiêu đề đậm</x:v>
      </x:c>
      <x:c r="M42" s="28" t="str">
        <x:v>Không mặc định</x:v>
      </x:c>
      <x:c r="N42" s="28" t="str">
        <x:v>Justify cho lời văn</x:v>
      </x:c>
      <x:c r="O42" s="28" t="str">
        <x:v>Exactly 18–22 pt; đoạn ≥6 pt</x:v>
      </x:c>
      <x:c r="P42" s="28" t="str">
        <x:v>First line khoảng 10 mm</x:v>
      </x:c>
      <x:c r="Q42" s="28"/>
      <x:c r="R42" s="28" t="str">
        <x:v>Paragraph/Run theo kiểu khối KD; preserve list numbering/table/drawing nếu có</x:v>
      </x:c>
      <x:c r="S42" s="28" t="str">
        <x:v>Khoản: 1. ...; điểm: a) ...; giữ số đánh tự động nếu được kiểm chứng</x:v>
      </x:c>
      <x:c r="T42" s="28" t="str">
        <x:v>HD05, Phần II, I.6 và IV; Phụ lục 2 mục 6</x:v>
      </x:c>
      <x:c r="U42" s="28" t="str">
        <x:v>https://dangcongsan.vn/vanphongtrunguong/van-ban-cua-dang/huong-dan-so-05-hd-vptw-ngay-27-5-2026-cua-van-phong-trung-uong-dang-ve-the-thuc-va-ky-thuat-trinh-bay-van-ban-cua-dang.html?categoryId=3000525</x:v>
      </x:c>
      <x:c r="V42" s="28" t="str">
        <x:v>https://thuvienphapluat.vn/van-ban/Bo-may-hanh-chinh/Huong-dan-05-HD-VPTW-2026-the-thuc-va-ky-thuat-trinh-bay-van-ban-cua-Dang-707499.aspx</x:v>
      </x:c>
      <x:c r="W42" s="28" t="str">
        <x:v>CHƯA ĐỦ BẰNG CHỨNG</x:v>
      </x:c>
      <x:c r="X42" s="28" t="str">
        <x:v>CHỈ SAU REVIEW</x:v>
      </x:c>
      <x:c r="Y42" s="28" t="str">
        <x:v>Không tự chèn/sửa khi chưa có chứng cứ về đối tượng và rule. | Trạng thái v1.0: CÓ ĐIỀU KIỆN</x:v>
      </x:c>
    </x:row>
    <x:row r="43" ht="54" customHeight="1">
      <x:c r="A43" s="32" t="n">
        <x:v>37</x:v>
      </x:c>
      <x:c r="B43" s="34" t="str">
        <x:v>HD05.N.KD.DANH_SACH</x:v>
      </x:c>
      <x:c r="C43" s="38" t="str">
        <x:v>Nội dung</x:v>
      </x:c>
      <x:c r="D43" s="38" t="str">
        <x:v>Khoản, điểm và liệt kê</x:v>
      </x:c>
      <x:c r="E43" s="28" t="str">
        <x:v>Danh sách liệt kê</x:v>
      </x:c>
      <x:c r="F43" s="28" t="str">
        <x:v>6</x:v>
      </x:c>
      <x:c r="G43" s="28" t="str">
        <x:v>CHƯA ĐỊNH TUYẾN: xác nhận chế độ + loại văn bản + chủ thể + ngày áp dụng trước khi xét rule</x:v>
      </x:c>
      <x:c r="H43" s="28" t="str">
        <x:v>Danh sách nghiệp vụ; phải xác định numbering/list contract trước khi sửa</x:v>
      </x:c>
      <x:c r="I43" s="28" t="str">
        <x:v>Times New Roman; Unicode; màu đen</x:v>
      </x:c>
      <x:c r="J43" s="28" t="str">
        <x:v>14–15</x:v>
      </x:c>
      <x:c r="K43" s="28" t="str">
        <x:v>In thường</x:v>
      </x:c>
      <x:c r="L43" s="28" t="str">
        <x:v>Không; khoản có tiêu đề thì tiêu đề đậm</x:v>
      </x:c>
      <x:c r="M43" s="28" t="str">
        <x:v>Không mặc định</x:v>
      </x:c>
      <x:c r="N43" s="28" t="str">
        <x:v>Justify cho lời văn</x:v>
      </x:c>
      <x:c r="O43" s="28" t="str">
        <x:v>Exactly 18–22 pt; đoạn ≥6 pt</x:v>
      </x:c>
      <x:c r="P43" s="28" t="str">
        <x:v>First line khoảng 10 mm</x:v>
      </x:c>
      <x:c r="Q43" s="28"/>
      <x:c r="R43" s="28" t="str">
        <x:v>Paragraph/Run theo kiểu khối KD; preserve list numbering/table/drawing nếu có</x:v>
      </x:c>
      <x:c r="S43" s="28" t="str">
        <x:v>Khoản: 1. ...; điểm: a) ...; giữ số đánh tự động nếu được kiểm chứng</x:v>
      </x:c>
      <x:c r="T43" s="28" t="str">
        <x:v>HD05, Phần II, I.6 và IV; Phụ lục 2 mục 6</x:v>
      </x:c>
      <x:c r="U43" s="28" t="str">
        <x:v>https://dangcongsan.vn/vanphongtrunguong/van-ban-cua-dang/huong-dan-so-05-hd-vptw-ngay-27-5-2026-cua-van-phong-trung-uong-dang-ve-the-thuc-va-ky-thuat-trinh-bay-van-ban-cua-dang.html?categoryId=3000525</x:v>
      </x:c>
      <x:c r="V43" s="28" t="str">
        <x:v>https://thuvienphapluat.vn/van-ban/Bo-may-hanh-chinh/Huong-dan-05-HD-VPTW-2026-the-thuc-va-ky-thuat-trinh-bay-van-ban-cua-Dang-707499.aspx</x:v>
      </x:c>
      <x:c r="W43" s="28" t="str">
        <x:v>CẦN RÀ SOÁT</x:v>
      </x:c>
      <x:c r="X43" s="28" t="str">
        <x:v>CHỈ SAU REVIEW</x:v>
      </x:c>
      <x:c r="Y43" s="28" t="str">
        <x:v>Không tự chèn/sửa khi chưa có chứng cứ về đối tượng và rule.</x:v>
      </x:c>
    </x:row>
    <x:row r="44" ht="54" customHeight="1">
      <x:c r="A44" s="32" t="n">
        <x:v>38</x:v>
      </x:c>
      <x:c r="B44" s="34" t="str">
        <x:v>HD05.N.DOAN.VAN_BAN</x:v>
      </x:c>
      <x:c r="C44" s="38" t="str">
        <x:v>Nội dung</x:v>
      </x:c>
      <x:c r="D44" s="38" t="str">
        <x:v>Đoạn văn</x:v>
      </x:c>
      <x:c r="E44" s="28" t="str">
        <x:v>Nội dung đoạn văn thông thường</x:v>
      </x:c>
      <x:c r="F44" s="28" t="str">
        <x:v>6</x:v>
      </x:c>
      <x:c r="G44" s="28" t="str">
        <x:v>CHƯA ĐỊNH TUYẾN: xác nhận chế độ + loại văn bản + chủ thể + ngày áp dụng trước khi xét rule</x:v>
      </x:c>
      <x:c r="H44" s="28" t="str">
        <x:v>Đoạn văn thông thường: chữ đứng, căn đều 2 lề</x:v>
      </x:c>
      <x:c r="I44" s="28" t="str">
        <x:v>Times New Roman; Unicode; màu đen</x:v>
      </x:c>
      <x:c r="J44" s="28" t="str">
        <x:v>14–15</x:v>
      </x:c>
      <x:c r="K44" s="28" t="str">
        <x:v>In thường (trừ tiêu đề)</x:v>
      </x:c>
      <x:c r="L44" s="28" t="str">
        <x:v>Không mặc định</x:v>
      </x:c>
      <x:c r="M44" s="28" t="str">
        <x:v>Không mặc định</x:v>
      </x:c>
      <x:c r="N44" s="28" t="str">
        <x:v>Justify cho lời văn</x:v>
      </x:c>
      <x:c r="O44" s="28" t="str">
        <x:v>Exactly 18–22 pt; đoạn ≥6 pt</x:v>
      </x:c>
      <x:c r="P44" s="28" t="str">
        <x:v>First line khoảng 10 mm</x:v>
      </x:c>
      <x:c r="Q44" s="28"/>
      <x:c r="R44" s="28" t="str">
        <x:v>Paragraph/Run theo kiểu khối DOAN; preserve list numbering/table/drawing nếu có</x:v>
      </x:c>
      <x:c r="S44" s="28" t="str">
        <x:v>Font 14–15 pt; cấu hình 19 pt là lựa chọn trong khoảng, không phải hằng số pháp lý</x:v>
      </x:c>
      <x:c r="T44" s="28" t="str">
        <x:v>HD05, Phần II, I.6 và IV; Phụ lục 2 mục 6</x:v>
      </x:c>
      <x:c r="U44" s="28" t="str">
        <x:v>https://dangcongsan.vn/vanphongtrunguong/van-ban-cua-dang/huong-dan-so-05-hd-vptw-ngay-27-5-2026-cua-van-phong-trung-uong-dang-ve-the-thuc-va-ky-thuat-trinh-bay-van-ban-cua-dang.html?categoryId=3000525</x:v>
      </x:c>
      <x:c r="V44" s="28" t="str">
        <x:v>https://thuvienphapluat.vn/van-ban/Bo-may-hanh-chinh/Huong-dan-05-HD-VPTW-2026-the-thuc-va-ky-thuat-trinh-bay-van-ban-cua-Dang-707499.aspx</x:v>
      </x:c>
      <x:c r="W44" s="28" t="str">
        <x:v>ĐỐI CHIẾU MỘT PHẦN</x:v>
      </x:c>
      <x:c r="X44" s="28" t="str">
        <x:v>CHỈ SAU REVIEW</x:v>
      </x:c>
      <x:c r="Y44" s="28" t="str">
        <x:v>Không tự chèn/sửa khi chưa có chứng cứ về đối tượng và rule.</x:v>
      </x:c>
    </x:row>
    <x:row r="45" ht="54" customHeight="1">
      <x:c r="A45" s="32" t="n">
        <x:v>39</x:v>
      </x:c>
      <x:c r="B45" s="34" t="str">
        <x:v>HD05.N.BANG.TIEU_DE</x:v>
      </x:c>
      <x:c r="C45" s="38" t="str">
        <x:v>Nội dung</x:v>
      </x:c>
      <x:c r="D45" s="38" t="str">
        <x:v>Bảng trong nội dung</x:v>
      </x:c>
      <x:c r="E45" s="28" t="str">
        <x:v>Tiêu đề bảng</x:v>
      </x:c>
      <x:c r="F45" s="28" t="str">
        <x:v>6</x:v>
      </x:c>
      <x:c r="G45" s="28" t="str">
        <x:v>CHƯA ĐỊNH TUYẾN: xác nhận chế độ + loại văn bản + chủ thể + ngày áp dụng trước khi xét rule</x:v>
      </x:c>
      <x:c r="H45" s="28" t="str">
        <x:v>Bảng trong nội dung: giữ dữ liệu, tiêu đề, đường viền, ô gộp, chiều cao hàng, ngắt trang</x:v>
      </x:c>
      <x:c r="I45" s="28" t="str">
        <x:v>Times New Roman; Unicode; màu đen</x:v>
      </x:c>
      <x:c r="J45" s="28" t="str">
        <x:v>Theo khối/bảng đã xác minh</x:v>
      </x:c>
      <x:c r="K45" s="28" t="str">
        <x:v>In thường (trừ tiêu đề)</x:v>
      </x:c>
      <x:c r="L45" s="28" t="str">
        <x:v>Tùy ô tiêu đề/ô thường</x:v>
      </x:c>
      <x:c r="M45" s="28" t="str">
        <x:v>Không mặc định</x:v>
      </x:c>
      <x:c r="N45" s="28" t="str">
        <x:v>Theo chức năng ô</x:v>
      </x:c>
      <x:c r="O45" s="28" t="str">
        <x:v>Theo kiểu bảng; không ép spacing body</x:v>
      </x:c>
      <x:c r="P45" s="28" t="str">
        <x:v>Theo nội dung ô; không mặc định 1 cm</x:v>
      </x:c>
      <x:c r="Q45" s="28"/>
      <x:c r="R45" s="28" t="str">
        <x:v>w:tbl/w:tr/w:tc; không dùng AI để tự gộp hoặc tái bố cục</x:v>
      </x:c>
      <x:c r="S45" s="28" t="str">
        <x:v>Autofit Window → Autofit Contents → chỉnh tay là quy trình kỹ thuật, không phải bắt buộc pháp lý</x:v>
      </x:c>
      <x:c r="T45" s="28" t="str">
        <x:v>HD05, Phần II, I.6 và IV; Phụ lục 2 mục 6</x:v>
      </x:c>
      <x:c r="U45" s="28" t="str">
        <x:v>https://dangcongsan.vn/vanphongtrunguong/van-ban-cua-dang/huong-dan-so-05-hd-vptw-ngay-27-5-2026-cua-van-phong-trung-uong-dang-ve-the-thuc-va-ky-thuat-trinh-bay-van-ban-cua-dang.html?categoryId=3000525</x:v>
      </x:c>
      <x:c r="V45" s="28" t="str">
        <x:v>https://thuvienphapluat.vn/van-ban/Bo-may-hanh-chinh/Huong-dan-05-HD-VPTW-2026-the-thuc-va-ky-thuat-trinh-bay-van-ban-cua-Dang-707499.aspx</x:v>
      </x:c>
      <x:c r="W45" s="28" t="str">
        <x:v>CẦN RÀ SOÁT</x:v>
      </x:c>
      <x:c r="X45" s="28" t="str">
        <x:v>READ_ONLY</x:v>
      </x:c>
      <x:c r="Y45" s="28" t="str">
        <x:v>Kỹ thuật tự động fit bảng chỉ là workflow của dự án; không suy thành thông số bắt buộc của NĐ30/HD05.</x:v>
      </x:c>
    </x:row>
    <x:row r="46" ht="54" customHeight="1">
      <x:c r="A46" s="32" t="n">
        <x:v>40</x:v>
      </x:c>
      <x:c r="B46" s="34" t="str">
        <x:v>HD05.N.BANG.DAU_BANG</x:v>
      </x:c>
      <x:c r="C46" s="38" t="str">
        <x:v>Nội dung</x:v>
      </x:c>
      <x:c r="D46" s="38" t="str">
        <x:v>Bảng trong nội dung</x:v>
      </x:c>
      <x:c r="E46" s="28" t="str">
        <x:v>Hàng đầu bảng</x:v>
      </x:c>
      <x:c r="F46" s="28" t="str">
        <x:v>6</x:v>
      </x:c>
      <x:c r="G46" s="28" t="str">
        <x:v>CHƯA ĐỊNH TUYẾN: xác nhận chế độ + loại văn bản + chủ thể + ngày áp dụng trước khi xét rule</x:v>
      </x:c>
      <x:c r="H46" s="28" t="str">
        <x:v>Bảng trong nội dung: giữ dữ liệu, tiêu đề, đường viền, ô gộp, chiều cao hàng, ngắt trang</x:v>
      </x:c>
      <x:c r="I46" s="28" t="str">
        <x:v>Times New Roman; Unicode; màu đen</x:v>
      </x:c>
      <x:c r="J46" s="28" t="str">
        <x:v>Theo khối/bảng đã xác minh</x:v>
      </x:c>
      <x:c r="K46" s="28" t="str">
        <x:v>In thường (trừ tiêu đề)</x:v>
      </x:c>
      <x:c r="L46" s="28" t="str">
        <x:v>Tùy ô tiêu đề/ô thường</x:v>
      </x:c>
      <x:c r="M46" s="28" t="str">
        <x:v>Không mặc định</x:v>
      </x:c>
      <x:c r="N46" s="28" t="str">
        <x:v>Theo chức năng ô</x:v>
      </x:c>
      <x:c r="O46" s="28" t="str">
        <x:v>Theo kiểu bảng; không ép spacing body</x:v>
      </x:c>
      <x:c r="P46" s="28" t="str">
        <x:v>Theo nội dung ô; không mặc định 1 cm</x:v>
      </x:c>
      <x:c r="Q46" s="28"/>
      <x:c r="R46" s="28" t="str">
        <x:v>w:tbl/w:tr/w:tc; không dùng AI để tự gộp hoặc tái bố cục</x:v>
      </x:c>
      <x:c r="S46" s="28" t="str">
        <x:v>Autofit Window → Autofit Contents → chỉnh tay là quy trình kỹ thuật, không phải bắt buộc pháp lý</x:v>
      </x:c>
      <x:c r="T46" s="28" t="str">
        <x:v>HD05, Phần II, I.6 và IV; Phụ lục 2 mục 6</x:v>
      </x:c>
      <x:c r="U46" s="28" t="str">
        <x:v>https://dangcongsan.vn/vanphongtrunguong/van-ban-cua-dang/huong-dan-so-05-hd-vptw-ngay-27-5-2026-cua-van-phong-trung-uong-dang-ve-the-thuc-va-ky-thuat-trinh-bay-van-ban-cua-dang.html?categoryId=3000525</x:v>
      </x:c>
      <x:c r="V46" s="28" t="str">
        <x:v>https://thuvienphapluat.vn/van-ban/Bo-may-hanh-chinh/Huong-dan-05-HD-VPTW-2026-the-thuc-va-ky-thuat-trinh-bay-van-ban-cua-Dang-707499.aspx</x:v>
      </x:c>
      <x:c r="W46" s="28" t="str">
        <x:v>CẦN RÀ SOÁT</x:v>
      </x:c>
      <x:c r="X46" s="28" t="str">
        <x:v>READ_ONLY</x:v>
      </x:c>
      <x:c r="Y46" s="28" t="str">
        <x:v>Kỹ thuật tự động fit bảng chỉ là workflow của dự án; không suy thành thông số bắt buộc của NĐ30/HD05.</x:v>
      </x:c>
    </x:row>
    <x:row r="47" ht="54" customHeight="1">
      <x:c r="A47" s="32" t="n">
        <x:v>41</x:v>
      </x:c>
      <x:c r="B47" s="34" t="str">
        <x:v>HD05.N.BANG.HANG</x:v>
      </x:c>
      <x:c r="C47" s="38" t="str">
        <x:v>Nội dung</x:v>
      </x:c>
      <x:c r="D47" s="38" t="str">
        <x:v>Bảng trong nội dung</x:v>
      </x:c>
      <x:c r="E47" s="28" t="str">
        <x:v>Hàng</x:v>
      </x:c>
      <x:c r="F47" s="28" t="str">
        <x:v>6</x:v>
      </x:c>
      <x:c r="G47" s="28" t="str">
        <x:v>CHƯA ĐỊNH TUYẾN: xác nhận chế độ + loại văn bản + chủ thể + ngày áp dụng trước khi xét rule</x:v>
      </x:c>
      <x:c r="H47" s="28" t="str">
        <x:v>Bảng trong nội dung: giữ dữ liệu, tiêu đề, đường viền, ô gộp, chiều cao hàng, ngắt trang</x:v>
      </x:c>
      <x:c r="I47" s="28" t="str">
        <x:v>Times New Roman; Unicode; màu đen</x:v>
      </x:c>
      <x:c r="J47" s="28" t="str">
        <x:v>Theo khối/bảng đã xác minh</x:v>
      </x:c>
      <x:c r="K47" s="28" t="str">
        <x:v>In thường (trừ tiêu đề)</x:v>
      </x:c>
      <x:c r="L47" s="28" t="str">
        <x:v>Tùy ô tiêu đề/ô thường</x:v>
      </x:c>
      <x:c r="M47" s="28" t="str">
        <x:v>Không mặc định</x:v>
      </x:c>
      <x:c r="N47" s="28" t="str">
        <x:v>Theo chức năng ô</x:v>
      </x:c>
      <x:c r="O47" s="28" t="str">
        <x:v>Theo kiểu bảng; không ép spacing body</x:v>
      </x:c>
      <x:c r="P47" s="28" t="str">
        <x:v>Theo nội dung ô; không mặc định 1 cm</x:v>
      </x:c>
      <x:c r="Q47" s="28"/>
      <x:c r="R47" s="28" t="str">
        <x:v>w:tbl/w:tr/w:tc; không dùng AI để tự gộp hoặc tái bố cục</x:v>
      </x:c>
      <x:c r="S47" s="28" t="str">
        <x:v>Autofit Window → Autofit Contents → chỉnh tay là quy trình kỹ thuật, không phải bắt buộc pháp lý</x:v>
      </x:c>
      <x:c r="T47" s="28" t="str">
        <x:v>HD05, Phần II, I.6 và IV; Phụ lục 2 mục 6</x:v>
      </x:c>
      <x:c r="U47" s="28" t="str">
        <x:v>https://dangcongsan.vn/vanphongtrunguong/van-ban-cua-dang/huong-dan-so-05-hd-vptw-ngay-27-5-2026-cua-van-phong-trung-uong-dang-ve-the-thuc-va-ky-thuat-trinh-bay-van-ban-cua-dang.html?categoryId=3000525</x:v>
      </x:c>
      <x:c r="V47" s="28" t="str">
        <x:v>https://thuvienphapluat.vn/van-ban/Bo-may-hanh-chinh/Huong-dan-05-HD-VPTW-2026-the-thuc-va-ky-thuat-trinh-bay-van-ban-cua-Dang-707499.aspx</x:v>
      </x:c>
      <x:c r="W47" s="28" t="str">
        <x:v>CẦN RÀ SOÁT</x:v>
      </x:c>
      <x:c r="X47" s="28" t="str">
        <x:v>READ_ONLY</x:v>
      </x:c>
      <x:c r="Y47" s="28" t="str">
        <x:v>Kỹ thuật tự động fit bảng chỉ là workflow của dự án; không suy thành thông số bắt buộc của NĐ30/HD05.</x:v>
      </x:c>
    </x:row>
    <x:row r="48" ht="54" customHeight="1">
      <x:c r="A48" s="32" t="n">
        <x:v>42</x:v>
      </x:c>
      <x:c r="B48" s="34" t="str">
        <x:v>HD05.N.BANG.O</x:v>
      </x:c>
      <x:c r="C48" s="38" t="str">
        <x:v>Nội dung</x:v>
      </x:c>
      <x:c r="D48" s="38" t="str">
        <x:v>Bảng trong nội dung</x:v>
      </x:c>
      <x:c r="E48" s="28" t="str">
        <x:v>Ô</x:v>
      </x:c>
      <x:c r="F48" s="28" t="str">
        <x:v>6</x:v>
      </x:c>
      <x:c r="G48" s="28" t="str">
        <x:v>CHƯA ĐỊNH TUYẾN: xác nhận chế độ + loại văn bản + chủ thể + ngày áp dụng trước khi xét rule</x:v>
      </x:c>
      <x:c r="H48" s="28" t="str">
        <x:v>Bảng trong nội dung: giữ dữ liệu, tiêu đề, đường viền, ô gộp, chiều cao hàng, ngắt trang</x:v>
      </x:c>
      <x:c r="I48" s="28" t="str">
        <x:v>Times New Roman; Unicode; màu đen</x:v>
      </x:c>
      <x:c r="J48" s="28" t="str">
        <x:v>Theo khối/bảng đã xác minh</x:v>
      </x:c>
      <x:c r="K48" s="28" t="str">
        <x:v>In thường (trừ tiêu đề)</x:v>
      </x:c>
      <x:c r="L48" s="28" t="str">
        <x:v>Tùy ô tiêu đề/ô thường</x:v>
      </x:c>
      <x:c r="M48" s="28" t="str">
        <x:v>Không mặc định</x:v>
      </x:c>
      <x:c r="N48" s="28" t="str">
        <x:v>Theo chức năng ô</x:v>
      </x:c>
      <x:c r="O48" s="28" t="str">
        <x:v>Theo kiểu bảng; không ép spacing body</x:v>
      </x:c>
      <x:c r="P48" s="28" t="str">
        <x:v>Theo nội dung ô; không mặc định 1 cm</x:v>
      </x:c>
      <x:c r="Q48" s="28"/>
      <x:c r="R48" s="28" t="str">
        <x:v>w:tbl/w:tr/w:tc; không dùng AI để tự gộp hoặc tái bố cục</x:v>
      </x:c>
      <x:c r="S48" s="28" t="str">
        <x:v>Autofit Window → Autofit Contents → chỉnh tay là quy trình kỹ thuật, không phải bắt buộc pháp lý</x:v>
      </x:c>
      <x:c r="T48" s="28" t="str">
        <x:v>HD05, Phần II, I.6 và IV; Phụ lục 2 mục 6</x:v>
      </x:c>
      <x:c r="U48" s="28" t="str">
        <x:v>https://dangcongsan.vn/vanphongtrunguong/van-ban-cua-dang/huong-dan-so-05-hd-vptw-ngay-27-5-2026-cua-van-phong-trung-uong-dang-ve-the-thuc-va-ky-thuat-trinh-bay-van-ban-cua-dang.html?categoryId=3000525</x:v>
      </x:c>
      <x:c r="V48" s="28" t="str">
        <x:v>https://thuvienphapluat.vn/van-ban/Bo-may-hanh-chinh/Huong-dan-05-HD-VPTW-2026-the-thuc-va-ky-thuat-trinh-bay-van-ban-cua-Dang-707499.aspx</x:v>
      </x:c>
      <x:c r="W48" s="28" t="str">
        <x:v>CẦN RÀ SOÁT</x:v>
      </x:c>
      <x:c r="X48" s="28" t="str">
        <x:v>READ_ONLY</x:v>
      </x:c>
      <x:c r="Y48" s="28" t="str">
        <x:v>Kỹ thuật tự động fit bảng chỉ là workflow của dự án; không suy thành thông số bắt buộc của NĐ30/HD05.</x:v>
      </x:c>
    </x:row>
    <x:row r="49" ht="54" customHeight="1">
      <x:c r="A49" s="32" t="n">
        <x:v>43</x:v>
      </x:c>
      <x:c r="B49" s="34" t="str">
        <x:v>HD05.N.BANG.GOP_O</x:v>
      </x:c>
      <x:c r="C49" s="38" t="str">
        <x:v>Nội dung</x:v>
      </x:c>
      <x:c r="D49" s="38" t="str">
        <x:v>Bảng trong nội dung</x:v>
      </x:c>
      <x:c r="E49" s="28" t="str">
        <x:v>Ô gộp</x:v>
      </x:c>
      <x:c r="F49" s="28" t="str">
        <x:v>6</x:v>
      </x:c>
      <x:c r="G49" s="28" t="str">
        <x:v>CHƯA ĐỊNH TUYẾN: xác nhận chế độ + loại văn bản + chủ thể + ngày áp dụng trước khi xét rule</x:v>
      </x:c>
      <x:c r="H49" s="28" t="str">
        <x:v>Bảng trong nội dung: giữ dữ liệu, tiêu đề, đường viền, ô gộp, chiều cao hàng, ngắt trang</x:v>
      </x:c>
      <x:c r="I49" s="28" t="str">
        <x:v>Times New Roman; Unicode; màu đen</x:v>
      </x:c>
      <x:c r="J49" s="28" t="str">
        <x:v>Theo khối/bảng đã xác minh</x:v>
      </x:c>
      <x:c r="K49" s="28" t="str">
        <x:v>In thường (trừ tiêu đề)</x:v>
      </x:c>
      <x:c r="L49" s="28" t="str">
        <x:v>Tùy ô tiêu đề/ô thường</x:v>
      </x:c>
      <x:c r="M49" s="28" t="str">
        <x:v>Không mặc định</x:v>
      </x:c>
      <x:c r="N49" s="28" t="str">
        <x:v>Theo chức năng ô</x:v>
      </x:c>
      <x:c r="O49" s="28" t="str">
        <x:v>Theo kiểu bảng; không ép spacing body</x:v>
      </x:c>
      <x:c r="P49" s="28" t="str">
        <x:v>Theo nội dung ô; không mặc định 1 cm</x:v>
      </x:c>
      <x:c r="Q49" s="28"/>
      <x:c r="R49" s="28" t="str">
        <x:v>w:tbl/w:tr/w:tc; không dùng AI để tự gộp hoặc tái bố cục</x:v>
      </x:c>
      <x:c r="S49" s="28" t="str">
        <x:v>Autofit Window → Autofit Contents → chỉnh tay là quy trình kỹ thuật, không phải bắt buộc pháp lý</x:v>
      </x:c>
      <x:c r="T49" s="28" t="str">
        <x:v>HD05, Phần II, I.6 và IV; Phụ lục 2 mục 6</x:v>
      </x:c>
      <x:c r="U49" s="28" t="str">
        <x:v>https://dangcongsan.vn/vanphongtrunguong/van-ban-cua-dang/huong-dan-so-05-hd-vptw-ngay-27-5-2026-cua-van-phong-trung-uong-dang-ve-the-thuc-va-ky-thuat-trinh-bay-van-ban-cua-dang.html?categoryId=3000525</x:v>
      </x:c>
      <x:c r="V49" s="28" t="str">
        <x:v>https://thuvienphapluat.vn/van-ban/Bo-may-hanh-chinh/Huong-dan-05-HD-VPTW-2026-the-thuc-va-ky-thuat-trinh-bay-van-ban-cua-Dang-707499.aspx</x:v>
      </x:c>
      <x:c r="W49" s="28" t="str">
        <x:v>CẦN RÀ SOÁT</x:v>
      </x:c>
      <x:c r="X49" s="28" t="str">
        <x:v>READ_ONLY</x:v>
      </x:c>
      <x:c r="Y49" s="28" t="str">
        <x:v>Kỹ thuật tự động fit bảng chỉ là workflow của dự án; không suy thành thông số bắt buộc của NĐ30/HD05.</x:v>
      </x:c>
    </x:row>
    <x:row r="50" ht="54" customHeight="1">
      <x:c r="A50" s="32" t="n">
        <x:v>44</x:v>
      </x:c>
      <x:c r="B50" s="34" t="str">
        <x:v>HD05.N.HINH.DOI_TUONG</x:v>
      </x:c>
      <x:c r="C50" s="38" t="str">
        <x:v>Nội dung</x:v>
      </x:c>
      <x:c r="D50" s="38" t="str">
        <x:v>Hình, sơ đồ</x:v>
      </x:c>
      <x:c r="E50" s="28" t="str">
        <x:v>Hình/sơ đồ</x:v>
      </x:c>
      <x:c r="F50" s="28" t="str">
        <x:v>6</x:v>
      </x:c>
      <x:c r="G50" s="28" t="str">
        <x:v>CHƯA ĐỊNH TUYẾN: xác nhận chế độ + loại văn bản + chủ thể + ngày áp dụng trước khi xét rule</x:v>
      </x:c>
      <x:c r="H50" s="28" t="str">
        <x:v>Giữ nguyên hình, sơ đồ và neo vị trí; không tái tạo ảnh</x:v>
      </x:c>
      <x:c r="I50" s="28" t="str">
        <x:v>Times New Roman; Unicode; màu đen</x:v>
      </x:c>
      <x:c r="J50" s="28" t="str">
        <x:v>Theo đối tượng/mẫu</x:v>
      </x:c>
      <x:c r="K50" s="28" t="str">
        <x:v>In thường (trừ tiêu đề)</x:v>
      </x:c>
      <x:c r="L50" s="28" t="str">
        <x:v>Theo chú thích nếu có</x:v>
      </x:c>
      <x:c r="M50" s="28" t="str">
        <x:v>Không mặc định</x:v>
      </x:c>
      <x:c r="N50" s="28" t="str">
        <x:v>Theo ngữ cảnh</x:v>
      </x:c>
      <x:c r="O50" s="28" t="str">
        <x:v>Theo đoạn chứa hình hoặc chú thích đã nhận diện; không mặc định giãn dòng của lời văn</x:v>
      </x:c>
      <x:c r="P50" s="28" t="str">
        <x:v>Không mặc định thụt đầu dòng; kiểm tra anchor/đoạn chứa hình</x:v>
      </x:c>
      <x:c r="Q50" s="28"/>
      <x:c r="R50" s="28" t="str">
        <x:v>Drawing/inline/anchor; kiểm tra sau render</x:v>
      </x:c>
      <x:c r="S50" s="28" t="str">
        <x:v>Chưa có thông số đơn trị được xác minh cho đối tượng hình/chú thích; cần phân biệt image, anchor và caption</x:v>
      </x:c>
      <x:c r="T50" s="28" t="str">
        <x:v>HD05, Phần II, I.6 và IV; Phụ lục 2 mục 6</x:v>
      </x:c>
      <x:c r="U50" s="28" t="str">
        <x:v>https://dangcongsan.vn/vanphongtrunguong/van-ban-cua-dang/huong-dan-so-05-hd-vptw-ngay-27-5-2026-cua-van-phong-trung-uong-dang-ve-the-thuc-va-ky-thuat-trinh-bay-van-ban-cua-dang.html?categoryId=3000525</x:v>
      </x:c>
      <x:c r="V50" s="28" t="str">
        <x:v>https://thuvienphapluat.vn/van-ban/Bo-may-hanh-chinh/Huong-dan-05-HD-VPTW-2026-the-thuc-va-ky-thuat-trinh-bay-van-ban-cua-Dang-707499.aspx</x:v>
      </x:c>
      <x:c r="W50" s="28" t="str">
        <x:v>CẦN RÀ SOÁT</x:v>
      </x:c>
      <x:c r="X50" s="28" t="str">
        <x:v>READ_ONLY</x:v>
      </x:c>
      <x:c r="Y50" s="28" t="str">
        <x:v>Không tự chèn/sửa khi chưa có chứng cứ về đối tượng và rule.</x:v>
      </x:c>
    </x:row>
    <x:row r="51" ht="54" customHeight="1">
      <x:c r="A51" s="32" t="n">
        <x:v>45</x:v>
      </x:c>
      <x:c r="B51" s="34" t="str">
        <x:v>HD05.N.HINH.CHU_THICH</x:v>
      </x:c>
      <x:c r="C51" s="38" t="str">
        <x:v>Nội dung</x:v>
      </x:c>
      <x:c r="D51" s="38" t="str">
        <x:v>Hình, sơ đồ</x:v>
      </x:c>
      <x:c r="E51" s="28" t="str">
        <x:v>Chú thích hình/sơ đồ</x:v>
      </x:c>
      <x:c r="F51" s="28" t="str">
        <x:v>6</x:v>
      </x:c>
      <x:c r="G51" s="28" t="str">
        <x:v>CHƯA ĐỊNH TUYẾN: xác nhận chế độ + loại văn bản + chủ thể + ngày áp dụng trước khi xét rule</x:v>
      </x:c>
      <x:c r="H51" s="28" t="str">
        <x:v>Giữ nguyên hình, sơ đồ và neo vị trí; không tái tạo ảnh</x:v>
      </x:c>
      <x:c r="I51" s="28" t="str">
        <x:v>Times New Roman; Unicode; màu đen</x:v>
      </x:c>
      <x:c r="J51" s="28" t="str">
        <x:v>Theo đối tượng/mẫu</x:v>
      </x:c>
      <x:c r="K51" s="28" t="str">
        <x:v>In thường (trừ tiêu đề)</x:v>
      </x:c>
      <x:c r="L51" s="28" t="str">
        <x:v>Theo chú thích nếu có</x:v>
      </x:c>
      <x:c r="M51" s="28" t="str">
        <x:v>Không mặc định</x:v>
      </x:c>
      <x:c r="N51" s="28" t="str">
        <x:v>Theo ngữ cảnh</x:v>
      </x:c>
      <x:c r="O51" s="28" t="str">
        <x:v>Theo đoạn chứa hình hoặc chú thích đã nhận diện; không mặc định giãn dòng của lời văn</x:v>
      </x:c>
      <x:c r="P51" s="28" t="str">
        <x:v>Không mặc định thụt đầu dòng; kiểm tra anchor/đoạn chứa hình</x:v>
      </x:c>
      <x:c r="Q51" s="28"/>
      <x:c r="R51" s="28" t="str">
        <x:v>Drawing/inline/anchor; kiểm tra sau render</x:v>
      </x:c>
      <x:c r="S51" s="28" t="str">
        <x:v>Chưa có thông số đơn trị được xác minh cho đối tượng hình/chú thích; cần phân biệt image, anchor và caption</x:v>
      </x:c>
      <x:c r="T51" s="28" t="str">
        <x:v>HD05, Phần II, I.6 và IV; Phụ lục 2 mục 6</x:v>
      </x:c>
      <x:c r="U51" s="28" t="str">
        <x:v>https://dangcongsan.vn/vanphongtrunguong/van-ban-cua-dang/huong-dan-so-05-hd-vptw-ngay-27-5-2026-cua-van-phong-trung-uong-dang-ve-the-thuc-va-ky-thuat-trinh-bay-van-ban-cua-dang.html?categoryId=3000525</x:v>
      </x:c>
      <x:c r="V51" s="28" t="str">
        <x:v>https://thuvienphapluat.vn/van-ban/Bo-may-hanh-chinh/Huong-dan-05-HD-VPTW-2026-the-thuc-va-ky-thuat-trinh-bay-van-ban-cua-Dang-707499.aspx</x:v>
      </x:c>
      <x:c r="W51" s="28" t="str">
        <x:v>CẦN RÀ SOÁT</x:v>
      </x:c>
      <x:c r="X51" s="28" t="str">
        <x:v>READ_ONLY</x:v>
      </x:c>
      <x:c r="Y51" s="28" t="str">
        <x:v>Không tự chèn/sửa khi chưa có chứng cứ về đối tượng và rule.</x:v>
      </x:c>
    </x:row>
    <x:row r="52" ht="54" customHeight="1">
      <x:c r="A52" s="32" t="n">
        <x:v>46</x:v>
      </x:c>
      <x:c r="B52" s="34" t="str">
        <x:v>HD05.N.KET.DOAN_KET</x:v>
      </x:c>
      <x:c r="C52" s="38" t="str">
        <x:v>Nội dung</x:v>
      </x:c>
      <x:c r="D52" s="38" t="str">
        <x:v>Kết thúc nội dung</x:v>
      </x:c>
      <x:c r="E52" s="28" t="str">
        <x:v>Đoạn kết nếu có</x:v>
      </x:c>
      <x:c r="F52" s="28" t="str">
        <x:v>6</x:v>
      </x:c>
      <x:c r="G52" s="28" t="str">
        <x:v>CHƯA ĐỊNH TUYẾN: xác nhận chế độ + loại văn bản + chủ thể + ngày áp dụng trước khi xét rule</x:v>
      </x:c>
      <x:c r="H52" s="28" t="str">
        <x:v>Đoạn kết nội dung nếu có; áp body style trừ mẫu có quy định riêng</x:v>
      </x:c>
      <x:c r="I52" s="28" t="str">
        <x:v>Times New Roman; Unicode; màu đen</x:v>
      </x:c>
      <x:c r="J52" s="28" t="str">
        <x:v>14–15</x:v>
      </x:c>
      <x:c r="K52" s="28" t="str">
        <x:v>In thường (trừ tiêu đề)</x:v>
      </x:c>
      <x:c r="L52" s="28" t="str">
        <x:v>Không mặc định</x:v>
      </x:c>
      <x:c r="M52" s="28" t="str">
        <x:v>Không mặc định</x:v>
      </x:c>
      <x:c r="N52" s="28" t="str">
        <x:v>Justify cho lời văn</x:v>
      </x:c>
      <x:c r="O52" s="28" t="str">
        <x:v>Exactly 18–22 pt; đoạn ≥6 pt</x:v>
      </x:c>
      <x:c r="P52" s="28" t="str">
        <x:v>First line khoảng 10 mm</x:v>
      </x:c>
      <x:c r="Q52" s="28"/>
      <x:c r="R52" s="28" t="str">
        <x:v>Paragraph/Run theo kiểu khối KET; preserve list numbering/table/drawing nếu có</x:v>
      </x:c>
      <x:c r="S52" s="28" t="str">
        <x:v>Font 14–15 pt; cấu hình 19 pt là lựa chọn trong khoảng, không phải hằng số pháp lý</x:v>
      </x:c>
      <x:c r="T52" s="28" t="str">
        <x:v>HD05, Phần II, I.6 và IV; Phụ lục 2 mục 6</x:v>
      </x:c>
      <x:c r="U52" s="28" t="str">
        <x:v>https://dangcongsan.vn/vanphongtrunguong/van-ban-cua-dang/huong-dan-so-05-hd-vptw-ngay-27-5-2026-cua-van-phong-trung-uong-dang-ve-the-thuc-va-ky-thuat-trinh-bay-van-ban-cua-dang.html?categoryId=3000525</x:v>
      </x:c>
      <x:c r="V52" s="28" t="str">
        <x:v>https://thuvienphapluat.vn/van-ban/Bo-may-hanh-chinh/Huong-dan-05-HD-VPTW-2026-the-thuc-va-ky-thuat-trinh-bay-van-ban-cua-Dang-707499.aspx</x:v>
      </x:c>
      <x:c r="W52" s="28" t="str">
        <x:v>CHƯA ĐỦ BẰNG CHỨNG</x:v>
      </x:c>
      <x:c r="X52" s="28" t="str">
        <x:v>CHỈ SAU REVIEW</x:v>
      </x:c>
      <x:c r="Y52" s="28" t="str">
        <x:v>Không tự chèn/sửa khi chưa có chứng cứ về đối tượng và rule. | Trạng thái v1.0: CÓ ĐIỀU KIỆN</x:v>
      </x:c>
    </x:row>
    <x:row r="53" ht="54" customHeight="1">
      <x:c r="A53" s="32" t="n">
        <x:v>47</x:v>
      </x:c>
      <x:c r="B53" s="34" t="str">
        <x:v>HD05.C.NN.NHAN_NOI_NHAN</x:v>
      </x:c>
      <x:c r="C53" s="40" t="str">
        <x:v>Cuối văn bản</x:v>
      </x:c>
      <x:c r="D53" s="40" t="str">
        <x:v>Nơi nhận cuối văn bản</x:v>
      </x:c>
      <x:c r="E53" s="28" t="str">
        <x:v>Nhãn Nơi nhận:</x:v>
      </x:c>
      <x:c r="F53" s="28" t="str">
        <x:v>9a</x:v>
      </x:c>
      <x:c r="G53" s="28" t="str">
        <x:v>Cần có nơi nhận theo loại/đối tượng</x:v>
      </x:c>
      <x:c r="H53" s="28" t="str">
        <x:v>Nhãn Nơi nhận:</x:v>
      </x:c>
      <x:c r="I53" s="28" t="str">
        <x:v>Times New Roman; Unicode; màu đen</x:v>
      </x:c>
      <x:c r="J53" s="28" t="str">
        <x:v>14</x:v>
      </x:c>
      <x:c r="K53" s="28" t="str">
        <x:v>In thường</x:v>
      </x:c>
      <x:c r="L53" s="28" t="str">
        <x:v>Không</x:v>
      </x:c>
      <x:c r="M53" s="28" t="str">
        <x:v>Không</x:v>
      </x:c>
      <x:c r="N53" s="28"/>
      <x:c r="O53" s="28"/>
      <x:c r="P53" s="28"/>
      <x:c r="Q53" s="28"/>
      <x:c r="R53" s="28" t="str">
        <x:v>Text run trên dòng riêng</x:v>
      </x:c>
      <x:c r="S53" s="28" t="str">
        <x:v>“Nơi nhận:” ở ô 9a; chữ đứng có gạch chân, khác nhãn NĐ30; danh sách theo điều 9.2</x:v>
      </x:c>
      <x:c r="T53" s="28" t="str">
        <x:v>HD05, Phần II, I.9; Phụ lục 2 mục 9</x:v>
      </x:c>
      <x:c r="U53" s="28" t="str">
        <x:v>https://dangcongsan.vn/vanphongtrunguong/van-ban-cua-dang/huong-dan-so-05-hd-vptw-ngay-27-5-2026-cua-van-phong-trung-uong-dang-ve-the-thuc-va-ky-thuat-trinh-bay-van-ban-cua-dang.html?categoryId=3000525</x:v>
      </x:c>
      <x:c r="V53" s="28" t="str">
        <x:v>https://thuvienphapluat.vn/van-ban/Bo-may-hanh-chinh/Huong-dan-05-HD-VPTW-2026-the-thuc-va-ky-thuat-trinh-bay-van-ban-cua-Dang-707499.aspx</x:v>
      </x:c>
      <x:c r="W53" s="28" t="str">
        <x:v>ĐỐI CHIẾU MỘT PHẦN</x:v>
      </x:c>
      <x:c r="X53" s="28" t="str">
        <x:v>READ_ONLY</x:v>
      </x:c>
      <x:c r="Y53" s="28" t="str">
        <x:v>Không tự chèn/sửa khi chưa có chứng cứ về đối tượng và rule.</x:v>
      </x:c>
    </x:row>
    <x:row r="54" ht="54" customHeight="1">
      <x:c r="A54" s="32" t="n">
        <x:v>48</x:v>
      </x:c>
      <x:c r="B54" s="34" t="str">
        <x:v>HD05.C.NN.DUONG_KE</x:v>
      </x:c>
      <x:c r="C54" s="40" t="str">
        <x:v>Cuối văn bản</x:v>
      </x:c>
      <x:c r="D54" s="40" t="str">
        <x:v>Nơi nhận cuối văn bản</x:v>
      </x:c>
      <x:c r="E54" s="28" t="str">
        <x:v>Đường kẻ dưới nhãn Nơi nhận</x:v>
      </x:c>
      <x:c r="F54" s="28" t="str">
        <x:v>9a</x:v>
      </x:c>
      <x:c r="G54" s="28" t="str">
        <x:v>Cần có nơi nhận theo loại/đối tượng</x:v>
      </x:c>
      <x:c r="H54" s="28" t="str">
        <x:v>Đường kẻ dưới nhãn Nơi nhận</x:v>
      </x:c>
      <x:c r="I54" s="28" t="str">
        <x:v>Không áp dụng</x:v>
      </x:c>
      <x:c r="J54" s="28" t="str">
        <x:v>Không áp dụng</x:v>
      </x:c>
      <x:c r="K54" s="28" t="str">
        <x:v>In thường</x:v>
      </x:c>
      <x:c r="L54" s="28" t="str">
        <x:v>Không</x:v>
      </x:c>
      <x:c r="M54" s="28" t="str">
        <x:v>Không</x:v>
      </x:c>
      <x:c r="N54" s="28"/>
      <x:c r="O54" s="28"/>
      <x:c r="P54" s="28"/>
      <x:c r="Q54" s="28" t="str">
        <x:v>Đường kẻ ngang nét liền tương ứng độ dài cụm “Nơi nhận”</x:v>
      </x:c>
      <x:c r="R54" s="28" t="str">
        <x:v>Đường kẻ tách khỏi ký tự; render kiểm tra</x:v>
      </x:c>
      <x:c r="S54" s="28" t="str">
        <x:v>Đường kẻ ngang liền dưới cụm “Nơi nhận”, dài tương ứng với cụm từ (HD05 9.2.1)</x:v>
      </x:c>
      <x:c r="T54" s="28" t="str">
        <x:v>HD05, Phần II, I.9.2.1</x:v>
      </x:c>
      <x:c r="U54" s="28" t="str">
        <x:v>https://dangcongsan.vn/vanphongtrunguong/van-ban-cua-dang/huong-dan-so-05-hd-vptw-ngay-27-5-2026-cua-van-phong-trung-uong-dang-ve-the-thuc-va-ky-thuat-trinh-bay-van-ban-cua-dang.html?categoryId=3000525</x:v>
      </x:c>
      <x:c r="V54" s="28" t="str">
        <x:v>https://thuvienphapluat.vn/van-ban/Bo-may-hanh-chinh/Huong-dan-05-HD-VPTW-2026-the-thuc-va-ky-thuat-trinh-bay-van-ban-cua-Dang-707499.aspx</x:v>
      </x:c>
      <x:c r="W54" s="28" t="str">
        <x:v>CẦN RÀ SOÁT</x:v>
      </x:c>
      <x:c r="X54" s="28" t="str">
        <x:v>READ_ONLY</x:v>
      </x:c>
      <x:c r="Y54" s="28" t="str">
        <x:v>Không tự chèn/sửa khi chưa có chứng cứ về đối tượng và rule. | So sánh chéo cũ (không dùng làm rule): Không có thành phần tương ứng độc lập của NĐ30</x:v>
      </x:c>
    </x:row>
    <x:row r="55" ht="54" customHeight="1">
      <x:c r="A55" s="32" t="n">
        <x:v>49</x:v>
      </x:c>
      <x:c r="B55" s="34" t="str">
        <x:v>HD05.C.NN.DANH_SACH</x:v>
      </x:c>
      <x:c r="C55" s="40" t="str">
        <x:v>Cuối văn bản</x:v>
      </x:c>
      <x:c r="D55" s="40" t="str">
        <x:v>Nơi nhận cuối văn bản</x:v>
      </x:c>
      <x:c r="E55" s="28" t="str">
        <x:v>Danh sách người/cơ quan nhận</x:v>
      </x:c>
      <x:c r="F55" s="28" t="str">
        <x:v>9a</x:v>
      </x:c>
      <x:c r="G55" s="28" t="str">
        <x:v>Cần có nơi nhận theo loại/đối tượng</x:v>
      </x:c>
      <x:c r="H55" s="28" t="str">
        <x:v>Danh sách nơi nhận và nơi lưu theo đúng đối tượng đã xác minh</x:v>
      </x:c>
      <x:c r="I55" s="28" t="str">
        <x:v>Times New Roman; Unicode; màu đen</x:v>
      </x:c>
      <x:c r="J55" s="28" t="str">
        <x:v>12</x:v>
      </x:c>
      <x:c r="K55" s="28" t="str">
        <x:v>In thường</x:v>
      </x:c>
      <x:c r="L55" s="28" t="str">
        <x:v>Không</x:v>
      </x:c>
      <x:c r="M55" s="28" t="str">
        <x:v>Không</x:v>
      </x:c>
      <x:c r="N55" s="28"/>
      <x:c r="O55" s="28"/>
      <x:c r="P55" s="28"/>
      <x:c r="Q55" s="28"/>
      <x:c r="R55" s="28" t="str">
        <x:v>Văn bản/OOXML: xác định đối tượng trước khi sửa</x:v>
      </x:c>
      <x:c r="S55" s="28" t="str">
        <x:v>Nơi nhận: chấm phẩy từng nơi; dòng lưu kết thúc dấu chấm</x:v>
      </x:c>
      <x:c r="T55" s="28" t="str">
        <x:v>HD05, Phần II, I.9; Phụ lục 2 mục 9</x:v>
      </x:c>
      <x:c r="U55" s="28" t="str">
        <x:v>https://dangcongsan.vn/vanphongtrunguong/van-ban-cua-dang/huong-dan-so-05-hd-vptw-ngay-27-5-2026-cua-van-phong-trung-uong-dang-ve-the-thuc-va-ky-thuat-trinh-bay-van-ban-cua-dang.html?categoryId=3000525</x:v>
      </x:c>
      <x:c r="V55" s="28" t="str">
        <x:v>https://thuvienphapluat.vn/van-ban/Bo-may-hanh-chinh/Huong-dan-05-HD-VPTW-2026-the-thuc-va-ky-thuat-trinh-bay-van-ban-cua-Dang-707499.aspx</x:v>
      </x:c>
      <x:c r="W55" s="28" t="str">
        <x:v>ĐỐI CHIẾU MỘT PHẦN</x:v>
      </x:c>
      <x:c r="X55" s="28" t="str">
        <x:v>KHÔNG TỰ ĐIỀN ĐƠN VỊ NHẬN</x:v>
      </x:c>
      <x:c r="Y55" s="28" t="str">
        <x:v>Không tự chèn/sửa khi chưa có chứng cứ về đối tượng và rule.</x:v>
      </x:c>
    </x:row>
    <x:row r="56" ht="54" customHeight="1">
      <x:c r="A56" s="32" t="n">
        <x:v>50</x:v>
      </x:c>
      <x:c r="B56" s="34" t="str">
        <x:v>HD05.C.NN.NHU_TREN</x:v>
      </x:c>
      <x:c r="C56" s="40" t="str">
        <x:v>Cuối văn bản</x:v>
      </x:c>
      <x:c r="D56" s="40" t="str">
        <x:v>Nơi nhận cuối văn bản</x:v>
      </x:c>
      <x:c r="E56" s="28" t="str">
        <x:v>Dòng Như trên theo điều kiện</x:v>
      </x:c>
      <x:c r="F56" s="28" t="str">
        <x:v>9a</x:v>
      </x:c>
      <x:c r="G56" s="28" t="str">
        <x:v>Cần có nơi nhận theo loại/đối tượng</x:v>
      </x:c>
      <x:c r="H56" s="28" t="str">
        <x:v>Danh sách nơi nhận và nơi lưu theo đúng đối tượng đã xác minh</x:v>
      </x:c>
      <x:c r="I56" s="28" t="str">
        <x:v>Times New Roman; Unicode; màu đen</x:v>
      </x:c>
      <x:c r="J56" s="28" t="str">
        <x:v>12</x:v>
      </x:c>
      <x:c r="K56" s="28" t="str">
        <x:v>In thường</x:v>
      </x:c>
      <x:c r="L56" s="28" t="str">
        <x:v>Không</x:v>
      </x:c>
      <x:c r="M56" s="28" t="str">
        <x:v>Không</x:v>
      </x:c>
      <x:c r="N56" s="28"/>
      <x:c r="O56" s="28"/>
      <x:c r="P56" s="28"/>
      <x:c r="Q56" s="28"/>
      <x:c r="R56" s="28" t="str">
        <x:v>Văn bản/OOXML: xác định đối tượng trước khi sửa</x:v>
      </x:c>
      <x:c r="S56" s="28" t="str">
        <x:v>Nơi nhận: chấm phẩy từng nơi; dòng lưu kết thúc dấu chấm</x:v>
      </x:c>
      <x:c r="T56" s="28" t="str">
        <x:v>HD05, Phần II, I.9; Phụ lục 2 mục 9</x:v>
      </x:c>
      <x:c r="U56" s="28" t="str">
        <x:v>https://dangcongsan.vn/vanphongtrunguong/van-ban-cua-dang/huong-dan-so-05-hd-vptw-ngay-27-5-2026-cua-van-phong-trung-uong-dang-ve-the-thuc-va-ky-thuat-trinh-bay-van-ban-cua-dang.html?categoryId=3000525</x:v>
      </x:c>
      <x:c r="V56" s="28" t="str">
        <x:v>https://thuvienphapluat.vn/van-ban/Bo-may-hanh-chinh/Huong-dan-05-HD-VPTW-2026-the-thuc-va-ky-thuat-trinh-bay-van-ban-cua-Dang-707499.aspx</x:v>
      </x:c>
      <x:c r="W56" s="28" t="str">
        <x:v>ĐỐI CHIẾU MỘT PHẦN</x:v>
      </x:c>
      <x:c r="X56" s="28" t="str">
        <x:v>KHÔNG TỰ ĐIỀN ĐƠN VỊ NHẬN</x:v>
      </x:c>
      <x:c r="Y56" s="28" t="str">
        <x:v>Không tự chèn/sửa khi chưa có chứng cứ về đối tượng và rule.</x:v>
      </x:c>
    </x:row>
    <x:row r="57" ht="54" customHeight="1">
      <x:c r="A57" s="32" t="n">
        <x:v>51</x:v>
      </x:c>
      <x:c r="B57" s="34" t="str">
        <x:v>HD05.C.NN.NOI_LUU</x:v>
      </x:c>
      <x:c r="C57" s="40" t="str">
        <x:v>Cuối văn bản</x:v>
      </x:c>
      <x:c r="D57" s="40" t="str">
        <x:v>Nơi nhận cuối văn bản</x:v>
      </x:c>
      <x:c r="E57" s="28" t="str">
        <x:v>Dòng lưu hồ sơ</x:v>
      </x:c>
      <x:c r="F57" s="28" t="str">
        <x:v>9a</x:v>
      </x:c>
      <x:c r="G57" s="28" t="str">
        <x:v>Cần có nơi nhận theo loại/đối tượng</x:v>
      </x:c>
      <x:c r="H57" s="28" t="str">
        <x:v>Danh sách nơi nhận và nơi lưu theo đúng đối tượng đã xác minh</x:v>
      </x:c>
      <x:c r="I57" s="28" t="str">
        <x:v>Times New Roman; Unicode; màu đen</x:v>
      </x:c>
      <x:c r="J57" s="28" t="str">
        <x:v>12</x:v>
      </x:c>
      <x:c r="K57" s="28" t="str">
        <x:v>In thường</x:v>
      </x:c>
      <x:c r="L57" s="28" t="str">
        <x:v>Không</x:v>
      </x:c>
      <x:c r="M57" s="28" t="str">
        <x:v>Không</x:v>
      </x:c>
      <x:c r="N57" s="28"/>
      <x:c r="O57" s="28"/>
      <x:c r="P57" s="28"/>
      <x:c r="Q57" s="28"/>
      <x:c r="R57" s="28" t="str">
        <x:v>Văn bản/OOXML: xác định đối tượng trước khi sửa</x:v>
      </x:c>
      <x:c r="S57" s="28" t="str">
        <x:v>Nơi nhận: chấm phẩy từng nơi; dòng lưu kết thúc dấu chấm</x:v>
      </x:c>
      <x:c r="T57" s="28" t="str">
        <x:v>HD05, Phần II, I.9; Phụ lục 2 mục 9</x:v>
      </x:c>
      <x:c r="U57" s="28" t="str">
        <x:v>https://dangcongsan.vn/vanphongtrunguong/van-ban-cua-dang/huong-dan-so-05-hd-vptw-ngay-27-5-2026-cua-van-phong-trung-uong-dang-ve-the-thuc-va-ky-thuat-trinh-bay-van-ban-cua-dang.html?categoryId=3000525</x:v>
      </x:c>
      <x:c r="V57" s="28" t="str">
        <x:v>https://thuvienphapluat.vn/van-ban/Bo-may-hanh-chinh/Huong-dan-05-HD-VPTW-2026-the-thuc-va-ky-thuat-trinh-bay-van-ban-cua-Dang-707499.aspx</x:v>
      </x:c>
      <x:c r="W57" s="28" t="str">
        <x:v>ĐỐI CHIẾU MỘT PHẦN</x:v>
      </x:c>
      <x:c r="X57" s="28" t="str">
        <x:v>KHÔNG TỰ ĐIỀN ĐƠN VỊ NHẬN</x:v>
      </x:c>
      <x:c r="Y57" s="28" t="str">
        <x:v>Không tự chèn/sửa khi chưa có chứng cứ về đối tượng và rule.</x:v>
      </x:c>
    </x:row>
    <x:row r="58" ht="54" customHeight="1">
      <x:c r="A58" s="32" t="n">
        <x:v>52</x:v>
      </x:c>
      <x:c r="B58" s="34" t="str">
        <x:v>HD05.C.KY.QUYEN_HAN</x:v>
      </x:c>
      <x:c r="C58" s="40" t="str">
        <x:v>Cuối văn bản</x:v>
      </x:c>
      <x:c r="D58" s="40" t="str">
        <x:v>Khối ký</x:v>
      </x:c>
      <x:c r="E58" s="28" t="str">
        <x:v>Quyền hạn ký</x:v>
      </x:c>
      <x:c r="F58" s="28" t="str">
        <x:v>7a</x:v>
      </x:c>
      <x:c r="G58" s="28" t="str">
        <x:v>Khối ký tùy thẩm quyền/loại văn bản</x:v>
      </x:c>
      <x:c r="H58" s="28" t="str">
        <x:v>Quyền hạn ký</x:v>
      </x:c>
      <x:c r="I58" s="28" t="str">
        <x:v>Times New Roman; Unicode; màu đen</x:v>
      </x:c>
      <x:c r="J58" s="28" t="str">
        <x:v>14</x:v>
      </x:c>
      <x:c r="K58" s="28" t="str">
        <x:v>IN HOA</x:v>
      </x:c>
      <x:c r="L58" s="28" t="str">
        <x:v>Có</x:v>
      </x:c>
      <x:c r="M58" s="28" t="str">
        <x:v>Không</x:v>
      </x:c>
      <x:c r="N58" s="28" t="str">
        <x:v>Căn giữa vùng ký ở bên phải</x:v>
      </x:c>
      <x:c r="O58" s="28"/>
      <x:c r="P58" s="28"/>
      <x:c r="Q58" s="28"/>
      <x:c r="R58" s="28" t="str">
        <x:v>Văn bản/OOXML: xác định đối tượng trước khi sửa</x:v>
      </x:c>
      <x:c r="S58" s="28" t="str">
        <x:v>HD05: T/M, K/T, T/L ...</x:v>
      </x:c>
      <x:c r="T58" s="28" t="str">
        <x:v>HD05, Phần II, I.7; Phụ lục 2 mục 7</x:v>
      </x:c>
      <x:c r="U58" s="28" t="str">
        <x:v>https://dangcongsan.vn/vanphongtrunguong/van-ban-cua-dang/huong-dan-so-05-hd-vptw-ngay-27-5-2026-cua-van-phong-trung-uong-dang-ve-the-thuc-va-ky-thuat-trinh-bay-van-ban-cua-dang.html?categoryId=3000525</x:v>
      </x:c>
      <x:c r="V58" s="28" t="str">
        <x:v>https://thuvienphapluat.vn/van-ban/Bo-may-hanh-chinh/Huong-dan-05-HD-VPTW-2026-the-thuc-va-ky-thuat-trinh-bay-van-ban-cua-Dang-707499.aspx</x:v>
      </x:c>
      <x:c r="W58" s="28" t="str">
        <x:v>ĐỐI CHIẾU MỘT PHẦN</x:v>
      </x:c>
      <x:c r="X58" s="28" t="str">
        <x:v>KHÔNG TỰ XÁC NHẬN THẨM QUYỀN</x:v>
      </x:c>
      <x:c r="Y58" s="28" t="str">
        <x:v>Không tự chèn/sửa khi chưa có chứng cứ về đối tượng và rule.</x:v>
      </x:c>
    </x:row>
    <x:row r="59" ht="54" customHeight="1">
      <x:c r="A59" s="32" t="n">
        <x:v>53</x:v>
      </x:c>
      <x:c r="B59" s="34" t="str">
        <x:v>HD05.C.KY.CHUC_VU</x:v>
      </x:c>
      <x:c r="C59" s="40" t="str">
        <x:v>Cuối văn bản</x:v>
      </x:c>
      <x:c r="D59" s="40" t="str">
        <x:v>Khối ký</x:v>
      </x:c>
      <x:c r="E59" s="28" t="str">
        <x:v>Chức vụ/chức danh người ký</x:v>
      </x:c>
      <x:c r="F59" s="28" t="str">
        <x:v>7a</x:v>
      </x:c>
      <x:c r="G59" s="28" t="str">
        <x:v>Khối ký tùy thẩm quyền/loại văn bản</x:v>
      </x:c>
      <x:c r="H59" s="28" t="str">
        <x:v>Chức vụ/chức danh người ký</x:v>
      </x:c>
      <x:c r="I59" s="28" t="str">
        <x:v>Times New Roman; Unicode; màu đen</x:v>
      </x:c>
      <x:c r="J59" s="28" t="str">
        <x:v>14</x:v>
      </x:c>
      <x:c r="K59" s="28" t="str">
        <x:v>IN HOA</x:v>
      </x:c>
      <x:c r="L59" s="28" t="str">
        <x:v>Không</x:v>
      </x:c>
      <x:c r="M59" s="28" t="str">
        <x:v>Không</x:v>
      </x:c>
      <x:c r="N59" s="28" t="str">
        <x:v>Căn giữa vùng ký ở bên phải</x:v>
      </x:c>
      <x:c r="O59" s="28"/>
      <x:c r="P59" s="28"/>
      <x:c r="Q59" s="28"/>
      <x:c r="R59" s="28" t="str">
        <x:v>Văn bản/OOXML: xác định đối tượng trước khi sửa</x:v>
      </x:c>
      <x:c r="S59" s="28" t="str">
        <x:v>Chức vụ theo dữ liệu người ký, không tự điền</x:v>
      </x:c>
      <x:c r="T59" s="28" t="str">
        <x:v>HD05, Phần II, I.7; Phụ lục 2 mục 7</x:v>
      </x:c>
      <x:c r="U59" s="28" t="str">
        <x:v>https://dangcongsan.vn/vanphongtrunguong/van-ban-cua-dang/huong-dan-so-05-hd-vptw-ngay-27-5-2026-cua-van-phong-trung-uong-dang-ve-the-thuc-va-ky-thuat-trinh-bay-van-ban-cua-dang.html?categoryId=3000525</x:v>
      </x:c>
      <x:c r="V59" s="28" t="str">
        <x:v>https://thuvienphapluat.vn/van-ban/Bo-may-hanh-chinh/Huong-dan-05-HD-VPTW-2026-the-thuc-va-ky-thuat-trinh-bay-van-ban-cua-Dang-707499.aspx</x:v>
      </x:c>
      <x:c r="W59" s="28" t="str">
        <x:v>ĐỐI CHIẾU MỘT PHẦN</x:v>
      </x:c>
      <x:c r="X59" s="28" t="str">
        <x:v>READ_ONLY</x:v>
      </x:c>
      <x:c r="Y59" s="28" t="str">
        <x:v>Không tự chèn/sửa khi chưa có chứng cứ về đối tượng và rule.</x:v>
      </x:c>
    </x:row>
    <x:row r="60" ht="54" customHeight="1">
      <x:c r="A60" s="32" t="n">
        <x:v>54</x:v>
      </x:c>
      <x:c r="B60" s="34" t="str">
        <x:v>HD05.C.KY.CHU_KY</x:v>
      </x:c>
      <x:c r="C60" s="40" t="str">
        <x:v>Cuối văn bản</x:v>
      </x:c>
      <x:c r="D60" s="40" t="str">
        <x:v>Khối ký</x:v>
      </x:c>
      <x:c r="E60" s="28" t="str">
        <x:v>Vị trí chữ ký của người có thẩm quyền</x:v>
      </x:c>
      <x:c r="F60" s="28" t="str">
        <x:v>7c</x:v>
      </x:c>
      <x:c r="G60" s="28" t="str">
        <x:v>Khối ký tùy thẩm quyền/loại văn bản</x:v>
      </x:c>
      <x:c r="H60" s="28" t="str">
        <x:v>Vị trí chữ ký của người có thẩm quyền</x:v>
      </x:c>
      <x:c r="I60" s="28" t="str">
        <x:v>Không áp dụng</x:v>
      </x:c>
      <x:c r="J60" s="28" t="str">
        <x:v>Không áp dụng</x:v>
      </x:c>
      <x:c r="K60" s="28" t="str">
        <x:v>Không áp dụng</x:v>
      </x:c>
      <x:c r="L60" s="28" t="str">
        <x:v>Không áp dụng</x:v>
      </x:c>
      <x:c r="M60" s="28" t="str">
        <x:v>Không</x:v>
      </x:c>
      <x:c r="N60" s="28" t="str">
        <x:v>Căn giữa vùng ký ở bên phải</x:v>
      </x:c>
      <x:c r="O60" s="28"/>
      <x:c r="P60" s="28"/>
      <x:c r="Q60" s="28"/>
      <x:c r="R60" s="28" t="str">
        <x:v>Văn bản/OOXML: xác định đối tượng trước khi sửa</x:v>
      </x:c>
      <x:c r="S60" s="28" t="str">
        <x:v>Chỉ xác định vùng trống/protected cho chữ ký</x:v>
      </x:c>
      <x:c r="T60" s="28" t="str">
        <x:v>HD05, Phần II, I.7; Phụ lục 2 mục 7</x:v>
      </x:c>
      <x:c r="U60" s="28" t="str">
        <x:v>https://dangcongsan.vn/vanphongtrunguong/van-ban-cua-dang/huong-dan-so-05-hd-vptw-ngay-27-5-2026-cua-van-phong-trung-uong-dang-ve-the-thuc-va-ky-thuat-trinh-bay-van-ban-cua-dang.html?categoryId=3000525</x:v>
      </x:c>
      <x:c r="V60" s="28" t="str">
        <x:v>https://thuvienphapluat.vn/van-ban/Bo-may-hanh-chinh/Huong-dan-05-HD-VPTW-2026-the-thuc-va-ky-thuat-trinh-bay-van-ban-cua-Dang-707499.aspx</x:v>
      </x:c>
      <x:c r="W60" s="28" t="str">
        <x:v>CHƯA ĐỦ BẰNG CHỨNG</x:v>
      </x:c>
      <x:c r="X60" s="28" t="str">
        <x:v>PROTECTED; KHÔNG KÝ</x:v>
      </x:c>
      <x:c r="Y60" s="28" t="str">
        <x:v>Không tự chèn/sửa khi chưa có chứng cứ về đối tượng và rule. | Trạng thái v1.0: CÓ ĐIỀU KIỆN</x:v>
      </x:c>
    </x:row>
    <x:row r="61" ht="54" customHeight="1">
      <x:c r="A61" s="32" t="n">
        <x:v>55</x:v>
      </x:c>
      <x:c r="B61" s="34" t="str">
        <x:v>HD05.C.KY.HO_TEN</x:v>
      </x:c>
      <x:c r="C61" s="40" t="str">
        <x:v>Cuối văn bản</x:v>
      </x:c>
      <x:c r="D61" s="40" t="str">
        <x:v>Khối ký</x:v>
      </x:c>
      <x:c r="E61" s="28" t="str">
        <x:v>Họ tên người ký</x:v>
      </x:c>
      <x:c r="F61" s="28" t="str">
        <x:v>7b</x:v>
      </x:c>
      <x:c r="G61" s="28" t="str">
        <x:v>Khối ký tùy thẩm quyền/loại văn bản</x:v>
      </x:c>
      <x:c r="H61" s="28" t="str">
        <x:v>Họ tên người ký</x:v>
      </x:c>
      <x:c r="I61" s="28" t="str">
        <x:v>Times New Roman; Unicode; màu đen</x:v>
      </x:c>
      <x:c r="J61" s="28" t="str">
        <x:v>14</x:v>
      </x:c>
      <x:c r="K61" s="28" t="str">
        <x:v>Viết hoa chữ đầu các thành tố họ tên</x:v>
      </x:c>
      <x:c r="L61" s="28" t="str">
        <x:v>Có</x:v>
      </x:c>
      <x:c r="M61" s="28" t="str">
        <x:v>Không</x:v>
      </x:c>
      <x:c r="N61" s="28" t="str">
        <x:v>Căn giữa vùng ký ở bên phải</x:v>
      </x:c>
      <x:c r="O61" s="28"/>
      <x:c r="P61" s="28"/>
      <x:c r="Q61" s="28"/>
      <x:c r="R61" s="28" t="str">
        <x:v>Văn bản/OOXML: xác định đối tượng trước khi sửa</x:v>
      </x:c>
      <x:c r="S61" s="28" t="str">
        <x:v>Chỉ dùng họ tên được cung cấp; không tự điền</x:v>
      </x:c>
      <x:c r="T61" s="28" t="str">
        <x:v>HD05, Phần II, I.7; Phụ lục 2 mục 7</x:v>
      </x:c>
      <x:c r="U61" s="28" t="str">
        <x:v>https://dangcongsan.vn/vanphongtrunguong/van-ban-cua-dang/huong-dan-so-05-hd-vptw-ngay-27-5-2026-cua-van-phong-trung-uong-dang-ve-the-thuc-va-ky-thuat-trinh-bay-van-ban-cua-dang.html?categoryId=3000525</x:v>
      </x:c>
      <x:c r="V61" s="28" t="str">
        <x:v>https://thuvienphapluat.vn/van-ban/Bo-may-hanh-chinh/Huong-dan-05-HD-VPTW-2026-the-thuc-va-ky-thuat-trinh-bay-van-ban-cua-Dang-707499.aspx</x:v>
      </x:c>
      <x:c r="W61" s="28" t="str">
        <x:v>ĐỐI CHIẾU MỘT PHẦN</x:v>
      </x:c>
      <x:c r="X61" s="28" t="str">
        <x:v>READ_ONLY</x:v>
      </x:c>
      <x:c r="Y61" s="28" t="str">
        <x:v>Không tự chèn/sửa khi chưa có chứng cứ về đối tượng và rule.</x:v>
      </x:c>
    </x:row>
    <x:row r="62" ht="54" customHeight="1">
      <x:c r="A62" s="32" t="n">
        <x:v>56</x:v>
      </x:c>
      <x:c r="B62" s="34" t="str">
        <x:v>HD05.C.KY.KHOI_KY</x:v>
      </x:c>
      <x:c r="C62" s="40" t="str">
        <x:v>Cuối văn bản</x:v>
      </x:c>
      <x:c r="D62" s="40" t="str">
        <x:v>Khối ký</x:v>
      </x:c>
      <x:c r="E62" s="28" t="str">
        <x:v>Một khối ký có thể lặp nhiều instance</x:v>
      </x:c>
      <x:c r="F62" s="28" t="str">
        <x:v>7a/7b/7c</x:v>
      </x:c>
      <x:c r="G62" s="28" t="str">
        <x:v>Khối ký tùy thẩm quyền/loại văn bản</x:v>
      </x:c>
      <x:c r="H62" s="28" t="str">
        <x:v>Cụm signer lặp được; bố cục nhiều người ký/biên bản theo mẫu riêng</x:v>
      </x:c>
      <x:c r="I62" s="28" t="str">
        <x:v>Theo trường con</x:v>
      </x:c>
      <x:c r="J62" s="28" t="str">
        <x:v>Theo trường con</x:v>
      </x:c>
      <x:c r="K62" s="28" t="str">
        <x:v>Theo tên trường</x:v>
      </x:c>
      <x:c r="L62" s="28" t="str">
        <x:v>Theo trường con</x:v>
      </x:c>
      <x:c r="M62" s="28" t="str">
        <x:v>Không</x:v>
      </x:c>
      <x:c r="N62" s="28" t="str">
        <x:v>Căn giữa vùng ký ở bên phải</x:v>
      </x:c>
      <x:c r="O62" s="28"/>
      <x:c r="P62" s="28"/>
      <x:c r="Q62" s="28"/>
      <x:c r="R62" s="28" t="str">
        <x:v>Văn bản/OOXML: xác định đối tượng trước khi sửa</x:v>
      </x:c>
      <x:c r="S62" s="28" t="str">
        <x:v>Không gộp HD05.C.KY.* thành một style duy nhất</x:v>
      </x:c>
      <x:c r="T62" s="28" t="str">
        <x:v>HD05, Phần II, I.7; Phụ lục 2 mục 7</x:v>
      </x:c>
      <x:c r="U62" s="28" t="str">
        <x:v>https://dangcongsan.vn/vanphongtrunguong/van-ban-cua-dang/huong-dan-so-05-hd-vptw-ngay-27-5-2026-cua-van-phong-trung-uong-dang-ve-the-thuc-va-ky-thuat-trinh-bay-van-ban-cua-dang.html?categoryId=3000525</x:v>
      </x:c>
      <x:c r="V62" s="28" t="str">
        <x:v>https://thuvienphapluat.vn/van-ban/Bo-may-hanh-chinh/Huong-dan-05-HD-VPTW-2026-the-thuc-va-ky-thuat-trinh-bay-van-ban-cua-Dang-707499.aspx</x:v>
      </x:c>
      <x:c r="W62" s="28" t="str">
        <x:v>CHƯA ĐỦ BẰNG CHỨNG</x:v>
      </x:c>
      <x:c r="X62" s="28" t="str">
        <x:v>READ_ONLY</x:v>
      </x:c>
      <x:c r="Y62" s="28" t="str">
        <x:v>Không tự chèn/sửa khi chưa có chứng cứ về đối tượng và rule. | Trạng thái v1.0: CÓ ĐIỀU KIỆN</x:v>
      </x:c>
    </x:row>
    <x:row r="63" ht="54" customHeight="1">
      <x:c r="A63" s="32" t="n">
        <x:v>57</x:v>
      </x:c>
      <x:c r="B63" s="34" t="str">
        <x:v>HD05.C.DAU.DAU_CO_QUAN</x:v>
      </x:c>
      <x:c r="C63" s="40" t="str">
        <x:v>Cuối văn bản</x:v>
      </x:c>
      <x:c r="D63" s="40" t="str">
        <x:v>Dấu và chữ ký số</x:v>
      </x:c>
      <x:c r="E63" s="28" t="str">
        <x:v>Vị trí dấu của cơ quan ban hành</x:v>
      </x:c>
      <x:c r="F63" s="28" t="str">
        <x:v>8</x:v>
      </x:c>
      <x:c r="G63" s="28" t="str">
        <x:v>CHƯA ĐỊNH TUYẾN: xác nhận chế độ + loại văn bản + chủ thể + ngày áp dụng trước khi xét rule</x:v>
      </x:c>
      <x:c r="H63" s="28" t="str">
        <x:v>Vùng dấu hoặc chữ ký số của cơ quan trong bản chính; không phải thao tác soạn thảo</x:v>
      </x:c>
      <x:c r="I63" s="28" t="str">
        <x:v>Không áp dụng</x:v>
      </x:c>
      <x:c r="J63" s="28" t="str">
        <x:v>Không áp dụng</x:v>
      </x:c>
      <x:c r="K63" s="28" t="str">
        <x:v>Không áp dụng</x:v>
      </x:c>
      <x:c r="L63" s="28" t="str">
        <x:v>Không áp dụng</x:v>
      </x:c>
      <x:c r="M63" s="28" t="str">
        <x:v>Không áp dụng</x:v>
      </x:c>
      <x:c r="N63" s="28"/>
      <x:c r="O63" s="28"/>
      <x:c r="P63" s="28"/>
      <x:c r="Q63" s="28"/>
      <x:c r="R63" s="28" t="str">
        <x:v>Protected visual/signature anchor; không chèn hoặc xóa</x:v>
      </x:c>
      <x:c r="S63" s="28" t="str">
        <x:v>Không kiểm tra hiệu lực ký số nếu chưa có dịch vụ/xác thực</x:v>
      </x:c>
      <x:c r="T63" s="28" t="str">
        <x:v>HD05, Phần II, I.8</x:v>
      </x:c>
      <x:c r="U63" s="28" t="str">
        <x:v>https://dangcongsan.vn/vanphongtrunguong/van-ban-cua-dang/huong-dan-so-05-hd-vptw-ngay-27-5-2026-cua-van-phong-trung-uong-dang-ve-the-thuc-va-ky-thuat-trinh-bay-van-ban-cua-dang.html?categoryId=3000525</x:v>
      </x:c>
      <x:c r="V63" s="28" t="str">
        <x:v>https://thuvienphapluat.vn/van-ban/Bo-may-hanh-chinh/Huong-dan-05-HD-VPTW-2026-the-thuc-va-ky-thuat-trinh-bay-van-ban-cua-Dang-707499.aspx</x:v>
      </x:c>
      <x:c r="W63" s="28" t="str">
        <x:v>CHƯA ĐỦ BẰNG CHỨNG</x:v>
      </x:c>
      <x:c r="X63" s="28" t="str">
        <x:v>BẢO VỆ / KHÔNG TỰ SỬA</x:v>
      </x:c>
      <x:c r="Y63" s="28" t="str">
        <x:v>Ngoài phạm vi can thiệp khi soạn thảo; không tự tạo chữ ký số/dấu hay xác nhận pháp lý. | Trạng thái v1.0: BẢO VỆ</x:v>
      </x:c>
    </x:row>
    <x:row r="64" ht="54" customHeight="1">
      <x:c r="A64" s="32" t="n">
        <x:v>58</x:v>
      </x:c>
      <x:c r="B64" s="34" t="str">
        <x:v>HD05.C.DAU.CHU_KY_SO</x:v>
      </x:c>
      <x:c r="C64" s="40" t="str">
        <x:v>Cuối văn bản</x:v>
      </x:c>
      <x:c r="D64" s="40" t="str">
        <x:v>Dấu và chữ ký số</x:v>
      </x:c>
      <x:c r="E64" s="28" t="str">
        <x:v>Chữ ký số cơ quan trên bản văn bản điện tử</x:v>
      </x:c>
      <x:c r="F64" s="28" t="str">
        <x:v>8</x:v>
      </x:c>
      <x:c r="G64" s="28" t="str">
        <x:v>CHƯA ĐỊNH TUYẾN: xác nhận chế độ + loại văn bản + chủ thể + ngày áp dụng trước khi xét rule</x:v>
      </x:c>
      <x:c r="H64" s="28" t="str">
        <x:v>Vùng dấu hoặc chữ ký số của cơ quan trong bản chính; không phải thao tác soạn thảo</x:v>
      </x:c>
      <x:c r="I64" s="28" t="str">
        <x:v>Không áp dụng</x:v>
      </x:c>
      <x:c r="J64" s="28" t="str">
        <x:v>Không áp dụng</x:v>
      </x:c>
      <x:c r="K64" s="28" t="str">
        <x:v>Không áp dụng</x:v>
      </x:c>
      <x:c r="L64" s="28" t="str">
        <x:v>Không áp dụng</x:v>
      </x:c>
      <x:c r="M64" s="28" t="str">
        <x:v>Không áp dụng</x:v>
      </x:c>
      <x:c r="N64" s="28"/>
      <x:c r="O64" s="28"/>
      <x:c r="P64" s="28"/>
      <x:c r="Q64" s="28"/>
      <x:c r="R64" s="28" t="str">
        <x:v>Protected visual/signature anchor; không chèn hoặc xóa</x:v>
      </x:c>
      <x:c r="S64" s="28" t="str">
        <x:v>Không kiểm tra hiệu lực ký số nếu chưa có dịch vụ/xác thực</x:v>
      </x:c>
      <x:c r="T64" s="28" t="str">
        <x:v>HD05, Phần II, I.8</x:v>
      </x:c>
      <x:c r="U64" s="28" t="str">
        <x:v>https://dangcongsan.vn/vanphongtrunguong/van-ban-cua-dang/huong-dan-so-05-hd-vptw-ngay-27-5-2026-cua-van-phong-trung-uong-dang-ve-the-thuc-va-ky-thuat-trinh-bay-van-ban-cua-dang.html?categoryId=3000525</x:v>
      </x:c>
      <x:c r="V64" s="28" t="str">
        <x:v>https://thuvienphapluat.vn/van-ban/Bo-may-hanh-chinh/Huong-dan-05-HD-VPTW-2026-the-thuc-va-ky-thuat-trinh-bay-van-ban-cua-Dang-707499.aspx</x:v>
      </x:c>
      <x:c r="W64" s="28" t="str">
        <x:v>CHƯA ĐỦ BẰNG CHỨNG</x:v>
      </x:c>
      <x:c r="X64" s="28" t="str">
        <x:v>BẢO VỆ / KHÔNG TỰ SỬA</x:v>
      </x:c>
      <x:c r="Y64" s="28" t="str">
        <x:v>Ngoài phạm vi can thiệp khi soạn thảo; không tự tạo chữ ký số/dấu hay xác nhận pháp lý. | Trạng thái v1.0: BẢO VỆ</x:v>
      </x:c>
    </x:row>
    <x:row r="65" ht="54" customHeight="1">
      <x:c r="A65" s="32" t="n">
        <x:v>59</x:v>
      </x:c>
      <x:c r="B65" s="34" t="str">
        <x:v>HD05.G.TRANG.KHO_GIAY</x:v>
      </x:c>
      <x:c r="C65" s="42" t="str">
        <x:v>Định dạng chung</x:v>
      </x:c>
      <x:c r="D65" s="42" t="str">
        <x:v>Khổ giấy, lề, trang</x:v>
      </x:c>
      <x:c r="E65" s="28" t="str">
        <x:v>Khổ giấy</x:v>
      </x:c>
      <x:c r="F65" s="28" t="str">
        <x:v>—</x:v>
      </x:c>
      <x:c r="G65" s="28" t="str">
        <x:v>Văn bản chính trong phạm vi plugin</x:v>
      </x:c>
      <x:c r="H65" s="28" t="str">
        <x:v>Khổ giấy A4 cho văn bản chính</x:v>
      </x:c>
      <x:c r="I65" s="28" t="str">
        <x:v>Không áp dụng</x:v>
      </x:c>
      <x:c r="J65" s="28" t="str">
        <x:v>Không áp dụng</x:v>
      </x:c>
      <x:c r="K65" s="28"/>
      <x:c r="L65" s="28"/>
      <x:c r="M65" s="28"/>
      <x:c r="N65" s="28"/>
      <x:c r="O65" s="28"/>
      <x:c r="P65" s="28"/>
      <x:c r="Q65" s="28"/>
      <x:c r="R65" s="28" t="str">
        <x:v>w:sectPr/w:pgSz/w:pgMar; xử lý theo section</x:v>
      </x:c>
      <x:c r="S65" s="28" t="str">
        <x:v>210 × 297 mm; HD05: một số giấy tờ hành chính theo chế độ có A5/mẫu in sẵn</x:v>
      </x:c>
      <x:c r="T65" s="28" t="str">
        <x:v>HD05, Phần II, IV; Phụ lục 2</x:v>
      </x:c>
      <x:c r="U65" s="28" t="str">
        <x:v>https://dangcongsan.vn/vanphongtrunguong/van-ban-cua-dang/huong-dan-so-05-hd-vptw-ngay-27-5-2026-cua-van-phong-trung-uong-dang-ve-the-thuc-va-ky-thuat-trinh-bay-van-ban-cua-dang.html?categoryId=3000525</x:v>
      </x:c>
      <x:c r="V65" s="28" t="str">
        <x:v>https://thuvienphapluat.vn/van-ban/Bo-may-hanh-chinh/Huong-dan-05-HD-VPTW-2026-the-thuc-va-ky-thuat-trinh-bay-van-ban-cua-Dang-707499.aspx</x:v>
      </x:c>
      <x:c r="W65" s="28" t="str">
        <x:v>ĐỐI CHIẾU MỘT PHẦN</x:v>
      </x:c>
      <x:c r="X65" s="28" t="str">
        <x:v>CHỈ SAU REVIEW</x:v>
      </x:c>
      <x:c r="Y65" s="28" t="str">
        <x:v>Không tự chèn/sửa khi chưa có chứng cứ về đối tượng và rule.</x:v>
      </x:c>
    </x:row>
    <x:row r="66" ht="54" customHeight="1">
      <x:c r="A66" s="32" t="n">
        <x:v>60</x:v>
      </x:c>
      <x:c r="B66" s="34" t="str">
        <x:v>HD05.G.TRANG.HUONG_GIAY</x:v>
      </x:c>
      <x:c r="C66" s="42" t="str">
        <x:v>Định dạng chung</x:v>
      </x:c>
      <x:c r="D66" s="42" t="str">
        <x:v>Khổ giấy, lề, trang</x:v>
      </x:c>
      <x:c r="E66" s="28" t="str">
        <x:v>Hướng giấy</x:v>
      </x:c>
      <x:c r="F66" s="28" t="str">
        <x:v>—</x:v>
      </x:c>
      <x:c r="G66" s="28" t="str">
        <x:v>CHƯA ĐỊNH TUYẾN: xác nhận chế độ + loại văn bản + chủ thể + ngày áp dụng trước khi xét rule</x:v>
      </x:c>
      <x:c r="H66" s="28" t="str">
        <x:v>Portrait; landscape khi bảng/biểu cần và thỏa điều kiện</x:v>
      </x:c>
      <x:c r="I66" s="28" t="str">
        <x:v>Không áp dụng</x:v>
      </x:c>
      <x:c r="J66" s="28" t="str">
        <x:v>Không áp dụng</x:v>
      </x:c>
      <x:c r="K66" s="28"/>
      <x:c r="L66" s="28"/>
      <x:c r="M66" s="28"/>
      <x:c r="N66" s="28"/>
      <x:c r="O66" s="28"/>
      <x:c r="P66" s="28"/>
      <x:c r="Q66" s="28"/>
      <x:c r="R66" s="28" t="str">
        <x:v>w:sectPr/w:pgSz/w:pgMar; xử lý theo section</x:v>
      </x:c>
      <x:c r="S66" s="28" t="str">
        <x:v>Mặc định portrait; landscape cục bộ cho bảng, không xoay toàn tài liệu tùy tiện</x:v>
      </x:c>
      <x:c r="T66" s="28" t="str">
        <x:v>HD05, Phần II, IV; Phụ lục 2</x:v>
      </x:c>
      <x:c r="U66" s="28" t="str">
        <x:v>https://dangcongsan.vn/vanphongtrunguong/van-ban-cua-dang/huong-dan-so-05-hd-vptw-ngay-27-5-2026-cua-van-phong-trung-uong-dang-ve-the-thuc-va-ky-thuat-trinh-bay-van-ban-cua-dang.html?categoryId=3000525</x:v>
      </x:c>
      <x:c r="V66" s="28" t="str">
        <x:v>https://thuvienphapluat.vn/van-ban/Bo-may-hanh-chinh/Huong-dan-05-HD-VPTW-2026-the-thuc-va-ky-thuat-trinh-bay-van-ban-cua-Dang-707499.aspx</x:v>
      </x:c>
      <x:c r="W66" s="28" t="str">
        <x:v>CHƯA ĐỦ BẰNG CHỨNG</x:v>
      </x:c>
      <x:c r="X66" s="28" t="str">
        <x:v>CHỈ SAU REVIEW</x:v>
      </x:c>
      <x:c r="Y66" s="28" t="str">
        <x:v>Không tự chèn/sửa khi chưa có chứng cứ về đối tượng và rule. | Trạng thái v1.0: CÓ ĐIỀU KIỆN</x:v>
      </x:c>
    </x:row>
    <x:row r="67" ht="54" customHeight="1">
      <x:c r="A67" s="32" t="n">
        <x:v>61</x:v>
      </x:c>
      <x:c r="B67" s="34" t="str">
        <x:v>HD05.G.TRANG.LE_TRANG</x:v>
      </x:c>
      <x:c r="C67" s="42" t="str">
        <x:v>Định dạng chung</x:v>
      </x:c>
      <x:c r="D67" s="42" t="str">
        <x:v>Khổ giấy, lề, trang</x:v>
      </x:c>
      <x:c r="E67" s="28" t="str">
        <x:v>Lề trang</x:v>
      </x:c>
      <x:c r="F67" s="28" t="str">
        <x:v>—</x:v>
      </x:c>
      <x:c r="G67" s="28" t="str">
        <x:v>CHƯA ĐỊNH TUYẾN: xác nhận chế độ + loại văn bản + chủ thể + ngày áp dụng trước khi xét rule</x:v>
      </x:c>
      <x:c r="H67" s="28" t="str">
        <x:v>Lề trang theo hệ và section</x:v>
      </x:c>
      <x:c r="I67" s="28" t="str">
        <x:v>Không áp dụng</x:v>
      </x:c>
      <x:c r="J67" s="28" t="str">
        <x:v>Không áp dụng</x:v>
      </x:c>
      <x:c r="K67" s="28"/>
      <x:c r="L67" s="28"/>
      <x:c r="M67" s="28"/>
      <x:c r="N67" s="28"/>
      <x:c r="O67" s="28"/>
      <x:c r="P67" s="28"/>
      <x:c r="Q67" s="28"/>
      <x:c r="R67" s="28" t="str">
        <x:v>w:sectPr/w:pgSz/w:pgMar; xử lý theo section</x:v>
      </x:c>
      <x:c r="S67" s="28" t="str">
        <x:v>Trang trước: T20/D20/Tr30/P15 mm; in hai mặt mặt sau: T20/D20/Tr15/P30 mm</x:v>
      </x:c>
      <x:c r="T67" s="28" t="str">
        <x:v>HD05, Phần II, IV; Phụ lục 2</x:v>
      </x:c>
      <x:c r="U67" s="28" t="str">
        <x:v>https://dangcongsan.vn/vanphongtrunguong/van-ban-cua-dang/huong-dan-so-05-hd-vptw-ngay-27-5-2026-cua-van-phong-trung-uong-dang-ve-the-thuc-va-ky-thuat-trinh-bay-van-ban-cua-dang.html?categoryId=3000525</x:v>
      </x:c>
      <x:c r="V67" s="28" t="str">
        <x:v>https://thuvienphapluat.vn/van-ban/Bo-may-hanh-chinh/Huong-dan-05-HD-VPTW-2026-the-thuc-va-ky-thuat-trinh-bay-van-ban-cua-Dang-707499.aspx</x:v>
      </x:c>
      <x:c r="W67" s="28" t="str">
        <x:v>ĐỐI CHIẾU MỘT PHẦN</x:v>
      </x:c>
      <x:c r="X67" s="28" t="str">
        <x:v>CHỈ SAU REVIEW</x:v>
      </x:c>
      <x:c r="Y67" s="28" t="str">
        <x:v>In hai mặt: đảo lề trái/phải mặt sau; không áp lập mặc định lên mọi tài liệu không in hai mặt.</x:v>
      </x:c>
    </x:row>
    <x:row r="68" ht="54" customHeight="1">
      <x:c r="A68" s="32" t="n">
        <x:v>62</x:v>
      </x:c>
      <x:c r="B68" s="34" t="str">
        <x:v>HD05.G.CHU.PHONG</x:v>
      </x:c>
      <x:c r="C68" s="42" t="str">
        <x:v>Định dạng chung</x:v>
      </x:c>
      <x:c r="D68" s="42" t="str">
        <x:v>Phông và chữ</x:v>
      </x:c>
      <x:c r="E68" s="28" t="str">
        <x:v>Phông chữ</x:v>
      </x:c>
      <x:c r="F68" s="28" t="str">
        <x:v>—</x:v>
      </x:c>
      <x:c r="G68" s="28" t="str">
        <x:v>CHƯA ĐỊNH TUYẾN: xác nhận chế độ + loại văn bản + chủ thể + ngày áp dụng trước khi xét rule</x:v>
      </x:c>
      <x:c r="H68" s="28" t="str">
        <x:v>Áp dụng theo từng component</x:v>
      </x:c>
      <x:c r="I68" s="28" t="str">
        <x:v>Times New Roman; Unicode; đen</x:v>
      </x:c>
      <x:c r="J68" s="28"/>
      <x:c r="K68" s="28"/>
      <x:c r="L68" s="28"/>
      <x:c r="M68" s="28"/>
      <x:c r="N68" s="28"/>
      <x:c r="O68" s="28"/>
      <x:c r="P68" s="28"/>
      <x:c r="Q68" s="28"/>
      <x:c r="R68" s="28" t="str">
        <x:v>Font props w:rFonts, w:sz, w:b, w:i; theo từng vùng</x:v>
      </x:c>
      <x:c r="S68" s="28" t="str">
        <x:v>Times New Roman; Unicode TCVN 6909:2001; đen</x:v>
      </x:c>
      <x:c r="T68" s="28" t="str">
        <x:v>HD05, Phần II, IV; Phụ lục 2</x:v>
      </x:c>
      <x:c r="U68" s="28" t="str">
        <x:v>https://dangcongsan.vn/vanphongtrunguong/van-ban-cua-dang/huong-dan-so-05-hd-vptw-ngay-27-5-2026-cua-van-phong-trung-uong-dang-ve-the-thuc-va-ky-thuat-trinh-bay-van-ban-cua-dang.html?categoryId=3000525</x:v>
      </x:c>
      <x:c r="V68" s="28" t="str">
        <x:v>https://thuvienphapluat.vn/van-ban/Bo-may-hanh-chinh/Huong-dan-05-HD-VPTW-2026-the-thuc-va-ky-thuat-trinh-bay-van-ban-cua-Dang-707499.aspx</x:v>
      </x:c>
      <x:c r="W68" s="28" t="str">
        <x:v>ĐỐI CHIẾU MỘT PHẦN</x:v>
      </x:c>
      <x:c r="X68" s="28" t="str">
        <x:v>CHỈ SAU REVIEW</x:v>
      </x:c>
      <x:c r="Y68" s="28" t="str">
        <x:v>Không tự chèn/sửa khi chưa có chứng cứ về đối tượng và rule.</x:v>
      </x:c>
    </x:row>
    <x:row r="69" ht="54" customHeight="1">
      <x:c r="A69" s="32" t="n">
        <x:v>63</x:v>
      </x:c>
      <x:c r="B69" s="34" t="str">
        <x:v>HD05.G.CHU.CO_CHU</x:v>
      </x:c>
      <x:c r="C69" s="42" t="str">
        <x:v>Định dạng chung</x:v>
      </x:c>
      <x:c r="D69" s="42" t="str">
        <x:v>Phông và chữ</x:v>
      </x:c>
      <x:c r="E69" s="28" t="str">
        <x:v>Cỡ chữ</x:v>
      </x:c>
      <x:c r="F69" s="28" t="str">
        <x:v>—</x:v>
      </x:c>
      <x:c r="G69" s="28" t="str">
        <x:v>CHƯA ĐỊNH TUYẾN: xác nhận chế độ + loại văn bản + chủ thể + ngày áp dụng trước khi xét rule</x:v>
      </x:c>
      <x:c r="H69" s="28" t="str">
        <x:v>Áp dụng theo từng component</x:v>
      </x:c>
      <x:c r="I69" s="28" t="str">
        <x:v>Times New Roman; Unicode; đen</x:v>
      </x:c>
      <x:c r="J69" s="28"/>
      <x:c r="K69" s="28"/>
      <x:c r="L69" s="28"/>
      <x:c r="M69" s="28"/>
      <x:c r="N69" s="28"/>
      <x:c r="O69" s="28"/>
      <x:c r="P69" s="28"/>
      <x:c r="Q69" s="28"/>
      <x:c r="R69" s="28" t="str">
        <x:v>Font props w:rFonts, w:sz, w:b, w:i; theo từng vùng</x:v>
      </x:c>
      <x:c r="S69" s="28" t="str">
        <x:v>HD05: 10/11/12/14/14–15/15–16 tùy thành phần; không ép toàn bộ 14 pt</x:v>
      </x:c>
      <x:c r="T69" s="28" t="str">
        <x:v>HD05, Phần II, IV; Phụ lục 2</x:v>
      </x:c>
      <x:c r="U69" s="28" t="str">
        <x:v>https://dangcongsan.vn/vanphongtrunguong/van-ban-cua-dang/huong-dan-so-05-hd-vptw-ngay-27-5-2026-cua-van-phong-trung-uong-dang-ve-the-thuc-va-ky-thuat-trinh-bay-van-ban-cua-dang.html?categoryId=3000525</x:v>
      </x:c>
      <x:c r="V69" s="28" t="str">
        <x:v>https://thuvienphapluat.vn/van-ban/Bo-may-hanh-chinh/Huong-dan-05-HD-VPTW-2026-the-thuc-va-ky-thuat-trinh-bay-van-ban-cua-Dang-707499.aspx</x:v>
      </x:c>
      <x:c r="W69" s="28" t="str">
        <x:v>ĐỐI CHIẾU MỘT PHẦN</x:v>
      </x:c>
      <x:c r="X69" s="28" t="str">
        <x:v>CHỈ SAU REVIEW</x:v>
      </x:c>
      <x:c r="Y69" s="28" t="str">
        <x:v>Không tự chèn/sửa khi chưa có chứng cứ về đối tượng và rule.</x:v>
      </x:c>
    </x:row>
    <x:row r="70" ht="54" customHeight="1">
      <x:c r="A70" s="32" t="n">
        <x:v>64</x:v>
      </x:c>
      <x:c r="B70" s="34" t="str">
        <x:v>HD05.G.CHU.KIEU_CHU</x:v>
      </x:c>
      <x:c r="C70" s="42" t="str">
        <x:v>Định dạng chung</x:v>
      </x:c>
      <x:c r="D70" s="42" t="str">
        <x:v>Phông và chữ</x:v>
      </x:c>
      <x:c r="E70" s="28" t="str">
        <x:v>Kiểu chữ</x:v>
      </x:c>
      <x:c r="F70" s="28" t="str">
        <x:v>—</x:v>
      </x:c>
      <x:c r="G70" s="28" t="str">
        <x:v>CHƯA ĐỊNH TUYẾN: xác nhận chế độ + loại văn bản + chủ thể + ngày áp dụng trước khi xét rule</x:v>
      </x:c>
      <x:c r="H70" s="28" t="str">
        <x:v>Áp dụng theo từng component</x:v>
      </x:c>
      <x:c r="I70" s="28" t="str">
        <x:v>Times New Roman; Unicode; đen</x:v>
      </x:c>
      <x:c r="J70" s="28"/>
      <x:c r="K70" s="28"/>
      <x:c r="L70" s="28"/>
      <x:c r="M70" s="28"/>
      <x:c r="N70" s="28"/>
      <x:c r="O70" s="28"/>
      <x:c r="P70" s="28"/>
      <x:c r="Q70" s="28"/>
      <x:c r="R70" s="28" t="str">
        <x:v>Font props w:rFonts, w:sz, w:b, w:i; theo từng vùng</x:v>
      </x:c>
      <x:c r="S70" s="28" t="str">
        <x:v>Từng trường quyết định bold/italic/case; không dùng quy tắc universal</x:v>
      </x:c>
      <x:c r="T70" s="28" t="str">
        <x:v>HD05, Phần II, IV; Phụ lục 2</x:v>
      </x:c>
      <x:c r="U70" s="28" t="str">
        <x:v>https://dangcongsan.vn/vanphongtrunguong/van-ban-cua-dang/huong-dan-so-05-hd-vptw-ngay-27-5-2026-cua-van-phong-trung-uong-dang-ve-the-thuc-va-ky-thuat-trinh-bay-van-ban-cua-dang.html?categoryId=3000525</x:v>
      </x:c>
      <x:c r="V70" s="28" t="str">
        <x:v>https://thuvienphapluat.vn/van-ban/Bo-may-hanh-chinh/Huong-dan-05-HD-VPTW-2026-the-thuc-va-ky-thuat-trinh-bay-van-ban-cua-Dang-707499.aspx</x:v>
      </x:c>
      <x:c r="W70" s="28" t="str">
        <x:v>ĐỐI CHIẾU MỘT PHẦN</x:v>
      </x:c>
      <x:c r="X70" s="28" t="str">
        <x:v>CHỈ SAU REVIEW</x:v>
      </x:c>
      <x:c r="Y70" s="28" t="str">
        <x:v>Không tự chèn/sửa khi chưa có chứng cứ về đối tượng và rule.</x:v>
      </x:c>
    </x:row>
    <x:row r="71" ht="54" customHeight="1">
      <x:c r="A71" s="32" t="n">
        <x:v>65</x:v>
      </x:c>
      <x:c r="B71" s="34" t="str">
        <x:v>HD05.G.DOAN.CAN_LE</x:v>
      </x:c>
      <x:c r="C71" s="42" t="str">
        <x:v>Định dạng chung</x:v>
      </x:c>
      <x:c r="D71" s="42" t="str">
        <x:v>Dãn cách và căn chỉnh</x:v>
      </x:c>
      <x:c r="E71" s="28" t="str">
        <x:v>Căn lề</x:v>
      </x:c>
      <x:c r="F71" s="28" t="str">
        <x:v>—</x:v>
      </x:c>
      <x:c r="G71" s="28" t="str">
        <x:v>CHƯA ĐỊNH TUYẾN: xác nhận chế độ + loại văn bản + chủ thể + ngày áp dụng trước khi xét rule</x:v>
      </x:c>
      <x:c r="H71" s="28" t="str">
        <x:v>Căn đều hai lề nội dung chính; thành phần đầu/cuối dùng vị trí riêng</x:v>
      </x:c>
      <x:c r="I71" s="28" t="str">
        <x:v>Times New Roman</x:v>
      </x:c>
      <x:c r="J71" s="28"/>
      <x:c r="K71" s="28"/>
      <x:c r="L71" s="28"/>
      <x:c r="M71" s="28"/>
      <x:c r="N71" s="28" t="str">
        <x:v>Justify đối với lời văn</x:v>
      </x:c>
      <x:c r="O71" s="28"/>
      <x:c r="P71" s="28"/>
      <x:c r="Q71" s="28"/>
      <x:c r="R71" s="28" t="str">
        <x:v>w:pPr/w:jc, w:spacing, w:ind; không sửa rời khỏi cấu trúc đối tượng</x:v>
      </x:c>
      <x:c r="S71" s="28" t="str">
        <x:v>Áp dụng nội dung chính, không ép khối tên/số/ký</x:v>
      </x:c>
      <x:c r="T71" s="28" t="str">
        <x:v>HD05, Phần II, IV; Phụ lục 2</x:v>
      </x:c>
      <x:c r="U71" s="28" t="str">
        <x:v>https://dangcongsan.vn/vanphongtrunguong/van-ban-cua-dang/huong-dan-so-05-hd-vptw-ngay-27-5-2026-cua-van-phong-trung-uong-dang-ve-the-thuc-va-ky-thuat-trinh-bay-van-ban-cua-dang.html?categoryId=3000525</x:v>
      </x:c>
      <x:c r="V71" s="28" t="str">
        <x:v>https://thuvienphapluat.vn/van-ban/Bo-may-hanh-chinh/Huong-dan-05-HD-VPTW-2026-the-thuc-va-ky-thuat-trinh-bay-van-ban-cua-Dang-707499.aspx</x:v>
      </x:c>
      <x:c r="W71" s="28" t="str">
        <x:v>ĐỐI CHIẾU MỘT PHẦN</x:v>
      </x:c>
      <x:c r="X71" s="28" t="str">
        <x:v>CHỈ SAU REVIEW</x:v>
      </x:c>
      <x:c r="Y71" s="28" t="str">
        <x:v>Không tự chèn/sửa khi chưa có chứng cứ về đối tượng và rule.</x:v>
      </x:c>
    </x:row>
    <x:row r="72" ht="54" customHeight="1">
      <x:c r="A72" s="32" t="n">
        <x:v>66</x:v>
      </x:c>
      <x:c r="B72" s="34" t="str">
        <x:v>HD05.G.DOAN.GIUA_DONG</x:v>
      </x:c>
      <x:c r="C72" s="42" t="str">
        <x:v>Định dạng chung</x:v>
      </x:c>
      <x:c r="D72" s="42" t="str">
        <x:v>Dãn cách và căn chỉnh</x:v>
      </x:c>
      <x:c r="E72" s="28" t="str">
        <x:v>Khoảng cách dòng</x:v>
      </x:c>
      <x:c r="F72" s="28" t="str">
        <x:v>—</x:v>
      </x:c>
      <x:c r="G72" s="28" t="str">
        <x:v>CHƯA ĐỊNH TUYẾN: xác nhận chế độ + loại văn bản + chủ thể + ngày áp dụng trước khi xét rule</x:v>
      </x:c>
      <x:c r="H72" s="28" t="str">
        <x:v>Khoảng cách dòng</x:v>
      </x:c>
      <x:c r="I72" s="28" t="str">
        <x:v>Times New Roman</x:v>
      </x:c>
      <x:c r="J72" s="28"/>
      <x:c r="K72" s="28"/>
      <x:c r="L72" s="28"/>
      <x:c r="M72" s="28"/>
      <x:c r="N72" s="28"/>
      <x:c r="O72" s="28" t="str">
        <x:v>Exactly 18–22 pt</x:v>
      </x:c>
      <x:c r="P72" s="28"/>
      <x:c r="Q72" s="28"/>
      <x:c r="R72" s="28" t="str">
        <x:v>w:pPr/w:jc, w:spacing, w:ind; không sửa rời khỏi cấu trúc đối tượng</x:v>
      </x:c>
      <x:c r="S72" s="28" t="str">
        <x:v>HD05 có thể dùng Exactly 19 pt nếu đáp ứng bối cảnh, không phải mặc định bắt buộc</x:v>
      </x:c>
      <x:c r="T72" s="28" t="str">
        <x:v>HD05, Phần II, IV; Phụ lục 2</x:v>
      </x:c>
      <x:c r="U72" s="28" t="str">
        <x:v>https://dangcongsan.vn/vanphongtrunguong/van-ban-cua-dang/huong-dan-so-05-hd-vptw-ngay-27-5-2026-cua-van-phong-trung-uong-dang-ve-the-thuc-va-ky-thuat-trinh-bay-van-ban-cua-dang.html?categoryId=3000525</x:v>
      </x:c>
      <x:c r="V72" s="28" t="str">
        <x:v>https://thuvienphapluat.vn/van-ban/Bo-may-hanh-chinh/Huong-dan-05-HD-VPTW-2026-the-thuc-va-ky-thuat-trinh-bay-van-ban-cua-Dang-707499.aspx</x:v>
      </x:c>
      <x:c r="W72" s="28" t="str">
        <x:v>ĐỐI CHIẾU MỘT PHẦN</x:v>
      </x:c>
      <x:c r="X72" s="28" t="str">
        <x:v>CHỈ SAU REVIEW</x:v>
      </x:c>
      <x:c r="Y72" s="28" t="str">
        <x:v>Không tự chèn/sửa khi chưa có chứng cứ về đối tượng và rule.</x:v>
      </x:c>
    </x:row>
    <x:row r="73" ht="54" customHeight="1">
      <x:c r="A73" s="32" t="n">
        <x:v>67</x:v>
      </x:c>
      <x:c r="B73" s="34" t="str">
        <x:v>HD05.G.DOAN.GIUA_DOAN</x:v>
      </x:c>
      <x:c r="C73" s="42" t="str">
        <x:v>Định dạng chung</x:v>
      </x:c>
      <x:c r="D73" s="42" t="str">
        <x:v>Dãn cách và căn chỉnh</x:v>
      </x:c>
      <x:c r="E73" s="28" t="str">
        <x:v>Khoảng cách đoạn</x:v>
      </x:c>
      <x:c r="F73" s="28" t="str">
        <x:v>—</x:v>
      </x:c>
      <x:c r="G73" s="28" t="str">
        <x:v>CHƯA ĐỊNH TUYẾN: xác nhận chế độ + loại văn bản + chủ thể + ngày áp dụng trước khi xét rule</x:v>
      </x:c>
      <x:c r="H73" s="28" t="str">
        <x:v>Khoảng cách đoạn</x:v>
      </x:c>
      <x:c r="I73" s="28" t="str">
        <x:v>Times New Roman</x:v>
      </x:c>
      <x:c r="J73" s="28"/>
      <x:c r="K73" s="28"/>
      <x:c r="L73" s="28"/>
      <x:c r="M73" s="28"/>
      <x:c r="N73" s="28"/>
      <x:c r="O73" s="28" t="str">
        <x:v>≥6 pt</x:v>
      </x:c>
      <x:c r="P73" s="28"/>
      <x:c r="Q73" s="28"/>
      <x:c r="R73" s="28" t="str">
        <x:v>w:pPr/w:jc, w:spacing, w:ind; không sửa rời khỏi cấu trúc đối tượng</x:v>
      </x:c>
      <x:c r="S73" s="28" t="str">
        <x:v>Tối thiểu 6 pt giữa các đoạn nội dung chính</x:v>
      </x:c>
      <x:c r="T73" s="28" t="str">
        <x:v>HD05, Phần II, IV; Phụ lục 2</x:v>
      </x:c>
      <x:c r="U73" s="28" t="str">
        <x:v>https://dangcongsan.vn/vanphongtrunguong/van-ban-cua-dang/huong-dan-so-05-hd-vptw-ngay-27-5-2026-cua-van-phong-trung-uong-dang-ve-the-thuc-va-ky-thuat-trinh-bay-van-ban-cua-dang.html?categoryId=3000525</x:v>
      </x:c>
      <x:c r="V73" s="28" t="str">
        <x:v>https://thuvienphapluat.vn/van-ban/Bo-may-hanh-chinh/Huong-dan-05-HD-VPTW-2026-the-thuc-va-ky-thuat-trinh-bay-van-ban-cua-Dang-707499.aspx</x:v>
      </x:c>
      <x:c r="W73" s="28" t="str">
        <x:v>ĐỐI CHIẾU MỘT PHẦN</x:v>
      </x:c>
      <x:c r="X73" s="28" t="str">
        <x:v>CHỈ SAU REVIEW</x:v>
      </x:c>
      <x:c r="Y73" s="28" t="str">
        <x:v>Không tự chèn/sửa khi chưa có chứng cứ về đối tượng và rule.</x:v>
      </x:c>
    </x:row>
    <x:row r="74" ht="54" customHeight="1">
      <x:c r="A74" s="32" t="n">
        <x:v>68</x:v>
      </x:c>
      <x:c r="B74" s="34" t="str">
        <x:v>HD05.G.DOAN.THUT_DONG</x:v>
      </x:c>
      <x:c r="C74" s="42" t="str">
        <x:v>Định dạng chung</x:v>
      </x:c>
      <x:c r="D74" s="42" t="str">
        <x:v>Dãn cách và căn chỉnh</x:v>
      </x:c>
      <x:c r="E74" s="28" t="str">
        <x:v>Thụt đầu dòng</x:v>
      </x:c>
      <x:c r="F74" s="28" t="str">
        <x:v>—</x:v>
      </x:c>
      <x:c r="G74" s="28" t="str">
        <x:v>CHƯA ĐỊNH TUYẾN: xác nhận chế độ + loại văn bản + chủ thể + ngày áp dụng trước khi xét rule</x:v>
      </x:c>
      <x:c r="H74" s="28" t="str">
        <x:v>Thụt đầu dòng</x:v>
      </x:c>
      <x:c r="I74" s="28" t="str">
        <x:v>Times New Roman</x:v>
      </x:c>
      <x:c r="J74" s="28"/>
      <x:c r="K74" s="28"/>
      <x:c r="L74" s="28"/>
      <x:c r="M74" s="28"/>
      <x:c r="N74" s="28"/>
      <x:c r="O74" s="28"/>
      <x:c r="P74" s="28" t="str">
        <x:v>Khoảng 10 mm</x:v>
      </x:c>
      <x:c r="Q74" s="28"/>
      <x:c r="R74" s="28" t="str">
        <x:v>w:pPr/w:jc, w:spacing, w:ind; không sửa rời khỏi cấu trúc đối tượng</x:v>
      </x:c>
      <x:c r="S74" s="28" t="str">
        <x:v>Không áp dụng mặc định cho đoạn bảng/tiêu đề</x:v>
      </x:c>
      <x:c r="T74" s="28" t="str">
        <x:v>HD05, Phần II, IV; Phụ lục 2</x:v>
      </x:c>
      <x:c r="U74" s="28" t="str">
        <x:v>https://dangcongsan.vn/vanphongtrunguong/van-ban-cua-dang/huong-dan-so-05-hd-vptw-ngay-27-5-2026-cua-van-phong-trung-uong-dang-ve-the-thuc-va-ky-thuat-trinh-bay-van-ban-cua-dang.html?categoryId=3000525</x:v>
      </x:c>
      <x:c r="V74" s="28" t="str">
        <x:v>https://thuvienphapluat.vn/van-ban/Bo-may-hanh-chinh/Huong-dan-05-HD-VPTW-2026-the-thuc-va-ky-thuat-trinh-bay-van-ban-cua-Dang-707499.aspx</x:v>
      </x:c>
      <x:c r="W74" s="28" t="str">
        <x:v>ĐỐI CHIẾU MỘT PHẦN</x:v>
      </x:c>
      <x:c r="X74" s="28" t="str">
        <x:v>CHỈ SAU REVIEW</x:v>
      </x:c>
      <x:c r="Y74" s="28" t="str">
        <x:v>Không tự chèn/sửa khi chưa có chứng cứ về đối tượng và rule.</x:v>
      </x:c>
    </x:row>
    <x:row r="75" ht="54" customHeight="1">
      <x:c r="A75" s="32" t="n">
        <x:v>69</x:v>
      </x:c>
      <x:c r="B75" s="34" t="str">
        <x:v>HD05.G.PHAN_TRANG.SECTION</x:v>
      </x:c>
      <x:c r="C75" s="42" t="str">
        <x:v>Định dạng chung</x:v>
      </x:c>
      <x:c r="D75" s="42" t="str">
        <x:v>Phân trang</x:v>
      </x:c>
      <x:c r="E75" s="28" t="str">
        <x:v>Section</x:v>
      </x:c>
      <x:c r="F75" s="28" t="str">
        <x:v>—</x:v>
      </x:c>
      <x:c r="G75" s="28" t="str">
        <x:v>CHƯA ĐỊNH TUYẾN: xác nhận chế độ + loại văn bản + chủ thể + ngày áp dụng trước khi xét rule</x:v>
      </x:c>
      <x:c r="H75" s="28" t="str">
        <x:v>Quản lý section, pagebreak/keepNext nhưng chỉ khi có bằng chứng bố cục</x:v>
      </x:c>
      <x:c r="I75" s="28" t="str">
        <x:v>Không áp dụng</x:v>
      </x:c>
      <x:c r="J75" s="28" t="str">
        <x:v>Không áp dụng</x:v>
      </x:c>
      <x:c r="K75" s="28"/>
      <x:c r="L75" s="28"/>
      <x:c r="M75" s="28"/>
      <x:c r="N75" s="28"/>
      <x:c r="O75" s="28"/>
      <x:c r="P75" s="28"/>
      <x:c r="Q75" s="28"/>
      <x:c r="R75" s="28" t="str">
        <x:v>w:sectPr, w:br, w:keepNext (điều kiện)</x:v>
      </x:c>
      <x:c r="S75" s="28" t="str">
        <x:v>Không có một giá trị pháp lý mặc định cho tất cả tiêu đề</x:v>
      </x:c>
      <x:c r="T75" s="28" t="str">
        <x:v>HD05, Phần II, IV; Phụ lục 2</x:v>
      </x:c>
      <x:c r="U75" s="28" t="str">
        <x:v>https://dangcongsan.vn/vanphongtrunguong/van-ban-cua-dang/huong-dan-so-05-hd-vptw-ngay-27-5-2026-cua-van-phong-trung-uong-dang-ve-the-thuc-va-ky-thuat-trinh-bay-van-ban-cua-dang.html?categoryId=3000525</x:v>
      </x:c>
      <x:c r="V75" s="28" t="str">
        <x:v>https://thuvienphapluat.vn/van-ban/Bo-may-hanh-chinh/Huong-dan-05-HD-VPTW-2026-the-thuc-va-ky-thuat-trinh-bay-van-ban-cua-Dang-707499.aspx</x:v>
      </x:c>
      <x:c r="W75" s="28" t="str">
        <x:v>CẦN QA KỸ THUẬT</x:v>
      </x:c>
      <x:c r="X75" s="28" t="str">
        <x:v>REVIEW TRƯỚC KHI SỬA</x:v>
      </x:c>
      <x:c r="Y75" s="28" t="str">
        <x:v>Thiết lập kỹ thuật DOCX, không phải một “thành phần thể thức” pháp lý độc lập. | Trạng thái v1.0: THIẾT LẬP KỸ THUẬT</x:v>
      </x:c>
    </x:row>
    <x:row r="76" ht="54" customHeight="1">
      <x:c r="A76" s="32" t="n">
        <x:v>70</x:v>
      </x:c>
      <x:c r="B76" s="34" t="str">
        <x:v>HD05.G.PHAN_TRANG.NGAT_TRANG</x:v>
      </x:c>
      <x:c r="C76" s="42" t="str">
        <x:v>Định dạng chung</x:v>
      </x:c>
      <x:c r="D76" s="42" t="str">
        <x:v>Phân trang</x:v>
      </x:c>
      <x:c r="E76" s="28" t="str">
        <x:v>Ngắt trang</x:v>
      </x:c>
      <x:c r="F76" s="28" t="str">
        <x:v>—</x:v>
      </x:c>
      <x:c r="G76" s="28" t="str">
        <x:v>CHƯA ĐỊNH TUYẾN: xác nhận chế độ + loại văn bản + chủ thể + ngày áp dụng trước khi xét rule</x:v>
      </x:c>
      <x:c r="H76" s="28" t="str">
        <x:v>Quản lý section, pagebreak/keepNext nhưng chỉ khi có bằng chứng bố cục</x:v>
      </x:c>
      <x:c r="I76" s="28" t="str">
        <x:v>Không áp dụng</x:v>
      </x:c>
      <x:c r="J76" s="28" t="str">
        <x:v>Không áp dụng</x:v>
      </x:c>
      <x:c r="K76" s="28"/>
      <x:c r="L76" s="28"/>
      <x:c r="M76" s="28"/>
      <x:c r="N76" s="28"/>
      <x:c r="O76" s="28"/>
      <x:c r="P76" s="28"/>
      <x:c r="Q76" s="28"/>
      <x:c r="R76" s="28" t="str">
        <x:v>w:sectPr, w:br, w:keepNext (điều kiện)</x:v>
      </x:c>
      <x:c r="S76" s="28" t="str">
        <x:v>Không có một giá trị pháp lý mặc định cho tất cả tiêu đề</x:v>
      </x:c>
      <x:c r="T76" s="28" t="str">
        <x:v>HD05, Phần II, IV; Phụ lục 2</x:v>
      </x:c>
      <x:c r="U76" s="28" t="str">
        <x:v>https://dangcongsan.vn/vanphongtrunguong/van-ban-cua-dang/huong-dan-so-05-hd-vptw-ngay-27-5-2026-cua-van-phong-trung-uong-dang-ve-the-thuc-va-ky-thuat-trinh-bay-van-ban-cua-dang.html?categoryId=3000525</x:v>
      </x:c>
      <x:c r="V76" s="28" t="str">
        <x:v>https://thuvienphapluat.vn/van-ban/Bo-may-hanh-chinh/Huong-dan-05-HD-VPTW-2026-the-thuc-va-ky-thuat-trinh-bay-van-ban-cua-Dang-707499.aspx</x:v>
      </x:c>
      <x:c r="W76" s="28" t="str">
        <x:v>CẦN QA KỸ THUẬT</x:v>
      </x:c>
      <x:c r="X76" s="28" t="str">
        <x:v>REVIEW TRƯỚC KHI SỬA</x:v>
      </x:c>
      <x:c r="Y76" s="28" t="str">
        <x:v>Thiết lập kỹ thuật DOCX, không phải một “thành phần thể thức” pháp lý độc lập. | Trạng thái v1.0: THIẾT LẬP KỸ THUẬT</x:v>
      </x:c>
    </x:row>
    <x:row r="77" ht="54" customHeight="1">
      <x:c r="A77" s="32" t="n">
        <x:v>71</x:v>
      </x:c>
      <x:c r="B77" s="34" t="str">
        <x:v>HD05.G.PHAN_TRANG.KEEP_WITH_NEXT</x:v>
      </x:c>
      <x:c r="C77" s="42" t="str">
        <x:v>Định dạng chung</x:v>
      </x:c>
      <x:c r="D77" s="42" t="str">
        <x:v>Phân trang</x:v>
      </x:c>
      <x:c r="E77" s="28" t="str">
        <x:v>Giữ cùng đoạn tiếp</x:v>
      </x:c>
      <x:c r="F77" s="28" t="str">
        <x:v>—</x:v>
      </x:c>
      <x:c r="G77" s="28" t="str">
        <x:v>CHƯA ĐỊNH TUYẾN: xác nhận chế độ + loại văn bản + chủ thể + ngày áp dụng trước khi xét rule</x:v>
      </x:c>
      <x:c r="H77" s="28" t="str">
        <x:v>Quản lý section, pagebreak/keepNext nhưng chỉ khi có bằng chứng bố cục</x:v>
      </x:c>
      <x:c r="I77" s="28" t="str">
        <x:v>Không áp dụng</x:v>
      </x:c>
      <x:c r="J77" s="28" t="str">
        <x:v>Không áp dụng</x:v>
      </x:c>
      <x:c r="K77" s="28"/>
      <x:c r="L77" s="28"/>
      <x:c r="M77" s="28"/>
      <x:c r="N77" s="28"/>
      <x:c r="O77" s="28"/>
      <x:c r="P77" s="28"/>
      <x:c r="Q77" s="28"/>
      <x:c r="R77" s="28" t="str">
        <x:v>w:sectPr, w:br, w:keepNext (điều kiện)</x:v>
      </x:c>
      <x:c r="S77" s="28" t="str">
        <x:v>Không có một giá trị pháp lý mặc định cho tất cả tiêu đề</x:v>
      </x:c>
      <x:c r="T77" s="28" t="str">
        <x:v>HD05, Phần II, IV; Phụ lục 2</x:v>
      </x:c>
      <x:c r="U77" s="28" t="str">
        <x:v>https://dangcongsan.vn/vanphongtrunguong/van-ban-cua-dang/huong-dan-so-05-hd-vptw-ngay-27-5-2026-cua-van-phong-trung-uong-dang-ve-the-thuc-va-ky-thuat-trinh-bay-van-ban-cua-dang.html?categoryId=3000525</x:v>
      </x:c>
      <x:c r="V77" s="28" t="str">
        <x:v>https://thuvienphapluat.vn/van-ban/Bo-may-hanh-chinh/Huong-dan-05-HD-VPTW-2026-the-thuc-va-ky-thuat-trinh-bay-van-ban-cua-Dang-707499.aspx</x:v>
      </x:c>
      <x:c r="W77" s="28" t="str">
        <x:v>CẦN QA KỸ THUẬT</x:v>
      </x:c>
      <x:c r="X77" s="28" t="str">
        <x:v>REVIEW TRƯỚC KHI SỬA</x:v>
      </x:c>
      <x:c r="Y77" s="28" t="str">
        <x:v>Thiết lập kỹ thuật DOCX, không phải một “thành phần thể thức” pháp lý độc lập. | Trạng thái v1.0: THIẾT LẬP KỸ THUẬT</x:v>
      </x:c>
    </x:row>
    <x:row r="78" ht="54" customHeight="1">
      <x:c r="A78" s="32" t="n">
        <x:v>72</x:v>
      </x:c>
      <x:c r="B78" s="34" t="str">
        <x:v>HD05.G.SO_TRANG.VI_TRI</x:v>
      </x:c>
      <x:c r="C78" s="42" t="str">
        <x:v>Định dạng chung</x:v>
      </x:c>
      <x:c r="D78" s="42" t="str">
        <x:v>Đánh số trang</x:v>
      </x:c>
      <x:c r="E78" s="28" t="str">
        <x:v>Vị trí số trang</x:v>
      </x:c>
      <x:c r="F78" s="28" t="str">
        <x:v>—</x:v>
      </x:c>
      <x:c r="G78" s="28" t="str">
        <x:v>CHƯA ĐỊNH TUYẾN: xác nhận chế độ + loại văn bản + chủ thể + ngày áp dụng trước khi xét rule</x:v>
      </x:c>
      <x:c r="H78" s="28" t="str">
        <x:v>Số trang bằng chữ số Ả Rập, trang đầu không hiển thị</x:v>
      </x:c>
      <x:c r="I78" s="28" t="str">
        <x:v>Times New Roman</x:v>
      </x:c>
      <x:c r="J78" s="28" t="str">
        <x:v>14</x:v>
      </x:c>
      <x:c r="K78" s="28"/>
      <x:c r="L78" s="28"/>
      <x:c r="M78" s="28"/>
      <x:c r="N78" s="28" t="str">
        <x:v>Căn giữa ngang vùng nội dung, trong lề trên</x:v>
      </x:c>
      <x:c r="O78" s="28"/>
      <x:c r="P78" s="28"/>
      <x:c r="Q78" s="28"/>
      <x:c r="R78" s="28" t="str">
        <x:v>PAGE field / header pagination; khác HEAD logic</x:v>
      </x:c>
      <x:c r="S78" s="28" t="str">
        <x:v>HD05: cách mép trên 10 mm</x:v>
      </x:c>
      <x:c r="T78" s="28" t="str">
        <x:v>HD05, Phần II, IV; Phụ lục 2</x:v>
      </x:c>
      <x:c r="U78" s="28" t="str">
        <x:v>https://dangcongsan.vn/vanphongtrunguong/van-ban-cua-dang/huong-dan-so-05-hd-vptw-ngay-27-5-2026-cua-van-phong-trung-uong-dang-ve-the-thuc-va-ky-thuat-trinh-bay-van-ban-cua-dang.html?categoryId=3000525</x:v>
      </x:c>
      <x:c r="V78" s="28" t="str">
        <x:v>https://thuvienphapluat.vn/van-ban/Bo-may-hanh-chinh/Huong-dan-05-HD-VPTW-2026-the-thuc-va-ky-thuat-trinh-bay-van-ban-cua-Dang-707499.aspx</x:v>
      </x:c>
      <x:c r="W78" s="28" t="str">
        <x:v>ĐỐI CHIẾU MỘT PHẦN</x:v>
      </x:c>
      <x:c r="X78" s="28" t="str">
        <x:v>CHỈ SAU REVIEW</x:v>
      </x:c>
      <x:c r="Y78" s="28" t="str">
        <x:v>Không tự chèn/sửa khi chưa có chứng cứ về đối tượng và rule.</x:v>
      </x:c>
    </x:row>
    <x:row r="79" ht="54" customHeight="1">
      <x:c r="A79" s="32" t="n">
        <x:v>73</x:v>
      </x:c>
      <x:c r="B79" s="34" t="str">
        <x:v>HD05.G.SO_TRANG.DINH_DANG</x:v>
      </x:c>
      <x:c r="C79" s="42" t="str">
        <x:v>Định dạng chung</x:v>
      </x:c>
      <x:c r="D79" s="42" t="str">
        <x:v>Đánh số trang</x:v>
      </x:c>
      <x:c r="E79" s="28" t="str">
        <x:v>Định dạng số trang</x:v>
      </x:c>
      <x:c r="F79" s="28" t="str">
        <x:v>—</x:v>
      </x:c>
      <x:c r="G79" s="28" t="str">
        <x:v>CHƯA ĐỊNH TUYẾN: xác nhận chế độ + loại văn bản + chủ thể + ngày áp dụng trước khi xét rule</x:v>
      </x:c>
      <x:c r="H79" s="28" t="str">
        <x:v>Số trang bằng chữ số Ả Rập, trang đầu không hiển thị</x:v>
      </x:c>
      <x:c r="I79" s="28" t="str">
        <x:v>Times New Roman</x:v>
      </x:c>
      <x:c r="J79" s="28" t="str">
        <x:v>14</x:v>
      </x:c>
      <x:c r="K79" s="28"/>
      <x:c r="L79" s="28"/>
      <x:c r="M79" s="28"/>
      <x:c r="N79" s="28" t="str">
        <x:v>Căn giữa ngang vùng nội dung, trong lề trên</x:v>
      </x:c>
      <x:c r="O79" s="28"/>
      <x:c r="P79" s="28"/>
      <x:c r="Q79" s="28"/>
      <x:c r="R79" s="28" t="str">
        <x:v>PAGE field / header pagination; khác HEAD logic</x:v>
      </x:c>
      <x:c r="S79" s="28" t="str">
        <x:v>HD05: cách mép trên 10 mm</x:v>
      </x:c>
      <x:c r="T79" s="28" t="str">
        <x:v>HD05, Phần II, IV; Phụ lục 2</x:v>
      </x:c>
      <x:c r="U79" s="28" t="str">
        <x:v>https://dangcongsan.vn/vanphongtrunguong/van-ban-cua-dang/huong-dan-so-05-hd-vptw-ngay-27-5-2026-cua-van-phong-trung-uong-dang-ve-the-thuc-va-ky-thuat-trinh-bay-van-ban-cua-dang.html?categoryId=3000525</x:v>
      </x:c>
      <x:c r="V79" s="28" t="str">
        <x:v>https://thuvienphapluat.vn/van-ban/Bo-may-hanh-chinh/Huong-dan-05-HD-VPTW-2026-the-thuc-va-ky-thuat-trinh-bay-van-ban-cua-Dang-707499.aspx</x:v>
      </x:c>
      <x:c r="W79" s="28" t="str">
        <x:v>ĐỐI CHIẾU MỘT PHẦN</x:v>
      </x:c>
      <x:c r="X79" s="28" t="str">
        <x:v>CHỈ SAU REVIEW</x:v>
      </x:c>
      <x:c r="Y79" s="28" t="str">
        <x:v>Không tự chèn/sửa khi chưa có chứng cứ về đối tượng và rule.</x:v>
      </x:c>
    </x:row>
    <x:row r="80" ht="54" customHeight="1">
      <x:c r="A80" s="32" t="n">
        <x:v>74</x:v>
      </x:c>
      <x:c r="B80" s="34" t="str">
        <x:v>HD05.G.IN.HAI_MAT</x:v>
      </x:c>
      <x:c r="C80" s="42" t="str">
        <x:v>Định dạng chung</x:v>
      </x:c>
      <x:c r="D80" s="42" t="str">
        <x:v>Chế độ in</x:v>
      </x:c>
      <x:c r="E80" s="28" t="str">
        <x:v>In hai mặt/đối xứng lề theo HD05</x:v>
      </x:c>
      <x:c r="F80" s="28" t="str">
        <x:v>—</x:v>
      </x:c>
      <x:c r="G80" s="28" t="str">
        <x:v>two_sided_print</x:v>
      </x:c>
      <x:c r="H80" s="28" t="str">
        <x:v>Đối xứng lề mặt sau khi in hai mặt theo HD05</x:v>
      </x:c>
      <x:c r="I80" s="28" t="str">
        <x:v>Không áp dụng</x:v>
      </x:c>
      <x:c r="J80" s="28" t="str">
        <x:v>Không áp dụng</x:v>
      </x:c>
      <x:c r="K80" s="28"/>
      <x:c r="L80" s="28"/>
      <x:c r="M80" s="28"/>
      <x:c r="N80" s="28"/>
      <x:c r="O80" s="28"/>
      <x:c r="P80" s="28"/>
      <x:c r="Q80" s="28"/>
      <x:c r="R80" s="28" t="str">
        <x:v>Even/odd section page margin settings; preview hai mặt</x:v>
      </x:c>
      <x:c r="S80" s="28" t="str">
        <x:v>Mặt trước trái30/phải15; mặt sau trái15/phải30 mm; trên/dưới20 mm</x:v>
      </x:c>
      <x:c r="T80" s="28" t="str">
        <x:v>HD05, Phần II, IV; Phụ lục 2</x:v>
      </x:c>
      <x:c r="U80" s="28" t="str">
        <x:v>https://dangcongsan.vn/vanphongtrunguong/van-ban-cua-dang/huong-dan-so-05-hd-vptw-ngay-27-5-2026-cua-van-phong-trung-uong-dang-ve-the-thuc-va-ky-thuat-trinh-bay-van-ban-cua-dang.html?categoryId=3000525</x:v>
      </x:c>
      <x:c r="V80" s="28" t="str">
        <x:v>https://thuvienphapluat.vn/van-ban/Bo-may-hanh-chinh/Huong-dan-05-HD-VPTW-2026-the-thuc-va-ky-thuat-trinh-bay-van-ban-cua-Dang-707499.aspx</x:v>
      </x:c>
      <x:c r="W80" s="28" t="str">
        <x:v>ĐỐI CHIẾU MỘT PHẦN</x:v>
      </x:c>
      <x:c r="X80" s="28" t="str">
        <x:v>CHỈ SAU REVIEW</x:v>
      </x:c>
      <x:c r="Y80" s="28" t="str">
        <x:v>Không tự chèn/sửa khi chưa có chứng cứ về đối tượng và rule.</x:v>
      </x:c>
    </x:row>
    <x:row r="81" ht="54" customHeight="1">
      <x:c r="A81" s="32" t="n">
        <x:v>75</x:v>
      </x:c>
      <x:c r="B81" s="34" t="str">
        <x:v>HD05.X.MAT.MUC_DO</x:v>
      </x:c>
      <x:c r="C81" s="44" t="str">
        <x:v>Thể thức bổ sung</x:v>
      </x:c>
      <x:c r="D81" s="44" t="str">
        <x:v>Chỉ độ mật</x:v>
      </x:c>
      <x:c r="E81" s="28" t="str">
        <x:v>Mức độ mật theo quy định bảo vệ bí mật có liên quan</x:v>
      </x:c>
      <x:c r="F81" s="28" t="str">
        <x:v>—</x:v>
      </x:c>
      <x:c r="G81" s="28" t="str">
        <x:v>Chỉ khi nội dung/chủ thể có thẩm quyền và yêu cầu bổ sung hợp lệ</x:v>
      </x:c>
      <x:c r="H81" s="28" t="str">
        <x:v>Dấu mật, hình thức/độ mật theo pháp luật bảo vệ bí mật nhà nước</x:v>
      </x:c>
      <x:c r="I81" s="28" t="str">
        <x:v>Theo quy định chuyên ngành</x:v>
      </x:c>
      <x:c r="J81" s="28"/>
      <x:c r="K81" s="28"/>
      <x:c r="L81" s="28"/>
      <x:c r="M81" s="28"/>
      <x:c r="N81" s="28"/>
      <x:c r="O81" s="28"/>
      <x:c r="P81" s="28"/>
      <x:c r="Q81" s="28"/>
      <x:c r="R81" s="28" t="str">
        <x:v>Metadata + vùng trình bày có điều kiện; đánh giá thủ công trước sửa</x:v>
      </x:c>
      <x:c r="S81" s="28" t="str">
        <x:v>Thành phần bảo mật theo quy định bảo vệ bí mật nhà nước; nguồn này không quy định một ô độc lập trong sơ đồ Phụ lục 1; KHÔNG tự gán số ô</x:v>
      </x:c>
      <x:c r="T81" s="28" t="str">
        <x:v>HD05, Phần II, II.2; quy định BV BMNN</x:v>
      </x:c>
      <x:c r="U81" s="28" t="str">
        <x:v>https://dangcongsan.vn/vanphongtrunguong/van-ban-cua-dang/huong-dan-so-05-hd-vptw-ngay-27-5-2026-cua-van-phong-trung-uong-dang-ve-the-thuc-va-ky-thuat-trinh-bay-van-ban-cua-dang.html?categoryId=3000525</x:v>
      </x:c>
      <x:c r="V81" s="28" t="str">
        <x:v>https://thuvienphapluat.vn/van-ban/Bo-may-hanh-chinh/Huong-dan-05-HD-VPTW-2026-the-thuc-va-ky-thuat-trinh-bay-van-ban-cua-Dang-707499.aspx</x:v>
      </x:c>
      <x:c r="W81" s="28" t="str">
        <x:v>CHƯA ĐỦ BẰNG CHỨNG</x:v>
      </x:c>
      <x:c r="X81" s="28" t="str">
        <x:v>BẢO VỆ / KHÔNG TỰ SỬA</x:v>
      </x:c>
      <x:c r="Y81" s="28" t="str">
        <x:v>Không tự chèn/sửa khi chưa có chứng cứ về đối tượng và rule. | Trạng thái v1.0: BẢO VỆ</x:v>
      </x:c>
    </x:row>
    <x:row r="82" ht="54" customHeight="1">
      <x:c r="A82" s="32" t="n">
        <x:v>76</x:v>
      </x:c>
      <x:c r="B82" s="34" t="str">
        <x:v>HD05.X.KHAN.MUC_DO</x:v>
      </x:c>
      <x:c r="C82" s="44" t="str">
        <x:v>Thể thức bổ sung</x:v>
      </x:c>
      <x:c r="D82" s="44" t="str">
        <x:v>Chỉ mức độ khẩn</x:v>
      </x:c>
      <x:c r="E82" s="28" t="str">
        <x:v>Mức độ khẩn</x:v>
      </x:c>
      <x:c r="F82" s="28" t="str">
        <x:v>10</x:v>
      </x:c>
      <x:c r="G82" s="28" t="str">
        <x:v>Chỉ khi nội dung/chủ thể có thẩm quyền và yêu cầu bổ sung hợp lệ</x:v>
      </x:c>
      <x:c r="H82" s="28" t="str">
        <x:v>Dấu HỎA TỐC / THƯỢNG KHẨN / KHẨN theo quyết định có thẩm quyền</x:v>
      </x:c>
      <x:c r="I82" s="28" t="str">
        <x:v>Times New Roman</x:v>
      </x:c>
      <x:c r="J82" s="28" t="str">
        <x:v>14</x:v>
      </x:c>
      <x:c r="K82" s="28" t="str">
        <x:v>IN HOA</x:v>
      </x:c>
      <x:c r="L82" s="28" t="str">
        <x:v>Có</x:v>
      </x:c>
      <x:c r="M82" s="28" t="str">
        <x:v>Không</x:v>
      </x:c>
      <x:c r="N82" s="28"/>
      <x:c r="O82" s="28"/>
      <x:c r="P82" s="28"/>
      <x:c r="Q82" s="28"/>
      <x:c r="R82" s="28" t="str">
        <x:v>Metadata + vùng trình bày có điều kiện; đánh giá thủ công trước sửa</x:v>
      </x:c>
      <x:c r="S82" s="28" t="str">
        <x:v>HD05: trình bày dưới số/ký hiệu; với công văn dưới trích yếu</x:v>
      </x:c>
      <x:c r="T82" s="28" t="str">
        <x:v>HD05, Phần II, II (Các thành phần bổ sung); Phụ lục 2</x:v>
      </x:c>
      <x:c r="U82" s="28" t="str">
        <x:v>https://dangcongsan.vn/vanphongtrunguong/van-ban-cua-dang/huong-dan-so-05-hd-vptw-ngay-27-5-2026-cua-van-phong-trung-uong-dang-ve-the-thuc-va-ky-thuat-trinh-bay-van-ban-cua-dang.html?categoryId=3000525</x:v>
      </x:c>
      <x:c r="V82" s="28" t="str">
        <x:v>https://thuvienphapluat.vn/van-ban/Bo-may-hanh-chinh/Huong-dan-05-HD-VPTW-2026-the-thuc-va-ky-thuat-trinh-bay-van-ban-cua-Dang-707499.aspx</x:v>
      </x:c>
      <x:c r="W82" s="28" t="str">
        <x:v>CHƯA ĐỦ BẰNG CHỨNG</x:v>
      </x:c>
      <x:c r="X82" s="28" t="str">
        <x:v>KHÔNG TỰ CHÈN</x:v>
      </x:c>
      <x:c r="Y82" s="28" t="str">
        <x:v>Không tự chèn/sửa khi chưa có chứng cứ về đối tượng và rule. | Trạng thái v1.0: CÓ ĐIỀU KIỆN</x:v>
      </x:c>
    </x:row>
    <x:row r="83" ht="54" customHeight="1">
      <x:c r="A83" s="32" t="n">
        <x:v>77</x:v>
      </x:c>
      <x:c r="B83" s="34" t="str">
        <x:v>HD05.X.LUU_HANH.CHI_DAN</x:v>
      </x:c>
      <x:c r="C83" s="44" t="str">
        <x:v>Thể thức bổ sung</x:v>
      </x:c>
      <x:c r="D83" s="44" t="str">
        <x:v>Phạm vi lưu hành, phổ biến</x:v>
      </x:c>
      <x:c r="E83" s="28" t="str">
        <x:v>Chỉ dẫn phạm vi lưu hành, phổ biến</x:v>
      </x:c>
      <x:c r="F83" s="28" t="str">
        <x:v>11a</x:v>
      </x:c>
      <x:c r="G83" s="28" t="str">
        <x:v>Chỉ khi nội dung/chủ thể có thẩm quyền và yêu cầu bổ sung hợp lệ</x:v>
      </x:c>
      <x:c r="H83" s="28" t="str">
        <x:v>Chỉ dẫn phạm vi lưu hành/phổ biến theo quyết định có thẩm quyền</x:v>
      </x:c>
      <x:c r="I83" s="28" t="str">
        <x:v>Times New Roman</x:v>
      </x:c>
      <x:c r="J83" s="28" t="str">
        <x:v>12</x:v>
      </x:c>
      <x:c r="K83" s="28" t="str">
        <x:v>IN HOA</x:v>
      </x:c>
      <x:c r="L83" s="28" t="str">
        <x:v>Có</x:v>
      </x:c>
      <x:c r="M83" s="28" t="str">
        <x:v>Không</x:v>
      </x:c>
      <x:c r="N83" s="28"/>
      <x:c r="O83" s="28"/>
      <x:c r="P83" s="28"/>
      <x:c r="Q83" s="28"/>
      <x:c r="R83" s="28" t="str">
        <x:v>Metadata + vùng trình bày có điều kiện; đánh giá thủ công trước sửa</x:v>
      </x:c>
      <x:c r="S83" s="28" t="str">
        <x:v>HD05: góc phải trang 1 (ngoại lệ “Không phổ biến...” ở trang cuối)</x:v>
      </x:c>
      <x:c r="T83" s="28" t="str">
        <x:v>HD05, Phần II, II (Các thành phần bổ sung); Phụ lục 2</x:v>
      </x:c>
      <x:c r="U83" s="28" t="str">
        <x:v>https://dangcongsan.vn/vanphongtrunguong/van-ban-cua-dang/huong-dan-so-05-hd-vptw-ngay-27-5-2026-cua-van-phong-trung-uong-dang-ve-the-thuc-va-ky-thuat-trinh-bay-van-ban-cua-dang.html?categoryId=3000525</x:v>
      </x:c>
      <x:c r="V83" s="28" t="str">
        <x:v>https://thuvienphapluat.vn/van-ban/Bo-may-hanh-chinh/Huong-dan-05-HD-VPTW-2026-the-thuc-va-ky-thuat-trinh-bay-van-ban-cua-Dang-707499.aspx</x:v>
      </x:c>
      <x:c r="W83" s="28" t="str">
        <x:v>CHƯA ĐỦ BẰNG CHỨNG</x:v>
      </x:c>
      <x:c r="X83" s="28" t="str">
        <x:v>KHÔNG TỰ CHÈN</x:v>
      </x:c>
      <x:c r="Y83" s="28" t="str">
        <x:v>Không tự chèn/sửa khi chưa có chứng cứ về đối tượng và rule. | Trạng thái v1.0: CÓ ĐIỀU KIỆN | So sánh cũ (không tham gia xác nhận): NĐ30: ô 11, khung viền đơn; HD05: góc phải trang 1 (ngoại lệ “Không phổ biến...” ở trang cuối)</x:v>
      </x:c>
    </x:row>
    <x:row r="84" ht="54" customHeight="1">
      <x:c r="A84" s="32" t="n">
        <x:v>78</x:v>
      </x:c>
      <x:c r="B84" s="34" t="str">
        <x:v>HD05.X.DU_THAO.CHI_DAN</x:v>
      </x:c>
      <x:c r="C84" s="44" t="str">
        <x:v>Thể thức bổ sung</x:v>
      </x:c>
      <x:c r="D84" s="44" t="str">
        <x:v>Dự thảo</x:v>
      </x:c>
      <x:c r="E84" s="28" t="str">
        <x:v>Chỉ dẫn dự thảo, lần dự thảo</x:v>
      </x:c>
      <x:c r="F84" s="28" t="str">
        <x:v>11b</x:v>
      </x:c>
      <x:c r="G84" s="28" t="str">
        <x:v>Chỉ khi nội dung/chủ thể có thẩm quyền và yêu cầu bổ sung hợp lệ</x:v>
      </x:c>
      <x:c r="H84" s="28" t="str">
        <x:v>Chỉ dẫn dự thảo và lần dự thảo</x:v>
      </x:c>
      <x:c r="I84" s="28" t="str">
        <x:v>Times New Roman</x:v>
      </x:c>
      <x:c r="J84" s="28" t="str">
        <x:v>14</x:v>
      </x:c>
      <x:c r="K84" s="28" t="str">
        <x:v>In thường</x:v>
      </x:c>
      <x:c r="L84" s="28"/>
      <x:c r="M84" s="28" t="str">
        <x:v>Có</x:v>
      </x:c>
      <x:c r="N84" s="28"/>
      <x:c r="O84" s="28"/>
      <x:c r="P84" s="28"/>
      <x:c r="Q84" s="28"/>
      <x:c r="R84" s="28" t="str">
        <x:v>Metadata + vùng trình bày có điều kiện; đánh giá thủ công trước sửa</x:v>
      </x:c>
      <x:c r="S84" s="28" t="str">
        <x:v>HD05 ô 11b, dưới số và ký hiệu; không làm thành văn bản đã ban hành</x:v>
      </x:c>
      <x:c r="T84" s="28" t="str">
        <x:v>HD05, Phần II, II (Các thành phần bổ sung); Phụ lục 2</x:v>
      </x:c>
      <x:c r="U84" s="28" t="str">
        <x:v>https://dangcongsan.vn/vanphongtrunguong/van-ban-cua-dang/huong-dan-so-05-hd-vptw-ngay-27-5-2026-cua-van-phong-trung-uong-dang-ve-the-thuc-va-ky-thuat-trinh-bay-van-ban-cua-dang.html?categoryId=3000525</x:v>
      </x:c>
      <x:c r="V84" s="28" t="str">
        <x:v>https://thuvienphapluat.vn/van-ban/Bo-may-hanh-chinh/Huong-dan-05-HD-VPTW-2026-the-thuc-va-ky-thuat-trinh-bay-van-ban-cua-Dang-707499.aspx</x:v>
      </x:c>
      <x:c r="W84" s="28" t="str">
        <x:v>CHƯA ĐỦ BẰNG CHỨNG</x:v>
      </x:c>
      <x:c r="X84" s="28" t="str">
        <x:v>KHÔNG TỰ CHÈN</x:v>
      </x:c>
      <x:c r="Y84" s="28" t="str">
        <x:v>Không tự chèn/sửa khi chưa có chứng cứ về đối tượng và rule. | Trạng thái v1.0: CÓ ĐIỀU KIỆN</x:v>
      </x:c>
    </x:row>
    <x:row r="85" ht="54" customHeight="1">
      <x:c r="A85" s="32" t="n">
        <x:v>79</x:v>
      </x:c>
      <x:c r="B85" s="34" t="str">
        <x:v>HD05.X.SOAN.KY_HIEU_NGUOI_SOAN</x:v>
      </x:c>
      <x:c r="C85" s="44" t="str">
        <x:v>Thể thức bổ sung</x:v>
      </x:c>
      <x:c r="D85" s="44" t="str">
        <x:v>Thông tin soạn thảo/phát hành</x:v>
      </x:c>
      <x:c r="E85" s="28" t="str">
        <x:v>Ký hiệu người soạn</x:v>
      </x:c>
      <x:c r="F85" s="28" t="str">
        <x:v>12</x:v>
      </x:c>
      <x:c r="G85" s="28" t="str">
        <x:v>Chỉ khi nội dung/chủ thể có thẩm quyền và yêu cầu bổ sung hợp lệ</x:v>
      </x:c>
      <x:c r="H85" s="28" t="str">
        <x:v>Ký hiệu soạn thảo và số bản phát hành lấy từ quy trình văn thư</x:v>
      </x:c>
      <x:c r="I85" s="28" t="str">
        <x:v>Times New Roman</x:v>
      </x:c>
      <x:c r="J85" s="28" t="str">
        <x:v>11</x:v>
      </x:c>
      <x:c r="K85" s="28" t="str">
        <x:v>HD05: chữ thường</x:v>
      </x:c>
      <x:c r="L85" s="28" t="str">
        <x:v>Không</x:v>
      </x:c>
      <x:c r="M85" s="28" t="str">
        <x:v>Không</x:v>
      </x:c>
      <x:c r="N85" s="28"/>
      <x:c r="O85" s="28"/>
      <x:c r="P85" s="28"/>
      <x:c r="Q85" s="28"/>
      <x:c r="R85" s="28" t="str">
        <x:v>Metadata + vùng trình bày có điều kiện; đánh giá thủ công trước sửa</x:v>
      </x:c>
      <x:c r="S85" s="28" t="str">
        <x:v>HD05: ô 12, cuối Nơi nhận</x:v>
      </x:c>
      <x:c r="T85" s="28" t="str">
        <x:v>HD05, Phần II, II (Các thành phần bổ sung); Phụ lục 2</x:v>
      </x:c>
      <x:c r="U85" s="28" t="str">
        <x:v>https://dangcongsan.vn/vanphongtrunguong/van-ban-cua-dang/huong-dan-so-05-hd-vptw-ngay-27-5-2026-cua-van-phong-trung-uong-dang-ve-the-thuc-va-ky-thuat-trinh-bay-van-ban-cua-dang.html?categoryId=3000525</x:v>
      </x:c>
      <x:c r="V85" s="28" t="str">
        <x:v>https://thuvienphapluat.vn/van-ban/Bo-may-hanh-chinh/Huong-dan-05-HD-VPTW-2026-the-thuc-va-ky-thuat-trinh-bay-van-ban-cua-Dang-707499.aspx</x:v>
      </x:c>
      <x:c r="W85" s="28" t="str">
        <x:v>CHƯA ĐỦ BẰNG CHỨNG</x:v>
      </x:c>
      <x:c r="X85" s="28" t="str">
        <x:v>KHÔNG TỰ CHÈN</x:v>
      </x:c>
      <x:c r="Y85" s="28" t="str">
        <x:v>Không tự chèn/sửa khi chưa có chứng cứ về đối tượng và rule. | Trạng thái v1.0: CÓ ĐIỀU KIỆN | So sánh cũ (không tham gia xác nhận): NĐ30: ô 12; HD05: ô 12, cuối Nơi nhận</x:v>
      </x:c>
    </x:row>
    <x:row r="86" ht="54" customHeight="1">
      <x:c r="A86" s="32" t="n">
        <x:v>80</x:v>
      </x:c>
      <x:c r="B86" s="34" t="str">
        <x:v>HD05.X.SOAN.SO_BAN</x:v>
      </x:c>
      <x:c r="C86" s="44" t="str">
        <x:v>Thể thức bổ sung</x:v>
      </x:c>
      <x:c r="D86" s="44" t="str">
        <x:v>Thông tin soạn thảo/phát hành</x:v>
      </x:c>
      <x:c r="E86" s="28" t="str">
        <x:v>Số lượng bản phát hành</x:v>
      </x:c>
      <x:c r="F86" s="28" t="str">
        <x:v>12</x:v>
      </x:c>
      <x:c r="G86" s="28" t="str">
        <x:v>Chỉ khi nội dung/chủ thể có thẩm quyền và yêu cầu bổ sung hợp lệ</x:v>
      </x:c>
      <x:c r="H86" s="28" t="str">
        <x:v>Ký hiệu soạn thảo và số bản phát hành lấy từ quy trình văn thư</x:v>
      </x:c>
      <x:c r="I86" s="28" t="str">
        <x:v>Times New Roman</x:v>
      </x:c>
      <x:c r="J86" s="28" t="str">
        <x:v>11</x:v>
      </x:c>
      <x:c r="K86" s="28" t="str">
        <x:v>Chữ số Ả Rập (không áp quy tắc hoa/thường của ký hiệu)</x:v>
      </x:c>
      <x:c r="L86" s="28" t="str">
        <x:v>Không</x:v>
      </x:c>
      <x:c r="M86" s="28" t="str">
        <x:v>Không</x:v>
      </x:c>
      <x:c r="N86" s="28"/>
      <x:c r="O86" s="28"/>
      <x:c r="P86" s="28"/>
      <x:c r="Q86" s="28"/>
      <x:c r="R86" s="28" t="str">
        <x:v>Metadata + vùng trình bày có điều kiện; đánh giá thủ công trước sửa</x:v>
      </x:c>
      <x:c r="S86" s="28" t="str">
        <x:v>Số lượng bản phát hành dùng chữ số Ả Rập; cỡ 11 pt; không tự cấp hoặc tự sửa số bản</x:v>
      </x:c>
      <x:c r="T86" s="28" t="str">
        <x:v>HD05, Phần II, II (Các thành phần bổ sung); Phụ lục 2</x:v>
      </x:c>
      <x:c r="U86" s="28" t="str">
        <x:v>https://dangcongsan.vn/vanphongtrunguong/van-ban-cua-dang/huong-dan-so-05-hd-vptw-ngay-27-5-2026-cua-van-phong-trung-uong-dang-ve-the-thuc-va-ky-thuat-trinh-bay-van-ban-cua-dang.html?categoryId=3000525</x:v>
      </x:c>
      <x:c r="V86" s="28" t="str">
        <x:v>https://thuvienphapluat.vn/van-ban/Bo-may-hanh-chinh/Huong-dan-05-HD-VPTW-2026-the-thuc-va-ky-thuat-trinh-bay-van-ban-cua-Dang-707499.aspx</x:v>
      </x:c>
      <x:c r="W86" s="28" t="str">
        <x:v>CHƯA ĐỦ BẰNG CHỨNG</x:v>
      </x:c>
      <x:c r="X86" s="28" t="str">
        <x:v>KHÔNG TỰ CHÈN</x:v>
      </x:c>
      <x:c r="Y86" s="28" t="str">
        <x:v>Không tự chèn/sửa khi chưa có chứng cứ về đối tượng và rule. | Trạng thái v1.0: CÓ ĐIỀU KIỆN | So sánh cũ (không tham gia xác nhận): NĐ30: ô 12; HD05: ô 12, cuối Nơi nhận</x:v>
      </x:c>
    </x:row>
    <x:row r="87" ht="54" customHeight="1">
      <x:c r="A87" s="32" t="n">
        <x:v>81</x:v>
      </x:c>
      <x:c r="B87" s="34" t="str">
        <x:v>HD05.X.LIEN_HE.DIA_CHI</x:v>
      </x:c>
      <x:c r="C87" s="44" t="str">
        <x:v>Thể thức bổ sung</x:v>
      </x:c>
      <x:c r="D87" s="44" t="str">
        <x:v>Thông tin liên hệ</x:v>
      </x:c>
      <x:c r="E87" s="28" t="str">
        <x:v>Địa chỉ</x:v>
      </x:c>
      <x:c r="F87" s="28" t="str">
        <x:v>13</x:v>
      </x:c>
      <x:c r="G87" s="28" t="str">
        <x:v>Chỉ khi nội dung/chủ thể có thẩm quyền và yêu cầu bổ sung hợp lệ</x:v>
      </x:c>
      <x:c r="H87" s="28" t="str">
        <x:v>Thông tin liên hệ cơ quan chỉ khi cần thiết</x:v>
      </x:c>
      <x:c r="I87" s="28" t="str">
        <x:v>Times New Roman</x:v>
      </x:c>
      <x:c r="J87" s="28" t="str">
        <x:v>10</x:v>
      </x:c>
      <x:c r="K87" s="28" t="str">
        <x:v>In thường</x:v>
      </x:c>
      <x:c r="L87" s="28" t="str">
        <x:v>Không</x:v>
      </x:c>
      <x:c r="M87" s="28" t="str">
        <x:v>Không</x:v>
      </x:c>
      <x:c r="N87" s="28"/>
      <x:c r="O87" s="28"/>
      <x:c r="P87" s="28"/>
      <x:c r="Q87" s="28"/>
      <x:c r="R87" s="28" t="str">
        <x:v>Paragraph/contact block; preserve hyperlink and text</x:v>
      </x:c>
      <x:c r="S87" s="28" t="str">
        <x:v>HD05: trang cuối dưới đường kẻ ngang</x:v>
      </x:c>
      <x:c r="T87" s="28" t="str">
        <x:v>HD05, Phần II, II (Các thành phần bổ sung); Phụ lục 2</x:v>
      </x:c>
      <x:c r="U87" s="28" t="str">
        <x:v>https://dangcongsan.vn/vanphongtrunguong/van-ban-cua-dang/huong-dan-so-05-hd-vptw-ngay-27-5-2026-cua-van-phong-trung-uong-dang-ve-the-thuc-va-ky-thuat-trinh-bay-van-ban-cua-dang.html?categoryId=3000525</x:v>
      </x:c>
      <x:c r="V87" s="28" t="str">
        <x:v>https://thuvienphapluat.vn/van-ban/Bo-may-hanh-chinh/Huong-dan-05-HD-VPTW-2026-the-thuc-va-ky-thuat-trinh-bay-van-ban-cua-Dang-707499.aspx</x:v>
      </x:c>
      <x:c r="W87" s="28" t="str">
        <x:v>CHƯA ĐỦ BẰNG CHỨNG</x:v>
      </x:c>
      <x:c r="X87" s="28" t="str">
        <x:v>KHÔNG TỰ CHÈN</x:v>
      </x:c>
      <x:c r="Y87" s="28" t="str">
        <x:v>Không tự chèn/sửa khi chưa có chứng cứ về đối tượng và rule. | Trạng thái v1.0: CÓ ĐIỀU KIỆN | So sánh cũ (không tham gia xác nhận): NĐ30: trang đầu, dưới đường kẻ ngang hết vùng trình bày; HD05: trang cuối dưới đường kẻ ngang</x:v>
      </x:c>
    </x:row>
    <x:row r="88" ht="54" customHeight="1">
      <x:c r="A88" s="32" t="n">
        <x:v>82</x:v>
      </x:c>
      <x:c r="B88" s="34" t="str">
        <x:v>HD05.X.LIEN_HE.EMAIL</x:v>
      </x:c>
      <x:c r="C88" s="44" t="str">
        <x:v>Thể thức bổ sung</x:v>
      </x:c>
      <x:c r="D88" s="44" t="str">
        <x:v>Thông tin liên hệ</x:v>
      </x:c>
      <x:c r="E88" s="28" t="str">
        <x:v>Email</x:v>
      </x:c>
      <x:c r="F88" s="28" t="str">
        <x:v>13</x:v>
      </x:c>
      <x:c r="G88" s="28" t="str">
        <x:v>Chỉ khi nội dung/chủ thể có thẩm quyền và yêu cầu bổ sung hợp lệ</x:v>
      </x:c>
      <x:c r="H88" s="28" t="str">
        <x:v>Thông tin liên hệ cơ quan chỉ khi cần thiết</x:v>
      </x:c>
      <x:c r="I88" s="28" t="str">
        <x:v>Times New Roman</x:v>
      </x:c>
      <x:c r="J88" s="28" t="str">
        <x:v>10</x:v>
      </x:c>
      <x:c r="K88" s="28" t="str">
        <x:v>In thường</x:v>
      </x:c>
      <x:c r="L88" s="28" t="str">
        <x:v>Không</x:v>
      </x:c>
      <x:c r="M88" s="28" t="str">
        <x:v>Không</x:v>
      </x:c>
      <x:c r="N88" s="28"/>
      <x:c r="O88" s="28"/>
      <x:c r="P88" s="28"/>
      <x:c r="Q88" s="28"/>
      <x:c r="R88" s="28" t="str">
        <x:v>Paragraph/contact block; preserve hyperlink and text</x:v>
      </x:c>
      <x:c r="S88" s="28" t="str">
        <x:v>HD05: trang cuối dưới đường kẻ ngang</x:v>
      </x:c>
      <x:c r="T88" s="28" t="str">
        <x:v>HD05, Phần II, II (Các thành phần bổ sung); Phụ lục 2</x:v>
      </x:c>
      <x:c r="U88" s="28" t="str">
        <x:v>https://dangcongsan.vn/vanphongtrunguong/van-ban-cua-dang/huong-dan-so-05-hd-vptw-ngay-27-5-2026-cua-van-phong-trung-uong-dang-ve-the-thuc-va-ky-thuat-trinh-bay-van-ban-cua-dang.html?categoryId=3000525</x:v>
      </x:c>
      <x:c r="V88" s="28" t="str">
        <x:v>https://thuvienphapluat.vn/van-ban/Bo-may-hanh-chinh/Huong-dan-05-HD-VPTW-2026-the-thuc-va-ky-thuat-trinh-bay-van-ban-cua-Dang-707499.aspx</x:v>
      </x:c>
      <x:c r="W88" s="28" t="str">
        <x:v>CHƯA ĐỦ BẰNG CHỨNG</x:v>
      </x:c>
      <x:c r="X88" s="28" t="str">
        <x:v>KHÔNG TỰ CHÈN</x:v>
      </x:c>
      <x:c r="Y88" s="28" t="str">
        <x:v>Không tự chèn/sửa khi chưa có chứng cứ về đối tượng và rule. | Trạng thái v1.0: CÓ ĐIỀU KIỆN | So sánh cũ (không tham gia xác nhận): NĐ30: trang đầu, dưới đường kẻ ngang hết vùng trình bày; HD05: trang cuối dưới đường kẻ ngang</x:v>
      </x:c>
    </x:row>
    <x:row r="89" ht="54" customHeight="1">
      <x:c r="A89" s="32" t="n">
        <x:v>83</x:v>
      </x:c>
      <x:c r="B89" s="34" t="str">
        <x:v>HD05.X.LIEN_HE.DIEN_THOAI</x:v>
      </x:c>
      <x:c r="C89" s="44" t="str">
        <x:v>Thể thức bổ sung</x:v>
      </x:c>
      <x:c r="D89" s="44" t="str">
        <x:v>Thông tin liên hệ</x:v>
      </x:c>
      <x:c r="E89" s="28" t="str">
        <x:v>Điện thoại</x:v>
      </x:c>
      <x:c r="F89" s="28" t="str">
        <x:v>13</x:v>
      </x:c>
      <x:c r="G89" s="28" t="str">
        <x:v>Chỉ khi nội dung/chủ thể có thẩm quyền và yêu cầu bổ sung hợp lệ</x:v>
      </x:c>
      <x:c r="H89" s="28" t="str">
        <x:v>Thông tin liên hệ cơ quan chỉ khi cần thiết</x:v>
      </x:c>
      <x:c r="I89" s="28" t="str">
        <x:v>Times New Roman</x:v>
      </x:c>
      <x:c r="J89" s="28" t="str">
        <x:v>10</x:v>
      </x:c>
      <x:c r="K89" s="28" t="str">
        <x:v>In thường</x:v>
      </x:c>
      <x:c r="L89" s="28" t="str">
        <x:v>Không</x:v>
      </x:c>
      <x:c r="M89" s="28" t="str">
        <x:v>Không</x:v>
      </x:c>
      <x:c r="N89" s="28"/>
      <x:c r="O89" s="28"/>
      <x:c r="P89" s="28"/>
      <x:c r="Q89" s="28"/>
      <x:c r="R89" s="28" t="str">
        <x:v>Paragraph/contact block; preserve hyperlink and text</x:v>
      </x:c>
      <x:c r="S89" s="28" t="str">
        <x:v>HD05: trang cuối dưới đường kẻ ngang</x:v>
      </x:c>
      <x:c r="T89" s="28" t="str">
        <x:v>HD05, Phần II, II (Các thành phần bổ sung); Phụ lục 2</x:v>
      </x:c>
      <x:c r="U89" s="28" t="str">
        <x:v>https://dangcongsan.vn/vanphongtrunguong/van-ban-cua-dang/huong-dan-so-05-hd-vptw-ngay-27-5-2026-cua-van-phong-trung-uong-dang-ve-the-thuc-va-ky-thuat-trinh-bay-van-ban-cua-dang.html?categoryId=3000525</x:v>
      </x:c>
      <x:c r="V89" s="28" t="str">
        <x:v>https://thuvienphapluat.vn/van-ban/Bo-may-hanh-chinh/Huong-dan-05-HD-VPTW-2026-the-thuc-va-ky-thuat-trinh-bay-van-ban-cua-Dang-707499.aspx</x:v>
      </x:c>
      <x:c r="W89" s="28" t="str">
        <x:v>CHƯA ĐỦ BẰNG CHỨNG</x:v>
      </x:c>
      <x:c r="X89" s="28" t="str">
        <x:v>KHÔNG TỰ CHÈN</x:v>
      </x:c>
      <x:c r="Y89" s="28" t="str">
        <x:v>Không tự chèn/sửa khi chưa có chứng cứ về đối tượng và rule. | Trạng thái v1.0: CÓ ĐIỀU KIỆN | So sánh cũ (không tham gia xác nhận): NĐ30: trang đầu, dưới đường kẻ ngang hết vùng trình bày; HD05: trang cuối dưới đường kẻ ngang</x:v>
      </x:c>
    </x:row>
    <x:row r="90" ht="54" customHeight="1">
      <x:c r="A90" s="32" t="n">
        <x:v>84</x:v>
      </x:c>
      <x:c r="B90" s="34" t="str">
        <x:v>HD05.X.LIEN_HE.WEB</x:v>
      </x:c>
      <x:c r="C90" s="44" t="str">
        <x:v>Thể thức bổ sung</x:v>
      </x:c>
      <x:c r="D90" s="44" t="str">
        <x:v>Thông tin liên hệ</x:v>
      </x:c>
      <x:c r="E90" s="28" t="str">
        <x:v>Website</x:v>
      </x:c>
      <x:c r="F90" s="28" t="str">
        <x:v>13</x:v>
      </x:c>
      <x:c r="G90" s="28" t="str">
        <x:v>Chỉ khi nội dung/chủ thể có thẩm quyền và yêu cầu bổ sung hợp lệ</x:v>
      </x:c>
      <x:c r="H90" s="28" t="str">
        <x:v>Thông tin liên hệ cơ quan chỉ khi cần thiết</x:v>
      </x:c>
      <x:c r="I90" s="28" t="str">
        <x:v>Times New Roman</x:v>
      </x:c>
      <x:c r="J90" s="28" t="str">
        <x:v>10</x:v>
      </x:c>
      <x:c r="K90" s="28" t="str">
        <x:v>In thường</x:v>
      </x:c>
      <x:c r="L90" s="28" t="str">
        <x:v>Không</x:v>
      </x:c>
      <x:c r="M90" s="28" t="str">
        <x:v>Không</x:v>
      </x:c>
      <x:c r="N90" s="28"/>
      <x:c r="O90" s="28"/>
      <x:c r="P90" s="28"/>
      <x:c r="Q90" s="28"/>
      <x:c r="R90" s="28" t="str">
        <x:v>Paragraph/contact block; preserve hyperlink and text</x:v>
      </x:c>
      <x:c r="S90" s="28" t="str">
        <x:v>HD05: trang cuối dưới đường kẻ ngang</x:v>
      </x:c>
      <x:c r="T90" s="28" t="str">
        <x:v>HD05, Phần II, II (Các thành phần bổ sung); Phụ lục 2</x:v>
      </x:c>
      <x:c r="U90" s="28" t="str">
        <x:v>https://dangcongsan.vn/vanphongtrunguong/van-ban-cua-dang/huong-dan-so-05-hd-vptw-ngay-27-5-2026-cua-van-phong-trung-uong-dang-ve-the-thuc-va-ky-thuat-trinh-bay-van-ban-cua-dang.html?categoryId=3000525</x:v>
      </x:c>
      <x:c r="V90" s="28" t="str">
        <x:v>https://thuvienphapluat.vn/van-ban/Bo-may-hanh-chinh/Huong-dan-05-HD-VPTW-2026-the-thuc-va-ky-thuat-trinh-bay-van-ban-cua-Dang-707499.aspx</x:v>
      </x:c>
      <x:c r="W90" s="28" t="str">
        <x:v>CHƯA ĐỦ BẰNG CHỨNG</x:v>
      </x:c>
      <x:c r="X90" s="28" t="str">
        <x:v>KHÔNG TỰ CHÈN</x:v>
      </x:c>
      <x:c r="Y90" s="28" t="str">
        <x:v>Không tự chèn/sửa khi chưa có chứng cứ về đối tượng và rule. | Trạng thái v1.0: CÓ ĐIỀU KIỆN | So sánh cũ (không tham gia xác nhận): NĐ30: trang đầu, dưới đường kẻ ngang hết vùng trình bày; HD05: trang cuối dưới đường kẻ ngang</x:v>
      </x:c>
    </x:row>
    <x:row r="91" ht="54" customHeight="1">
      <x:c r="A91" s="32" t="n">
        <x:v>85</x:v>
      </x:c>
      <x:c r="B91" s="34" t="str">
        <x:v>HD05.X.LIEN_HE.FAX</x:v>
      </x:c>
      <x:c r="C91" s="44" t="str">
        <x:v>Thể thức bổ sung</x:v>
      </x:c>
      <x:c r="D91" s="44" t="str">
        <x:v>Thông tin liên hệ</x:v>
      </x:c>
      <x:c r="E91" s="28" t="str">
        <x:v>Số fax</x:v>
      </x:c>
      <x:c r="F91" s="28" t="str">
        <x:v>13</x:v>
      </x:c>
      <x:c r="G91" s="28" t="str">
        <x:v>Chỉ khi nội dung/chủ thể có thẩm quyền và yêu cầu bổ sung hợp lệ</x:v>
      </x:c>
      <x:c r="H91" s="28" t="str">
        <x:v>Thông tin liên hệ cơ quan chỉ khi cần thiết</x:v>
      </x:c>
      <x:c r="I91" s="28" t="str">
        <x:v>Times New Roman</x:v>
      </x:c>
      <x:c r="J91" s="28" t="str">
        <x:v>10</x:v>
      </x:c>
      <x:c r="K91" s="28" t="str">
        <x:v>In thường</x:v>
      </x:c>
      <x:c r="L91" s="28" t="str">
        <x:v>Không</x:v>
      </x:c>
      <x:c r="M91" s="28" t="str">
        <x:v>Không</x:v>
      </x:c>
      <x:c r="N91" s="28"/>
      <x:c r="O91" s="28"/>
      <x:c r="P91" s="28"/>
      <x:c r="Q91" s="28"/>
      <x:c r="R91" s="28" t="str">
        <x:v>Paragraph/contact block; preserve hyperlink and text</x:v>
      </x:c>
      <x:c r="S91" s="28" t="str">
        <x:v>HD05: trang cuối dưới đường kẻ ngang</x:v>
      </x:c>
      <x:c r="T91" s="28" t="str">
        <x:v>HD05, Phần II, II (Các thành phần bổ sung); Phụ lục 2</x:v>
      </x:c>
      <x:c r="U91" s="28" t="str">
        <x:v>https://dangcongsan.vn/vanphongtrunguong/van-ban-cua-dang/huong-dan-so-05-hd-vptw-ngay-27-5-2026-cua-van-phong-trung-uong-dang-ve-the-thuc-va-ky-thuat-trinh-bay-van-ban-cua-dang.html?categoryId=3000525</x:v>
      </x:c>
      <x:c r="V91" s="28" t="str">
        <x:v>https://thuvienphapluat.vn/van-ban/Bo-may-hanh-chinh/Huong-dan-05-HD-VPTW-2026-the-thuc-va-ky-thuat-trinh-bay-van-ban-cua-Dang-707499.aspx</x:v>
      </x:c>
      <x:c r="W91" s="28" t="str">
        <x:v>CHƯA ĐỦ BẰNG CHỨNG</x:v>
      </x:c>
      <x:c r="X91" s="28" t="str">
        <x:v>KHÔNG TỰ CHÈN</x:v>
      </x:c>
      <x:c r="Y91" s="28" t="str">
        <x:v>Không tự chèn/sửa khi chưa có chứng cứ về đối tượng và rule. | Trạng thái v1.0: CÓ ĐIỀU KIỆN | So sánh cũ (không tham gia xác nhận): NĐ30: trang đầu, dưới đường kẻ ngang hết vùng trình bày; HD05: trang cuối dưới đường kẻ ngang</x:v>
      </x:c>
    </x:row>
  </x:sheetData>
  <x:mergeCells>
    <x:mergeCell ref="A1:Y1"/>
    <x:mergeCell ref="A2:Y2"/>
    <x:mergeCell ref="A3:Y3"/>
    <x:mergeCell ref="A4:Y4"/>
  </x:mergeCells>
  <x:conditionalFormatting sqref="W7:W91">
    <x:cfRule type="expression" dxfId="10" priority="1">
      <x:formula>$W7="ĐỐI CHIẾU MỘT PHẦN"</x:formula>
    </x:cfRule>
    <x:cfRule type="expression" dxfId="11" priority="2">
      <x:formula>$W7="CHƯA ĐỦ BẰNG CHỨNG"</x:formula>
    </x:cfRule>
    <x:cfRule type="expression" dxfId="12" priority="3">
      <x:formula>$W7="CẦN RÀ SOÁT"</x:formula>
    </x:cfRule>
    <x:cfRule type="expression" dxfId="13" priority="4">
      <x:formula>$W7="CẦN QA KỸ THUẬT"</x:formula>
    </x:cfRule>
  </x:conditionalFormatting>
  <x:dataValidations count="1">
    <x:dataValidation type="list" sqref="W7:W91">
      <x:formula1>INDIRECT("DANH_MUC!$A$2:$A$5")</x:formula1>
    </x:dataValidation>
  </x:dataValidations>
  <x:pageMargins left="0.7" right="0.7" top="0.75" bottom="0.75" header="0.3" footer="0.3"/>
  <x:tableParts count="1">
    <x:tablePart xmlns:r="http://schemas.openxmlformats.org/officeDocument/2006/relationships" r:id="R040f394622744b83"/>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22" hidden="0" customWidth="1"/>
    <x:col min="3" max="3" width="19" hidden="0" customWidth="1"/>
    <x:col min="4" max="4" width="20" hidden="0" customWidth="1"/>
    <x:col min="5" max="5" width="28" hidden="0" customWidth="1"/>
    <x:col min="6" max="6" width="70" hidden="0" customWidth="1"/>
    <x:col min="7" max="7" width="55" hidden="0" customWidth="1"/>
    <x:col min="8" max="8" width="60" hidden="0" customWidth="1"/>
  </x:cols>
  <x:sheetData>
    <x:row r="1" ht="30" customHeight="1">
      <x:c r="A1" s="106" t="str">
        <x:v>Nguồn (mã ngắn)</x:v>
      </x:c>
      <x:c r="B1" s="106" t="str">
        <x:v>Số hiệu</x:v>
      </x:c>
      <x:c r="C1" s="106" t="str">
        <x:v>Ngày ban hành</x:v>
      </x:c>
      <x:c r="D1" s="106" t="str">
        <x:v>Hiệu lực từ</x:v>
      </x:c>
      <x:c r="E1" s="106" t="str">
        <x:v>Vai trò</x:v>
      </x:c>
      <x:c r="F1" s="106" t="str">
        <x:v>URL chính thức</x:v>
      </x:c>
      <x:c r="G1" s="106" t="str">
        <x:v>Vị trí căn cứ</x:v>
      </x:c>
      <x:c r="H1" s="106" t="str">
        <x:v>Lưu ý xác minh</x:v>
      </x:c>
    </x:row>
    <x:row r="2" ht="44" customHeight="1">
      <x:c r="A2" s="103" t="str">
        <x:v>NĐ30</x:v>
      </x:c>
      <x:c r="B2" s="103" t="str">
        <x:v>30/2020/NĐ-CP</x:v>
      </x:c>
      <x:c r="C2" s="103" t="str">
        <x:v>05/03/2020</x:v>
      </x:c>
      <x:c r="D2" s="103" t="str">
        <x:v>05/03/2020</x:v>
      </x:c>
      <x:c r="E2" s="103" t="str">
        <x:v>Thể thức văn bản hành chính</x:v>
      </x:c>
      <x:c r="F2" s="103" t="str">
        <x:v>https://congbao.chinhphu.vn/van-ban/nghi-dinh-so-30-2020-nd-cp-30858.htm</x:v>
      </x:c>
      <x:c r="G2" s="103" t="str">
        <x:v>Điều 8–9; Phụ lục I, III</x:v>
      </x:c>
      <x:c r="H2" s="103" t="str">
        <x:v>Mỗi field/rule cần gắn đúng khoản, mục; không suy toàn bộ thuộc tính đã verified</x:v>
      </x:c>
    </x:row>
    <x:row r="3" ht="44" customHeight="1">
      <x:c r="A3" s="103" t="str">
        <x:v>HD05</x:v>
      </x:c>
      <x:c r="B3" s="103" t="str">
        <x:v>05-HD/VPTW</x:v>
      </x:c>
      <x:c r="C3" s="103" t="str">
        <x:v>27/05/2026</x:v>
      </x:c>
      <x:c r="D3" s="103" t="str">
        <x:v>27/05/2026</x:v>
      </x:c>
      <x:c r="E3" s="103" t="str">
        <x:v>Thể thức văn bản Đảng</x:v>
      </x:c>
      <x:c r="F3" s="103" t="str">
        <x:v>https://dangcongsan.vn/vanphongtrunguong/van-ban-cua-dang/huong-dan-so-05-hd-vptw-ngay-27-5-2026-cua-van-phong-trung-uong-dang-ve-the-thuc-va-ky-thuat-trinh-bay-van-ban-cua-dang.html?categoryId=3000525</x:v>
      </x:c>
      <x:c r="G3" s="103" t="str">
        <x:v>Phần II; Phụ lục 1–3</x:v>
      </x:c>
      <x:c r="H3" s="103" t="str">
        <x:v>Đối chiếu bản PDF cơ quan Đảng; hiệu lực từ ngày ký; kiểm tra thay thế HD36</x:v>
      </x:c>
    </x:row>
    <x:row r="4" ht="44" customHeight="1">
      <x:c r="A4" s="103" t="str">
        <x:v>QD399</x:v>
      </x:c>
      <x:c r="B4" s="103" t="str">
        <x:v>399-QĐ/TW</x:v>
      </x:c>
      <x:c r="C4" s="103" t="str">
        <x:v>09/01/2026</x:v>
      </x:c>
      <x:c r="D4" s="103" t="str">
        <x:v>09/01/2026</x:v>
      </x:c>
      <x:c r="E4" s="103" t="str">
        <x:v>Căn cứ về thể loại và thẩm quyền văn bản Đảng</x:v>
      </x:c>
      <x:c r="F4" s="103" t="str">
        <x:v>https://tulieuvankien.dangcongsan.vn/he-thong-van-ban/van-ban-cua-dang/quy-dinh-so-399-qd-tw-ngay-09-01-2026-cua-ban-bi-thu-ve-the-loai-tham-quyen-ban-hanh-va-the-thuc-van-ban-cua-dang.html</x:v>
      </x:c>
      <x:c r="G4" s="103" t="str">
        <x:v>Phần IV, Điều 14–17</x:v>
      </x:c>
      <x:c r="H4" s="103" t="str">
        <x:v>Không thay thế thông số kỹ thuật của HD05</x:v>
      </x:c>
    </x:row>
    <x:row r="5" ht="44" customHeight="1">
      <x:c r="A5" s="102" t="str">
        <x:v>HD36</x:v>
      </x:c>
      <x:c r="B5" s="102" t="str">
        <x:v>36-HD/VPTW</x:v>
      </x:c>
      <x:c r="C5" s="102" t="str">
        <x:v>04/03/2018</x:v>
      </x:c>
      <x:c r="D5" s="102" t="str">
        <x:v>04/03/2018</x:v>
      </x:c>
      <x:c r="E5" s="102" t="str">
        <x:v>Nguồn lịch sử; đã được HD05 thay thế</x:v>
      </x:c>
      <x:c r="F5" s="102" t="str">
        <x:v>https://xaydungchinhsach.chinhphu.vn/huong-dan-so-05-hd-vptw-ve-the-thuc-va-ky-thuat-trinh-bay-van-ban-cua-dang-119260601101535274.htm</x:v>
      </x:c>
      <x:c r="G5" s="102" t="str">
        <x:v>Chỉ đối chiếu văn bản trước HD05 theo thời điểm</x:v>
      </x:c>
      <x:c r="H5" s="102" t="str">
        <x:v>SUPERSEDED bởi 05-HD/VPTW từ 27/05/2026; không dùng làm quy tắc hiện hành</x:v>
      </x:c>
    </x:row>
    <x:row r="6" ht="44" customHeight="1">
      <x:c r="A6" s="103"/>
      <x:c r="B6" s="103"/>
      <x:c r="C6" s="103"/>
      <x:c r="D6" s="103"/>
      <x:c r="E6" s="103"/>
      <x:c r="F6" s="103"/>
      <x:c r="G6" s="103"/>
      <x:c r="H6" s="103"/>
    </x:row>
    <x:row r="8">
      <x:c r="A8" s="108" t="str">
        <x:v>Nguồn chi tiết</x:v>
      </x:c>
      <x:c r="B8" s="108" t="str">
        <x:v>Tài liệu</x:v>
      </x:c>
      <x:c r="C8" s="108" t="str">
        <x:v>Loại</x:v>
      </x:c>
      <x:c r="D8" s="108" t="str">
        <x:v>Phạm vi</x:v>
      </x:c>
      <x:c r="E8" s="108" t="str">
        <x:v>Ngày ghi nhận</x:v>
      </x:c>
      <x:c r="F8" s="108" t="str">
        <x:v>URL</x:v>
      </x:c>
      <x:c r="G8" s="108" t="str">
        <x:v>Ghi chú</x:v>
      </x:c>
      <x:c r="H8" s="108" t="str">
        <x:v>Trạng thái</x:v>
      </x:c>
    </x:row>
    <x:row r="9">
      <x:c r="A9" t="str">
        <x:v>HD05-PDF</x:v>
      </x:c>
      <x:c r="B9" t="str">
        <x:v>Bản PDF chính thức</x:v>
      </x:c>
      <x:c r="C9" t="str">
        <x:v>Nguồn gốc trực tiếp</x:v>
      </x:c>
      <x:c r="D9" t="str">
        <x:v>HD05 9.2.3/9.2.4; PL2 bảng 9/13</x:v>
      </x:c>
      <x:c r="E9" t="str">
        <x:v>28/10/2026</x:v>
      </x:c>
      <x:c r="F9" t="str">
        <x:v>https://dangcongsan.vn/upload/2006988/20260529/HD_05_VPTW_e1550.pdf</x:v>
      </x:c>
      <x:c r="G9" t="str">
        <x:v>Kiểm bằng nội dung + ảnh trang tương ứng</x:v>
      </x:c>
      <x:c r="H9" t="str">
        <x:v>ĐÃ ĐỐI CHIẾU MỘT PHẦN</x:v>
      </x:c>
    </x:row>
  </x:sheetData>
  <x:pageMargins left="0.7" right="0.7" top="0.75" bottom="0.75" header="0.3" footer="0.3"/>
  <x:tableParts count="1">
    <x:tablePart xmlns:r="http://schemas.openxmlformats.org/officeDocument/2006/relationships" r:id="Rb47e77814d664bda"/>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7" hidden="0" customWidth="1"/>
    <x:col min="3" max="3" width="24" hidden="0" customWidth="1"/>
    <x:col min="4" max="4" width="24" hidden="0" customWidth="1"/>
    <x:col min="5" max="5" width="24" hidden="0" customWidth="1"/>
    <x:col min="6" max="6" width="24" hidden="0" customWidth="1"/>
    <x:col min="7" max="7" width="28" hidden="0" customWidth="1"/>
    <x:col min="8" max="8" width="19" hidden="0" customWidth="1"/>
  </x:cols>
  <x:sheetData>
    <x:row r="1" ht="36" customHeight="1">
      <x:c r="A1" s="105" t="str">
        <x:v>Mã trường</x:v>
      </x:c>
      <x:c r="B1" s="105" t="str">
        <x:v>Hệ</x:v>
      </x:c>
      <x:c r="C1" s="105" t="str">
        <x:v>Số lần xuất hiện tính đến dòng này</x:v>
      </x:c>
      <x:c r="D1" s="105" t="str">
        <x:v>Đếm mã duy nhất</x:v>
      </x:c>
      <x:c r="E1" s="105" t="str">
        <x:v>Kiểm tra namespace</x:v>
      </x:c>
      <x:c r="F1" s="105" t="str">
        <x:v>Kiểm tra cấu trúc mã (4 phân đoạn)</x:v>
      </x:c>
    </x:row>
    <x:row r="5">
      <x:c r="A5" t="str">
        <x:f>ND30!B7</x:f>
        <x:v>ND30.D.CQ.CAP_TREN</x:v>
      </x:c>
      <x:c r="B5" t="str">
        <x:v>ND30</x:v>
      </x:c>
      <x:c r="C5" t="n">
        <x:f>IF(A5="","",COUNTIF($A$5:A5,A5))</x:f>
        <x:v>1</x:v>
      </x:c>
      <x:c r="D5" t="n">
        <x:f>IF(A5="","",IF(C5=1,1,0))</x:f>
        <x:v>1</x:v>
      </x:c>
      <x:c r="E5" t="str">
        <x:f>IF(A5="","THIẾU",IF(LEFT(A5,LEN(B5)+1)=B5&amp;".","OK","SAI PREFIX"))</x:f>
        <x:v>OK</x:v>
      </x:c>
      <x:c r="F5" t="str">
        <x:f>IF(A5="","THIẾU",IF(LEN(A5)-LEN(SUBSTITUTE(A5,".",""))=3,"OK","SAI CẤU TRÚC"))</x:f>
        <x:v>OK</x:v>
      </x:c>
    </x:row>
    <x:row r="6">
      <x:c r="A6" t="str">
        <x:f>ND30!B8</x:f>
        <x:v>ND30.D.CQ.BAN_HANH</x:v>
      </x:c>
      <x:c r="B6" t="str">
        <x:v>ND30</x:v>
      </x:c>
      <x:c r="C6" t="n">
        <x:f>IF(A6="","",COUNTIF($A$5:A6,A6))</x:f>
        <x:v>1</x:v>
      </x:c>
      <x:c r="D6" t="n">
        <x:f>IF(A6="","",IF(C6=1,1,0))</x:f>
        <x:v>1</x:v>
      </x:c>
      <x:c r="E6" t="str">
        <x:f>IF(A6="","THIẾU",IF(LEFT(A6,LEN(B6)+1)=B6&amp;".","OK","SAI PREFIX"))</x:f>
        <x:v>OK</x:v>
      </x:c>
      <x:c r="F6" t="str">
        <x:f>IF(A6="","THIẾU",IF(LEN(A6)-LEN(SUBSTITUTE(A6,".",""))=3,"OK","SAI CẤU TRÚC"))</x:f>
        <x:v>OK</x:v>
      </x:c>
    </x:row>
    <x:row r="7">
      <x:c r="A7" t="str">
        <x:f>ND30!B9</x:f>
        <x:v>ND30.D.CQ.DUONG_KE</x:v>
      </x:c>
      <x:c r="B7" t="str">
        <x:v>ND30</x:v>
      </x:c>
      <x:c r="C7" t="n">
        <x:f>IF(A7="","",COUNTIF($A$5:A7,A7))</x:f>
        <x:v>1</x:v>
      </x:c>
      <x:c r="D7" t="n">
        <x:f>IF(A7="","",IF(C7=1,1,0))</x:f>
        <x:v>1</x:v>
      </x:c>
      <x:c r="E7" t="str">
        <x:f>IF(A7="","THIẾU",IF(LEFT(A7,LEN(B7)+1)=B7&amp;".","OK","SAI PREFIX"))</x:f>
        <x:v>OK</x:v>
      </x:c>
      <x:c r="F7" t="str">
        <x:f>IF(A7="","THIẾU",IF(LEN(A7)-LEN(SUBSTITUTE(A7,".",""))=3,"OK","SAI CẤU TRÚC"))</x:f>
        <x:v>OK</x:v>
      </x:c>
    </x:row>
    <x:row r="8">
      <x:c r="A8" t="str">
        <x:f>ND30!B10</x:f>
        <x:v>ND30.D.CQ.LIEN_CO_QUAN</x:v>
      </x:c>
      <x:c r="B8" t="str">
        <x:v>ND30</x:v>
      </x:c>
      <x:c r="C8" t="n">
        <x:f>IF(A8="","",COUNTIF($A$5:A8,A8))</x:f>
        <x:v>1</x:v>
      </x:c>
      <x:c r="D8" t="n">
        <x:f>IF(A8="","",IF(C8=1,1,0))</x:f>
        <x:v>1</x:v>
      </x:c>
      <x:c r="E8" t="str">
        <x:f>IF(A8="","THIẾU",IF(LEFT(A8,LEN(B8)+1)=B8&amp;".","OK","SAI PREFIX"))</x:f>
        <x:v>OK</x:v>
      </x:c>
      <x:c r="F8" t="str">
        <x:f>IF(A8="","THIẾU",IF(LEN(A8)-LEN(SUBSTITUTE(A8,".",""))=3,"OK","SAI CẤU TRÚC"))</x:f>
        <x:v>OK</x:v>
      </x:c>
    </x:row>
    <x:row r="9">
      <x:c r="A9" t="str">
        <x:f>ND30!B11</x:f>
        <x:v>ND30.D.QH.QUOC_HIEU</x:v>
      </x:c>
      <x:c r="B9" t="str">
        <x:v>ND30</x:v>
      </x:c>
      <x:c r="C9" t="n">
        <x:f>IF(A9="","",COUNTIF($A$5:A9,A9))</x:f>
        <x:v>1</x:v>
      </x:c>
      <x:c r="D9" t="n">
        <x:f>IF(A9="","",IF(C9=1,1,0))</x:f>
        <x:v>1</x:v>
      </x:c>
      <x:c r="E9" t="str">
        <x:f>IF(A9="","THIẾU",IF(LEFT(A9,LEN(B9)+1)=B9&amp;".","OK","SAI PREFIX"))</x:f>
        <x:v>OK</x:v>
      </x:c>
      <x:c r="F9" t="str">
        <x:f>IF(A9="","THIẾU",IF(LEN(A9)-LEN(SUBSTITUTE(A9,".",""))=3,"OK","SAI CẤU TRÚC"))</x:f>
        <x:v>OK</x:v>
      </x:c>
    </x:row>
    <x:row r="10">
      <x:c r="A10" t="str">
        <x:f>ND30!B12</x:f>
        <x:v>ND30.D.QH.TIEU_NGU</x:v>
      </x:c>
      <x:c r="B10" t="str">
        <x:v>ND30</x:v>
      </x:c>
      <x:c r="C10" t="n">
        <x:f>IF(A10="","",COUNTIF($A$5:A10,A10))</x:f>
        <x:v>1</x:v>
      </x:c>
      <x:c r="D10" t="n">
        <x:f>IF(A10="","",IF(C10=1,1,0))</x:f>
        <x:v>1</x:v>
      </x:c>
      <x:c r="E10" t="str">
        <x:f>IF(A10="","THIẾU",IF(LEFT(A10,LEN(B10)+1)=B10&amp;".","OK","SAI PREFIX"))</x:f>
        <x:v>OK</x:v>
      </x:c>
      <x:c r="F10" t="str">
        <x:f>IF(A10="","THIẾU",IF(LEN(A10)-LEN(SUBSTITUTE(A10,".",""))=3,"OK","SAI CẤU TRÚC"))</x:f>
        <x:v>OK</x:v>
      </x:c>
    </x:row>
    <x:row r="11">
      <x:c r="A11" t="str">
        <x:f>ND30!B13</x:f>
        <x:v>ND30.D.QH.DUONG_KE</x:v>
      </x:c>
      <x:c r="B11" t="str">
        <x:v>ND30</x:v>
      </x:c>
      <x:c r="C11" t="n">
        <x:f>IF(A11="","",COUNTIF($A$5:A11,A11))</x:f>
        <x:v>1</x:v>
      </x:c>
      <x:c r="D11" t="n">
        <x:f>IF(A11="","",IF(C11=1,1,0))</x:f>
        <x:v>1</x:v>
      </x:c>
      <x:c r="E11" t="str">
        <x:f>IF(A11="","THIẾU",IF(LEFT(A11,LEN(B11)+1)=B11&amp;".","OK","SAI PREFIX"))</x:f>
        <x:v>OK</x:v>
      </x:c>
      <x:c r="F11" t="str">
        <x:f>IF(A11="","THIẾU",IF(LEN(A11)-LEN(SUBSTITUTE(A11,".",""))=3,"OK","SAI CẤU TRÚC"))</x:f>
        <x:v>OK</x:v>
      </x:c>
    </x:row>
    <x:row r="12">
      <x:c r="A12" t="str">
        <x:f>ND30!B14</x:f>
        <x:v>ND30.D.SK.NHAN_SO</x:v>
      </x:c>
      <x:c r="B12" t="str">
        <x:v>ND30</x:v>
      </x:c>
      <x:c r="C12" t="n">
        <x:f>IF(A12="","",COUNTIF($A$5:A12,A12))</x:f>
        <x:v>1</x:v>
      </x:c>
      <x:c r="D12" t="n">
        <x:f>IF(A12="","",IF(C12=1,1,0))</x:f>
        <x:v>1</x:v>
      </x:c>
      <x:c r="E12" t="str">
        <x:f>IF(A12="","THIẾU",IF(LEFT(A12,LEN(B12)+1)=B12&amp;".","OK","SAI PREFIX"))</x:f>
        <x:v>OK</x:v>
      </x:c>
      <x:c r="F12" t="str">
        <x:f>IF(A12="","THIẾU",IF(LEN(A12)-LEN(SUBSTITUTE(A12,".",""))=3,"OK","SAI CẤU TRÚC"))</x:f>
        <x:v>OK</x:v>
      </x:c>
    </x:row>
    <x:row r="13">
      <x:c r="A13" t="str">
        <x:f>ND30!B15</x:f>
        <x:v>ND30.D.SK.SO_VAN_BAN</x:v>
      </x:c>
      <x:c r="B13" t="str">
        <x:v>ND30</x:v>
      </x:c>
      <x:c r="C13" t="n">
        <x:f>IF(A13="","",COUNTIF($A$5:A13,A13))</x:f>
        <x:v>1</x:v>
      </x:c>
      <x:c r="D13" t="n">
        <x:f>IF(A13="","",IF(C13=1,1,0))</x:f>
        <x:v>1</x:v>
      </x:c>
      <x:c r="E13" t="str">
        <x:f>IF(A13="","THIẾU",IF(LEFT(A13,LEN(B13)+1)=B13&amp;".","OK","SAI PREFIX"))</x:f>
        <x:v>OK</x:v>
      </x:c>
      <x:c r="F13" t="str">
        <x:f>IF(A13="","THIẾU",IF(LEN(A13)-LEN(SUBSTITUTE(A13,".",""))=3,"OK","SAI CẤU TRÚC"))</x:f>
        <x:v>OK</x:v>
      </x:c>
    </x:row>
    <x:row r="14">
      <x:c r="A14" t="str">
        <x:f>ND30!B16</x:f>
        <x:v>ND30.D.SK.KY_HIEU_LOAI</x:v>
      </x:c>
      <x:c r="B14" t="str">
        <x:v>ND30</x:v>
      </x:c>
      <x:c r="C14" t="n">
        <x:f>IF(A14="","",COUNTIF($A$5:A14,A14))</x:f>
        <x:v>1</x:v>
      </x:c>
      <x:c r="D14" t="n">
        <x:f>IF(A14="","",IF(C14=1,1,0))</x:f>
        <x:v>1</x:v>
      </x:c>
      <x:c r="E14" t="str">
        <x:f>IF(A14="","THIẾU",IF(LEFT(A14,LEN(B14)+1)=B14&amp;".","OK","SAI PREFIX"))</x:f>
        <x:v>OK</x:v>
      </x:c>
      <x:c r="F14" t="str">
        <x:f>IF(A14="","THIẾU",IF(LEN(A14)-LEN(SUBSTITUTE(A14,".",""))=3,"OK","SAI CẤU TRÚC"))</x:f>
        <x:v>OK</x:v>
      </x:c>
    </x:row>
    <x:row r="15">
      <x:c r="A15" t="str">
        <x:f>ND30!B17</x:f>
        <x:v>ND30.D.SK.KY_HIEU_CO_QUAN</x:v>
      </x:c>
      <x:c r="B15" t="str">
        <x:v>ND30</x:v>
      </x:c>
      <x:c r="C15" t="n">
        <x:f>IF(A15="","",COUNTIF($A$5:A15,A15))</x:f>
        <x:v>1</x:v>
      </x:c>
      <x:c r="D15" t="n">
        <x:f>IF(A15="","",IF(C15=1,1,0))</x:f>
        <x:v>1</x:v>
      </x:c>
      <x:c r="E15" t="str">
        <x:f>IF(A15="","THIẾU",IF(LEFT(A15,LEN(B15)+1)=B15&amp;".","OK","SAI PREFIX"))</x:f>
        <x:v>OK</x:v>
      </x:c>
      <x:c r="F15" t="str">
        <x:f>IF(A15="","THIẾU",IF(LEN(A15)-LEN(SUBSTITUTE(A15,".",""))=3,"OK","SAI CẤU TRÚC"))</x:f>
        <x:v>OK</x:v>
      </x:c>
    </x:row>
    <x:row r="16">
      <x:c r="A16" t="str">
        <x:f>ND30!B18</x:f>
        <x:v>ND30.D.SK.DAU_PHAN_CACH</x:v>
      </x:c>
      <x:c r="B16" t="str">
        <x:v>ND30</x:v>
      </x:c>
      <x:c r="C16" t="n">
        <x:f>IF(A16="","",COUNTIF($A$5:A16,A16))</x:f>
        <x:v>1</x:v>
      </x:c>
      <x:c r="D16" t="n">
        <x:f>IF(A16="","",IF(C16=1,1,0))</x:f>
        <x:v>1</x:v>
      </x:c>
      <x:c r="E16" t="str">
        <x:f>IF(A16="","THIẾU",IF(LEFT(A16,LEN(B16)+1)=B16&amp;".","OK","SAI PREFIX"))</x:f>
        <x:v>OK</x:v>
      </x:c>
      <x:c r="F16" t="str">
        <x:f>IF(A16="","THIẾU",IF(LEN(A16)-LEN(SUBSTITUTE(A16,".",""))=3,"OK","SAI CẤU TRÚC"))</x:f>
        <x:v>OK</x:v>
      </x:c>
    </x:row>
    <x:row r="17">
      <x:c r="A17" t="str">
        <x:f>ND30!B19</x:f>
        <x:v>ND30.D.NG.DIA_DANH</x:v>
      </x:c>
      <x:c r="B17" t="str">
        <x:v>ND30</x:v>
      </x:c>
      <x:c r="C17" t="n">
        <x:f>IF(A17="","",COUNTIF($A$5:A17,A17))</x:f>
        <x:v>1</x:v>
      </x:c>
      <x:c r="D17" t="n">
        <x:f>IF(A17="","",IF(C17=1,1,0))</x:f>
        <x:v>1</x:v>
      </x:c>
      <x:c r="E17" t="str">
        <x:f>IF(A17="","THIẾU",IF(LEFT(A17,LEN(B17)+1)=B17&amp;".","OK","SAI PREFIX"))</x:f>
        <x:v>OK</x:v>
      </x:c>
      <x:c r="F17" t="str">
        <x:f>IF(A17="","THIẾU",IF(LEN(A17)-LEN(SUBSTITUTE(A17,".",""))=3,"OK","SAI CẤU TRÚC"))</x:f>
        <x:v>OK</x:v>
      </x:c>
    </x:row>
    <x:row r="18">
      <x:c r="A18" t="str">
        <x:f>ND30!B20</x:f>
        <x:v>ND30.D.NG.NGAY</x:v>
      </x:c>
      <x:c r="B18" t="str">
        <x:v>ND30</x:v>
      </x:c>
      <x:c r="C18" t="n">
        <x:f>IF(A18="","",COUNTIF($A$5:A18,A18))</x:f>
        <x:v>1</x:v>
      </x:c>
      <x:c r="D18" t="n">
        <x:f>IF(A18="","",IF(C18=1,1,0))</x:f>
        <x:v>1</x:v>
      </x:c>
      <x:c r="E18" t="str">
        <x:f>IF(A18="","THIẾU",IF(LEFT(A18,LEN(B18)+1)=B18&amp;".","OK","SAI PREFIX"))</x:f>
        <x:v>OK</x:v>
      </x:c>
      <x:c r="F18" t="str">
        <x:f>IF(A18="","THIẾU",IF(LEN(A18)-LEN(SUBSTITUTE(A18,".",""))=3,"OK","SAI CẤU TRÚC"))</x:f>
        <x:v>OK</x:v>
      </x:c>
    </x:row>
    <x:row r="19">
      <x:c r="A19" t="str">
        <x:f>ND30!B21</x:f>
        <x:v>ND30.D.NG.THANG</x:v>
      </x:c>
      <x:c r="B19" t="str">
        <x:v>ND30</x:v>
      </x:c>
      <x:c r="C19" t="n">
        <x:f>IF(A19="","",COUNTIF($A$5:A19,A19))</x:f>
        <x:v>1</x:v>
      </x:c>
      <x:c r="D19" t="n">
        <x:f>IF(A19="","",IF(C19=1,1,0))</x:f>
        <x:v>1</x:v>
      </x:c>
      <x:c r="E19" t="str">
        <x:f>IF(A19="","THIẾU",IF(LEFT(A19,LEN(B19)+1)=B19&amp;".","OK","SAI PREFIX"))</x:f>
        <x:v>OK</x:v>
      </x:c>
      <x:c r="F19" t="str">
        <x:f>IF(A19="","THIẾU",IF(LEN(A19)-LEN(SUBSTITUTE(A19,".",""))=3,"OK","SAI CẤU TRÚC"))</x:f>
        <x:v>OK</x:v>
      </x:c>
    </x:row>
    <x:row r="20">
      <x:c r="A20" t="str">
        <x:f>ND30!B22</x:f>
        <x:v>ND30.D.NG.NAM</x:v>
      </x:c>
      <x:c r="B20" t="str">
        <x:v>ND30</x:v>
      </x:c>
      <x:c r="C20" t="n">
        <x:f>IF(A20="","",COUNTIF($A$5:A20,A20))</x:f>
        <x:v>1</x:v>
      </x:c>
      <x:c r="D20" t="n">
        <x:f>IF(A20="","",IF(C20=1,1,0))</x:f>
        <x:v>1</x:v>
      </x:c>
      <x:c r="E20" t="str">
        <x:f>IF(A20="","THIẾU",IF(LEFT(A20,LEN(B20)+1)=B20&amp;".","OK","SAI PREFIX"))</x:f>
        <x:v>OK</x:v>
      </x:c>
      <x:c r="F20" t="str">
        <x:f>IF(A20="","THIẾU",IF(LEN(A20)-LEN(SUBSTITUTE(A20,".",""))=3,"OK","SAI CẤU TRÚC"))</x:f>
        <x:v>OK</x:v>
      </x:c>
    </x:row>
    <x:row r="21">
      <x:c r="A21" t="str">
        <x:f>ND30!B23</x:f>
        <x:v>ND30.D.TY.TEN_LOAI</x:v>
      </x:c>
      <x:c r="B21" t="str">
        <x:v>ND30</x:v>
      </x:c>
      <x:c r="C21" t="n">
        <x:f>IF(A21="","",COUNTIF($A$5:A21,A21))</x:f>
        <x:v>1</x:v>
      </x:c>
      <x:c r="D21" t="n">
        <x:f>IF(A21="","",IF(C21=1,1,0))</x:f>
        <x:v>1</x:v>
      </x:c>
      <x:c r="E21" t="str">
        <x:f>IF(A21="","THIẾU",IF(LEFT(A21,LEN(B21)+1)=B21&amp;".","OK","SAI PREFIX"))</x:f>
        <x:v>OK</x:v>
      </x:c>
      <x:c r="F21" t="str">
        <x:f>IF(A21="","THIẾU",IF(LEN(A21)-LEN(SUBSTITUTE(A21,".",""))=3,"OK","SAI CẤU TRÚC"))</x:f>
        <x:v>OK</x:v>
      </x:c>
    </x:row>
    <x:row r="22">
      <x:c r="A22" t="str">
        <x:f>ND30!B24</x:f>
        <x:v>ND30.D.TY.TRICH_YEU</x:v>
      </x:c>
      <x:c r="B22" t="str">
        <x:v>ND30</x:v>
      </x:c>
      <x:c r="C22" t="n">
        <x:f>IF(A22="","",COUNTIF($A$5:A22,A22))</x:f>
        <x:v>1</x:v>
      </x:c>
      <x:c r="D22" t="n">
        <x:f>IF(A22="","",IF(C22=1,1,0))</x:f>
        <x:v>1</x:v>
      </x:c>
      <x:c r="E22" t="str">
        <x:f>IF(A22="","THIẾU",IF(LEFT(A22,LEN(B22)+1)=B22&amp;".","OK","SAI PREFIX"))</x:f>
        <x:v>OK</x:v>
      </x:c>
      <x:c r="F22" t="str">
        <x:f>IF(A22="","THIẾU",IF(LEN(A22)-LEN(SUBSTITUTE(A22,".",""))=3,"OK","SAI CẤU TRÚC"))</x:f>
        <x:v>OK</x:v>
      </x:c>
    </x:row>
    <x:row r="23">
      <x:c r="A23" t="str">
        <x:f>ND30!B25</x:f>
        <x:v>ND30.D.TY.DUONG_KE</x:v>
      </x:c>
      <x:c r="B23" t="str">
        <x:v>ND30</x:v>
      </x:c>
      <x:c r="C23" t="n">
        <x:f>IF(A23="","",COUNTIF($A$5:A23,A23))</x:f>
        <x:v>1</x:v>
      </x:c>
      <x:c r="D23" t="n">
        <x:f>IF(A23="","",IF(C23=1,1,0))</x:f>
        <x:v>1</x:v>
      </x:c>
      <x:c r="E23" t="str">
        <x:f>IF(A23="","THIẾU",IF(LEFT(A23,LEN(B23)+1)=B23&amp;".","OK","SAI PREFIX"))</x:f>
        <x:v>OK</x:v>
      </x:c>
      <x:c r="F23" t="str">
        <x:f>IF(A23="","THIẾU",IF(LEN(A23)-LEN(SUBSTITUTE(A23,".",""))=3,"OK","SAI CẤU TRÚC"))</x:f>
        <x:v>OK</x:v>
      </x:c>
    </x:row>
    <x:row r="24">
      <x:c r="A24" t="str">
        <x:f>ND30!B26</x:f>
        <x:v>ND30.D.TY.NHAN_VV</x:v>
      </x:c>
      <x:c r="B24" t="str">
        <x:v>ND30</x:v>
      </x:c>
      <x:c r="C24" t="n">
        <x:f>IF(A24="","",COUNTIF($A$5:A24,A24))</x:f>
        <x:v>1</x:v>
      </x:c>
      <x:c r="D24" t="n">
        <x:f>IF(A24="","",IF(C24=1,1,0))</x:f>
        <x:v>1</x:v>
      </x:c>
      <x:c r="E24" t="str">
        <x:f>IF(A24="","THIẾU",IF(LEFT(A24,LEN(B24)+1)=B24&amp;".","OK","SAI PREFIX"))</x:f>
        <x:v>OK</x:v>
      </x:c>
      <x:c r="F24" t="str">
        <x:f>IF(A24="","THIẾU",IF(LEN(A24)-LEN(SUBSTITUTE(A24,".",""))=3,"OK","SAI CẤU TRÚC"))</x:f>
        <x:v>OK</x:v>
      </x:c>
    </x:row>
    <x:row r="25">
      <x:c r="A25" t="str">
        <x:f>ND30!B27</x:f>
        <x:v>ND30.D.TY.TRICH_YEU_CV</x:v>
      </x:c>
      <x:c r="B25" t="str">
        <x:v>ND30</x:v>
      </x:c>
      <x:c r="C25" t="n">
        <x:f>IF(A25="","",COUNTIF($A$5:A25,A25))</x:f>
        <x:v>1</x:v>
      </x:c>
      <x:c r="D25" t="n">
        <x:f>IF(A25="","",IF(C25=1,1,0))</x:f>
        <x:v>1</x:v>
      </x:c>
      <x:c r="E25" t="str">
        <x:f>IF(A25="","THIẾU",IF(LEFT(A25,LEN(B25)+1)=B25&amp;".","OK","SAI PREFIX"))</x:f>
        <x:v>OK</x:v>
      </x:c>
      <x:c r="F25" t="str">
        <x:f>IF(A25="","THIẾU",IF(LEN(A25)-LEN(SUBSTITUTE(A25,".",""))=3,"OK","SAI CẤU TRÚC"))</x:f>
        <x:v>OK</x:v>
      </x:c>
    </x:row>
    <x:row r="26">
      <x:c r="A26" t="str">
        <x:f>ND30!B28</x:f>
        <x:v>ND30.D.NHAN.KINH_GUI</x:v>
      </x:c>
      <x:c r="B26" t="str">
        <x:v>ND30</x:v>
      </x:c>
      <x:c r="C26" t="n">
        <x:f>IF(A26="","",COUNTIF($A$5:A26,A26))</x:f>
        <x:v>1</x:v>
      </x:c>
      <x:c r="D26" t="n">
        <x:f>IF(A26="","",IF(C26=1,1,0))</x:f>
        <x:v>1</x:v>
      </x:c>
      <x:c r="E26" t="str">
        <x:f>IF(A26="","THIẾU",IF(LEFT(A26,LEN(B26)+1)=B26&amp;".","OK","SAI PREFIX"))</x:f>
        <x:v>OK</x:v>
      </x:c>
      <x:c r="F26" t="str">
        <x:f>IF(A26="","THIẾU",IF(LEN(A26)-LEN(SUBSTITUTE(A26,".",""))=3,"OK","SAI CẤU TRÚC"))</x:f>
        <x:v>OK</x:v>
      </x:c>
    </x:row>
    <x:row r="27">
      <x:c r="A27" t="str">
        <x:f>ND30!B29</x:f>
        <x:v>ND30.D.NHAN.DS_KINH_GUI</x:v>
      </x:c>
      <x:c r="B27" t="str">
        <x:v>ND30</x:v>
      </x:c>
      <x:c r="C27" t="n">
        <x:f>IF(A27="","",COUNTIF($A$5:A27,A27))</x:f>
        <x:v>1</x:v>
      </x:c>
      <x:c r="D27" t="n">
        <x:f>IF(A27="","",IF(C27=1,1,0))</x:f>
        <x:v>1</x:v>
      </x:c>
      <x:c r="E27" t="str">
        <x:f>IF(A27="","THIẾU",IF(LEFT(A27,LEN(B27)+1)=B27&amp;".","OK","SAI PREFIX"))</x:f>
        <x:v>OK</x:v>
      </x:c>
      <x:c r="F27" t="str">
        <x:f>IF(A27="","THIẾU",IF(LEN(A27)-LEN(SUBSTITUTE(A27,".",""))=3,"OK","SAI CẤU TRÚC"))</x:f>
        <x:v>OK</x:v>
      </x:c>
    </x:row>
    <x:row r="28">
      <x:c r="A28" t="str">
        <x:f>ND30!B30</x:f>
        <x:v>ND30.N.MD.MO_DAU</x:v>
      </x:c>
      <x:c r="B28" t="str">
        <x:v>ND30</x:v>
      </x:c>
      <x:c r="C28" t="n">
        <x:f>IF(A28="","",COUNTIF($A$5:A28,A28))</x:f>
        <x:v>1</x:v>
      </x:c>
      <x:c r="D28" t="n">
        <x:f>IF(A28="","",IF(C28=1,1,0))</x:f>
        <x:v>1</x:v>
      </x:c>
      <x:c r="E28" t="str">
        <x:f>IF(A28="","THIẾU",IF(LEFT(A28,LEN(B28)+1)=B28&amp;".","OK","SAI PREFIX"))</x:f>
        <x:v>OK</x:v>
      </x:c>
      <x:c r="F28" t="str">
        <x:f>IF(A28="","THIẾU",IF(LEN(A28)-LEN(SUBSTITUTE(A28,".",""))=3,"OK","SAI CẤU TRÚC"))</x:f>
        <x:v>OK</x:v>
      </x:c>
    </x:row>
    <x:row r="29">
      <x:c r="A29" t="str">
        <x:f>ND30!B31</x:f>
        <x:v>ND30.N.MD.CAN_CU</x:v>
      </x:c>
      <x:c r="B29" t="str">
        <x:v>ND30</x:v>
      </x:c>
      <x:c r="C29" t="n">
        <x:f>IF(A29="","",COUNTIF($A$5:A29,A29))</x:f>
        <x:v>1</x:v>
      </x:c>
      <x:c r="D29" t="n">
        <x:f>IF(A29="","",IF(C29=1,1,0))</x:f>
        <x:v>1</x:v>
      </x:c>
      <x:c r="E29" t="str">
        <x:f>IF(A29="","THIẾU",IF(LEFT(A29,LEN(B29)+1)=B29&amp;".","OK","SAI PREFIX"))</x:f>
        <x:v>OK</x:v>
      </x:c>
      <x:c r="F29" t="str">
        <x:f>IF(A29="","THIẾU",IF(LEN(A29)-LEN(SUBSTITUTE(A29,".",""))=3,"OK","SAI CẤU TRÚC"))</x:f>
        <x:v>OK</x:v>
      </x:c>
    </x:row>
    <x:row r="30">
      <x:c r="A30" t="str">
        <x:f>ND30!B32</x:f>
        <x:v>ND30.N.DM.PHAN</x:v>
      </x:c>
      <x:c r="B30" t="str">
        <x:v>ND30</x:v>
      </x:c>
      <x:c r="C30" t="n">
        <x:f>IF(A30="","",COUNTIF($A$5:A30,A30))</x:f>
        <x:v>1</x:v>
      </x:c>
      <x:c r="D30" t="n">
        <x:f>IF(A30="","",IF(C30=1,1,0))</x:f>
        <x:v>1</x:v>
      </x:c>
      <x:c r="E30" t="str">
        <x:f>IF(A30="","THIẾU",IF(LEFT(A30,LEN(B30)+1)=B30&amp;".","OK","SAI PREFIX"))</x:f>
        <x:v>OK</x:v>
      </x:c>
      <x:c r="F30" t="str">
        <x:f>IF(A30="","THIẾU",IF(LEN(A30)-LEN(SUBSTITUTE(A30,".",""))=3,"OK","SAI CẤU TRÚC"))</x:f>
        <x:v>OK</x:v>
      </x:c>
    </x:row>
    <x:row r="31">
      <x:c r="A31" t="str">
        <x:f>ND30!B33</x:f>
        <x:v>ND30.N.DM.CHUONG</x:v>
      </x:c>
      <x:c r="B31" t="str">
        <x:v>ND30</x:v>
      </x:c>
      <x:c r="C31" t="n">
        <x:f>IF(A31="","",COUNTIF($A$5:A31,A31))</x:f>
        <x:v>1</x:v>
      </x:c>
      <x:c r="D31" t="n">
        <x:f>IF(A31="","",IF(C31=1,1,0))</x:f>
        <x:v>1</x:v>
      </x:c>
      <x:c r="E31" t="str">
        <x:f>IF(A31="","THIẾU",IF(LEFT(A31,LEN(B31)+1)=B31&amp;".","OK","SAI PREFIX"))</x:f>
        <x:v>OK</x:v>
      </x:c>
      <x:c r="F31" t="str">
        <x:f>IF(A31="","THIẾU",IF(LEN(A31)-LEN(SUBSTITUTE(A31,".",""))=3,"OK","SAI CẤU TRÚC"))</x:f>
        <x:v>OK</x:v>
      </x:c>
    </x:row>
    <x:row r="32">
      <x:c r="A32" t="str">
        <x:f>ND30!B34</x:f>
        <x:v>ND30.N.DM.MUC</x:v>
      </x:c>
      <x:c r="B32" t="str">
        <x:v>ND30</x:v>
      </x:c>
      <x:c r="C32" t="n">
        <x:f>IF(A32="","",COUNTIF($A$5:A32,A32))</x:f>
        <x:v>1</x:v>
      </x:c>
      <x:c r="D32" t="n">
        <x:f>IF(A32="","",IF(C32=1,1,0))</x:f>
        <x:v>1</x:v>
      </x:c>
      <x:c r="E32" t="str">
        <x:f>IF(A32="","THIẾU",IF(LEFT(A32,LEN(B32)+1)=B32&amp;".","OK","SAI PREFIX"))</x:f>
        <x:v>OK</x:v>
      </x:c>
      <x:c r="F32" t="str">
        <x:f>IF(A32="","THIẾU",IF(LEN(A32)-LEN(SUBSTITUTE(A32,".",""))=3,"OK","SAI CẤU TRÚC"))</x:f>
        <x:v>OK</x:v>
      </x:c>
    </x:row>
    <x:row r="33">
      <x:c r="A33" t="str">
        <x:f>ND30!B35</x:f>
        <x:v>ND30.N.DM.TIEU_MUC</x:v>
      </x:c>
      <x:c r="B33" t="str">
        <x:v>ND30</x:v>
      </x:c>
      <x:c r="C33" t="n">
        <x:f>IF(A33="","",COUNTIF($A$5:A33,A33))</x:f>
        <x:v>1</x:v>
      </x:c>
      <x:c r="D33" t="n">
        <x:f>IF(A33="","",IF(C33=1,1,0))</x:f>
        <x:v>1</x:v>
      </x:c>
      <x:c r="E33" t="str">
        <x:f>IF(A33="","THIẾU",IF(LEFT(A33,LEN(B33)+1)=B33&amp;".","OK","SAI PREFIX"))</x:f>
        <x:v>OK</x:v>
      </x:c>
      <x:c r="F33" t="str">
        <x:f>IF(A33="","THIẾU",IF(LEN(A33)-LEN(SUBSTITUTE(A33,".",""))=3,"OK","SAI CẤU TRÚC"))</x:f>
        <x:v>OK</x:v>
      </x:c>
    </x:row>
    <x:row r="34">
      <x:c r="A34" t="str">
        <x:f>ND30!B36</x:f>
        <x:v>ND30.N.DIEU.SO_DIEU</x:v>
      </x:c>
      <x:c r="B34" t="str">
        <x:v>ND30</x:v>
      </x:c>
      <x:c r="C34" t="n">
        <x:f>IF(A34="","",COUNTIF($A$5:A34,A34))</x:f>
        <x:v>1</x:v>
      </x:c>
      <x:c r="D34" t="n">
        <x:f>IF(A34="","",IF(C34=1,1,0))</x:f>
        <x:v>1</x:v>
      </x:c>
      <x:c r="E34" t="str">
        <x:f>IF(A34="","THIẾU",IF(LEFT(A34,LEN(B34)+1)=B34&amp;".","OK","SAI PREFIX"))</x:f>
        <x:v>OK</x:v>
      </x:c>
      <x:c r="F34" t="str">
        <x:f>IF(A34="","THIẾU",IF(LEN(A34)-LEN(SUBSTITUTE(A34,".",""))=3,"OK","SAI CẤU TRÚC"))</x:f>
        <x:v>OK</x:v>
      </x:c>
    </x:row>
    <x:row r="35">
      <x:c r="A35" t="str">
        <x:f>ND30!B37</x:f>
        <x:v>ND30.N.DIEU.TEN_DIEU</x:v>
      </x:c>
      <x:c r="B35" t="str">
        <x:v>ND30</x:v>
      </x:c>
      <x:c r="C35" t="n">
        <x:f>IF(A35="","",COUNTIF($A$5:A35,A35))</x:f>
        <x:v>1</x:v>
      </x:c>
      <x:c r="D35" t="n">
        <x:f>IF(A35="","",IF(C35=1,1,0))</x:f>
        <x:v>1</x:v>
      </x:c>
      <x:c r="E35" t="str">
        <x:f>IF(A35="","THIẾU",IF(LEFT(A35,LEN(B35)+1)=B35&amp;".","OK","SAI PREFIX"))</x:f>
        <x:v>OK</x:v>
      </x:c>
      <x:c r="F35" t="str">
        <x:f>IF(A35="","THIẾU",IF(LEN(A35)-LEN(SUBSTITUTE(A35,".",""))=3,"OK","SAI CẤU TRÚC"))</x:f>
        <x:v>OK</x:v>
      </x:c>
    </x:row>
    <x:row r="36">
      <x:c r="A36" t="str">
        <x:f>ND30!B38</x:f>
        <x:v>ND30.N.DIEU.NOI_DUNG_DIEU</x:v>
      </x:c>
      <x:c r="B36" t="str">
        <x:v>ND30</x:v>
      </x:c>
      <x:c r="C36" t="n">
        <x:f>IF(A36="","",COUNTIF($A$5:A36,A36))</x:f>
        <x:v>1</x:v>
      </x:c>
      <x:c r="D36" t="n">
        <x:f>IF(A36="","",IF(C36=1,1,0))</x:f>
        <x:v>1</x:v>
      </x:c>
      <x:c r="E36" t="str">
        <x:f>IF(A36="","THIẾU",IF(LEFT(A36,LEN(B36)+1)=B36&amp;".","OK","SAI PREFIX"))</x:f>
        <x:v>OK</x:v>
      </x:c>
      <x:c r="F36" t="str">
        <x:f>IF(A36="","THIẾU",IF(LEN(A36)-LEN(SUBSTITUTE(A36,".",""))=3,"OK","SAI CẤU TRÚC"))</x:f>
        <x:v>OK</x:v>
      </x:c>
    </x:row>
    <x:row r="37">
      <x:c r="A37" t="str">
        <x:f>ND30!B39</x:f>
        <x:v>ND30.N.KD.KHOAN</x:v>
      </x:c>
      <x:c r="B37" t="str">
        <x:v>ND30</x:v>
      </x:c>
      <x:c r="C37" t="n">
        <x:f>IF(A37="","",COUNTIF($A$5:A37,A37))</x:f>
        <x:v>1</x:v>
      </x:c>
      <x:c r="D37" t="n">
        <x:f>IF(A37="","",IF(C37=1,1,0))</x:f>
        <x:v>1</x:v>
      </x:c>
      <x:c r="E37" t="str">
        <x:f>IF(A37="","THIẾU",IF(LEFT(A37,LEN(B37)+1)=B37&amp;".","OK","SAI PREFIX"))</x:f>
        <x:v>OK</x:v>
      </x:c>
      <x:c r="F37" t="str">
        <x:f>IF(A37="","THIẾU",IF(LEN(A37)-LEN(SUBSTITUTE(A37,".",""))=3,"OK","SAI CẤU TRÚC"))</x:f>
        <x:v>OK</x:v>
      </x:c>
    </x:row>
    <x:row r="38">
      <x:c r="A38" t="str">
        <x:f>ND30!B40</x:f>
        <x:v>ND30.N.KD.DIEM</x:v>
      </x:c>
      <x:c r="B38" t="str">
        <x:v>ND30</x:v>
      </x:c>
      <x:c r="C38" t="n">
        <x:f>IF(A38="","",COUNTIF($A$5:A38,A38))</x:f>
        <x:v>1</x:v>
      </x:c>
      <x:c r="D38" t="n">
        <x:f>IF(A38="","",IF(C38=1,1,0))</x:f>
        <x:v>1</x:v>
      </x:c>
      <x:c r="E38" t="str">
        <x:f>IF(A38="","THIẾU",IF(LEFT(A38,LEN(B38)+1)=B38&amp;".","OK","SAI PREFIX"))</x:f>
        <x:v>OK</x:v>
      </x:c>
      <x:c r="F38" t="str">
        <x:f>IF(A38="","THIẾU",IF(LEN(A38)-LEN(SUBSTITUTE(A38,".",""))=3,"OK","SAI CẤU TRÚC"))</x:f>
        <x:v>OK</x:v>
      </x:c>
    </x:row>
    <x:row r="39">
      <x:c r="A39" t="str">
        <x:f>ND30!B41</x:f>
        <x:v>ND30.N.KD.DANH_SACH</x:v>
      </x:c>
      <x:c r="B39" t="str">
        <x:v>ND30</x:v>
      </x:c>
      <x:c r="C39" t="n">
        <x:f>IF(A39="","",COUNTIF($A$5:A39,A39))</x:f>
        <x:v>1</x:v>
      </x:c>
      <x:c r="D39" t="n">
        <x:f>IF(A39="","",IF(C39=1,1,0))</x:f>
        <x:v>1</x:v>
      </x:c>
      <x:c r="E39" t="str">
        <x:f>IF(A39="","THIẾU",IF(LEFT(A39,LEN(B39)+1)=B39&amp;".","OK","SAI PREFIX"))</x:f>
        <x:v>OK</x:v>
      </x:c>
      <x:c r="F39" t="str">
        <x:f>IF(A39="","THIẾU",IF(LEN(A39)-LEN(SUBSTITUTE(A39,".",""))=3,"OK","SAI CẤU TRÚC"))</x:f>
        <x:v>OK</x:v>
      </x:c>
    </x:row>
    <x:row r="40">
      <x:c r="A40" t="str">
        <x:f>ND30!B42</x:f>
        <x:v>ND30.N.DOAN.VAN_BAN</x:v>
      </x:c>
      <x:c r="B40" t="str">
        <x:v>ND30</x:v>
      </x:c>
      <x:c r="C40" t="n">
        <x:f>IF(A40="","",COUNTIF($A$5:A40,A40))</x:f>
        <x:v>1</x:v>
      </x:c>
      <x:c r="D40" t="n">
        <x:f>IF(A40="","",IF(C40=1,1,0))</x:f>
        <x:v>1</x:v>
      </x:c>
      <x:c r="E40" t="str">
        <x:f>IF(A40="","THIẾU",IF(LEFT(A40,LEN(B40)+1)=B40&amp;".","OK","SAI PREFIX"))</x:f>
        <x:v>OK</x:v>
      </x:c>
      <x:c r="F40" t="str">
        <x:f>IF(A40="","THIẾU",IF(LEN(A40)-LEN(SUBSTITUTE(A40,".",""))=3,"OK","SAI CẤU TRÚC"))</x:f>
        <x:v>OK</x:v>
      </x:c>
    </x:row>
    <x:row r="41">
      <x:c r="A41" t="str">
        <x:f>ND30!B43</x:f>
        <x:v>ND30.N.BANG.TIEU_DE</x:v>
      </x:c>
      <x:c r="B41" t="str">
        <x:v>ND30</x:v>
      </x:c>
      <x:c r="C41" t="n">
        <x:f>IF(A41="","",COUNTIF($A$5:A41,A41))</x:f>
        <x:v>1</x:v>
      </x:c>
      <x:c r="D41" t="n">
        <x:f>IF(A41="","",IF(C41=1,1,0))</x:f>
        <x:v>1</x:v>
      </x:c>
      <x:c r="E41" t="str">
        <x:f>IF(A41="","THIẾU",IF(LEFT(A41,LEN(B41)+1)=B41&amp;".","OK","SAI PREFIX"))</x:f>
        <x:v>OK</x:v>
      </x:c>
      <x:c r="F41" t="str">
        <x:f>IF(A41="","THIẾU",IF(LEN(A41)-LEN(SUBSTITUTE(A41,".",""))=3,"OK","SAI CẤU TRÚC"))</x:f>
        <x:v>OK</x:v>
      </x:c>
    </x:row>
    <x:row r="42">
      <x:c r="A42" t="str">
        <x:f>ND30!B44</x:f>
        <x:v>ND30.N.BANG.DAU_BANG</x:v>
      </x:c>
      <x:c r="B42" t="str">
        <x:v>ND30</x:v>
      </x:c>
      <x:c r="C42" t="n">
        <x:f>IF(A42="","",COUNTIF($A$5:A42,A42))</x:f>
        <x:v>1</x:v>
      </x:c>
      <x:c r="D42" t="n">
        <x:f>IF(A42="","",IF(C42=1,1,0))</x:f>
        <x:v>1</x:v>
      </x:c>
      <x:c r="E42" t="str">
        <x:f>IF(A42="","THIẾU",IF(LEFT(A42,LEN(B42)+1)=B42&amp;".","OK","SAI PREFIX"))</x:f>
        <x:v>OK</x:v>
      </x:c>
      <x:c r="F42" t="str">
        <x:f>IF(A42="","THIẾU",IF(LEN(A42)-LEN(SUBSTITUTE(A42,".",""))=3,"OK","SAI CẤU TRÚC"))</x:f>
        <x:v>OK</x:v>
      </x:c>
    </x:row>
    <x:row r="43">
      <x:c r="A43" t="str">
        <x:f>ND30!B45</x:f>
        <x:v>ND30.N.BANG.HANG</x:v>
      </x:c>
      <x:c r="B43" t="str">
        <x:v>ND30</x:v>
      </x:c>
      <x:c r="C43" t="n">
        <x:f>IF(A43="","",COUNTIF($A$5:A43,A43))</x:f>
        <x:v>1</x:v>
      </x:c>
      <x:c r="D43" t="n">
        <x:f>IF(A43="","",IF(C43=1,1,0))</x:f>
        <x:v>1</x:v>
      </x:c>
      <x:c r="E43" t="str">
        <x:f>IF(A43="","THIẾU",IF(LEFT(A43,LEN(B43)+1)=B43&amp;".","OK","SAI PREFIX"))</x:f>
        <x:v>OK</x:v>
      </x:c>
      <x:c r="F43" t="str">
        <x:f>IF(A43="","THIẾU",IF(LEN(A43)-LEN(SUBSTITUTE(A43,".",""))=3,"OK","SAI CẤU TRÚC"))</x:f>
        <x:v>OK</x:v>
      </x:c>
    </x:row>
    <x:row r="44">
      <x:c r="A44" t="str">
        <x:f>ND30!B46</x:f>
        <x:v>ND30.N.BANG.O</x:v>
      </x:c>
      <x:c r="B44" t="str">
        <x:v>ND30</x:v>
      </x:c>
      <x:c r="C44" t="n">
        <x:f>IF(A44="","",COUNTIF($A$5:A44,A44))</x:f>
        <x:v>1</x:v>
      </x:c>
      <x:c r="D44" t="n">
        <x:f>IF(A44="","",IF(C44=1,1,0))</x:f>
        <x:v>1</x:v>
      </x:c>
      <x:c r="E44" t="str">
        <x:f>IF(A44="","THIẾU",IF(LEFT(A44,LEN(B44)+1)=B44&amp;".","OK","SAI PREFIX"))</x:f>
        <x:v>OK</x:v>
      </x:c>
      <x:c r="F44" t="str">
        <x:f>IF(A44="","THIẾU",IF(LEN(A44)-LEN(SUBSTITUTE(A44,".",""))=3,"OK","SAI CẤU TRÚC"))</x:f>
        <x:v>OK</x:v>
      </x:c>
    </x:row>
    <x:row r="45">
      <x:c r="A45" t="str">
        <x:f>ND30!B47</x:f>
        <x:v>ND30.N.BANG.GOP_O</x:v>
      </x:c>
      <x:c r="B45" t="str">
        <x:v>ND30</x:v>
      </x:c>
      <x:c r="C45" t="n">
        <x:f>IF(A45="","",COUNTIF($A$5:A45,A45))</x:f>
        <x:v>1</x:v>
      </x:c>
      <x:c r="D45" t="n">
        <x:f>IF(A45="","",IF(C45=1,1,0))</x:f>
        <x:v>1</x:v>
      </x:c>
      <x:c r="E45" t="str">
        <x:f>IF(A45="","THIẾU",IF(LEFT(A45,LEN(B45)+1)=B45&amp;".","OK","SAI PREFIX"))</x:f>
        <x:v>OK</x:v>
      </x:c>
      <x:c r="F45" t="str">
        <x:f>IF(A45="","THIẾU",IF(LEN(A45)-LEN(SUBSTITUTE(A45,".",""))=3,"OK","SAI CẤU TRÚC"))</x:f>
        <x:v>OK</x:v>
      </x:c>
    </x:row>
    <x:row r="46">
      <x:c r="A46" t="str">
        <x:f>ND30!B48</x:f>
        <x:v>ND30.N.HINH.DOI_TUONG</x:v>
      </x:c>
      <x:c r="B46" t="str">
        <x:v>ND30</x:v>
      </x:c>
      <x:c r="C46" t="n">
        <x:f>IF(A46="","",COUNTIF($A$5:A46,A46))</x:f>
        <x:v>1</x:v>
      </x:c>
      <x:c r="D46" t="n">
        <x:f>IF(A46="","",IF(C46=1,1,0))</x:f>
        <x:v>1</x:v>
      </x:c>
      <x:c r="E46" t="str">
        <x:f>IF(A46="","THIẾU",IF(LEFT(A46,LEN(B46)+1)=B46&amp;".","OK","SAI PREFIX"))</x:f>
        <x:v>OK</x:v>
      </x:c>
      <x:c r="F46" t="str">
        <x:f>IF(A46="","THIẾU",IF(LEN(A46)-LEN(SUBSTITUTE(A46,".",""))=3,"OK","SAI CẤU TRÚC"))</x:f>
        <x:v>OK</x:v>
      </x:c>
    </x:row>
    <x:row r="47">
      <x:c r="A47" t="str">
        <x:f>ND30!B49</x:f>
        <x:v>ND30.N.HINH.CHU_THICH</x:v>
      </x:c>
      <x:c r="B47" t="str">
        <x:v>ND30</x:v>
      </x:c>
      <x:c r="C47" t="n">
        <x:f>IF(A47="","",COUNTIF($A$5:A47,A47))</x:f>
        <x:v>1</x:v>
      </x:c>
      <x:c r="D47" t="n">
        <x:f>IF(A47="","",IF(C47=1,1,0))</x:f>
        <x:v>1</x:v>
      </x:c>
      <x:c r="E47" t="str">
        <x:f>IF(A47="","THIẾU",IF(LEFT(A47,LEN(B47)+1)=B47&amp;".","OK","SAI PREFIX"))</x:f>
        <x:v>OK</x:v>
      </x:c>
      <x:c r="F47" t="str">
        <x:f>IF(A47="","THIẾU",IF(LEN(A47)-LEN(SUBSTITUTE(A47,".",""))=3,"OK","SAI CẤU TRÚC"))</x:f>
        <x:v>OK</x:v>
      </x:c>
    </x:row>
    <x:row r="48">
      <x:c r="A48" t="str">
        <x:f>ND30!B50</x:f>
        <x:v>ND30.N.KET.DOAN_KET</x:v>
      </x:c>
      <x:c r="B48" t="str">
        <x:v>ND30</x:v>
      </x:c>
      <x:c r="C48" t="n">
        <x:f>IF(A48="","",COUNTIF($A$5:A48,A48))</x:f>
        <x:v>1</x:v>
      </x:c>
      <x:c r="D48" t="n">
        <x:f>IF(A48="","",IF(C48=1,1,0))</x:f>
        <x:v>1</x:v>
      </x:c>
      <x:c r="E48" t="str">
        <x:f>IF(A48="","THIẾU",IF(LEFT(A48,LEN(B48)+1)=B48&amp;".","OK","SAI PREFIX"))</x:f>
        <x:v>OK</x:v>
      </x:c>
      <x:c r="F48" t="str">
        <x:f>IF(A48="","THIẾU",IF(LEN(A48)-LEN(SUBSTITUTE(A48,".",""))=3,"OK","SAI CẤU TRÚC"))</x:f>
        <x:v>OK</x:v>
      </x:c>
    </x:row>
    <x:row r="49">
      <x:c r="A49" t="str">
        <x:f>ND30!B51</x:f>
        <x:v>ND30.C.NN.NHAN_NOI_NHAN</x:v>
      </x:c>
      <x:c r="B49" t="str">
        <x:v>ND30</x:v>
      </x:c>
      <x:c r="C49" t="n">
        <x:f>IF(A49="","",COUNTIF($A$5:A49,A49))</x:f>
        <x:v>1</x:v>
      </x:c>
      <x:c r="D49" t="n">
        <x:f>IF(A49="","",IF(C49=1,1,0))</x:f>
        <x:v>1</x:v>
      </x:c>
      <x:c r="E49" t="str">
        <x:f>IF(A49="","THIẾU",IF(LEFT(A49,LEN(B49)+1)=B49&amp;".","OK","SAI PREFIX"))</x:f>
        <x:v>OK</x:v>
      </x:c>
      <x:c r="F49" t="str">
        <x:f>IF(A49="","THIẾU",IF(LEN(A49)-LEN(SUBSTITUTE(A49,".",""))=3,"OK","SAI CẤU TRÚC"))</x:f>
        <x:v>OK</x:v>
      </x:c>
    </x:row>
    <x:row r="50">
      <x:c r="A50" t="str">
        <x:f>ND30!B52</x:f>
        <x:v>ND30.C.NN.DANH_SACH</x:v>
      </x:c>
      <x:c r="B50" t="str">
        <x:v>ND30</x:v>
      </x:c>
      <x:c r="C50" t="n">
        <x:f>IF(A50="","",COUNTIF($A$5:A50,A50))</x:f>
        <x:v>1</x:v>
      </x:c>
      <x:c r="D50" t="n">
        <x:f>IF(A50="","",IF(C50=1,1,0))</x:f>
        <x:v>1</x:v>
      </x:c>
      <x:c r="E50" t="str">
        <x:f>IF(A50="","THIẾU",IF(LEFT(A50,LEN(B50)+1)=B50&amp;".","OK","SAI PREFIX"))</x:f>
        <x:v>OK</x:v>
      </x:c>
      <x:c r="F50" t="str">
        <x:f>IF(A50="","THIẾU",IF(LEN(A50)-LEN(SUBSTITUTE(A50,".",""))=3,"OK","SAI CẤU TRÚC"))</x:f>
        <x:v>OK</x:v>
      </x:c>
    </x:row>
    <x:row r="51">
      <x:c r="A51" t="str">
        <x:f>ND30!B53</x:f>
        <x:v>ND30.C.NN.NHU_TREN</x:v>
      </x:c>
      <x:c r="B51" t="str">
        <x:v>ND30</x:v>
      </x:c>
      <x:c r="C51" t="n">
        <x:f>IF(A51="","",COUNTIF($A$5:A51,A51))</x:f>
        <x:v>1</x:v>
      </x:c>
      <x:c r="D51" t="n">
        <x:f>IF(A51="","",IF(C51=1,1,0))</x:f>
        <x:v>1</x:v>
      </x:c>
      <x:c r="E51" t="str">
        <x:f>IF(A51="","THIẾU",IF(LEFT(A51,LEN(B51)+1)=B51&amp;".","OK","SAI PREFIX"))</x:f>
        <x:v>OK</x:v>
      </x:c>
      <x:c r="F51" t="str">
        <x:f>IF(A51="","THIẾU",IF(LEN(A51)-LEN(SUBSTITUTE(A51,".",""))=3,"OK","SAI CẤU TRÚC"))</x:f>
        <x:v>OK</x:v>
      </x:c>
    </x:row>
    <x:row r="52">
      <x:c r="A52" t="str">
        <x:f>ND30!B54</x:f>
        <x:v>ND30.C.NN.NOI_LUU</x:v>
      </x:c>
      <x:c r="B52" t="str">
        <x:v>ND30</x:v>
      </x:c>
      <x:c r="C52" t="n">
        <x:f>IF(A52="","",COUNTIF($A$5:A52,A52))</x:f>
        <x:v>1</x:v>
      </x:c>
      <x:c r="D52" t="n">
        <x:f>IF(A52="","",IF(C52=1,1,0))</x:f>
        <x:v>1</x:v>
      </x:c>
      <x:c r="E52" t="str">
        <x:f>IF(A52="","THIẾU",IF(LEFT(A52,LEN(B52)+1)=B52&amp;".","OK","SAI PREFIX"))</x:f>
        <x:v>OK</x:v>
      </x:c>
      <x:c r="F52" t="str">
        <x:f>IF(A52="","THIẾU",IF(LEN(A52)-LEN(SUBSTITUTE(A52,".",""))=3,"OK","SAI CẤU TRÚC"))</x:f>
        <x:v>OK</x:v>
      </x:c>
    </x:row>
    <x:row r="53">
      <x:c r="A53" t="str">
        <x:f>ND30!B55</x:f>
        <x:v>ND30.C.KY.QUYEN_HAN</x:v>
      </x:c>
      <x:c r="B53" t="str">
        <x:v>ND30</x:v>
      </x:c>
      <x:c r="C53" t="n">
        <x:f>IF(A53="","",COUNTIF($A$5:A53,A53))</x:f>
        <x:v>1</x:v>
      </x:c>
      <x:c r="D53" t="n">
        <x:f>IF(A53="","",IF(C53=1,1,0))</x:f>
        <x:v>1</x:v>
      </x:c>
      <x:c r="E53" t="str">
        <x:f>IF(A53="","THIẾU",IF(LEFT(A53,LEN(B53)+1)=B53&amp;".","OK","SAI PREFIX"))</x:f>
        <x:v>OK</x:v>
      </x:c>
      <x:c r="F53" t="str">
        <x:f>IF(A53="","THIẾU",IF(LEN(A53)-LEN(SUBSTITUTE(A53,".",""))=3,"OK","SAI CẤU TRÚC"))</x:f>
        <x:v>OK</x:v>
      </x:c>
    </x:row>
    <x:row r="54">
      <x:c r="A54" t="str">
        <x:f>ND30!B56</x:f>
        <x:v>ND30.C.KY.CHUC_VU</x:v>
      </x:c>
      <x:c r="B54" t="str">
        <x:v>ND30</x:v>
      </x:c>
      <x:c r="C54" t="n">
        <x:f>IF(A54="","",COUNTIF($A$5:A54,A54))</x:f>
        <x:v>1</x:v>
      </x:c>
      <x:c r="D54" t="n">
        <x:f>IF(A54="","",IF(C54=1,1,0))</x:f>
        <x:v>1</x:v>
      </x:c>
      <x:c r="E54" t="str">
        <x:f>IF(A54="","THIẾU",IF(LEFT(A54,LEN(B54)+1)=B54&amp;".","OK","SAI PREFIX"))</x:f>
        <x:v>OK</x:v>
      </x:c>
      <x:c r="F54" t="str">
        <x:f>IF(A54="","THIẾU",IF(LEN(A54)-LEN(SUBSTITUTE(A54,".",""))=3,"OK","SAI CẤU TRÚC"))</x:f>
        <x:v>OK</x:v>
      </x:c>
    </x:row>
    <x:row r="55">
      <x:c r="A55" t="str">
        <x:f>ND30!B57</x:f>
        <x:v>ND30.C.KY.CHU_KY</x:v>
      </x:c>
      <x:c r="B55" t="str">
        <x:v>ND30</x:v>
      </x:c>
      <x:c r="C55" t="n">
        <x:f>IF(A55="","",COUNTIF($A$5:A55,A55))</x:f>
        <x:v>1</x:v>
      </x:c>
      <x:c r="D55" t="n">
        <x:f>IF(A55="","",IF(C55=1,1,0))</x:f>
        <x:v>1</x:v>
      </x:c>
      <x:c r="E55" t="str">
        <x:f>IF(A55="","THIẾU",IF(LEFT(A55,LEN(B55)+1)=B55&amp;".","OK","SAI PREFIX"))</x:f>
        <x:v>OK</x:v>
      </x:c>
      <x:c r="F55" t="str">
        <x:f>IF(A55="","THIẾU",IF(LEN(A55)-LEN(SUBSTITUTE(A55,".",""))=3,"OK","SAI CẤU TRÚC"))</x:f>
        <x:v>OK</x:v>
      </x:c>
    </x:row>
    <x:row r="56">
      <x:c r="A56" t="str">
        <x:f>ND30!B58</x:f>
        <x:v>ND30.C.KY.HO_TEN</x:v>
      </x:c>
      <x:c r="B56" t="str">
        <x:v>ND30</x:v>
      </x:c>
      <x:c r="C56" t="n">
        <x:f>IF(A56="","",COUNTIF($A$5:A56,A56))</x:f>
        <x:v>1</x:v>
      </x:c>
      <x:c r="D56" t="n">
        <x:f>IF(A56="","",IF(C56=1,1,0))</x:f>
        <x:v>1</x:v>
      </x:c>
      <x:c r="E56" t="str">
        <x:f>IF(A56="","THIẾU",IF(LEFT(A56,LEN(B56)+1)=B56&amp;".","OK","SAI PREFIX"))</x:f>
        <x:v>OK</x:v>
      </x:c>
      <x:c r="F56" t="str">
        <x:f>IF(A56="","THIẾU",IF(LEN(A56)-LEN(SUBSTITUTE(A56,".",""))=3,"OK","SAI CẤU TRÚC"))</x:f>
        <x:v>OK</x:v>
      </x:c>
    </x:row>
    <x:row r="57">
      <x:c r="A57" t="str">
        <x:f>ND30!B59</x:f>
        <x:v>ND30.C.KY.KHOI_KY</x:v>
      </x:c>
      <x:c r="B57" t="str">
        <x:v>ND30</x:v>
      </x:c>
      <x:c r="C57" t="n">
        <x:f>IF(A57="","",COUNTIF($A$5:A57,A57))</x:f>
        <x:v>1</x:v>
      </x:c>
      <x:c r="D57" t="n">
        <x:f>IF(A57="","",IF(C57=1,1,0))</x:f>
        <x:v>1</x:v>
      </x:c>
      <x:c r="E57" t="str">
        <x:f>IF(A57="","THIẾU",IF(LEFT(A57,LEN(B57)+1)=B57&amp;".","OK","SAI PREFIX"))</x:f>
        <x:v>OK</x:v>
      </x:c>
      <x:c r="F57" t="str">
        <x:f>IF(A57="","THIẾU",IF(LEN(A57)-LEN(SUBSTITUTE(A57,".",""))=3,"OK","SAI CẤU TRÚC"))</x:f>
        <x:v>OK</x:v>
      </x:c>
    </x:row>
    <x:row r="58">
      <x:c r="A58" t="str">
        <x:f>ND30!B60</x:f>
        <x:v>ND30.C.DAU.DAU_CO_QUAN</x:v>
      </x:c>
      <x:c r="B58" t="str">
        <x:v>ND30</x:v>
      </x:c>
      <x:c r="C58" t="n">
        <x:f>IF(A58="","",COUNTIF($A$5:A58,A58))</x:f>
        <x:v>1</x:v>
      </x:c>
      <x:c r="D58" t="n">
        <x:f>IF(A58="","",IF(C58=1,1,0))</x:f>
        <x:v>1</x:v>
      </x:c>
      <x:c r="E58" t="str">
        <x:f>IF(A58="","THIẾU",IF(LEFT(A58,LEN(B58)+1)=B58&amp;".","OK","SAI PREFIX"))</x:f>
        <x:v>OK</x:v>
      </x:c>
      <x:c r="F58" t="str">
        <x:f>IF(A58="","THIẾU",IF(LEN(A58)-LEN(SUBSTITUTE(A58,".",""))=3,"OK","SAI CẤU TRÚC"))</x:f>
        <x:v>OK</x:v>
      </x:c>
    </x:row>
    <x:row r="59">
      <x:c r="A59" t="str">
        <x:f>ND30!B61</x:f>
        <x:v>ND30.C.DAU.CHU_KY_SO</x:v>
      </x:c>
      <x:c r="B59" t="str">
        <x:v>ND30</x:v>
      </x:c>
      <x:c r="C59" t="n">
        <x:f>IF(A59="","",COUNTIF($A$5:A59,A59))</x:f>
        <x:v>1</x:v>
      </x:c>
      <x:c r="D59" t="n">
        <x:f>IF(A59="","",IF(C59=1,1,0))</x:f>
        <x:v>1</x:v>
      </x:c>
      <x:c r="E59" t="str">
        <x:f>IF(A59="","THIẾU",IF(LEFT(A59,LEN(B59)+1)=B59&amp;".","OK","SAI PREFIX"))</x:f>
        <x:v>OK</x:v>
      </x:c>
      <x:c r="F59" t="str">
        <x:f>IF(A59="","THIẾU",IF(LEN(A59)-LEN(SUBSTITUTE(A59,".",""))=3,"OK","SAI CẤU TRÚC"))</x:f>
        <x:v>OK</x:v>
      </x:c>
    </x:row>
    <x:row r="60">
      <x:c r="A60" t="str">
        <x:f>ND30!B62</x:f>
        <x:v>ND30.G.TRANG.KHO_GIAY</x:v>
      </x:c>
      <x:c r="B60" t="str">
        <x:v>ND30</x:v>
      </x:c>
      <x:c r="C60" t="n">
        <x:f>IF(A60="","",COUNTIF($A$5:A60,A60))</x:f>
        <x:v>1</x:v>
      </x:c>
      <x:c r="D60" t="n">
        <x:f>IF(A60="","",IF(C60=1,1,0))</x:f>
        <x:v>1</x:v>
      </x:c>
      <x:c r="E60" t="str">
        <x:f>IF(A60="","THIẾU",IF(LEFT(A60,LEN(B60)+1)=B60&amp;".","OK","SAI PREFIX"))</x:f>
        <x:v>OK</x:v>
      </x:c>
      <x:c r="F60" t="str">
        <x:f>IF(A60="","THIẾU",IF(LEN(A60)-LEN(SUBSTITUTE(A60,".",""))=3,"OK","SAI CẤU TRÚC"))</x:f>
        <x:v>OK</x:v>
      </x:c>
    </x:row>
    <x:row r="61">
      <x:c r="A61" t="str">
        <x:f>ND30!B63</x:f>
        <x:v>ND30.G.TRANG.HUONG_GIAY</x:v>
      </x:c>
      <x:c r="B61" t="str">
        <x:v>ND30</x:v>
      </x:c>
      <x:c r="C61" t="n">
        <x:f>IF(A61="","",COUNTIF($A$5:A61,A61))</x:f>
        <x:v>1</x:v>
      </x:c>
      <x:c r="D61" t="n">
        <x:f>IF(A61="","",IF(C61=1,1,0))</x:f>
        <x:v>1</x:v>
      </x:c>
      <x:c r="E61" t="str">
        <x:f>IF(A61="","THIẾU",IF(LEFT(A61,LEN(B61)+1)=B61&amp;".","OK","SAI PREFIX"))</x:f>
        <x:v>OK</x:v>
      </x:c>
      <x:c r="F61" t="str">
        <x:f>IF(A61="","THIẾU",IF(LEN(A61)-LEN(SUBSTITUTE(A61,".",""))=3,"OK","SAI CẤU TRÚC"))</x:f>
        <x:v>OK</x:v>
      </x:c>
    </x:row>
    <x:row r="62">
      <x:c r="A62" t="str">
        <x:f>ND30!B64</x:f>
        <x:v>ND30.G.TRANG.LE_TRANG</x:v>
      </x:c>
      <x:c r="B62" t="str">
        <x:v>ND30</x:v>
      </x:c>
      <x:c r="C62" t="n">
        <x:f>IF(A62="","",COUNTIF($A$5:A62,A62))</x:f>
        <x:v>1</x:v>
      </x:c>
      <x:c r="D62" t="n">
        <x:f>IF(A62="","",IF(C62=1,1,0))</x:f>
        <x:v>1</x:v>
      </x:c>
      <x:c r="E62" t="str">
        <x:f>IF(A62="","THIẾU",IF(LEFT(A62,LEN(B62)+1)=B62&amp;".","OK","SAI PREFIX"))</x:f>
        <x:v>OK</x:v>
      </x:c>
      <x:c r="F62" t="str">
        <x:f>IF(A62="","THIẾU",IF(LEN(A62)-LEN(SUBSTITUTE(A62,".",""))=3,"OK","SAI CẤU TRÚC"))</x:f>
        <x:v>OK</x:v>
      </x:c>
    </x:row>
    <x:row r="63">
      <x:c r="A63" t="str">
        <x:f>ND30!B65</x:f>
        <x:v>ND30.G.CHU.PHONG</x:v>
      </x:c>
      <x:c r="B63" t="str">
        <x:v>ND30</x:v>
      </x:c>
      <x:c r="C63" t="n">
        <x:f>IF(A63="","",COUNTIF($A$5:A63,A63))</x:f>
        <x:v>1</x:v>
      </x:c>
      <x:c r="D63" t="n">
        <x:f>IF(A63="","",IF(C63=1,1,0))</x:f>
        <x:v>1</x:v>
      </x:c>
      <x:c r="E63" t="str">
        <x:f>IF(A63="","THIẾU",IF(LEFT(A63,LEN(B63)+1)=B63&amp;".","OK","SAI PREFIX"))</x:f>
        <x:v>OK</x:v>
      </x:c>
      <x:c r="F63" t="str">
        <x:f>IF(A63="","THIẾU",IF(LEN(A63)-LEN(SUBSTITUTE(A63,".",""))=3,"OK","SAI CẤU TRÚC"))</x:f>
        <x:v>OK</x:v>
      </x:c>
    </x:row>
    <x:row r="64">
      <x:c r="A64" t="str">
        <x:f>ND30!B66</x:f>
        <x:v>ND30.G.CHU.CO_CHU</x:v>
      </x:c>
      <x:c r="B64" t="str">
        <x:v>ND30</x:v>
      </x:c>
      <x:c r="C64" t="n">
        <x:f>IF(A64="","",COUNTIF($A$5:A64,A64))</x:f>
        <x:v>1</x:v>
      </x:c>
      <x:c r="D64" t="n">
        <x:f>IF(A64="","",IF(C64=1,1,0))</x:f>
        <x:v>1</x:v>
      </x:c>
      <x:c r="E64" t="str">
        <x:f>IF(A64="","THIẾU",IF(LEFT(A64,LEN(B64)+1)=B64&amp;".","OK","SAI PREFIX"))</x:f>
        <x:v>OK</x:v>
      </x:c>
      <x:c r="F64" t="str">
        <x:f>IF(A64="","THIẾU",IF(LEN(A64)-LEN(SUBSTITUTE(A64,".",""))=3,"OK","SAI CẤU TRÚC"))</x:f>
        <x:v>OK</x:v>
      </x:c>
    </x:row>
    <x:row r="65">
      <x:c r="A65" t="str">
        <x:f>ND30!B67</x:f>
        <x:v>ND30.G.CHU.KIEU_CHU</x:v>
      </x:c>
      <x:c r="B65" t="str">
        <x:v>ND30</x:v>
      </x:c>
      <x:c r="C65" t="n">
        <x:f>IF(A65="","",COUNTIF($A$5:A65,A65))</x:f>
        <x:v>1</x:v>
      </x:c>
      <x:c r="D65" t="n">
        <x:f>IF(A65="","",IF(C65=1,1,0))</x:f>
        <x:v>1</x:v>
      </x:c>
      <x:c r="E65" t="str">
        <x:f>IF(A65="","THIẾU",IF(LEFT(A65,LEN(B65)+1)=B65&amp;".","OK","SAI PREFIX"))</x:f>
        <x:v>OK</x:v>
      </x:c>
      <x:c r="F65" t="str">
        <x:f>IF(A65="","THIẾU",IF(LEN(A65)-LEN(SUBSTITUTE(A65,".",""))=3,"OK","SAI CẤU TRÚC"))</x:f>
        <x:v>OK</x:v>
      </x:c>
    </x:row>
    <x:row r="66">
      <x:c r="A66" t="str">
        <x:f>ND30!B68</x:f>
        <x:v>ND30.G.DOAN.CAN_LE</x:v>
      </x:c>
      <x:c r="B66" t="str">
        <x:v>ND30</x:v>
      </x:c>
      <x:c r="C66" t="n">
        <x:f>IF(A66="","",COUNTIF($A$5:A66,A66))</x:f>
        <x:v>1</x:v>
      </x:c>
      <x:c r="D66" t="n">
        <x:f>IF(A66="","",IF(C66=1,1,0))</x:f>
        <x:v>1</x:v>
      </x:c>
      <x:c r="E66" t="str">
        <x:f>IF(A66="","THIẾU",IF(LEFT(A66,LEN(B66)+1)=B66&amp;".","OK","SAI PREFIX"))</x:f>
        <x:v>OK</x:v>
      </x:c>
      <x:c r="F66" t="str">
        <x:f>IF(A66="","THIẾU",IF(LEN(A66)-LEN(SUBSTITUTE(A66,".",""))=3,"OK","SAI CẤU TRÚC"))</x:f>
        <x:v>OK</x:v>
      </x:c>
    </x:row>
    <x:row r="67">
      <x:c r="A67" t="str">
        <x:f>ND30!B69</x:f>
        <x:v>ND30.G.DOAN.GIUA_DONG</x:v>
      </x:c>
      <x:c r="B67" t="str">
        <x:v>ND30</x:v>
      </x:c>
      <x:c r="C67" t="n">
        <x:f>IF(A67="","",COUNTIF($A$5:A67,A67))</x:f>
        <x:v>1</x:v>
      </x:c>
      <x:c r="D67" t="n">
        <x:f>IF(A67="","",IF(C67=1,1,0))</x:f>
        <x:v>1</x:v>
      </x:c>
      <x:c r="E67" t="str">
        <x:f>IF(A67="","THIẾU",IF(LEFT(A67,LEN(B67)+1)=B67&amp;".","OK","SAI PREFIX"))</x:f>
        <x:v>OK</x:v>
      </x:c>
      <x:c r="F67" t="str">
        <x:f>IF(A67="","THIẾU",IF(LEN(A67)-LEN(SUBSTITUTE(A67,".",""))=3,"OK","SAI CẤU TRÚC"))</x:f>
        <x:v>OK</x:v>
      </x:c>
    </x:row>
    <x:row r="68">
      <x:c r="A68" t="str">
        <x:f>ND30!B70</x:f>
        <x:v>ND30.G.DOAN.GIUA_DOAN</x:v>
      </x:c>
      <x:c r="B68" t="str">
        <x:v>ND30</x:v>
      </x:c>
      <x:c r="C68" t="n">
        <x:f>IF(A68="","",COUNTIF($A$5:A68,A68))</x:f>
        <x:v>1</x:v>
      </x:c>
      <x:c r="D68" t="n">
        <x:f>IF(A68="","",IF(C68=1,1,0))</x:f>
        <x:v>1</x:v>
      </x:c>
      <x:c r="E68" t="str">
        <x:f>IF(A68="","THIẾU",IF(LEFT(A68,LEN(B68)+1)=B68&amp;".","OK","SAI PREFIX"))</x:f>
        <x:v>OK</x:v>
      </x:c>
      <x:c r="F68" t="str">
        <x:f>IF(A68="","THIẾU",IF(LEN(A68)-LEN(SUBSTITUTE(A68,".",""))=3,"OK","SAI CẤU TRÚC"))</x:f>
        <x:v>OK</x:v>
      </x:c>
    </x:row>
    <x:row r="69">
      <x:c r="A69" t="str">
        <x:f>ND30!B71</x:f>
        <x:v>ND30.G.DOAN.THUT_DONG</x:v>
      </x:c>
      <x:c r="B69" t="str">
        <x:v>ND30</x:v>
      </x:c>
      <x:c r="C69" t="n">
        <x:f>IF(A69="","",COUNTIF($A$5:A69,A69))</x:f>
        <x:v>1</x:v>
      </x:c>
      <x:c r="D69" t="n">
        <x:f>IF(A69="","",IF(C69=1,1,0))</x:f>
        <x:v>1</x:v>
      </x:c>
      <x:c r="E69" t="str">
        <x:f>IF(A69="","THIẾU",IF(LEFT(A69,LEN(B69)+1)=B69&amp;".","OK","SAI PREFIX"))</x:f>
        <x:v>OK</x:v>
      </x:c>
      <x:c r="F69" t="str">
        <x:f>IF(A69="","THIẾU",IF(LEN(A69)-LEN(SUBSTITUTE(A69,".",""))=3,"OK","SAI CẤU TRÚC"))</x:f>
        <x:v>OK</x:v>
      </x:c>
    </x:row>
    <x:row r="70">
      <x:c r="A70" t="str">
        <x:f>ND30!B72</x:f>
        <x:v>ND30.G.PHAN_TRANG.SECTION</x:v>
      </x:c>
      <x:c r="B70" t="str">
        <x:v>ND30</x:v>
      </x:c>
      <x:c r="C70" t="n">
        <x:f>IF(A70="","",COUNTIF($A$5:A70,A70))</x:f>
        <x:v>1</x:v>
      </x:c>
      <x:c r="D70" t="n">
        <x:f>IF(A70="","",IF(C70=1,1,0))</x:f>
        <x:v>1</x:v>
      </x:c>
      <x:c r="E70" t="str">
        <x:f>IF(A70="","THIẾU",IF(LEFT(A70,LEN(B70)+1)=B70&amp;".","OK","SAI PREFIX"))</x:f>
        <x:v>OK</x:v>
      </x:c>
      <x:c r="F70" t="str">
        <x:f>IF(A70="","THIẾU",IF(LEN(A70)-LEN(SUBSTITUTE(A70,".",""))=3,"OK","SAI CẤU TRÚC"))</x:f>
        <x:v>OK</x:v>
      </x:c>
    </x:row>
    <x:row r="71">
      <x:c r="A71" t="str">
        <x:f>ND30!B73</x:f>
        <x:v>ND30.G.PHAN_TRANG.NGAT_TRANG</x:v>
      </x:c>
      <x:c r="B71" t="str">
        <x:v>ND30</x:v>
      </x:c>
      <x:c r="C71" t="n">
        <x:f>IF(A71="","",COUNTIF($A$5:A71,A71))</x:f>
        <x:v>1</x:v>
      </x:c>
      <x:c r="D71" t="n">
        <x:f>IF(A71="","",IF(C71=1,1,0))</x:f>
        <x:v>1</x:v>
      </x:c>
      <x:c r="E71" t="str">
        <x:f>IF(A71="","THIẾU",IF(LEFT(A71,LEN(B71)+1)=B71&amp;".","OK","SAI PREFIX"))</x:f>
        <x:v>OK</x:v>
      </x:c>
      <x:c r="F71" t="str">
        <x:f>IF(A71="","THIẾU",IF(LEN(A71)-LEN(SUBSTITUTE(A71,".",""))=3,"OK","SAI CẤU TRÚC"))</x:f>
        <x:v>OK</x:v>
      </x:c>
    </x:row>
    <x:row r="72">
      <x:c r="A72" t="str">
        <x:f>ND30!B74</x:f>
        <x:v>ND30.G.PHAN_TRANG.KEEP_WITH_NEXT</x:v>
      </x:c>
      <x:c r="B72" t="str">
        <x:v>ND30</x:v>
      </x:c>
      <x:c r="C72" t="n">
        <x:f>IF(A72="","",COUNTIF($A$5:A72,A72))</x:f>
        <x:v>1</x:v>
      </x:c>
      <x:c r="D72" t="n">
        <x:f>IF(A72="","",IF(C72=1,1,0))</x:f>
        <x:v>1</x:v>
      </x:c>
      <x:c r="E72" t="str">
        <x:f>IF(A72="","THIẾU",IF(LEFT(A72,LEN(B72)+1)=B72&amp;".","OK","SAI PREFIX"))</x:f>
        <x:v>OK</x:v>
      </x:c>
      <x:c r="F72" t="str">
        <x:f>IF(A72="","THIẾU",IF(LEN(A72)-LEN(SUBSTITUTE(A72,".",""))=3,"OK","SAI CẤU TRÚC"))</x:f>
        <x:v>OK</x:v>
      </x:c>
    </x:row>
    <x:row r="73">
      <x:c r="A73" t="str">
        <x:f>ND30!B75</x:f>
        <x:v>ND30.G.SO_TRANG.VI_TRI</x:v>
      </x:c>
      <x:c r="B73" t="str">
        <x:v>ND30</x:v>
      </x:c>
      <x:c r="C73" t="n">
        <x:f>IF(A73="","",COUNTIF($A$5:A73,A73))</x:f>
        <x:v>1</x:v>
      </x:c>
      <x:c r="D73" t="n">
        <x:f>IF(A73="","",IF(C73=1,1,0))</x:f>
        <x:v>1</x:v>
      </x:c>
      <x:c r="E73" t="str">
        <x:f>IF(A73="","THIẾU",IF(LEFT(A73,LEN(B73)+1)=B73&amp;".","OK","SAI PREFIX"))</x:f>
        <x:v>OK</x:v>
      </x:c>
      <x:c r="F73" t="str">
        <x:f>IF(A73="","THIẾU",IF(LEN(A73)-LEN(SUBSTITUTE(A73,".",""))=3,"OK","SAI CẤU TRÚC"))</x:f>
        <x:v>OK</x:v>
      </x:c>
    </x:row>
    <x:row r="74">
      <x:c r="A74" t="str">
        <x:f>ND30!B76</x:f>
        <x:v>ND30.G.SO_TRANG.DINH_DANG</x:v>
      </x:c>
      <x:c r="B74" t="str">
        <x:v>ND30</x:v>
      </x:c>
      <x:c r="C74" t="n">
        <x:f>IF(A74="","",COUNTIF($A$5:A74,A74))</x:f>
        <x:v>1</x:v>
      </x:c>
      <x:c r="D74" t="n">
        <x:f>IF(A74="","",IF(C74=1,1,0))</x:f>
        <x:v>1</x:v>
      </x:c>
      <x:c r="E74" t="str">
        <x:f>IF(A74="","THIẾU",IF(LEFT(A74,LEN(B74)+1)=B74&amp;".","OK","SAI PREFIX"))</x:f>
        <x:v>OK</x:v>
      </x:c>
      <x:c r="F74" t="str">
        <x:f>IF(A74="","THIẾU",IF(LEN(A74)-LEN(SUBSTITUTE(A74,".",""))=3,"OK","SAI CẤU TRÚC"))</x:f>
        <x:v>OK</x:v>
      </x:c>
    </x:row>
    <x:row r="75">
      <x:c r="A75" t="str">
        <x:f>ND30!B77</x:f>
        <x:v>ND30.X.MAT.MUC_DO</x:v>
      </x:c>
      <x:c r="B75" t="str">
        <x:v>ND30</x:v>
      </x:c>
      <x:c r="C75" t="n">
        <x:f>IF(A75="","",COUNTIF($A$5:A75,A75))</x:f>
        <x:v>1</x:v>
      </x:c>
      <x:c r="D75" t="n">
        <x:f>IF(A75="","",IF(C75=1,1,0))</x:f>
        <x:v>1</x:v>
      </x:c>
      <x:c r="E75" t="str">
        <x:f>IF(A75="","THIẾU",IF(LEFT(A75,LEN(B75)+1)=B75&amp;".","OK","SAI PREFIX"))</x:f>
        <x:v>OK</x:v>
      </x:c>
      <x:c r="F75" t="str">
        <x:f>IF(A75="","THIẾU",IF(LEN(A75)-LEN(SUBSTITUTE(A75,".",""))=3,"OK","SAI CẤU TRÚC"))</x:f>
        <x:v>OK</x:v>
      </x:c>
    </x:row>
    <x:row r="76">
      <x:c r="A76" t="str">
        <x:f>ND30!B78</x:f>
        <x:v>ND30.X.KHAN.MUC_DO</x:v>
      </x:c>
      <x:c r="B76" t="str">
        <x:v>ND30</x:v>
      </x:c>
      <x:c r="C76" t="n">
        <x:f>IF(A76="","",COUNTIF($A$5:A76,A76))</x:f>
        <x:v>1</x:v>
      </x:c>
      <x:c r="D76" t="n">
        <x:f>IF(A76="","",IF(C76=1,1,0))</x:f>
        <x:v>1</x:v>
      </x:c>
      <x:c r="E76" t="str">
        <x:f>IF(A76="","THIẾU",IF(LEFT(A76,LEN(B76)+1)=B76&amp;".","OK","SAI PREFIX"))</x:f>
        <x:v>OK</x:v>
      </x:c>
      <x:c r="F76" t="str">
        <x:f>IF(A76="","THIẾU",IF(LEN(A76)-LEN(SUBSTITUTE(A76,".",""))=3,"OK","SAI CẤU TRÚC"))</x:f>
        <x:v>OK</x:v>
      </x:c>
    </x:row>
    <x:row r="77">
      <x:c r="A77" t="str">
        <x:f>ND30!B79</x:f>
        <x:v>ND30.X.LUU_HANH.CHI_DAN</x:v>
      </x:c>
      <x:c r="B77" t="str">
        <x:v>ND30</x:v>
      </x:c>
      <x:c r="C77" t="n">
        <x:f>IF(A77="","",COUNTIF($A$5:A77,A77))</x:f>
        <x:v>1</x:v>
      </x:c>
      <x:c r="D77" t="n">
        <x:f>IF(A77="","",IF(C77=1,1,0))</x:f>
        <x:v>1</x:v>
      </x:c>
      <x:c r="E77" t="str">
        <x:f>IF(A77="","THIẾU",IF(LEFT(A77,LEN(B77)+1)=B77&amp;".","OK","SAI PREFIX"))</x:f>
        <x:v>OK</x:v>
      </x:c>
      <x:c r="F77" t="str">
        <x:f>IF(A77="","THIẾU",IF(LEN(A77)-LEN(SUBSTITUTE(A77,".",""))=3,"OK","SAI CẤU TRÚC"))</x:f>
        <x:v>OK</x:v>
      </x:c>
    </x:row>
    <x:row r="78">
      <x:c r="A78" t="str">
        <x:f>ND30!B80</x:f>
        <x:v>ND30.X.SOAN.KY_HIEU_NGUOI_SOAN</x:v>
      </x:c>
      <x:c r="B78" t="str">
        <x:v>ND30</x:v>
      </x:c>
      <x:c r="C78" t="n">
        <x:f>IF(A78="","",COUNTIF($A$5:A78,A78))</x:f>
        <x:v>1</x:v>
      </x:c>
      <x:c r="D78" t="n">
        <x:f>IF(A78="","",IF(C78=1,1,0))</x:f>
        <x:v>1</x:v>
      </x:c>
      <x:c r="E78" t="str">
        <x:f>IF(A78="","THIẾU",IF(LEFT(A78,LEN(B78)+1)=B78&amp;".","OK","SAI PREFIX"))</x:f>
        <x:v>OK</x:v>
      </x:c>
      <x:c r="F78" t="str">
        <x:f>IF(A78="","THIẾU",IF(LEN(A78)-LEN(SUBSTITUTE(A78,".",""))=3,"OK","SAI CẤU TRÚC"))</x:f>
        <x:v>OK</x:v>
      </x:c>
    </x:row>
    <x:row r="79">
      <x:c r="A79" t="str">
        <x:f>ND30!B81</x:f>
        <x:v>ND30.X.SOAN.SO_BAN</x:v>
      </x:c>
      <x:c r="B79" t="str">
        <x:v>ND30</x:v>
      </x:c>
      <x:c r="C79" t="n">
        <x:f>IF(A79="","",COUNTIF($A$5:A79,A79))</x:f>
        <x:v>1</x:v>
      </x:c>
      <x:c r="D79" t="n">
        <x:f>IF(A79="","",IF(C79=1,1,0))</x:f>
        <x:v>1</x:v>
      </x:c>
      <x:c r="E79" t="str">
        <x:f>IF(A79="","THIẾU",IF(LEFT(A79,LEN(B79)+1)=B79&amp;".","OK","SAI PREFIX"))</x:f>
        <x:v>OK</x:v>
      </x:c>
      <x:c r="F79" t="str">
        <x:f>IF(A79="","THIẾU",IF(LEN(A79)-LEN(SUBSTITUTE(A79,".",""))=3,"OK","SAI CẤU TRÚC"))</x:f>
        <x:v>OK</x:v>
      </x:c>
    </x:row>
    <x:row r="80">
      <x:c r="A80" t="str">
        <x:f>ND30!B82</x:f>
        <x:v>ND30.X.LIEN_HE.DIA_CHI</x:v>
      </x:c>
      <x:c r="B80" t="str">
        <x:v>ND30</x:v>
      </x:c>
      <x:c r="C80" t="n">
        <x:f>IF(A80="","",COUNTIF($A$5:A80,A80))</x:f>
        <x:v>1</x:v>
      </x:c>
      <x:c r="D80" t="n">
        <x:f>IF(A80="","",IF(C80=1,1,0))</x:f>
        <x:v>1</x:v>
      </x:c>
      <x:c r="E80" t="str">
        <x:f>IF(A80="","THIẾU",IF(LEFT(A80,LEN(B80)+1)=B80&amp;".","OK","SAI PREFIX"))</x:f>
        <x:v>OK</x:v>
      </x:c>
      <x:c r="F80" t="str">
        <x:f>IF(A80="","THIẾU",IF(LEN(A80)-LEN(SUBSTITUTE(A80,".",""))=3,"OK","SAI CẤU TRÚC"))</x:f>
        <x:v>OK</x:v>
      </x:c>
    </x:row>
    <x:row r="81">
      <x:c r="A81" t="str">
        <x:f>ND30!B83</x:f>
        <x:v>ND30.X.LIEN_HE.EMAIL</x:v>
      </x:c>
      <x:c r="B81" t="str">
        <x:v>ND30</x:v>
      </x:c>
      <x:c r="C81" t="n">
        <x:f>IF(A81="","",COUNTIF($A$5:A81,A81))</x:f>
        <x:v>1</x:v>
      </x:c>
      <x:c r="D81" t="n">
        <x:f>IF(A81="","",IF(C81=1,1,0))</x:f>
        <x:v>1</x:v>
      </x:c>
      <x:c r="E81" t="str">
        <x:f>IF(A81="","THIẾU",IF(LEFT(A81,LEN(B81)+1)=B81&amp;".","OK","SAI PREFIX"))</x:f>
        <x:v>OK</x:v>
      </x:c>
      <x:c r="F81" t="str">
        <x:f>IF(A81="","THIẾU",IF(LEN(A81)-LEN(SUBSTITUTE(A81,".",""))=3,"OK","SAI CẤU TRÚC"))</x:f>
        <x:v>OK</x:v>
      </x:c>
    </x:row>
    <x:row r="82">
      <x:c r="A82" t="str">
        <x:f>ND30!B84</x:f>
        <x:v>ND30.X.LIEN_HE.DIEN_THOAI</x:v>
      </x:c>
      <x:c r="B82" t="str">
        <x:v>ND30</x:v>
      </x:c>
      <x:c r="C82" t="n">
        <x:f>IF(A82="","",COUNTIF($A$5:A82,A82))</x:f>
        <x:v>1</x:v>
      </x:c>
      <x:c r="D82" t="n">
        <x:f>IF(A82="","",IF(C82=1,1,0))</x:f>
        <x:v>1</x:v>
      </x:c>
      <x:c r="E82" t="str">
        <x:f>IF(A82="","THIẾU",IF(LEFT(A82,LEN(B82)+1)=B82&amp;".","OK","SAI PREFIX"))</x:f>
        <x:v>OK</x:v>
      </x:c>
      <x:c r="F82" t="str">
        <x:f>IF(A82="","THIẾU",IF(LEN(A82)-LEN(SUBSTITUTE(A82,".",""))=3,"OK","SAI CẤU TRÚC"))</x:f>
        <x:v>OK</x:v>
      </x:c>
    </x:row>
    <x:row r="83">
      <x:c r="A83" t="str">
        <x:f>ND30!B85</x:f>
        <x:v>ND30.X.LIEN_HE.WEB</x:v>
      </x:c>
      <x:c r="B83" t="str">
        <x:v>ND30</x:v>
      </x:c>
      <x:c r="C83" t="n">
        <x:f>IF(A83="","",COUNTIF($A$5:A83,A83))</x:f>
        <x:v>1</x:v>
      </x:c>
      <x:c r="D83" t="n">
        <x:f>IF(A83="","",IF(C83=1,1,0))</x:f>
        <x:v>1</x:v>
      </x:c>
      <x:c r="E83" t="str">
        <x:f>IF(A83="","THIẾU",IF(LEFT(A83,LEN(B83)+1)=B83&amp;".","OK","SAI PREFIX"))</x:f>
        <x:v>OK</x:v>
      </x:c>
      <x:c r="F83" t="str">
        <x:f>IF(A83="","THIẾU",IF(LEN(A83)-LEN(SUBSTITUTE(A83,".",""))=3,"OK","SAI CẤU TRÚC"))</x:f>
        <x:v>OK</x:v>
      </x:c>
    </x:row>
    <x:row r="84">
      <x:c r="A84" t="str">
        <x:f>ND30!B86</x:f>
        <x:v>ND30.X.LIEN_HE.FAX</x:v>
      </x:c>
      <x:c r="B84" t="str">
        <x:v>ND30</x:v>
      </x:c>
      <x:c r="C84" t="n">
        <x:f>IF(A84="","",COUNTIF($A$5:A84,A84))</x:f>
        <x:v>1</x:v>
      </x:c>
      <x:c r="D84" t="n">
        <x:f>IF(A84="","",IF(C84=1,1,0))</x:f>
        <x:v>1</x:v>
      </x:c>
      <x:c r="E84" t="str">
        <x:f>IF(A84="","THIẾU",IF(LEFT(A84,LEN(B84)+1)=B84&amp;".","OK","SAI PREFIX"))</x:f>
        <x:v>OK</x:v>
      </x:c>
      <x:c r="F84" t="str">
        <x:f>IF(A84="","THIẾU",IF(LEN(A84)-LEN(SUBSTITUTE(A84,".",""))=3,"OK","SAI CẤU TRÚC"))</x:f>
        <x:v>OK</x:v>
      </x:c>
    </x:row>
    <x:row r="85">
      <x:c r="A85" t="str">
        <x:f>HD05!B7</x:f>
        <x:v>HD05.D.CQ.CAP_TREN</x:v>
      </x:c>
      <x:c r="B85" t="str">
        <x:v>HD05</x:v>
      </x:c>
      <x:c r="C85" t="n">
        <x:f>IF(A85="","",COUNTIF($A$5:A85,A85))</x:f>
        <x:v>1</x:v>
      </x:c>
      <x:c r="D85" t="n">
        <x:f>IF(A85="","",IF(C85=1,1,0))</x:f>
        <x:v>1</x:v>
      </x:c>
      <x:c r="E85" t="str">
        <x:f>IF(A85="","THIẾU",IF(LEFT(A85,LEN(B85)+1)=B85&amp;".","OK","SAI PREFIX"))</x:f>
        <x:v>OK</x:v>
      </x:c>
      <x:c r="F85" t="str">
        <x:f>IF(A85="","THIẾU",IF(LEN(A85)-LEN(SUBSTITUTE(A85,".",""))=3,"OK","SAI CẤU TRÚC"))</x:f>
        <x:v>OK</x:v>
      </x:c>
    </x:row>
    <x:row r="86">
      <x:c r="A86" t="str">
        <x:f>HD05!B8</x:f>
        <x:v>HD05.D.CQ.BAN_HANH</x:v>
      </x:c>
      <x:c r="B86" t="str">
        <x:v>HD05</x:v>
      </x:c>
      <x:c r="C86" t="n">
        <x:f>IF(A86="","",COUNTIF($A$5:A86,A86))</x:f>
        <x:v>1</x:v>
      </x:c>
      <x:c r="D86" t="n">
        <x:f>IF(A86="","",IF(C86=1,1,0))</x:f>
        <x:v>1</x:v>
      </x:c>
      <x:c r="E86" t="str">
        <x:f>IF(A86="","THIẾU",IF(LEFT(A86,LEN(B86)+1)=B86&amp;".","OK","SAI PREFIX"))</x:f>
        <x:v>OK</x:v>
      </x:c>
      <x:c r="F86" t="str">
        <x:f>IF(A86="","THIẾU",IF(LEN(A86)-LEN(SUBSTITUTE(A86,".",""))=3,"OK","SAI CẤU TRÚC"))</x:f>
        <x:v>OK</x:v>
      </x:c>
    </x:row>
    <x:row r="87">
      <x:c r="A87" t="str">
        <x:f>HD05!B9</x:f>
        <x:v>HD05.D.CQ.DAU_SAO</x:v>
      </x:c>
      <x:c r="B87" t="str">
        <x:v>HD05</x:v>
      </x:c>
      <x:c r="C87" t="n">
        <x:f>IF(A87="","",COUNTIF($A$5:A87,A87))</x:f>
        <x:v>1</x:v>
      </x:c>
      <x:c r="D87" t="n">
        <x:f>IF(A87="","",IF(C87=1,1,0))</x:f>
        <x:v>1</x:v>
      </x:c>
      <x:c r="E87" t="str">
        <x:f>IF(A87="","THIẾU",IF(LEFT(A87,LEN(B87)+1)=B87&amp;".","OK","SAI PREFIX"))</x:f>
        <x:v>OK</x:v>
      </x:c>
      <x:c r="F87" t="str">
        <x:f>IF(A87="","THIẾU",IF(LEN(A87)-LEN(SUBSTITUTE(A87,".",""))=3,"OK","SAI CẤU TRÚC"))</x:f>
        <x:v>OK</x:v>
      </x:c>
    </x:row>
    <x:row r="88">
      <x:c r="A88" t="str">
        <x:f>HD05!B10</x:f>
        <x:v>HD05.D.CQ.LIEN_CO_QUAN</x:v>
      </x:c>
      <x:c r="B88" t="str">
        <x:v>HD05</x:v>
      </x:c>
      <x:c r="C88" t="n">
        <x:f>IF(A88="","",COUNTIF($A$5:A88,A88))</x:f>
        <x:v>1</x:v>
      </x:c>
      <x:c r="D88" t="n">
        <x:f>IF(A88="","",IF(C88=1,1,0))</x:f>
        <x:v>1</x:v>
      </x:c>
      <x:c r="E88" t="str">
        <x:f>IF(A88="","THIẾU",IF(LEFT(A88,LEN(B88)+1)=B88&amp;".","OK","SAI PREFIX"))</x:f>
        <x:v>OK</x:v>
      </x:c>
      <x:c r="F88" t="str">
        <x:f>IF(A88="","THIẾU",IF(LEN(A88)-LEN(SUBSTITUTE(A88,".",""))=3,"OK","SAI CẤU TRÚC"))</x:f>
        <x:v>OK</x:v>
      </x:c>
    </x:row>
    <x:row r="89">
      <x:c r="A89" t="str">
        <x:f>HD05!B11</x:f>
        <x:v>HD05.D.CQ.DAI_HOI</x:v>
      </x:c>
      <x:c r="B89" t="str">
        <x:v>HD05</x:v>
      </x:c>
      <x:c r="C89" t="n">
        <x:f>IF(A89="","",COUNTIF($A$5:A89,A89))</x:f>
        <x:v>1</x:v>
      </x:c>
      <x:c r="D89" t="n">
        <x:f>IF(A89="","",IF(C89=1,1,0))</x:f>
        <x:v>1</x:v>
      </x:c>
      <x:c r="E89" t="str">
        <x:f>IF(A89="","THIẾU",IF(LEFT(A89,LEN(B89)+1)=B89&amp;".","OK","SAI PREFIX"))</x:f>
        <x:v>OK</x:v>
      </x:c>
      <x:c r="F89" t="str">
        <x:f>IF(A89="","THIẾU",IF(LEN(A89)-LEN(SUBSTITUTE(A89,".",""))=3,"OK","SAI CẤU TRÚC"))</x:f>
        <x:v>OK</x:v>
      </x:c>
    </x:row>
    <x:row r="90">
      <x:c r="A90" t="str">
        <x:f>HD05!B12</x:f>
        <x:v>HD05.D.TD.TIEU_DE_DANG</x:v>
      </x:c>
      <x:c r="B90" t="str">
        <x:v>HD05</x:v>
      </x:c>
      <x:c r="C90" t="n">
        <x:f>IF(A90="","",COUNTIF($A$5:A90,A90))</x:f>
        <x:v>1</x:v>
      </x:c>
      <x:c r="D90" t="n">
        <x:f>IF(A90="","",IF(C90=1,1,0))</x:f>
        <x:v>1</x:v>
      </x:c>
      <x:c r="E90" t="str">
        <x:f>IF(A90="","THIẾU",IF(LEFT(A90,LEN(B90)+1)=B90&amp;".","OK","SAI PREFIX"))</x:f>
        <x:v>OK</x:v>
      </x:c>
      <x:c r="F90" t="str">
        <x:f>IF(A90="","THIẾU",IF(LEN(A90)-LEN(SUBSTITUTE(A90,".",""))=3,"OK","SAI CẤU TRÚC"))</x:f>
        <x:v>OK</x:v>
      </x:c>
    </x:row>
    <x:row r="91">
      <x:c r="A91" t="str">
        <x:f>HD05!B13</x:f>
        <x:v>HD05.D.TD.DUONG_KE</x:v>
      </x:c>
      <x:c r="B91" t="str">
        <x:v>HD05</x:v>
      </x:c>
      <x:c r="C91" t="n">
        <x:f>IF(A91="","",COUNTIF($A$5:A91,A91))</x:f>
        <x:v>1</x:v>
      </x:c>
      <x:c r="D91" t="n">
        <x:f>IF(A91="","",IF(C91=1,1,0))</x:f>
        <x:v>1</x:v>
      </x:c>
      <x:c r="E91" t="str">
        <x:f>IF(A91="","THIẾU",IF(LEFT(A91,LEN(B91)+1)=B91&amp;".","OK","SAI PREFIX"))</x:f>
        <x:v>OK</x:v>
      </x:c>
      <x:c r="F91" t="str">
        <x:f>IF(A91="","THIẾU",IF(LEN(A91)-LEN(SUBSTITUTE(A91,".",""))=3,"OK","SAI CẤU TRÚC"))</x:f>
        <x:v>OK</x:v>
      </x:c>
    </x:row>
    <x:row r="92">
      <x:c r="A92" t="str">
        <x:f>HD05!B14</x:f>
        <x:v>HD05.D.SK.NHAN_SO</x:v>
      </x:c>
      <x:c r="B92" t="str">
        <x:v>HD05</x:v>
      </x:c>
      <x:c r="C92" t="n">
        <x:f>IF(A92="","",COUNTIF($A$5:A92,A92))</x:f>
        <x:v>1</x:v>
      </x:c>
      <x:c r="D92" t="n">
        <x:f>IF(A92="","",IF(C92=1,1,0))</x:f>
        <x:v>1</x:v>
      </x:c>
      <x:c r="E92" t="str">
        <x:f>IF(A92="","THIẾU",IF(LEFT(A92,LEN(B92)+1)=B92&amp;".","OK","SAI PREFIX"))</x:f>
        <x:v>OK</x:v>
      </x:c>
      <x:c r="F92" t="str">
        <x:f>IF(A92="","THIẾU",IF(LEN(A92)-LEN(SUBSTITUTE(A92,".",""))=3,"OK","SAI CẤU TRÚC"))</x:f>
        <x:v>OK</x:v>
      </x:c>
    </x:row>
    <x:row r="93">
      <x:c r="A93" t="str">
        <x:f>HD05!B15</x:f>
        <x:v>HD05.D.SK.SO_VAN_BAN</x:v>
      </x:c>
      <x:c r="B93" t="str">
        <x:v>HD05</x:v>
      </x:c>
      <x:c r="C93" t="n">
        <x:f>IF(A93="","",COUNTIF($A$5:A93,A93))</x:f>
        <x:v>1</x:v>
      </x:c>
      <x:c r="D93" t="n">
        <x:f>IF(A93="","",IF(C93=1,1,0))</x:f>
        <x:v>1</x:v>
      </x:c>
      <x:c r="E93" t="str">
        <x:f>IF(A93="","THIẾU",IF(LEFT(A93,LEN(B93)+1)=B93&amp;".","OK","SAI PREFIX"))</x:f>
        <x:v>OK</x:v>
      </x:c>
      <x:c r="F93" t="str">
        <x:f>IF(A93="","THIẾU",IF(LEN(A93)-LEN(SUBSTITUTE(A93,".",""))=3,"OK","SAI CẤU TRÚC"))</x:f>
        <x:v>OK</x:v>
      </x:c>
    </x:row>
    <x:row r="94">
      <x:c r="A94" t="str">
        <x:f>HD05!B16</x:f>
        <x:v>HD05.D.SK.KY_HIEU_LOAI</x:v>
      </x:c>
      <x:c r="B94" t="str">
        <x:v>HD05</x:v>
      </x:c>
      <x:c r="C94" t="n">
        <x:f>IF(A94="","",COUNTIF($A$5:A94,A94))</x:f>
        <x:v>1</x:v>
      </x:c>
      <x:c r="D94" t="n">
        <x:f>IF(A94="","",IF(C94=1,1,0))</x:f>
        <x:v>1</x:v>
      </x:c>
      <x:c r="E94" t="str">
        <x:f>IF(A94="","THIẾU",IF(LEFT(A94,LEN(B94)+1)=B94&amp;".","OK","SAI PREFIX"))</x:f>
        <x:v>OK</x:v>
      </x:c>
      <x:c r="F94" t="str">
        <x:f>IF(A94="","THIẾU",IF(LEN(A94)-LEN(SUBSTITUTE(A94,".",""))=3,"OK","SAI CẤU TRÚC"))</x:f>
        <x:v>OK</x:v>
      </x:c>
    </x:row>
    <x:row r="95">
      <x:c r="A95" t="str">
        <x:f>HD05!B17</x:f>
        <x:v>HD05.D.SK.KY_HIEU_CO_QUAN</x:v>
      </x:c>
      <x:c r="B95" t="str">
        <x:v>HD05</x:v>
      </x:c>
      <x:c r="C95" t="n">
        <x:f>IF(A95="","",COUNTIF($A$5:A95,A95))</x:f>
        <x:v>1</x:v>
      </x:c>
      <x:c r="D95" t="n">
        <x:f>IF(A95="","",IF(C95=1,1,0))</x:f>
        <x:v>1</x:v>
      </x:c>
      <x:c r="E95" t="str">
        <x:f>IF(A95="","THIẾU",IF(LEFT(A95,LEN(B95)+1)=B95&amp;".","OK","SAI PREFIX"))</x:f>
        <x:v>OK</x:v>
      </x:c>
      <x:c r="F95" t="str">
        <x:f>IF(A95="","THIẾU",IF(LEN(A95)-LEN(SUBSTITUTE(A95,".",""))=3,"OK","SAI CẤU TRÚC"))</x:f>
        <x:v>OK</x:v>
      </x:c>
    </x:row>
    <x:row r="96">
      <x:c r="A96" t="str">
        <x:f>HD05!B18</x:f>
        <x:v>HD05.D.SK.DAU_PHAN_CACH</x:v>
      </x:c>
      <x:c r="B96" t="str">
        <x:v>HD05</x:v>
      </x:c>
      <x:c r="C96" t="n">
        <x:f>IF(A96="","",COUNTIF($A$5:A96,A96))</x:f>
        <x:v>1</x:v>
      </x:c>
      <x:c r="D96" t="n">
        <x:f>IF(A96="","",IF(C96=1,1,0))</x:f>
        <x:v>1</x:v>
      </x:c>
      <x:c r="E96" t="str">
        <x:f>IF(A96="","THIẾU",IF(LEFT(A96,LEN(B96)+1)=B96&amp;".","OK","SAI PREFIX"))</x:f>
        <x:v>OK</x:v>
      </x:c>
      <x:c r="F96" t="str">
        <x:f>IF(A96="","THIẾU",IF(LEN(A96)-LEN(SUBSTITUTE(A96,".",""))=3,"OK","SAI CẤU TRÚC"))</x:f>
        <x:v>OK</x:v>
      </x:c>
    </x:row>
    <x:row r="97">
      <x:c r="A97" t="str">
        <x:f>HD05!B19</x:f>
        <x:v>HD05.D.NG.DIA_DANH</x:v>
      </x:c>
      <x:c r="B97" t="str">
        <x:v>HD05</x:v>
      </x:c>
      <x:c r="C97" t="n">
        <x:f>IF(A97="","",COUNTIF($A$5:A97,A97))</x:f>
        <x:v>1</x:v>
      </x:c>
      <x:c r="D97" t="n">
        <x:f>IF(A97="","",IF(C97=1,1,0))</x:f>
        <x:v>1</x:v>
      </x:c>
      <x:c r="E97" t="str">
        <x:f>IF(A97="","THIẾU",IF(LEFT(A97,LEN(B97)+1)=B97&amp;".","OK","SAI PREFIX"))</x:f>
        <x:v>OK</x:v>
      </x:c>
      <x:c r="F97" t="str">
        <x:f>IF(A97="","THIẾU",IF(LEN(A97)-LEN(SUBSTITUTE(A97,".",""))=3,"OK","SAI CẤU TRÚC"))</x:f>
        <x:v>OK</x:v>
      </x:c>
    </x:row>
    <x:row r="98">
      <x:c r="A98" t="str">
        <x:f>HD05!B20</x:f>
        <x:v>HD05.D.NG.NGAY</x:v>
      </x:c>
      <x:c r="B98" t="str">
        <x:v>HD05</x:v>
      </x:c>
      <x:c r="C98" t="n">
        <x:f>IF(A98="","",COUNTIF($A$5:A98,A98))</x:f>
        <x:v>1</x:v>
      </x:c>
      <x:c r="D98" t="n">
        <x:f>IF(A98="","",IF(C98=1,1,0))</x:f>
        <x:v>1</x:v>
      </x:c>
      <x:c r="E98" t="str">
        <x:f>IF(A98="","THIẾU",IF(LEFT(A98,LEN(B98)+1)=B98&amp;".","OK","SAI PREFIX"))</x:f>
        <x:v>OK</x:v>
      </x:c>
      <x:c r="F98" t="str">
        <x:f>IF(A98="","THIẾU",IF(LEN(A98)-LEN(SUBSTITUTE(A98,".",""))=3,"OK","SAI CẤU TRÚC"))</x:f>
        <x:v>OK</x:v>
      </x:c>
    </x:row>
    <x:row r="99">
      <x:c r="A99" t="str">
        <x:f>HD05!B21</x:f>
        <x:v>HD05.D.NG.THANG</x:v>
      </x:c>
      <x:c r="B99" t="str">
        <x:v>HD05</x:v>
      </x:c>
      <x:c r="C99" t="n">
        <x:f>IF(A99="","",COUNTIF($A$5:A99,A99))</x:f>
        <x:v>1</x:v>
      </x:c>
      <x:c r="D99" t="n">
        <x:f>IF(A99="","",IF(C99=1,1,0))</x:f>
        <x:v>1</x:v>
      </x:c>
      <x:c r="E99" t="str">
        <x:f>IF(A99="","THIẾU",IF(LEFT(A99,LEN(B99)+1)=B99&amp;".","OK","SAI PREFIX"))</x:f>
        <x:v>OK</x:v>
      </x:c>
      <x:c r="F99" t="str">
        <x:f>IF(A99="","THIẾU",IF(LEN(A99)-LEN(SUBSTITUTE(A99,".",""))=3,"OK","SAI CẤU TRÚC"))</x:f>
        <x:v>OK</x:v>
      </x:c>
    </x:row>
    <x:row r="100">
      <x:c r="A100" t="str">
        <x:f>HD05!B22</x:f>
        <x:v>HD05.D.NG.NAM</x:v>
      </x:c>
      <x:c r="B100" t="str">
        <x:v>HD05</x:v>
      </x:c>
      <x:c r="C100" t="n">
        <x:f>IF(A100="","",COUNTIF($A$5:A100,A100))</x:f>
        <x:v>1</x:v>
      </x:c>
      <x:c r="D100" t="n">
        <x:f>IF(A100="","",IF(C100=1,1,0))</x:f>
        <x:v>1</x:v>
      </x:c>
      <x:c r="E100" t="str">
        <x:f>IF(A100="","THIẾU",IF(LEFT(A100,LEN(B100)+1)=B100&amp;".","OK","SAI PREFIX"))</x:f>
        <x:v>OK</x:v>
      </x:c>
      <x:c r="F100" t="str">
        <x:f>IF(A100="","THIẾU",IF(LEN(A100)-LEN(SUBSTITUTE(A100,".",""))=3,"OK","SAI CẤU TRÚC"))</x:f>
        <x:v>OK</x:v>
      </x:c>
    </x:row>
    <x:row r="101">
      <x:c r="A101" t="str">
        <x:f>HD05!B23</x:f>
        <x:v>HD05.D.TY.TEN_LOAI</x:v>
      </x:c>
      <x:c r="B101" t="str">
        <x:v>HD05</x:v>
      </x:c>
      <x:c r="C101" t="n">
        <x:f>IF(A101="","",COUNTIF($A$5:A101,A101))</x:f>
        <x:v>1</x:v>
      </x:c>
      <x:c r="D101" t="n">
        <x:f>IF(A101="","",IF(C101=1,1,0))</x:f>
        <x:v>1</x:v>
      </x:c>
      <x:c r="E101" t="str">
        <x:f>IF(A101="","THIẾU",IF(LEFT(A101,LEN(B101)+1)=B101&amp;".","OK","SAI PREFIX"))</x:f>
        <x:v>OK</x:v>
      </x:c>
      <x:c r="F101" t="str">
        <x:f>IF(A101="","THIẾU",IF(LEN(A101)-LEN(SUBSTITUTE(A101,".",""))=3,"OK","SAI CẤU TRÚC"))</x:f>
        <x:v>OK</x:v>
      </x:c>
    </x:row>
    <x:row r="102">
      <x:c r="A102" t="str">
        <x:f>HD05!B24</x:f>
        <x:v>HD05.D.TY.TRICH_YEU</x:v>
      </x:c>
      <x:c r="B102" t="str">
        <x:v>HD05</x:v>
      </x:c>
      <x:c r="C102" t="n">
        <x:f>IF(A102="","",COUNTIF($A$5:A102,A102))</x:f>
        <x:v>1</x:v>
      </x:c>
      <x:c r="D102" t="n">
        <x:f>IF(A102="","",IF(C102=1,1,0))</x:f>
        <x:v>1</x:v>
      </x:c>
      <x:c r="E102" t="str">
        <x:f>IF(A102="","THIẾU",IF(LEFT(A102,LEN(B102)+1)=B102&amp;".","OK","SAI PREFIX"))</x:f>
        <x:v>OK</x:v>
      </x:c>
      <x:c r="F102" t="str">
        <x:f>IF(A102="","THIẾU",IF(LEN(A102)-LEN(SUBSTITUTE(A102,".",""))=3,"OK","SAI CẤU TRÚC"))</x:f>
        <x:v>OK</x:v>
      </x:c>
    </x:row>
    <x:row r="103">
      <x:c r="A103" t="str">
        <x:f>HD05!B25</x:f>
        <x:v>HD05.D.TY.NAM_DAU_GACH</x:v>
      </x:c>
      <x:c r="B103" t="str">
        <x:v>HD05</x:v>
      </x:c>
      <x:c r="C103" t="n">
        <x:f>IF(A103="","",COUNTIF($A$5:A103,A103))</x:f>
        <x:v>1</x:v>
      </x:c>
      <x:c r="D103" t="n">
        <x:f>IF(A103="","",IF(C103=1,1,0))</x:f>
        <x:v>1</x:v>
      </x:c>
      <x:c r="E103" t="str">
        <x:f>IF(A103="","THIẾU",IF(LEFT(A103,LEN(B103)+1)=B103&amp;".","OK","SAI PREFIX"))</x:f>
        <x:v>OK</x:v>
      </x:c>
      <x:c r="F103" t="str">
        <x:f>IF(A103="","THIẾU",IF(LEN(A103)-LEN(SUBSTITUTE(A103,".",""))=3,"OK","SAI CẤU TRÚC"))</x:f>
        <x:v>OK</x:v>
      </x:c>
    </x:row>
    <x:row r="104">
      <x:c r="A104" t="str">
        <x:f>HD05!B26</x:f>
        <x:v>HD05.D.TY.TRICH_YEU_CV</x:v>
      </x:c>
      <x:c r="B104" t="str">
        <x:v>HD05</x:v>
      </x:c>
      <x:c r="C104" t="n">
        <x:f>IF(A104="","",COUNTIF($A$5:A104,A104))</x:f>
        <x:v>1</x:v>
      </x:c>
      <x:c r="D104" t="n">
        <x:f>IF(A104="","",IF(C104=1,1,0))</x:f>
        <x:v>1</x:v>
      </x:c>
      <x:c r="E104" t="str">
        <x:f>IF(A104="","THIẾU",IF(LEFT(A104,LEN(B104)+1)=B104&amp;".","OK","SAI PREFIX"))</x:f>
        <x:v>OK</x:v>
      </x:c>
      <x:c r="F104" t="str">
        <x:f>IF(A104="","THIẾU",IF(LEN(A104)-LEN(SUBSTITUTE(A104,".",""))=3,"OK","SAI CẤU TRÚC"))</x:f>
        <x:v>OK</x:v>
      </x:c>
    </x:row>
    <x:row r="105">
      <x:c r="A105" t="str">
        <x:f>HD05!B27</x:f>
        <x:v>HD05.D.TY.CHU_DE_DAI_HOI</x:v>
      </x:c>
      <x:c r="B105" t="str">
        <x:v>HD05</x:v>
      </x:c>
      <x:c r="C105" t="n">
        <x:f>IF(A105="","",COUNTIF($A$5:A105,A105))</x:f>
        <x:v>1</x:v>
      </x:c>
      <x:c r="D105" t="n">
        <x:f>IF(A105="","",IF(C105=1,1,0))</x:f>
        <x:v>1</x:v>
      </x:c>
      <x:c r="E105" t="str">
        <x:f>IF(A105="","THIẾU",IF(LEFT(A105,LEN(B105)+1)=B105&amp;".","OK","SAI PREFIX"))</x:f>
        <x:v>OK</x:v>
      </x:c>
      <x:c r="F105" t="str">
        <x:f>IF(A105="","THIẾU",IF(LEN(A105)-LEN(SUBSTITUTE(A105,".",""))=3,"OK","SAI CẤU TRÚC"))</x:f>
        <x:v>OK</x:v>
      </x:c>
    </x:row>
    <x:row r="106">
      <x:c r="A106" t="str">
        <x:f>HD05!B28</x:f>
        <x:v>HD05.D.NHAN.KINH_GUI</x:v>
      </x:c>
      <x:c r="B106" t="str">
        <x:v>HD05</x:v>
      </x:c>
      <x:c r="C106" t="n">
        <x:f>IF(A106="","",COUNTIF($A$5:A106,A106))</x:f>
        <x:v>1</x:v>
      </x:c>
      <x:c r="D106" t="n">
        <x:f>IF(A106="","",IF(C106=1,1,0))</x:f>
        <x:v>1</x:v>
      </x:c>
      <x:c r="E106" t="str">
        <x:f>IF(A106="","THIẾU",IF(LEFT(A106,LEN(B106)+1)=B106&amp;".","OK","SAI PREFIX"))</x:f>
        <x:v>OK</x:v>
      </x:c>
      <x:c r="F106" t="str">
        <x:f>IF(A106="","THIẾU",IF(LEN(A106)-LEN(SUBSTITUTE(A106,".",""))=3,"OK","SAI CẤU TRÚC"))</x:f>
        <x:v>OK</x:v>
      </x:c>
    </x:row>
    <x:row r="107">
      <x:c r="A107" t="str">
        <x:f>HD05!B29</x:f>
        <x:v>HD05.D.NHAN.DS_KINH_GUI</x:v>
      </x:c>
      <x:c r="B107" t="str">
        <x:v>HD05</x:v>
      </x:c>
      <x:c r="C107" t="n">
        <x:f>IF(A107="","",COUNTIF($A$5:A107,A107))</x:f>
        <x:v>1</x:v>
      </x:c>
      <x:c r="D107" t="n">
        <x:f>IF(A107="","",IF(C107=1,1,0))</x:f>
        <x:v>1</x:v>
      </x:c>
      <x:c r="E107" t="str">
        <x:f>IF(A107="","THIẾU",IF(LEFT(A107,LEN(B107)+1)=B107&amp;".","OK","SAI PREFIX"))</x:f>
        <x:v>OK</x:v>
      </x:c>
      <x:c r="F107" t="str">
        <x:f>IF(A107="","THIẾU",IF(LEN(A107)-LEN(SUBSTITUTE(A107,".",""))=3,"OK","SAI CẤU TRÚC"))</x:f>
        <x:v>OK</x:v>
      </x:c>
    </x:row>
    <x:row r="108">
      <x:c r="A108" t="str">
        <x:f>HD05!B30</x:f>
        <x:v>HD05.D.NHAN.KINH_TRINH</x:v>
      </x:c>
      <x:c r="B108" t="str">
        <x:v>HD05</x:v>
      </x:c>
      <x:c r="C108" t="n">
        <x:f>IF(A108="","",COUNTIF($A$5:A108,A108))</x:f>
        <x:v>1</x:v>
      </x:c>
      <x:c r="D108" t="n">
        <x:f>IF(A108="","",IF(C108=1,1,0))</x:f>
        <x:v>1</x:v>
      </x:c>
      <x:c r="E108" t="str">
        <x:f>IF(A108="","THIẾU",IF(LEFT(A108,LEN(B108)+1)=B108&amp;".","OK","SAI PREFIX"))</x:f>
        <x:v>OK</x:v>
      </x:c>
      <x:c r="F108" t="str">
        <x:f>IF(A108="","THIẾU",IF(LEN(A108)-LEN(SUBSTITUTE(A108,".",""))=3,"OK","SAI CẤU TRÚC"))</x:f>
        <x:v>OK</x:v>
      </x:c>
    </x:row>
    <x:row r="109">
      <x:c r="A109" t="str">
        <x:f>HD05!B31</x:f>
        <x:v>HD05.D.NHAN.DS_KINH_TRINH</x:v>
      </x:c>
      <x:c r="B109" t="str">
        <x:v>HD05</x:v>
      </x:c>
      <x:c r="C109" t="n">
        <x:f>IF(A109="","",COUNTIF($A$5:A109,A109))</x:f>
        <x:v>1</x:v>
      </x:c>
      <x:c r="D109" t="n">
        <x:f>IF(A109="","",IF(C109=1,1,0))</x:f>
        <x:v>1</x:v>
      </x:c>
      <x:c r="E109" t="str">
        <x:f>IF(A109="","THIẾU",IF(LEFT(A109,LEN(B109)+1)=B109&amp;".","OK","SAI PREFIX"))</x:f>
        <x:v>OK</x:v>
      </x:c>
      <x:c r="F109" t="str">
        <x:f>IF(A109="","THIẾU",IF(LEN(A109)-LEN(SUBSTITUTE(A109,".",""))=3,"OK","SAI CẤU TRÚC"))</x:f>
        <x:v>OK</x:v>
      </x:c>
    </x:row>
    <x:row r="110">
      <x:c r="A110" t="str">
        <x:f>HD05!B32</x:f>
        <x:v>HD05.N.MD.MO_DAU</x:v>
      </x:c>
      <x:c r="B110" t="str">
        <x:v>HD05</x:v>
      </x:c>
      <x:c r="C110" t="n">
        <x:f>IF(A110="","",COUNTIF($A$5:A110,A110))</x:f>
        <x:v>1</x:v>
      </x:c>
      <x:c r="D110" t="n">
        <x:f>IF(A110="","",IF(C110=1,1,0))</x:f>
        <x:v>1</x:v>
      </x:c>
      <x:c r="E110" t="str">
        <x:f>IF(A110="","THIẾU",IF(LEFT(A110,LEN(B110)+1)=B110&amp;".","OK","SAI PREFIX"))</x:f>
        <x:v>OK</x:v>
      </x:c>
      <x:c r="F110" t="str">
        <x:f>IF(A110="","THIẾU",IF(LEN(A110)-LEN(SUBSTITUTE(A110,".",""))=3,"OK","SAI CẤU TRÚC"))</x:f>
        <x:v>OK</x:v>
      </x:c>
    </x:row>
    <x:row r="111">
      <x:c r="A111" t="str">
        <x:f>HD05!B33</x:f>
        <x:v>HD05.N.MD.CAN_CU</x:v>
      </x:c>
      <x:c r="B111" t="str">
        <x:v>HD05</x:v>
      </x:c>
      <x:c r="C111" t="n">
        <x:f>IF(A111="","",COUNTIF($A$5:A111,A111))</x:f>
        <x:v>1</x:v>
      </x:c>
      <x:c r="D111" t="n">
        <x:f>IF(A111="","",IF(C111=1,1,0))</x:f>
        <x:v>1</x:v>
      </x:c>
      <x:c r="E111" t="str">
        <x:f>IF(A111="","THIẾU",IF(LEFT(A111,LEN(B111)+1)=B111&amp;".","OK","SAI PREFIX"))</x:f>
        <x:v>OK</x:v>
      </x:c>
      <x:c r="F111" t="str">
        <x:f>IF(A111="","THIẾU",IF(LEN(A111)-LEN(SUBSTITUTE(A111,".",""))=3,"OK","SAI CẤU TRÚC"))</x:f>
        <x:v>OK</x:v>
      </x:c>
    </x:row>
    <x:row r="112">
      <x:c r="A112" t="str">
        <x:f>HD05!B34</x:f>
        <x:v>HD05.N.DM.PHAN</x:v>
      </x:c>
      <x:c r="B112" t="str">
        <x:v>HD05</x:v>
      </x:c>
      <x:c r="C112" t="n">
        <x:f>IF(A112="","",COUNTIF($A$5:A112,A112))</x:f>
        <x:v>1</x:v>
      </x:c>
      <x:c r="D112" t="n">
        <x:f>IF(A112="","",IF(C112=1,1,0))</x:f>
        <x:v>1</x:v>
      </x:c>
      <x:c r="E112" t="str">
        <x:f>IF(A112="","THIẾU",IF(LEFT(A112,LEN(B112)+1)=B112&amp;".","OK","SAI PREFIX"))</x:f>
        <x:v>OK</x:v>
      </x:c>
      <x:c r="F112" t="str">
        <x:f>IF(A112="","THIẾU",IF(LEN(A112)-LEN(SUBSTITUTE(A112,".",""))=3,"OK","SAI CẤU TRÚC"))</x:f>
        <x:v>OK</x:v>
      </x:c>
    </x:row>
    <x:row r="113">
      <x:c r="A113" t="str">
        <x:f>HD05!B35</x:f>
        <x:v>HD05.N.DM.CHUONG</x:v>
      </x:c>
      <x:c r="B113" t="str">
        <x:v>HD05</x:v>
      </x:c>
      <x:c r="C113" t="n">
        <x:f>IF(A113="","",COUNTIF($A$5:A113,A113))</x:f>
        <x:v>1</x:v>
      </x:c>
      <x:c r="D113" t="n">
        <x:f>IF(A113="","",IF(C113=1,1,0))</x:f>
        <x:v>1</x:v>
      </x:c>
      <x:c r="E113" t="str">
        <x:f>IF(A113="","THIẾU",IF(LEFT(A113,LEN(B113)+1)=B113&amp;".","OK","SAI PREFIX"))</x:f>
        <x:v>OK</x:v>
      </x:c>
      <x:c r="F113" t="str">
        <x:f>IF(A113="","THIẾU",IF(LEN(A113)-LEN(SUBSTITUTE(A113,".",""))=3,"OK","SAI CẤU TRÚC"))</x:f>
        <x:v>OK</x:v>
      </x:c>
    </x:row>
    <x:row r="114">
      <x:c r="A114" t="str">
        <x:f>HD05!B36</x:f>
        <x:v>HD05.N.DM.MUC</x:v>
      </x:c>
      <x:c r="B114" t="str">
        <x:v>HD05</x:v>
      </x:c>
      <x:c r="C114" t="n">
        <x:f>IF(A114="","",COUNTIF($A$5:A114,A114))</x:f>
        <x:v>1</x:v>
      </x:c>
      <x:c r="D114" t="n">
        <x:f>IF(A114="","",IF(C114=1,1,0))</x:f>
        <x:v>1</x:v>
      </x:c>
      <x:c r="E114" t="str">
        <x:f>IF(A114="","THIẾU",IF(LEFT(A114,LEN(B114)+1)=B114&amp;".","OK","SAI PREFIX"))</x:f>
        <x:v>OK</x:v>
      </x:c>
      <x:c r="F114" t="str">
        <x:f>IF(A114="","THIẾU",IF(LEN(A114)-LEN(SUBSTITUTE(A114,".",""))=3,"OK","SAI CẤU TRÚC"))</x:f>
        <x:v>OK</x:v>
      </x:c>
    </x:row>
    <x:row r="115">
      <x:c r="A115" t="str">
        <x:f>HD05!B37</x:f>
        <x:v>HD05.N.DM.TIEU_MUC</x:v>
      </x:c>
      <x:c r="B115" t="str">
        <x:v>HD05</x:v>
      </x:c>
      <x:c r="C115" t="n">
        <x:f>IF(A115="","",COUNTIF($A$5:A115,A115))</x:f>
        <x:v>1</x:v>
      </x:c>
      <x:c r="D115" t="n">
        <x:f>IF(A115="","",IF(C115=1,1,0))</x:f>
        <x:v>1</x:v>
      </x:c>
      <x:c r="E115" t="str">
        <x:f>IF(A115="","THIẾU",IF(LEFT(A115,LEN(B115)+1)=B115&amp;".","OK","SAI PREFIX"))</x:f>
        <x:v>OK</x:v>
      </x:c>
      <x:c r="F115" t="str">
        <x:f>IF(A115="","THIẾU",IF(LEN(A115)-LEN(SUBSTITUTE(A115,".",""))=3,"OK","SAI CẤU TRÚC"))</x:f>
        <x:v>OK</x:v>
      </x:c>
    </x:row>
    <x:row r="116">
      <x:c r="A116" t="str">
        <x:f>HD05!B38</x:f>
        <x:v>HD05.N.DIEU.SO_DIEU</x:v>
      </x:c>
      <x:c r="B116" t="str">
        <x:v>HD05</x:v>
      </x:c>
      <x:c r="C116" t="n">
        <x:f>IF(A116="","",COUNTIF($A$5:A116,A116))</x:f>
        <x:v>1</x:v>
      </x:c>
      <x:c r="D116" t="n">
        <x:f>IF(A116="","",IF(C116=1,1,0))</x:f>
        <x:v>1</x:v>
      </x:c>
      <x:c r="E116" t="str">
        <x:f>IF(A116="","THIẾU",IF(LEFT(A116,LEN(B116)+1)=B116&amp;".","OK","SAI PREFIX"))</x:f>
        <x:v>OK</x:v>
      </x:c>
      <x:c r="F116" t="str">
        <x:f>IF(A116="","THIẾU",IF(LEN(A116)-LEN(SUBSTITUTE(A116,".",""))=3,"OK","SAI CẤU TRÚC"))</x:f>
        <x:v>OK</x:v>
      </x:c>
    </x:row>
    <x:row r="117">
      <x:c r="A117" t="str">
        <x:f>HD05!B39</x:f>
        <x:v>HD05.N.DIEU.TEN_DIEU</x:v>
      </x:c>
      <x:c r="B117" t="str">
        <x:v>HD05</x:v>
      </x:c>
      <x:c r="C117" t="n">
        <x:f>IF(A117="","",COUNTIF($A$5:A117,A117))</x:f>
        <x:v>1</x:v>
      </x:c>
      <x:c r="D117" t="n">
        <x:f>IF(A117="","",IF(C117=1,1,0))</x:f>
        <x:v>1</x:v>
      </x:c>
      <x:c r="E117" t="str">
        <x:f>IF(A117="","THIẾU",IF(LEFT(A117,LEN(B117)+1)=B117&amp;".","OK","SAI PREFIX"))</x:f>
        <x:v>OK</x:v>
      </x:c>
      <x:c r="F117" t="str">
        <x:f>IF(A117="","THIẾU",IF(LEN(A117)-LEN(SUBSTITUTE(A117,".",""))=3,"OK","SAI CẤU TRÚC"))</x:f>
        <x:v>OK</x:v>
      </x:c>
    </x:row>
    <x:row r="118">
      <x:c r="A118" t="str">
        <x:f>HD05!B40</x:f>
        <x:v>HD05.N.DIEU.NOI_DUNG_DIEU</x:v>
      </x:c>
      <x:c r="B118" t="str">
        <x:v>HD05</x:v>
      </x:c>
      <x:c r="C118" t="n">
        <x:f>IF(A118="","",COUNTIF($A$5:A118,A118))</x:f>
        <x:v>1</x:v>
      </x:c>
      <x:c r="D118" t="n">
        <x:f>IF(A118="","",IF(C118=1,1,0))</x:f>
        <x:v>1</x:v>
      </x:c>
      <x:c r="E118" t="str">
        <x:f>IF(A118="","THIẾU",IF(LEFT(A118,LEN(B118)+1)=B118&amp;".","OK","SAI PREFIX"))</x:f>
        <x:v>OK</x:v>
      </x:c>
      <x:c r="F118" t="str">
        <x:f>IF(A118="","THIẾU",IF(LEN(A118)-LEN(SUBSTITUTE(A118,".",""))=3,"OK","SAI CẤU TRÚC"))</x:f>
        <x:v>OK</x:v>
      </x:c>
    </x:row>
    <x:row r="119">
      <x:c r="A119" t="str">
        <x:f>HD05!B41</x:f>
        <x:v>HD05.N.KD.KHOAN</x:v>
      </x:c>
      <x:c r="B119" t="str">
        <x:v>HD05</x:v>
      </x:c>
      <x:c r="C119" t="n">
        <x:f>IF(A119="","",COUNTIF($A$5:A119,A119))</x:f>
        <x:v>1</x:v>
      </x:c>
      <x:c r="D119" t="n">
        <x:f>IF(A119="","",IF(C119=1,1,0))</x:f>
        <x:v>1</x:v>
      </x:c>
      <x:c r="E119" t="str">
        <x:f>IF(A119="","THIẾU",IF(LEFT(A119,LEN(B119)+1)=B119&amp;".","OK","SAI PREFIX"))</x:f>
        <x:v>OK</x:v>
      </x:c>
      <x:c r="F119" t="str">
        <x:f>IF(A119="","THIẾU",IF(LEN(A119)-LEN(SUBSTITUTE(A119,".",""))=3,"OK","SAI CẤU TRÚC"))</x:f>
        <x:v>OK</x:v>
      </x:c>
    </x:row>
    <x:row r="120">
      <x:c r="A120" t="str">
        <x:f>HD05!B42</x:f>
        <x:v>HD05.N.KD.DIEM</x:v>
      </x:c>
      <x:c r="B120" t="str">
        <x:v>HD05</x:v>
      </x:c>
      <x:c r="C120" t="n">
        <x:f>IF(A120="","",COUNTIF($A$5:A120,A120))</x:f>
        <x:v>1</x:v>
      </x:c>
      <x:c r="D120" t="n">
        <x:f>IF(A120="","",IF(C120=1,1,0))</x:f>
        <x:v>1</x:v>
      </x:c>
      <x:c r="E120" t="str">
        <x:f>IF(A120="","THIẾU",IF(LEFT(A120,LEN(B120)+1)=B120&amp;".","OK","SAI PREFIX"))</x:f>
        <x:v>OK</x:v>
      </x:c>
      <x:c r="F120" t="str">
        <x:f>IF(A120="","THIẾU",IF(LEN(A120)-LEN(SUBSTITUTE(A120,".",""))=3,"OK","SAI CẤU TRÚC"))</x:f>
        <x:v>OK</x:v>
      </x:c>
    </x:row>
    <x:row r="121">
      <x:c r="A121" t="str">
        <x:f>HD05!B43</x:f>
        <x:v>HD05.N.KD.DANH_SACH</x:v>
      </x:c>
      <x:c r="B121" t="str">
        <x:v>HD05</x:v>
      </x:c>
      <x:c r="C121" t="n">
        <x:f>IF(A121="","",COUNTIF($A$5:A121,A121))</x:f>
        <x:v>1</x:v>
      </x:c>
      <x:c r="D121" t="n">
        <x:f>IF(A121="","",IF(C121=1,1,0))</x:f>
        <x:v>1</x:v>
      </x:c>
      <x:c r="E121" t="str">
        <x:f>IF(A121="","THIẾU",IF(LEFT(A121,LEN(B121)+1)=B121&amp;".","OK","SAI PREFIX"))</x:f>
        <x:v>OK</x:v>
      </x:c>
      <x:c r="F121" t="str">
        <x:f>IF(A121="","THIẾU",IF(LEN(A121)-LEN(SUBSTITUTE(A121,".",""))=3,"OK","SAI CẤU TRÚC"))</x:f>
        <x:v>OK</x:v>
      </x:c>
    </x:row>
    <x:row r="122">
      <x:c r="A122" t="str">
        <x:f>HD05!B44</x:f>
        <x:v>HD05.N.DOAN.VAN_BAN</x:v>
      </x:c>
      <x:c r="B122" t="str">
        <x:v>HD05</x:v>
      </x:c>
      <x:c r="C122" t="n">
        <x:f>IF(A122="","",COUNTIF($A$5:A122,A122))</x:f>
        <x:v>1</x:v>
      </x:c>
      <x:c r="D122" t="n">
        <x:f>IF(A122="","",IF(C122=1,1,0))</x:f>
        <x:v>1</x:v>
      </x:c>
      <x:c r="E122" t="str">
        <x:f>IF(A122="","THIẾU",IF(LEFT(A122,LEN(B122)+1)=B122&amp;".","OK","SAI PREFIX"))</x:f>
        <x:v>OK</x:v>
      </x:c>
      <x:c r="F122" t="str">
        <x:f>IF(A122="","THIẾU",IF(LEN(A122)-LEN(SUBSTITUTE(A122,".",""))=3,"OK","SAI CẤU TRÚC"))</x:f>
        <x:v>OK</x:v>
      </x:c>
    </x:row>
    <x:row r="123">
      <x:c r="A123" t="str">
        <x:f>HD05!B45</x:f>
        <x:v>HD05.N.BANG.TIEU_DE</x:v>
      </x:c>
      <x:c r="B123" t="str">
        <x:v>HD05</x:v>
      </x:c>
      <x:c r="C123" t="n">
        <x:f>IF(A123="","",COUNTIF($A$5:A123,A123))</x:f>
        <x:v>1</x:v>
      </x:c>
      <x:c r="D123" t="n">
        <x:f>IF(A123="","",IF(C123=1,1,0))</x:f>
        <x:v>1</x:v>
      </x:c>
      <x:c r="E123" t="str">
        <x:f>IF(A123="","THIẾU",IF(LEFT(A123,LEN(B123)+1)=B123&amp;".","OK","SAI PREFIX"))</x:f>
        <x:v>OK</x:v>
      </x:c>
      <x:c r="F123" t="str">
        <x:f>IF(A123="","THIẾU",IF(LEN(A123)-LEN(SUBSTITUTE(A123,".",""))=3,"OK","SAI CẤU TRÚC"))</x:f>
        <x:v>OK</x:v>
      </x:c>
    </x:row>
    <x:row r="124">
      <x:c r="A124" t="str">
        <x:f>HD05!B46</x:f>
        <x:v>HD05.N.BANG.DAU_BANG</x:v>
      </x:c>
      <x:c r="B124" t="str">
        <x:v>HD05</x:v>
      </x:c>
      <x:c r="C124" t="n">
        <x:f>IF(A124="","",COUNTIF($A$5:A124,A124))</x:f>
        <x:v>1</x:v>
      </x:c>
      <x:c r="D124" t="n">
        <x:f>IF(A124="","",IF(C124=1,1,0))</x:f>
        <x:v>1</x:v>
      </x:c>
      <x:c r="E124" t="str">
        <x:f>IF(A124="","THIẾU",IF(LEFT(A124,LEN(B124)+1)=B124&amp;".","OK","SAI PREFIX"))</x:f>
        <x:v>OK</x:v>
      </x:c>
      <x:c r="F124" t="str">
        <x:f>IF(A124="","THIẾU",IF(LEN(A124)-LEN(SUBSTITUTE(A124,".",""))=3,"OK","SAI CẤU TRÚC"))</x:f>
        <x:v>OK</x:v>
      </x:c>
    </x:row>
    <x:row r="125">
      <x:c r="A125" t="str">
        <x:f>HD05!B47</x:f>
        <x:v>HD05.N.BANG.HANG</x:v>
      </x:c>
      <x:c r="B125" t="str">
        <x:v>HD05</x:v>
      </x:c>
      <x:c r="C125" t="n">
        <x:f>IF(A125="","",COUNTIF($A$5:A125,A125))</x:f>
        <x:v>1</x:v>
      </x:c>
      <x:c r="D125" t="n">
        <x:f>IF(A125="","",IF(C125=1,1,0))</x:f>
        <x:v>1</x:v>
      </x:c>
      <x:c r="E125" t="str">
        <x:f>IF(A125="","THIẾU",IF(LEFT(A125,LEN(B125)+1)=B125&amp;".","OK","SAI PREFIX"))</x:f>
        <x:v>OK</x:v>
      </x:c>
      <x:c r="F125" t="str">
        <x:f>IF(A125="","THIẾU",IF(LEN(A125)-LEN(SUBSTITUTE(A125,".",""))=3,"OK","SAI CẤU TRÚC"))</x:f>
        <x:v>OK</x:v>
      </x:c>
    </x:row>
    <x:row r="126">
      <x:c r="A126" t="str">
        <x:f>HD05!B48</x:f>
        <x:v>HD05.N.BANG.O</x:v>
      </x:c>
      <x:c r="B126" t="str">
        <x:v>HD05</x:v>
      </x:c>
      <x:c r="C126" t="n">
        <x:f>IF(A126="","",COUNTIF($A$5:A126,A126))</x:f>
        <x:v>1</x:v>
      </x:c>
      <x:c r="D126" t="n">
        <x:f>IF(A126="","",IF(C126=1,1,0))</x:f>
        <x:v>1</x:v>
      </x:c>
      <x:c r="E126" t="str">
        <x:f>IF(A126="","THIẾU",IF(LEFT(A126,LEN(B126)+1)=B126&amp;".","OK","SAI PREFIX"))</x:f>
        <x:v>OK</x:v>
      </x:c>
      <x:c r="F126" t="str">
        <x:f>IF(A126="","THIẾU",IF(LEN(A126)-LEN(SUBSTITUTE(A126,".",""))=3,"OK","SAI CẤU TRÚC"))</x:f>
        <x:v>OK</x:v>
      </x:c>
    </x:row>
    <x:row r="127">
      <x:c r="A127" t="str">
        <x:f>HD05!B49</x:f>
        <x:v>HD05.N.BANG.GOP_O</x:v>
      </x:c>
      <x:c r="B127" t="str">
        <x:v>HD05</x:v>
      </x:c>
      <x:c r="C127" t="n">
        <x:f>IF(A127="","",COUNTIF($A$5:A127,A127))</x:f>
        <x:v>1</x:v>
      </x:c>
      <x:c r="D127" t="n">
        <x:f>IF(A127="","",IF(C127=1,1,0))</x:f>
        <x:v>1</x:v>
      </x:c>
      <x:c r="E127" t="str">
        <x:f>IF(A127="","THIẾU",IF(LEFT(A127,LEN(B127)+1)=B127&amp;".","OK","SAI PREFIX"))</x:f>
        <x:v>OK</x:v>
      </x:c>
      <x:c r="F127" t="str">
        <x:f>IF(A127="","THIẾU",IF(LEN(A127)-LEN(SUBSTITUTE(A127,".",""))=3,"OK","SAI CẤU TRÚC"))</x:f>
        <x:v>OK</x:v>
      </x:c>
    </x:row>
    <x:row r="128">
      <x:c r="A128" t="str">
        <x:f>HD05!B50</x:f>
        <x:v>HD05.N.HINH.DOI_TUONG</x:v>
      </x:c>
      <x:c r="B128" t="str">
        <x:v>HD05</x:v>
      </x:c>
      <x:c r="C128" t="n">
        <x:f>IF(A128="","",COUNTIF($A$5:A128,A128))</x:f>
        <x:v>1</x:v>
      </x:c>
      <x:c r="D128" t="n">
        <x:f>IF(A128="","",IF(C128=1,1,0))</x:f>
        <x:v>1</x:v>
      </x:c>
      <x:c r="E128" t="str">
        <x:f>IF(A128="","THIẾU",IF(LEFT(A128,LEN(B128)+1)=B128&amp;".","OK","SAI PREFIX"))</x:f>
        <x:v>OK</x:v>
      </x:c>
      <x:c r="F128" t="str">
        <x:f>IF(A128="","THIẾU",IF(LEN(A128)-LEN(SUBSTITUTE(A128,".",""))=3,"OK","SAI CẤU TRÚC"))</x:f>
        <x:v>OK</x:v>
      </x:c>
    </x:row>
    <x:row r="129">
      <x:c r="A129" t="str">
        <x:f>HD05!B51</x:f>
        <x:v>HD05.N.HINH.CHU_THICH</x:v>
      </x:c>
      <x:c r="B129" t="str">
        <x:v>HD05</x:v>
      </x:c>
      <x:c r="C129" t="n">
        <x:f>IF(A129="","",COUNTIF($A$5:A129,A129))</x:f>
        <x:v>1</x:v>
      </x:c>
      <x:c r="D129" t="n">
        <x:f>IF(A129="","",IF(C129=1,1,0))</x:f>
        <x:v>1</x:v>
      </x:c>
      <x:c r="E129" t="str">
        <x:f>IF(A129="","THIẾU",IF(LEFT(A129,LEN(B129)+1)=B129&amp;".","OK","SAI PREFIX"))</x:f>
        <x:v>OK</x:v>
      </x:c>
      <x:c r="F129" t="str">
        <x:f>IF(A129="","THIẾU",IF(LEN(A129)-LEN(SUBSTITUTE(A129,".",""))=3,"OK","SAI CẤU TRÚC"))</x:f>
        <x:v>OK</x:v>
      </x:c>
    </x:row>
    <x:row r="130">
      <x:c r="A130" t="str">
        <x:f>HD05!B52</x:f>
        <x:v>HD05.N.KET.DOAN_KET</x:v>
      </x:c>
      <x:c r="B130" t="str">
        <x:v>HD05</x:v>
      </x:c>
      <x:c r="C130" t="n">
        <x:f>IF(A130="","",COUNTIF($A$5:A130,A130))</x:f>
        <x:v>1</x:v>
      </x:c>
      <x:c r="D130" t="n">
        <x:f>IF(A130="","",IF(C130=1,1,0))</x:f>
        <x:v>1</x:v>
      </x:c>
      <x:c r="E130" t="str">
        <x:f>IF(A130="","THIẾU",IF(LEFT(A130,LEN(B130)+1)=B130&amp;".","OK","SAI PREFIX"))</x:f>
        <x:v>OK</x:v>
      </x:c>
      <x:c r="F130" t="str">
        <x:f>IF(A130="","THIẾU",IF(LEN(A130)-LEN(SUBSTITUTE(A130,".",""))=3,"OK","SAI CẤU TRÚC"))</x:f>
        <x:v>OK</x:v>
      </x:c>
    </x:row>
    <x:row r="131">
      <x:c r="A131" t="str">
        <x:f>HD05!B53</x:f>
        <x:v>HD05.C.NN.NHAN_NOI_NHAN</x:v>
      </x:c>
      <x:c r="B131" t="str">
        <x:v>HD05</x:v>
      </x:c>
      <x:c r="C131" t="n">
        <x:f>IF(A131="","",COUNTIF($A$5:A131,A131))</x:f>
        <x:v>1</x:v>
      </x:c>
      <x:c r="D131" t="n">
        <x:f>IF(A131="","",IF(C131=1,1,0))</x:f>
        <x:v>1</x:v>
      </x:c>
      <x:c r="E131" t="str">
        <x:f>IF(A131="","THIẾU",IF(LEFT(A131,LEN(B131)+1)=B131&amp;".","OK","SAI PREFIX"))</x:f>
        <x:v>OK</x:v>
      </x:c>
      <x:c r="F131" t="str">
        <x:f>IF(A131="","THIẾU",IF(LEN(A131)-LEN(SUBSTITUTE(A131,".",""))=3,"OK","SAI CẤU TRÚC"))</x:f>
        <x:v>OK</x:v>
      </x:c>
    </x:row>
    <x:row r="132">
      <x:c r="A132" t="str">
        <x:f>HD05!B54</x:f>
        <x:v>HD05.C.NN.DUONG_KE</x:v>
      </x:c>
      <x:c r="B132" t="str">
        <x:v>HD05</x:v>
      </x:c>
      <x:c r="C132" t="n">
        <x:f>IF(A132="","",COUNTIF($A$5:A132,A132))</x:f>
        <x:v>1</x:v>
      </x:c>
      <x:c r="D132" t="n">
        <x:f>IF(A132="","",IF(C132=1,1,0))</x:f>
        <x:v>1</x:v>
      </x:c>
      <x:c r="E132" t="str">
        <x:f>IF(A132="","THIẾU",IF(LEFT(A132,LEN(B132)+1)=B132&amp;".","OK","SAI PREFIX"))</x:f>
        <x:v>OK</x:v>
      </x:c>
      <x:c r="F132" t="str">
        <x:f>IF(A132="","THIẾU",IF(LEN(A132)-LEN(SUBSTITUTE(A132,".",""))=3,"OK","SAI CẤU TRÚC"))</x:f>
        <x:v>OK</x:v>
      </x:c>
    </x:row>
    <x:row r="133">
      <x:c r="A133" t="str">
        <x:f>HD05!B55</x:f>
        <x:v>HD05.C.NN.DANH_SACH</x:v>
      </x:c>
      <x:c r="B133" t="str">
        <x:v>HD05</x:v>
      </x:c>
      <x:c r="C133" t="n">
        <x:f>IF(A133="","",COUNTIF($A$5:A133,A133))</x:f>
        <x:v>1</x:v>
      </x:c>
      <x:c r="D133" t="n">
        <x:f>IF(A133="","",IF(C133=1,1,0))</x:f>
        <x:v>1</x:v>
      </x:c>
      <x:c r="E133" t="str">
        <x:f>IF(A133="","THIẾU",IF(LEFT(A133,LEN(B133)+1)=B133&amp;".","OK","SAI PREFIX"))</x:f>
        <x:v>OK</x:v>
      </x:c>
      <x:c r="F133" t="str">
        <x:f>IF(A133="","THIẾU",IF(LEN(A133)-LEN(SUBSTITUTE(A133,".",""))=3,"OK","SAI CẤU TRÚC"))</x:f>
        <x:v>OK</x:v>
      </x:c>
    </x:row>
    <x:row r="134">
      <x:c r="A134" t="str">
        <x:f>HD05!B56</x:f>
        <x:v>HD05.C.NN.NHU_TREN</x:v>
      </x:c>
      <x:c r="B134" t="str">
        <x:v>HD05</x:v>
      </x:c>
      <x:c r="C134" t="n">
        <x:f>IF(A134="","",COUNTIF($A$5:A134,A134))</x:f>
        <x:v>1</x:v>
      </x:c>
      <x:c r="D134" t="n">
        <x:f>IF(A134="","",IF(C134=1,1,0))</x:f>
        <x:v>1</x:v>
      </x:c>
      <x:c r="E134" t="str">
        <x:f>IF(A134="","THIẾU",IF(LEFT(A134,LEN(B134)+1)=B134&amp;".","OK","SAI PREFIX"))</x:f>
        <x:v>OK</x:v>
      </x:c>
      <x:c r="F134" t="str">
        <x:f>IF(A134="","THIẾU",IF(LEN(A134)-LEN(SUBSTITUTE(A134,".",""))=3,"OK","SAI CẤU TRÚC"))</x:f>
        <x:v>OK</x:v>
      </x:c>
    </x:row>
    <x:row r="135">
      <x:c r="A135" t="str">
        <x:f>HD05!B57</x:f>
        <x:v>HD05.C.NN.NOI_LUU</x:v>
      </x:c>
      <x:c r="B135" t="str">
        <x:v>HD05</x:v>
      </x:c>
      <x:c r="C135" t="n">
        <x:f>IF(A135="","",COUNTIF($A$5:A135,A135))</x:f>
        <x:v>1</x:v>
      </x:c>
      <x:c r="D135" t="n">
        <x:f>IF(A135="","",IF(C135=1,1,0))</x:f>
        <x:v>1</x:v>
      </x:c>
      <x:c r="E135" t="str">
        <x:f>IF(A135="","THIẾU",IF(LEFT(A135,LEN(B135)+1)=B135&amp;".","OK","SAI PREFIX"))</x:f>
        <x:v>OK</x:v>
      </x:c>
      <x:c r="F135" t="str">
        <x:f>IF(A135="","THIẾU",IF(LEN(A135)-LEN(SUBSTITUTE(A135,".",""))=3,"OK","SAI CẤU TRÚC"))</x:f>
        <x:v>OK</x:v>
      </x:c>
    </x:row>
    <x:row r="136">
      <x:c r="A136" t="str">
        <x:f>HD05!B58</x:f>
        <x:v>HD05.C.KY.QUYEN_HAN</x:v>
      </x:c>
      <x:c r="B136" t="str">
        <x:v>HD05</x:v>
      </x:c>
      <x:c r="C136" t="n">
        <x:f>IF(A136="","",COUNTIF($A$5:A136,A136))</x:f>
        <x:v>1</x:v>
      </x:c>
      <x:c r="D136" t="n">
        <x:f>IF(A136="","",IF(C136=1,1,0))</x:f>
        <x:v>1</x:v>
      </x:c>
      <x:c r="E136" t="str">
        <x:f>IF(A136="","THIẾU",IF(LEFT(A136,LEN(B136)+1)=B136&amp;".","OK","SAI PREFIX"))</x:f>
        <x:v>OK</x:v>
      </x:c>
      <x:c r="F136" t="str">
        <x:f>IF(A136="","THIẾU",IF(LEN(A136)-LEN(SUBSTITUTE(A136,".",""))=3,"OK","SAI CẤU TRÚC"))</x:f>
        <x:v>OK</x:v>
      </x:c>
    </x:row>
    <x:row r="137">
      <x:c r="A137" t="str">
        <x:f>HD05!B59</x:f>
        <x:v>HD05.C.KY.CHUC_VU</x:v>
      </x:c>
      <x:c r="B137" t="str">
        <x:v>HD05</x:v>
      </x:c>
      <x:c r="C137" t="n">
        <x:f>IF(A137="","",COUNTIF($A$5:A137,A137))</x:f>
        <x:v>1</x:v>
      </x:c>
      <x:c r="D137" t="n">
        <x:f>IF(A137="","",IF(C137=1,1,0))</x:f>
        <x:v>1</x:v>
      </x:c>
      <x:c r="E137" t="str">
        <x:f>IF(A137="","THIẾU",IF(LEFT(A137,LEN(B137)+1)=B137&amp;".","OK","SAI PREFIX"))</x:f>
        <x:v>OK</x:v>
      </x:c>
      <x:c r="F137" t="str">
        <x:f>IF(A137="","THIẾU",IF(LEN(A137)-LEN(SUBSTITUTE(A137,".",""))=3,"OK","SAI CẤU TRÚC"))</x:f>
        <x:v>OK</x:v>
      </x:c>
    </x:row>
    <x:row r="138">
      <x:c r="A138" t="str">
        <x:f>HD05!B60</x:f>
        <x:v>HD05.C.KY.CHU_KY</x:v>
      </x:c>
      <x:c r="B138" t="str">
        <x:v>HD05</x:v>
      </x:c>
      <x:c r="C138" t="n">
        <x:f>IF(A138="","",COUNTIF($A$5:A138,A138))</x:f>
        <x:v>1</x:v>
      </x:c>
      <x:c r="D138" t="n">
        <x:f>IF(A138="","",IF(C138=1,1,0))</x:f>
        <x:v>1</x:v>
      </x:c>
      <x:c r="E138" t="str">
        <x:f>IF(A138="","THIẾU",IF(LEFT(A138,LEN(B138)+1)=B138&amp;".","OK","SAI PREFIX"))</x:f>
        <x:v>OK</x:v>
      </x:c>
      <x:c r="F138" t="str">
        <x:f>IF(A138="","THIẾU",IF(LEN(A138)-LEN(SUBSTITUTE(A138,".",""))=3,"OK","SAI CẤU TRÚC"))</x:f>
        <x:v>OK</x:v>
      </x:c>
    </x:row>
    <x:row r="139">
      <x:c r="A139" t="str">
        <x:f>HD05!B61</x:f>
        <x:v>HD05.C.KY.HO_TEN</x:v>
      </x:c>
      <x:c r="B139" t="str">
        <x:v>HD05</x:v>
      </x:c>
      <x:c r="C139" t="n">
        <x:f>IF(A139="","",COUNTIF($A$5:A139,A139))</x:f>
        <x:v>1</x:v>
      </x:c>
      <x:c r="D139" t="n">
        <x:f>IF(A139="","",IF(C139=1,1,0))</x:f>
        <x:v>1</x:v>
      </x:c>
      <x:c r="E139" t="str">
        <x:f>IF(A139="","THIẾU",IF(LEFT(A139,LEN(B139)+1)=B139&amp;".","OK","SAI PREFIX"))</x:f>
        <x:v>OK</x:v>
      </x:c>
      <x:c r="F139" t="str">
        <x:f>IF(A139="","THIẾU",IF(LEN(A139)-LEN(SUBSTITUTE(A139,".",""))=3,"OK","SAI CẤU TRÚC"))</x:f>
        <x:v>OK</x:v>
      </x:c>
    </x:row>
    <x:row r="140">
      <x:c r="A140" t="str">
        <x:f>HD05!B62</x:f>
        <x:v>HD05.C.KY.KHOI_KY</x:v>
      </x:c>
      <x:c r="B140" t="str">
        <x:v>HD05</x:v>
      </x:c>
      <x:c r="C140" t="n">
        <x:f>IF(A140="","",COUNTIF($A$5:A140,A140))</x:f>
        <x:v>1</x:v>
      </x:c>
      <x:c r="D140" t="n">
        <x:f>IF(A140="","",IF(C140=1,1,0))</x:f>
        <x:v>1</x:v>
      </x:c>
      <x:c r="E140" t="str">
        <x:f>IF(A140="","THIẾU",IF(LEFT(A140,LEN(B140)+1)=B140&amp;".","OK","SAI PREFIX"))</x:f>
        <x:v>OK</x:v>
      </x:c>
      <x:c r="F140" t="str">
        <x:f>IF(A140="","THIẾU",IF(LEN(A140)-LEN(SUBSTITUTE(A140,".",""))=3,"OK","SAI CẤU TRÚC"))</x:f>
        <x:v>OK</x:v>
      </x:c>
    </x:row>
    <x:row r="141">
      <x:c r="A141" t="str">
        <x:f>HD05!B63</x:f>
        <x:v>HD05.C.DAU.DAU_CO_QUAN</x:v>
      </x:c>
      <x:c r="B141" t="str">
        <x:v>HD05</x:v>
      </x:c>
      <x:c r="C141" t="n">
        <x:f>IF(A141="","",COUNTIF($A$5:A141,A141))</x:f>
        <x:v>1</x:v>
      </x:c>
      <x:c r="D141" t="n">
        <x:f>IF(A141="","",IF(C141=1,1,0))</x:f>
        <x:v>1</x:v>
      </x:c>
      <x:c r="E141" t="str">
        <x:f>IF(A141="","THIẾU",IF(LEFT(A141,LEN(B141)+1)=B141&amp;".","OK","SAI PREFIX"))</x:f>
        <x:v>OK</x:v>
      </x:c>
      <x:c r="F141" t="str">
        <x:f>IF(A141="","THIẾU",IF(LEN(A141)-LEN(SUBSTITUTE(A141,".",""))=3,"OK","SAI CẤU TRÚC"))</x:f>
        <x:v>OK</x:v>
      </x:c>
    </x:row>
    <x:row r="142">
      <x:c r="A142" t="str">
        <x:f>HD05!B64</x:f>
        <x:v>HD05.C.DAU.CHU_KY_SO</x:v>
      </x:c>
      <x:c r="B142" t="str">
        <x:v>HD05</x:v>
      </x:c>
      <x:c r="C142" t="n">
        <x:f>IF(A142="","",COUNTIF($A$5:A142,A142))</x:f>
        <x:v>1</x:v>
      </x:c>
      <x:c r="D142" t="n">
        <x:f>IF(A142="","",IF(C142=1,1,0))</x:f>
        <x:v>1</x:v>
      </x:c>
      <x:c r="E142" t="str">
        <x:f>IF(A142="","THIẾU",IF(LEFT(A142,LEN(B142)+1)=B142&amp;".","OK","SAI PREFIX"))</x:f>
        <x:v>OK</x:v>
      </x:c>
      <x:c r="F142" t="str">
        <x:f>IF(A142="","THIẾU",IF(LEN(A142)-LEN(SUBSTITUTE(A142,".",""))=3,"OK","SAI CẤU TRÚC"))</x:f>
        <x:v>OK</x:v>
      </x:c>
    </x:row>
    <x:row r="143">
      <x:c r="A143" t="str">
        <x:f>HD05!B65</x:f>
        <x:v>HD05.G.TRANG.KHO_GIAY</x:v>
      </x:c>
      <x:c r="B143" t="str">
        <x:v>HD05</x:v>
      </x:c>
      <x:c r="C143" t="n">
        <x:f>IF(A143="","",COUNTIF($A$5:A143,A143))</x:f>
        <x:v>1</x:v>
      </x:c>
      <x:c r="D143" t="n">
        <x:f>IF(A143="","",IF(C143=1,1,0))</x:f>
        <x:v>1</x:v>
      </x:c>
      <x:c r="E143" t="str">
        <x:f>IF(A143="","THIẾU",IF(LEFT(A143,LEN(B143)+1)=B143&amp;".","OK","SAI PREFIX"))</x:f>
        <x:v>OK</x:v>
      </x:c>
      <x:c r="F143" t="str">
        <x:f>IF(A143="","THIẾU",IF(LEN(A143)-LEN(SUBSTITUTE(A143,".",""))=3,"OK","SAI CẤU TRÚC"))</x:f>
        <x:v>OK</x:v>
      </x:c>
    </x:row>
    <x:row r="144">
      <x:c r="A144" t="str">
        <x:f>HD05!B66</x:f>
        <x:v>HD05.G.TRANG.HUONG_GIAY</x:v>
      </x:c>
      <x:c r="B144" t="str">
        <x:v>HD05</x:v>
      </x:c>
      <x:c r="C144" t="n">
        <x:f>IF(A144="","",COUNTIF($A$5:A144,A144))</x:f>
        <x:v>1</x:v>
      </x:c>
      <x:c r="D144" t="n">
        <x:f>IF(A144="","",IF(C144=1,1,0))</x:f>
        <x:v>1</x:v>
      </x:c>
      <x:c r="E144" t="str">
        <x:f>IF(A144="","THIẾU",IF(LEFT(A144,LEN(B144)+1)=B144&amp;".","OK","SAI PREFIX"))</x:f>
        <x:v>OK</x:v>
      </x:c>
      <x:c r="F144" t="str">
        <x:f>IF(A144="","THIẾU",IF(LEN(A144)-LEN(SUBSTITUTE(A144,".",""))=3,"OK","SAI CẤU TRÚC"))</x:f>
        <x:v>OK</x:v>
      </x:c>
    </x:row>
    <x:row r="145">
      <x:c r="A145" t="str">
        <x:f>HD05!B67</x:f>
        <x:v>HD05.G.TRANG.LE_TRANG</x:v>
      </x:c>
      <x:c r="B145" t="str">
        <x:v>HD05</x:v>
      </x:c>
      <x:c r="C145" t="n">
        <x:f>IF(A145="","",COUNTIF($A$5:A145,A145))</x:f>
        <x:v>1</x:v>
      </x:c>
      <x:c r="D145" t="n">
        <x:f>IF(A145="","",IF(C145=1,1,0))</x:f>
        <x:v>1</x:v>
      </x:c>
      <x:c r="E145" t="str">
        <x:f>IF(A145="","THIẾU",IF(LEFT(A145,LEN(B145)+1)=B145&amp;".","OK","SAI PREFIX"))</x:f>
        <x:v>OK</x:v>
      </x:c>
      <x:c r="F145" t="str">
        <x:f>IF(A145="","THIẾU",IF(LEN(A145)-LEN(SUBSTITUTE(A145,".",""))=3,"OK","SAI CẤU TRÚC"))</x:f>
        <x:v>OK</x:v>
      </x:c>
    </x:row>
    <x:row r="146">
      <x:c r="A146" t="str">
        <x:f>HD05!B68</x:f>
        <x:v>HD05.G.CHU.PHONG</x:v>
      </x:c>
      <x:c r="B146" t="str">
        <x:v>HD05</x:v>
      </x:c>
      <x:c r="C146" t="n">
        <x:f>IF(A146="","",COUNTIF($A$5:A146,A146))</x:f>
        <x:v>1</x:v>
      </x:c>
      <x:c r="D146" t="n">
        <x:f>IF(A146="","",IF(C146=1,1,0))</x:f>
        <x:v>1</x:v>
      </x:c>
      <x:c r="E146" t="str">
        <x:f>IF(A146="","THIẾU",IF(LEFT(A146,LEN(B146)+1)=B146&amp;".","OK","SAI PREFIX"))</x:f>
        <x:v>OK</x:v>
      </x:c>
      <x:c r="F146" t="str">
        <x:f>IF(A146="","THIẾU",IF(LEN(A146)-LEN(SUBSTITUTE(A146,".",""))=3,"OK","SAI CẤU TRÚC"))</x:f>
        <x:v>OK</x:v>
      </x:c>
    </x:row>
    <x:row r="147">
      <x:c r="A147" t="str">
        <x:f>HD05!B69</x:f>
        <x:v>HD05.G.CHU.CO_CHU</x:v>
      </x:c>
      <x:c r="B147" t="str">
        <x:v>HD05</x:v>
      </x:c>
      <x:c r="C147" t="n">
        <x:f>IF(A147="","",COUNTIF($A$5:A147,A147))</x:f>
        <x:v>1</x:v>
      </x:c>
      <x:c r="D147" t="n">
        <x:f>IF(A147="","",IF(C147=1,1,0))</x:f>
        <x:v>1</x:v>
      </x:c>
      <x:c r="E147" t="str">
        <x:f>IF(A147="","THIẾU",IF(LEFT(A147,LEN(B147)+1)=B147&amp;".","OK","SAI PREFIX"))</x:f>
        <x:v>OK</x:v>
      </x:c>
      <x:c r="F147" t="str">
        <x:f>IF(A147="","THIẾU",IF(LEN(A147)-LEN(SUBSTITUTE(A147,".",""))=3,"OK","SAI CẤU TRÚC"))</x:f>
        <x:v>OK</x:v>
      </x:c>
    </x:row>
    <x:row r="148">
      <x:c r="A148" t="str">
        <x:f>HD05!B70</x:f>
        <x:v>HD05.G.CHU.KIEU_CHU</x:v>
      </x:c>
      <x:c r="B148" t="str">
        <x:v>HD05</x:v>
      </x:c>
      <x:c r="C148" t="n">
        <x:f>IF(A148="","",COUNTIF($A$5:A148,A148))</x:f>
        <x:v>1</x:v>
      </x:c>
      <x:c r="D148" t="n">
        <x:f>IF(A148="","",IF(C148=1,1,0))</x:f>
        <x:v>1</x:v>
      </x:c>
      <x:c r="E148" t="str">
        <x:f>IF(A148="","THIẾU",IF(LEFT(A148,LEN(B148)+1)=B148&amp;".","OK","SAI PREFIX"))</x:f>
        <x:v>OK</x:v>
      </x:c>
      <x:c r="F148" t="str">
        <x:f>IF(A148="","THIẾU",IF(LEN(A148)-LEN(SUBSTITUTE(A148,".",""))=3,"OK","SAI CẤU TRÚC"))</x:f>
        <x:v>OK</x:v>
      </x:c>
    </x:row>
    <x:row r="149">
      <x:c r="A149" t="str">
        <x:f>HD05!B71</x:f>
        <x:v>HD05.G.DOAN.CAN_LE</x:v>
      </x:c>
      <x:c r="B149" t="str">
        <x:v>HD05</x:v>
      </x:c>
      <x:c r="C149" t="n">
        <x:f>IF(A149="","",COUNTIF($A$5:A149,A149))</x:f>
        <x:v>1</x:v>
      </x:c>
      <x:c r="D149" t="n">
        <x:f>IF(A149="","",IF(C149=1,1,0))</x:f>
        <x:v>1</x:v>
      </x:c>
      <x:c r="E149" t="str">
        <x:f>IF(A149="","THIẾU",IF(LEFT(A149,LEN(B149)+1)=B149&amp;".","OK","SAI PREFIX"))</x:f>
        <x:v>OK</x:v>
      </x:c>
      <x:c r="F149" t="str">
        <x:f>IF(A149="","THIẾU",IF(LEN(A149)-LEN(SUBSTITUTE(A149,".",""))=3,"OK","SAI CẤU TRÚC"))</x:f>
        <x:v>OK</x:v>
      </x:c>
    </x:row>
    <x:row r="150">
      <x:c r="A150" t="str">
        <x:f>HD05!B72</x:f>
        <x:v>HD05.G.DOAN.GIUA_DONG</x:v>
      </x:c>
      <x:c r="B150" t="str">
        <x:v>HD05</x:v>
      </x:c>
      <x:c r="C150" t="n">
        <x:f>IF(A150="","",COUNTIF($A$5:A150,A150))</x:f>
        <x:v>1</x:v>
      </x:c>
      <x:c r="D150" t="n">
        <x:f>IF(A150="","",IF(C150=1,1,0))</x:f>
        <x:v>1</x:v>
      </x:c>
      <x:c r="E150" t="str">
        <x:f>IF(A150="","THIẾU",IF(LEFT(A150,LEN(B150)+1)=B150&amp;".","OK","SAI PREFIX"))</x:f>
        <x:v>OK</x:v>
      </x:c>
      <x:c r="F150" t="str">
        <x:f>IF(A150="","THIẾU",IF(LEN(A150)-LEN(SUBSTITUTE(A150,".",""))=3,"OK","SAI CẤU TRÚC"))</x:f>
        <x:v>OK</x:v>
      </x:c>
    </x:row>
    <x:row r="151">
      <x:c r="A151" t="str">
        <x:f>HD05!B73</x:f>
        <x:v>HD05.G.DOAN.GIUA_DOAN</x:v>
      </x:c>
      <x:c r="B151" t="str">
        <x:v>HD05</x:v>
      </x:c>
      <x:c r="C151" t="n">
        <x:f>IF(A151="","",COUNTIF($A$5:A151,A151))</x:f>
        <x:v>1</x:v>
      </x:c>
      <x:c r="D151" t="n">
        <x:f>IF(A151="","",IF(C151=1,1,0))</x:f>
        <x:v>1</x:v>
      </x:c>
      <x:c r="E151" t="str">
        <x:f>IF(A151="","THIẾU",IF(LEFT(A151,LEN(B151)+1)=B151&amp;".","OK","SAI PREFIX"))</x:f>
        <x:v>OK</x:v>
      </x:c>
      <x:c r="F151" t="str">
        <x:f>IF(A151="","THIẾU",IF(LEN(A151)-LEN(SUBSTITUTE(A151,".",""))=3,"OK","SAI CẤU TRÚC"))</x:f>
        <x:v>OK</x:v>
      </x:c>
    </x:row>
    <x:row r="152">
      <x:c r="A152" t="str">
        <x:f>HD05!B74</x:f>
        <x:v>HD05.G.DOAN.THUT_DONG</x:v>
      </x:c>
      <x:c r="B152" t="str">
        <x:v>HD05</x:v>
      </x:c>
      <x:c r="C152" t="n">
        <x:f>IF(A152="","",COUNTIF($A$5:A152,A152))</x:f>
        <x:v>1</x:v>
      </x:c>
      <x:c r="D152" t="n">
        <x:f>IF(A152="","",IF(C152=1,1,0))</x:f>
        <x:v>1</x:v>
      </x:c>
      <x:c r="E152" t="str">
        <x:f>IF(A152="","THIẾU",IF(LEFT(A152,LEN(B152)+1)=B152&amp;".","OK","SAI PREFIX"))</x:f>
        <x:v>OK</x:v>
      </x:c>
      <x:c r="F152" t="str">
        <x:f>IF(A152="","THIẾU",IF(LEN(A152)-LEN(SUBSTITUTE(A152,".",""))=3,"OK","SAI CẤU TRÚC"))</x:f>
        <x:v>OK</x:v>
      </x:c>
    </x:row>
    <x:row r="153">
      <x:c r="A153" t="str">
        <x:f>HD05!B75</x:f>
        <x:v>HD05.G.PHAN_TRANG.SECTION</x:v>
      </x:c>
      <x:c r="B153" t="str">
        <x:v>HD05</x:v>
      </x:c>
      <x:c r="C153" t="n">
        <x:f>IF(A153="","",COUNTIF($A$5:A153,A153))</x:f>
        <x:v>1</x:v>
      </x:c>
      <x:c r="D153" t="n">
        <x:f>IF(A153="","",IF(C153=1,1,0))</x:f>
        <x:v>1</x:v>
      </x:c>
      <x:c r="E153" t="str">
        <x:f>IF(A153="","THIẾU",IF(LEFT(A153,LEN(B153)+1)=B153&amp;".","OK","SAI PREFIX"))</x:f>
        <x:v>OK</x:v>
      </x:c>
      <x:c r="F153" t="str">
        <x:f>IF(A153="","THIẾU",IF(LEN(A153)-LEN(SUBSTITUTE(A153,".",""))=3,"OK","SAI CẤU TRÚC"))</x:f>
        <x:v>OK</x:v>
      </x:c>
    </x:row>
    <x:row r="154">
      <x:c r="A154" t="str">
        <x:f>HD05!B76</x:f>
        <x:v>HD05.G.PHAN_TRANG.NGAT_TRANG</x:v>
      </x:c>
      <x:c r="B154" t="str">
        <x:v>HD05</x:v>
      </x:c>
      <x:c r="C154" t="n">
        <x:f>IF(A154="","",COUNTIF($A$5:A154,A154))</x:f>
        <x:v>1</x:v>
      </x:c>
      <x:c r="D154" t="n">
        <x:f>IF(A154="","",IF(C154=1,1,0))</x:f>
        <x:v>1</x:v>
      </x:c>
      <x:c r="E154" t="str">
        <x:f>IF(A154="","THIẾU",IF(LEFT(A154,LEN(B154)+1)=B154&amp;".","OK","SAI PREFIX"))</x:f>
        <x:v>OK</x:v>
      </x:c>
      <x:c r="F154" t="str">
        <x:f>IF(A154="","THIẾU",IF(LEN(A154)-LEN(SUBSTITUTE(A154,".",""))=3,"OK","SAI CẤU TRÚC"))</x:f>
        <x:v>OK</x:v>
      </x:c>
    </x:row>
    <x:row r="155">
      <x:c r="A155" t="str">
        <x:f>HD05!B77</x:f>
        <x:v>HD05.G.PHAN_TRANG.KEEP_WITH_NEXT</x:v>
      </x:c>
      <x:c r="B155" t="str">
        <x:v>HD05</x:v>
      </x:c>
      <x:c r="C155" t="n">
        <x:f>IF(A155="","",COUNTIF($A$5:A155,A155))</x:f>
        <x:v>1</x:v>
      </x:c>
      <x:c r="D155" t="n">
        <x:f>IF(A155="","",IF(C155=1,1,0))</x:f>
        <x:v>1</x:v>
      </x:c>
      <x:c r="E155" t="str">
        <x:f>IF(A155="","THIẾU",IF(LEFT(A155,LEN(B155)+1)=B155&amp;".","OK","SAI PREFIX"))</x:f>
        <x:v>OK</x:v>
      </x:c>
      <x:c r="F155" t="str">
        <x:f>IF(A155="","THIẾU",IF(LEN(A155)-LEN(SUBSTITUTE(A155,".",""))=3,"OK","SAI CẤU TRÚC"))</x:f>
        <x:v>OK</x:v>
      </x:c>
    </x:row>
    <x:row r="156">
      <x:c r="A156" t="str">
        <x:f>HD05!B78</x:f>
        <x:v>HD05.G.SO_TRANG.VI_TRI</x:v>
      </x:c>
      <x:c r="B156" t="str">
        <x:v>HD05</x:v>
      </x:c>
      <x:c r="C156" t="n">
        <x:f>IF(A156="","",COUNTIF($A$5:A156,A156))</x:f>
        <x:v>1</x:v>
      </x:c>
      <x:c r="D156" t="n">
        <x:f>IF(A156="","",IF(C156=1,1,0))</x:f>
        <x:v>1</x:v>
      </x:c>
      <x:c r="E156" t="str">
        <x:f>IF(A156="","THIẾU",IF(LEFT(A156,LEN(B156)+1)=B156&amp;".","OK","SAI PREFIX"))</x:f>
        <x:v>OK</x:v>
      </x:c>
      <x:c r="F156" t="str">
        <x:f>IF(A156="","THIẾU",IF(LEN(A156)-LEN(SUBSTITUTE(A156,".",""))=3,"OK","SAI CẤU TRÚC"))</x:f>
        <x:v>OK</x:v>
      </x:c>
    </x:row>
    <x:row r="157">
      <x:c r="A157" t="str">
        <x:f>HD05!B79</x:f>
        <x:v>HD05.G.SO_TRANG.DINH_DANG</x:v>
      </x:c>
      <x:c r="B157" t="str">
        <x:v>HD05</x:v>
      </x:c>
      <x:c r="C157" t="n">
        <x:f>IF(A157="","",COUNTIF($A$5:A157,A157))</x:f>
        <x:v>1</x:v>
      </x:c>
      <x:c r="D157" t="n">
        <x:f>IF(A157="","",IF(C157=1,1,0))</x:f>
        <x:v>1</x:v>
      </x:c>
      <x:c r="E157" t="str">
        <x:f>IF(A157="","THIẾU",IF(LEFT(A157,LEN(B157)+1)=B157&amp;".","OK","SAI PREFIX"))</x:f>
        <x:v>OK</x:v>
      </x:c>
      <x:c r="F157" t="str">
        <x:f>IF(A157="","THIẾU",IF(LEN(A157)-LEN(SUBSTITUTE(A157,".",""))=3,"OK","SAI CẤU TRÚC"))</x:f>
        <x:v>OK</x:v>
      </x:c>
    </x:row>
    <x:row r="158">
      <x:c r="A158" t="str">
        <x:f>HD05!B80</x:f>
        <x:v>HD05.G.IN.HAI_MAT</x:v>
      </x:c>
      <x:c r="B158" t="str">
        <x:v>HD05</x:v>
      </x:c>
      <x:c r="C158" t="n">
        <x:f>IF(A158="","",COUNTIF($A$5:A158,A158))</x:f>
        <x:v>1</x:v>
      </x:c>
      <x:c r="D158" t="n">
        <x:f>IF(A158="","",IF(C158=1,1,0))</x:f>
        <x:v>1</x:v>
      </x:c>
      <x:c r="E158" t="str">
        <x:f>IF(A158="","THIẾU",IF(LEFT(A158,LEN(B158)+1)=B158&amp;".","OK","SAI PREFIX"))</x:f>
        <x:v>OK</x:v>
      </x:c>
      <x:c r="F158" t="str">
        <x:f>IF(A158="","THIẾU",IF(LEN(A158)-LEN(SUBSTITUTE(A158,".",""))=3,"OK","SAI CẤU TRÚC"))</x:f>
        <x:v>OK</x:v>
      </x:c>
    </x:row>
    <x:row r="159">
      <x:c r="A159" t="str">
        <x:f>HD05!B81</x:f>
        <x:v>HD05.X.MAT.MUC_DO</x:v>
      </x:c>
      <x:c r="B159" t="str">
        <x:v>HD05</x:v>
      </x:c>
      <x:c r="C159" t="n">
        <x:f>IF(A159="","",COUNTIF($A$5:A159,A159))</x:f>
        <x:v>1</x:v>
      </x:c>
      <x:c r="D159" t="n">
        <x:f>IF(A159="","",IF(C159=1,1,0))</x:f>
        <x:v>1</x:v>
      </x:c>
      <x:c r="E159" t="str">
        <x:f>IF(A159="","THIẾU",IF(LEFT(A159,LEN(B159)+1)=B159&amp;".","OK","SAI PREFIX"))</x:f>
        <x:v>OK</x:v>
      </x:c>
      <x:c r="F159" t="str">
        <x:f>IF(A159="","THIẾU",IF(LEN(A159)-LEN(SUBSTITUTE(A159,".",""))=3,"OK","SAI CẤU TRÚC"))</x:f>
        <x:v>OK</x:v>
      </x:c>
    </x:row>
    <x:row r="160">
      <x:c r="A160" t="str">
        <x:f>HD05!B82</x:f>
        <x:v>HD05.X.KHAN.MUC_DO</x:v>
      </x:c>
      <x:c r="B160" t="str">
        <x:v>HD05</x:v>
      </x:c>
      <x:c r="C160" t="n">
        <x:f>IF(A160="","",COUNTIF($A$5:A160,A160))</x:f>
        <x:v>1</x:v>
      </x:c>
      <x:c r="D160" t="n">
        <x:f>IF(A160="","",IF(C160=1,1,0))</x:f>
        <x:v>1</x:v>
      </x:c>
      <x:c r="E160" t="str">
        <x:f>IF(A160="","THIẾU",IF(LEFT(A160,LEN(B160)+1)=B160&amp;".","OK","SAI PREFIX"))</x:f>
        <x:v>OK</x:v>
      </x:c>
      <x:c r="F160" t="str">
        <x:f>IF(A160="","THIẾU",IF(LEN(A160)-LEN(SUBSTITUTE(A160,".",""))=3,"OK","SAI CẤU TRÚC"))</x:f>
        <x:v>OK</x:v>
      </x:c>
    </x:row>
    <x:row r="161">
      <x:c r="A161" t="str">
        <x:f>HD05!B83</x:f>
        <x:v>HD05.X.LUU_HANH.CHI_DAN</x:v>
      </x:c>
      <x:c r="B161" t="str">
        <x:v>HD05</x:v>
      </x:c>
      <x:c r="C161" t="n">
        <x:f>IF(A161="","",COUNTIF($A$5:A161,A161))</x:f>
        <x:v>1</x:v>
      </x:c>
      <x:c r="D161" t="n">
        <x:f>IF(A161="","",IF(C161=1,1,0))</x:f>
        <x:v>1</x:v>
      </x:c>
      <x:c r="E161" t="str">
        <x:f>IF(A161="","THIẾU",IF(LEFT(A161,LEN(B161)+1)=B161&amp;".","OK","SAI PREFIX"))</x:f>
        <x:v>OK</x:v>
      </x:c>
      <x:c r="F161" t="str">
        <x:f>IF(A161="","THIẾU",IF(LEN(A161)-LEN(SUBSTITUTE(A161,".",""))=3,"OK","SAI CẤU TRÚC"))</x:f>
        <x:v>OK</x:v>
      </x:c>
    </x:row>
    <x:row r="162">
      <x:c r="A162" t="str">
        <x:f>HD05!B84</x:f>
        <x:v>HD05.X.DU_THAO.CHI_DAN</x:v>
      </x:c>
      <x:c r="B162" t="str">
        <x:v>HD05</x:v>
      </x:c>
      <x:c r="C162" t="n">
        <x:f>IF(A162="","",COUNTIF($A$5:A162,A162))</x:f>
        <x:v>1</x:v>
      </x:c>
      <x:c r="D162" t="n">
        <x:f>IF(A162="","",IF(C162=1,1,0))</x:f>
        <x:v>1</x:v>
      </x:c>
      <x:c r="E162" t="str">
        <x:f>IF(A162="","THIẾU",IF(LEFT(A162,LEN(B162)+1)=B162&amp;".","OK","SAI PREFIX"))</x:f>
        <x:v>OK</x:v>
      </x:c>
      <x:c r="F162" t="str">
        <x:f>IF(A162="","THIẾU",IF(LEN(A162)-LEN(SUBSTITUTE(A162,".",""))=3,"OK","SAI CẤU TRÚC"))</x:f>
        <x:v>OK</x:v>
      </x:c>
    </x:row>
    <x:row r="163">
      <x:c r="A163" t="str">
        <x:f>HD05!B85</x:f>
        <x:v>HD05.X.SOAN.KY_HIEU_NGUOI_SOAN</x:v>
      </x:c>
      <x:c r="B163" t="str">
        <x:v>HD05</x:v>
      </x:c>
      <x:c r="C163" t="n">
        <x:f>IF(A163="","",COUNTIF($A$5:A163,A163))</x:f>
        <x:v>1</x:v>
      </x:c>
      <x:c r="D163" t="n">
        <x:f>IF(A163="","",IF(C163=1,1,0))</x:f>
        <x:v>1</x:v>
      </x:c>
      <x:c r="E163" t="str">
        <x:f>IF(A163="","THIẾU",IF(LEFT(A163,LEN(B163)+1)=B163&amp;".","OK","SAI PREFIX"))</x:f>
        <x:v>OK</x:v>
      </x:c>
      <x:c r="F163" t="str">
        <x:f>IF(A163="","THIẾU",IF(LEN(A163)-LEN(SUBSTITUTE(A163,".",""))=3,"OK","SAI CẤU TRÚC"))</x:f>
        <x:v>OK</x:v>
      </x:c>
    </x:row>
    <x:row r="164">
      <x:c r="A164" t="str">
        <x:f>HD05!B86</x:f>
        <x:v>HD05.X.SOAN.SO_BAN</x:v>
      </x:c>
      <x:c r="B164" t="str">
        <x:v>HD05</x:v>
      </x:c>
      <x:c r="C164" t="n">
        <x:f>IF(A164="","",COUNTIF($A$5:A164,A164))</x:f>
        <x:v>1</x:v>
      </x:c>
      <x:c r="D164" t="n">
        <x:f>IF(A164="","",IF(C164=1,1,0))</x:f>
        <x:v>1</x:v>
      </x:c>
      <x:c r="E164" t="str">
        <x:f>IF(A164="","THIẾU",IF(LEFT(A164,LEN(B164)+1)=B164&amp;".","OK","SAI PREFIX"))</x:f>
        <x:v>OK</x:v>
      </x:c>
      <x:c r="F164" t="str">
        <x:f>IF(A164="","THIẾU",IF(LEN(A164)-LEN(SUBSTITUTE(A164,".",""))=3,"OK","SAI CẤU TRÚC"))</x:f>
        <x:v>OK</x:v>
      </x:c>
    </x:row>
    <x:row r="165">
      <x:c r="A165" t="str">
        <x:f>HD05!B87</x:f>
        <x:v>HD05.X.LIEN_HE.DIA_CHI</x:v>
      </x:c>
      <x:c r="B165" t="str">
        <x:v>HD05</x:v>
      </x:c>
      <x:c r="C165" t="n">
        <x:f>IF(A165="","",COUNTIF($A$5:A165,A165))</x:f>
        <x:v>1</x:v>
      </x:c>
      <x:c r="D165" t="n">
        <x:f>IF(A165="","",IF(C165=1,1,0))</x:f>
        <x:v>1</x:v>
      </x:c>
      <x:c r="E165" t="str">
        <x:f>IF(A165="","THIẾU",IF(LEFT(A165,LEN(B165)+1)=B165&amp;".","OK","SAI PREFIX"))</x:f>
        <x:v>OK</x:v>
      </x:c>
      <x:c r="F165" t="str">
        <x:f>IF(A165="","THIẾU",IF(LEN(A165)-LEN(SUBSTITUTE(A165,".",""))=3,"OK","SAI CẤU TRÚC"))</x:f>
        <x:v>OK</x:v>
      </x:c>
    </x:row>
    <x:row r="166">
      <x:c r="A166" t="str">
        <x:f>HD05!B88</x:f>
        <x:v>HD05.X.LIEN_HE.EMAIL</x:v>
      </x:c>
      <x:c r="B166" t="str">
        <x:v>HD05</x:v>
      </x:c>
      <x:c r="C166" t="n">
        <x:f>IF(A166="","",COUNTIF($A$5:A166,A166))</x:f>
        <x:v>1</x:v>
      </x:c>
      <x:c r="D166" t="n">
        <x:f>IF(A166="","",IF(C166=1,1,0))</x:f>
        <x:v>1</x:v>
      </x:c>
      <x:c r="E166" t="str">
        <x:f>IF(A166="","THIẾU",IF(LEFT(A166,LEN(B166)+1)=B166&amp;".","OK","SAI PREFIX"))</x:f>
        <x:v>OK</x:v>
      </x:c>
      <x:c r="F166" t="str">
        <x:f>IF(A166="","THIẾU",IF(LEN(A166)-LEN(SUBSTITUTE(A166,".",""))=3,"OK","SAI CẤU TRÚC"))</x:f>
        <x:v>OK</x:v>
      </x:c>
    </x:row>
    <x:row r="167">
      <x:c r="A167" t="str">
        <x:f>HD05!B89</x:f>
        <x:v>HD05.X.LIEN_HE.DIEN_THOAI</x:v>
      </x:c>
      <x:c r="B167" t="str">
        <x:v>HD05</x:v>
      </x:c>
      <x:c r="C167" t="n">
        <x:f>IF(A167="","",COUNTIF($A$5:A167,A167))</x:f>
        <x:v>1</x:v>
      </x:c>
      <x:c r="D167" t="n">
        <x:f>IF(A167="","",IF(C167=1,1,0))</x:f>
        <x:v>1</x:v>
      </x:c>
      <x:c r="E167" t="str">
        <x:f>IF(A167="","THIẾU",IF(LEFT(A167,LEN(B167)+1)=B167&amp;".","OK","SAI PREFIX"))</x:f>
        <x:v>OK</x:v>
      </x:c>
      <x:c r="F167" t="str">
        <x:f>IF(A167="","THIẾU",IF(LEN(A167)-LEN(SUBSTITUTE(A167,".",""))=3,"OK","SAI CẤU TRÚC"))</x:f>
        <x:v>OK</x:v>
      </x:c>
    </x:row>
    <x:row r="168">
      <x:c r="A168" t="str">
        <x:f>HD05!B90</x:f>
        <x:v>HD05.X.LIEN_HE.WEB</x:v>
      </x:c>
      <x:c r="B168" t="str">
        <x:v>HD05</x:v>
      </x:c>
      <x:c r="C168" t="n">
        <x:f>IF(A168="","",COUNTIF($A$5:A168,A168))</x:f>
        <x:v>1</x:v>
      </x:c>
      <x:c r="D168" t="n">
        <x:f>IF(A168="","",IF(C168=1,1,0))</x:f>
        <x:v>1</x:v>
      </x:c>
      <x:c r="E168" t="str">
        <x:f>IF(A168="","THIẾU",IF(LEFT(A168,LEN(B168)+1)=B168&amp;".","OK","SAI PREFIX"))</x:f>
        <x:v>OK</x:v>
      </x:c>
      <x:c r="F168" t="str">
        <x:f>IF(A168="","THIẾU",IF(LEN(A168)-LEN(SUBSTITUTE(A168,".",""))=3,"OK","SAI CẤU TRÚC"))</x:f>
        <x:v>OK</x:v>
      </x:c>
    </x:row>
    <x:row r="169">
      <x:c r="A169" t="str">
        <x:f>HD05!B91</x:f>
        <x:v>HD05.X.LIEN_HE.FAX</x:v>
      </x:c>
      <x:c r="B169" t="str">
        <x:v>HD05</x:v>
      </x:c>
      <x:c r="C169" t="n">
        <x:f>IF(A169="","",COUNTIF($A$5:A169,A169))</x:f>
        <x:v>1</x:v>
      </x:c>
      <x:c r="D169" t="n">
        <x:f>IF(A169="","",IF(C169=1,1,0))</x:f>
        <x:v>1</x:v>
      </x:c>
      <x:c r="E169" t="str">
        <x:f>IF(A169="","THIẾU",IF(LEFT(A169,LEN(B169)+1)=B169&amp;".","OK","SAI PREFIX"))</x:f>
        <x:v>OK</x:v>
      </x:c>
      <x:c r="F169" t="str">
        <x:f>IF(A169="","THIẾU",IF(LEN(A169)-LEN(SUBSTITUTE(A169,".",""))=3,"OK","SAI CẤU TRÚC"))</x:f>
        <x:v>OK</x:v>
      </x:c>
    </x:row>
    <x:row r="171" ht="36" customHeight="1">
      <x:c r="A171" s="105" t="str">
        <x:v>Vị trí</x:v>
      </x:c>
      <x:c r="B171" s="105" t="str">
        <x:v>Mã trường</x:v>
      </x:c>
      <x:c r="C171" s="105" t="str">
        <x:v>Quyết định</x:v>
      </x:c>
      <x:c r="D171" s="105" t="str">
        <x:v>Nội dung cũ / phát hiện</x:v>
      </x:c>
      <x:c r="E171" s="105" t="str">
        <x:v>Nội dung mới / kiến nghị</x:v>
      </x:c>
      <x:c r="F171" s="105" t="str">
        <x:v>Căn cứ / lý do</x:v>
      </x:c>
      <x:c r="G171" s="105" t="str">
        <x:v>Kết quả</x:v>
      </x:c>
      <x:c r="H171" s="105" t="str">
        <x:v>Trạng thái</x:v>
      </x:c>
    </x:row>
    <x:row r="172" ht="46" customHeight="1">
      <x:c r="A172" s="28" t="str">
        <x:v>ND30!F57–F58</x:v>
      </x:c>
      <x:c r="B172" s="28" t="str">
        <x:v>ND30.C.KY.*</x:v>
      </x:c>
      <x:c r="C172" s="28" t="str">
        <x:v>GIỮ NGUYÊN</x:v>
      </x:c>
      <x:c r="D172" s="28" t="str">
        <x:v>Đề xuất đổi chữ ký 7c→7b là không đúng</x:v>
      </x:c>
      <x:c r="E172" s="28" t="str">
        <x:v>Chữ ký 7c; họ tên 7b</x:v>
      </x:c>
      <x:c r="F172" s="28" t="str">
        <x:v>NĐ30 PL I II.7; HD05 II.7.2.2–7.2.3</x:v>
      </x:c>
      <x:c r="G172" s="28" t="str">
        <x:v>ĐỐI CHIẾU</x:v>
      </x:c>
      <x:c r="H172" s="28" t="str">
        <x:v>KHÔNG SỬA</x:v>
      </x:c>
    </x:row>
    <x:row r="173" ht="46" customHeight="1">
      <x:c r="A173" s="28" t="str">
        <x:v>HD05!K16</x:v>
      </x:c>
      <x:c r="B173" s="28" t="str">
        <x:v>HD05.D.SK.KY_HIEU_LOAI</x:v>
      </x:c>
      <x:c r="C173" s="28" t="str">
        <x:v>SỬA</x:v>
      </x:c>
      <x:c r="D173" s="28" t="str">
        <x:v>IN HOA tuyệt đối</x:v>
      </x:c>
      <x:c r="E173" s="28" t="str">
        <x:v>Theo ký hiệu chính xác, có CTr / TTr</x:v>
      </x:c>
      <x:c r="F173" s="28" t="str">
        <x:v>HD05 mục 3.1.2.a</x:v>
      </x:c>
      <x:c r="G173" s="28" t="str">
        <x:v>ĐỐI CHIẾU</x:v>
      </x:c>
      <x:c r="H173" s="28" t="str">
        <x:v>ĐÃ SỬA</x:v>
      </x:c>
    </x:row>
    <x:row r="174" ht="46" customHeight="1">
      <x:c r="A174" s="28" t="str">
        <x:v>HD05!S15</x:v>
      </x:c>
      <x:c r="B174" s="28" t="str">
        <x:v>HD05.D.SK.SO_VAN_BAN</x:v>
      </x:c>
      <x:c r="C174" s="28" t="str">
        <x:v>SỬA</x:v>
      </x:c>
      <x:c r="D174" s="28" t="str">
        <x:v>Thiếu số 0 cho số văn bản dưới 10</x:v>
      </x:c>
      <x:c r="E174" s="28" t="str">
        <x:v>01–09</x:v>
      </x:c>
      <x:c r="F174" s="28" t="str">
        <x:v>HD05 mục 3.2.2</x:v>
      </x:c>
      <x:c r="G174" s="28" t="str">
        <x:v>ĐỐI CHIẾU</x:v>
      </x:c>
      <x:c r="H174" s="28" t="str">
        <x:v>ĐÃ SỬA</x:v>
      </x:c>
    </x:row>
    <x:row r="175" ht="46" customHeight="1">
      <x:c r="A175" s="28" t="str">
        <x:v>HD05!Q33/S33</x:v>
      </x:c>
      <x:c r="B175" s="28" t="str">
        <x:v>HD05.N.MD.CAN_CU</x:v>
      </x:c>
      <x:c r="C175" s="28" t="str">
        <x:v>SỬA</x:v>
      </x:c>
      <x:c r="D175" s="28" t="str">
        <x:v>Thiếu gạch ngang/dấu câu</x:v>
      </x:c>
      <x:c r="E175" s="28" t="str">
        <x:v>Dấu - đầu dòng, ; giữa căn cứ, . căn cứ cuối</x:v>
      </x:c>
      <x:c r="F175" s="28" t="str">
        <x:v>HD05 mục 6.2.3</x:v>
      </x:c>
      <x:c r="G175" s="28" t="str">
        <x:v>ĐỐI CHIẾU</x:v>
      </x:c>
      <x:c r="H175" s="28" t="str">
        <x:v>ĐÃ SỬA</x:v>
      </x:c>
    </x:row>
    <x:row r="176" ht="46" customHeight="1">
      <x:c r="A176" s="28" t="str">
        <x:v>ND30!S31</x:v>
      </x:c>
      <x:c r="B176" s="28" t="str">
        <x:v>ND30.N.MD.CAN_CU</x:v>
      </x:c>
      <x:c r="C176" s="28" t="str">
        <x:v>SỬA</x:v>
      </x:c>
      <x:c r="D176" s="28" t="str">
        <x:v>Diễn đạt chung</x:v>
      </x:c>
      <x:c r="E176" s="28" t="str">
        <x:v>Phân biệt căn cứ và lời văn; dấu câu có căn cứ</x:v>
      </x:c>
      <x:c r="F176" s="28" t="str">
        <x:v>NĐ30 PL I II.6.a</x:v>
      </x:c>
      <x:c r="G176" s="28" t="str">
        <x:v>ĐỐI CHIẾU MỘT PHẦN</x:v>
      </x:c>
      <x:c r="H176" s="28" t="str">
        <x:v>ĐÃ SỬA</x:v>
      </x:c>
    </x:row>
    <x:row r="177" ht="46" customHeight="1">
      <x:c r="A177" s="28" t="str">
        <x:v>ND30!S66</x:v>
      </x:c>
      <x:c r="B177" s="28" t="str">
        <x:v>ND30.G.CHU.CO_CHU</x:v>
      </x:c>
      <x:c r="C177" s="28" t="str">
        <x:v>SỬA</x:v>
      </x:c>
      <x:c r="D177" s="28" t="str">
        <x:v>Khái quát 11–14 pt</x:v>
      </x:c>
      <x:c r="E177" s="28" t="str">
        <x:v>Theo từng thành phần, có trường 10–11 pt</x:v>
      </x:c>
      <x:c r="F177" s="28" t="str">
        <x:v>NĐ30 PL I</x:v>
      </x:c>
      <x:c r="G177" s="28" t="str">
        <x:v>ĐỐI CHIẾU</x:v>
      </x:c>
      <x:c r="H177" s="28" t="str">
        <x:v>ĐÃ SỬA</x:v>
      </x:c>
    </x:row>
    <x:row r="178" ht="46" customHeight="1">
      <x:c r="A178" s="28" t="str">
        <x:v>ND30!J80:J81</x:v>
      </x:c>
      <x:c r="B178" s="28" t="str">
        <x:v>ND30.X.SOAN.*</x:v>
      </x:c>
      <x:c r="C178" s="28" t="str">
        <x:v>SỬA</x:v>
      </x:c>
      <x:c r="D178" s="28" t="str">
        <x:v>Chỉ ghi 11 pt</x:v>
      </x:c>
      <x:c r="E178" s="28" t="str">
        <x:v>Giới hạn 10–11 pt; preset 11 pt tùy chọn</x:v>
      </x:c>
      <x:c r="F178" s="28" t="str">
        <x:v>NĐ30 PL I</x:v>
      </x:c>
      <x:c r="G178" s="28" t="str">
        <x:v>ĐỐI CHIẾU</x:v>
      </x:c>
      <x:c r="H178" s="28" t="str">
        <x:v>ĐÃ SỬA</x:v>
      </x:c>
    </x:row>
    <x:row r="179" ht="46" customHeight="1">
      <x:c r="A179" s="28" t="str">
        <x:v>HD05!S9</x:v>
      </x:c>
      <x:c r="B179" s="28" t="str">
        <x:v>HD05.D.CQ.DAU_SAO</x:v>
      </x:c>
      <x:c r="C179" s="28" t="str">
        <x:v>SỬA</x:v>
      </x:c>
      <x:c r="D179" s="28" t="str">
        <x:v>Suy diễn số dấu sao</x:v>
      </x:c>
      <x:c r="E179" s="28" t="str">
        <x:v>Chỉ theo mẫu đã được xác minh</x:v>
      </x:c>
      <x:c r="F179" s="28" t="str">
        <x:v>HD05 Phần II 2.2.1</x:v>
      </x:c>
      <x:c r="G179" s="28" t="str">
        <x:v>ĐỐI CHIẾU MỘT PHẦN</x:v>
      </x:c>
      <x:c r="H179" s="28" t="str">
        <x:v>ĐÃ SỬA</x:v>
      </x:c>
    </x:row>
    <x:row r="180" ht="46" customHeight="1">
      <x:c r="A180" s="28" t="str">
        <x:v>ND30/HD05!K20:K22</x:v>
      </x:c>
      <x:c r="B180" s="28" t="str">
        <x:v>*.D.NG.*</x:v>
      </x:c>
      <x:c r="C180" s="28" t="str">
        <x:v>SỬA</x:v>
      </x:c>
      <x:c r="D180" s="28" t="str">
        <x:v>Chữ hoa của địa danh áp lên số</x:v>
      </x:c>
      <x:c r="E180" s="28" t="str">
        <x:v>Không áp dụng cho ngày/tháng/năm</x:v>
      </x:c>
      <x:c r="F180" s="28" t="str">
        <x:v>NĐ30 PL I II.4, HD05 II.4</x:v>
      </x:c>
      <x:c r="G180" s="28" t="str">
        <x:v>ĐỐI CHIẾU</x:v>
      </x:c>
      <x:c r="H180" s="28" t="str">
        <x:v>ĐÃ SỬA</x:v>
      </x:c>
    </x:row>
    <x:row r="181" ht="46" customHeight="1">
      <x:c r="A181" s="28" t="str">
        <x:v>ND30/HD05!N23:N27</x:v>
      </x:c>
      <x:c r="B181" s="28" t="str">
        <x:v>*.D.TY.*</x:v>
      </x:c>
      <x:c r="C181" s="28" t="str">
        <x:v>SỬA</x:v>
      </x:c>
      <x:c r="D181" s="28" t="str">
        <x:v>Một căn chỉnh ghi 5a và 5b</x:v>
      </x:c>
      <x:c r="E181" s="28" t="str">
        <x:v>Tách theo loại trường</x:v>
      </x:c>
      <x:c r="F181" s="28" t="str">
        <x:v>NĐ30 PL I II.5; HD05 II.5</x:v>
      </x:c>
      <x:c r="G181" s="28" t="str">
        <x:v>ĐỐI CHIẾU</x:v>
      </x:c>
      <x:c r="H181" s="28" t="str">
        <x:v>ĐÃ SỬA</x:v>
      </x:c>
    </x:row>
    <x:row r="182" ht="46" customHeight="1">
      <x:c r="A182" s="28" t="str">
        <x:v>HD05!G28:G31</x:v>
      </x:c>
      <x:c r="B182" s="28" t="str">
        <x:v>HD05.D.NHAN.*</x:v>
      </x:c>
      <x:c r="C182" s="28" t="str">
        <x:v>SỬA</x:v>
      </x:c>
      <x:c r="D182" s="28" t="str">
        <x:v>Gộp Kính gửi/Kính trình</x:v>
      </x:c>
      <x:c r="E182" s="28" t="str">
        <x:v>Theo công văn/tờ trình và ô tương ứng</x:v>
      </x:c>
      <x:c r="F182" s="28" t="str">
        <x:v>HD05 II.9</x:v>
      </x:c>
      <x:c r="G182" s="28" t="str">
        <x:v>ĐỐI CHIẾU</x:v>
      </x:c>
      <x:c r="H182" s="28" t="str">
        <x:v>ĐÃ SỬA</x:v>
      </x:c>
    </x:row>
    <x:row r="183" ht="46" customHeight="1">
      <x:c r="A183" s="28" t="str">
        <x:v>ND30/HD05!W7:W</x:v>
      </x:c>
      <x:c r="B183" s="28" t="str">
        <x:v>*.W</x:v>
      </x:c>
      <x:c r="C183" s="28" t="str">
        <x:v>SỬA</x:v>
      </x:c>
      <x:c r="D183" s="28" t="str">
        <x:v>Trộn kiểm chứng / điều kiện / bảo vệ</x:v>
      </x:c>
      <x:c r="E183" s="28" t="str">
        <x:v>W mức xác minh; G điều kiện; X chính sách</x:v>
      </x:c>
      <x:c r="F183" s="28" t="str">
        <x:v>Data-model separation</x:v>
      </x:c>
      <x:c r="G183" s="28" t="str">
        <x:v>CHƯA NGHIỆM THU TỪNG THUỘC TÍNH</x:v>
      </x:c>
      <x:c r="H183" s="28" t="str">
        <x:v>ĐÃ SỬA</x:v>
      </x:c>
    </x:row>
    <x:row r="184" ht="46" customHeight="1">
      <x:c r="A184" s="28" t="str">
        <x:v>README!G6</x:v>
      </x:c>
      <x:c r="B184" s="28" t="str">
        <x:v>README</x:v>
      </x:c>
      <x:c r="C184" s="28" t="str">
        <x:v>SỬA</x:v>
      </x:c>
      <x:c r="D184" s="28" t="str">
        <x:v>Tổng số gắn nhãn duy nhất nhưng chỉ cộng</x:v>
      </x:c>
      <x:c r="E184" s="28" t="str">
        <x:v>Đếm distinct từ KIEM_TRA</x:v>
      </x:c>
      <x:c r="F184" s="28" t="str">
        <x:v>Data integrity</x:v>
      </x:c>
      <x:c r="G184" s="28" t="str">
        <x:v>ĐANG KIỂM TRA CÔNG THỨC</x:v>
      </x:c>
      <x:c r="H184" s="28" t="str">
        <x:v>ĐÃ SỬA</x:v>
      </x:c>
    </x:row>
    <x:row r="185" ht="46" customHeight="1">
      <x:c r="A185" s="28" t="str">
        <x:v>G, X, các khối hình/bảng</x:v>
      </x:c>
      <x:c r="B185" s="28" t="str">
        <x:v>*.N.HINH/BANG</x:v>
      </x:c>
      <x:c r="C185" s="28" t="str">
        <x:v>GIỮ THẬN TRỌNG</x:v>
      </x:c>
      <x:c r="D185" s="28" t="str">
        <x:v>Áp style lời văn lên hình/bảng có rủi ro</x:v>
      </x:c>
      <x:c r="E185" s="28" t="str">
        <x:v>Đánh dấu chưa kiểm chứng, không tự áp font/spacing</x:v>
      </x:c>
      <x:c r="F185" s="28" t="str">
        <x:v>Mục đích tránh sai vùng</x:v>
      </x:c>
      <x:c r="G185" s="28" t="str">
        <x:v>CẦN QA</x:v>
      </x:c>
      <x:c r="H185" s="28" t="str">
        <x:v>CHƯA DUYỆT</x:v>
      </x:c>
    </x:row>
    <x:row r="186" ht="46" customHeight="1">
      <x:c r="A186" s="28" t="str">
        <x:v>NGUON</x:v>
      </x:c>
      <x:c r="B186" s="28" t="str">
        <x:v>TẤT CẢ</x:v>
      </x:c>
      <x:c r="C186" s="28" t="str">
        <x:v>GIỚI HẠN</x:v>
      </x:c>
      <x:c r="D186" s="28" t="str">
        <x:v>Nguồn theo dòng chưa đủ chứng minh mọi thuộc tính</x:v>
      </x:c>
      <x:c r="E186" s="28" t="str">
        <x:v>Làm rule nguyên tử ở bản nâng cấp sau</x:v>
      </x:c>
      <x:c r="F186" s="28" t="str">
        <x:v>Rule evidence contract</x:v>
      </x:c>
      <x:c r="G186" s="28" t="str">
        <x:v>PENDING</x:v>
      </x:c>
      <x:c r="H186" s="28" t="str">
        <x:v>CHƯA TRIỂN KHAI</x:v>
      </x:c>
    </x:row>
    <x:row r="187" ht="46" customHeight="1">
      <x:c r="A187" s="28" t="str">
        <x:v>ND30!K14</x:v>
      </x:c>
      <x:c r="B187" s="28" t="str">
        <x:v>ND30.D.SK.NHAN_SO</x:v>
      </x:c>
      <x:c r="C187" s="28" t="str">
        <x:v>SỬA</x:v>
      </x:c>
      <x:c r="D187" s="28" t="str">
        <x:v>Chữ viết tắt IN HOA; nhãn và số bình thường</x:v>
      </x:c>
      <x:c r="E187" s="28" t="str">
        <x:v>Không áp dụng — nhãn văn bản</x:v>
      </x:c>
      <x:c r="F187" s="28" t="str">
        <x:v>Nhãn không phải ký hiệu</x:v>
      </x:c>
      <x:c r="G187" s="28" t="str">
        <x:v>CHỈNH V1.1</x:v>
      </x:c>
      <x:c r="H187" s="28" t="str">
        <x:v>ĐÃ SỬA</x:v>
      </x:c>
    </x:row>
    <x:row r="188" ht="46" customHeight="1">
      <x:c r="A188" s="28" t="str">
        <x:v>ND30!K15</x:v>
      </x:c>
      <x:c r="B188" s="28" t="str">
        <x:v>ND30.D.SK.SO_VAN_BAN</x:v>
      </x:c>
      <x:c r="C188" s="28" t="str">
        <x:v>SỬA</x:v>
      </x:c>
      <x:c r="D188" s="28" t="str">
        <x:v>Chữ viết tắt IN HOA; nhãn và số bình thường</x:v>
      </x:c>
      <x:c r="E188" s="28" t="str">
        <x:v>Chữ số Ả Rập; không áp dụng quy tắc IN HOA</x:v>
      </x:c>
      <x:c r="F188" s="28" t="str">
        <x:v>Trường số tách khỏi ký hiệu</x:v>
      </x:c>
      <x:c r="G188" s="28" t="str">
        <x:v>CHỈNH V1.1</x:v>
      </x:c>
      <x:c r="H188" s="28" t="str">
        <x:v>ĐÃ SỬA</x:v>
      </x:c>
    </x:row>
    <x:row r="189" ht="46" customHeight="1">
      <x:c r="A189" s="28" t="str">
        <x:v>ND30!K16</x:v>
      </x:c>
      <x:c r="B189" s="28" t="str">
        <x:v>ND30.D.SK.KY_HIEU_LOAI</x:v>
      </x:c>
      <x:c r="C189" s="28" t="str">
        <x:v>SỬA</x:v>
      </x:c>
      <x:c r="D189" s="28" t="str">
        <x:v>Chữ viết tắt IN HOA; nhãn và số bình thường</x:v>
      </x:c>
      <x:c r="E189" s="28" t="str">
        <x:v>Theo danh mục ký hiệu hành chính chính thức</x:v>
      </x:c>
      <x:c r="F189" s="28" t="str">
        <x:v>Không dùng quy tắc kiểu chữ chung cho mọi mã</x:v>
      </x:c>
      <x:c r="G189" s="28" t="str">
        <x:v>CHỈNH V1.1</x:v>
      </x:c>
      <x:c r="H189" s="28" t="str">
        <x:v>ĐÃ SỬA</x:v>
      </x:c>
    </x:row>
    <x:row r="190" ht="46" customHeight="1">
      <x:c r="A190" s="28" t="str">
        <x:v>ND30!K17</x:v>
      </x:c>
      <x:c r="B190" s="28" t="str">
        <x:v>ND30.D.SK.KY_HIEU_CO_QUAN</x:v>
      </x:c>
      <x:c r="C190" s="28" t="str">
        <x:v>SỬA</x:v>
      </x:c>
      <x:c r="D190" s="28" t="str">
        <x:v>Chữ viết tắt IN HOA; nhãn và số bình thường</x:v>
      </x:c>
      <x:c r="E190" s="28" t="str">
        <x:v>Theo mã cơ quan đã xác minh, giữ nguyên chính tả ký hiệu</x:v>
      </x:c>
      <x:c r="F190" s="28" t="str">
        <x:v>Mã chủ thể phải chính xác</x:v>
      </x:c>
      <x:c r="G190" s="28" t="str">
        <x:v>CHỈNH V1.1</x:v>
      </x:c>
      <x:c r="H190" s="28" t="str">
        <x:v>ĐÃ SỬA</x:v>
      </x:c>
    </x:row>
    <x:row r="191" ht="46" customHeight="1">
      <x:c r="A191" s="28" t="str">
        <x:v>ND30!K18</x:v>
      </x:c>
      <x:c r="B191" s="28" t="str">
        <x:v>ND30.D.SK.DAU_PHAN_CACH</x:v>
      </x:c>
      <x:c r="C191" s="28" t="str">
        <x:v>SỬA</x:v>
      </x:c>
      <x:c r="D191" s="28" t="str">
        <x:v>Chữ viết tắt IN HOA; nhãn và số bình thường</x:v>
      </x:c>
      <x:c r="E191" s="28" t="str">
        <x:v>Không áp dụng — dấu phân cách</x:v>
      </x:c>
      <x:c r="F191" s="28" t="str">
        <x:v>Dấu không phải chữ viết tắt</x:v>
      </x:c>
      <x:c r="G191" s="28" t="str">
        <x:v>CHỈNH V1.1</x:v>
      </x:c>
      <x:c r="H191" s="28" t="str">
        <x:v>ĐÃ SỬA</x:v>
      </x:c>
    </x:row>
    <x:row r="192" ht="46" customHeight="1">
      <x:c r="A192" s="28" t="str">
        <x:v>ND30!S19</x:v>
      </x:c>
      <x:c r="B192" s="28" t="str">
        <x:v>ND30.D.NG.DIA_DANH</x:v>
      </x:c>
      <x:c r="C192" s="28" t="str">
        <x:v>SỬA</x:v>
      </x:c>
      <x:c r="D192" s="28" t="str">
        <x:v>Địa danh, ngày DD tháng MM năm YYYY; dấu phẩy sau địa danh</x:v>
      </x:c>
      <x:c r="E192" s="28" t="str">
        <x:v>{địa danh}, ngày {ngày} tháng {tháng} năm {năm}; riêng số 0 theo điều kiện của ngày/tháng</x:v>
      </x:c>
      <x:c r="F192" s="28" t="str">
        <x:v>Không áp quy tắc 2 chữ số đồng loạt</x:v>
      </x:c>
      <x:c r="G192" s="28" t="str">
        <x:v>CHỈNH V1.1</x:v>
      </x:c>
      <x:c r="H192" s="28" t="str">
        <x:v>ĐÃ SỬA</x:v>
      </x:c>
    </x:row>
    <x:row r="193" ht="46" customHeight="1">
      <x:c r="A193" s="28" t="str">
        <x:v>ND30!K20</x:v>
      </x:c>
      <x:c r="B193" s="28" t="str">
        <x:v>ND30.D.NG.NGAY</x:v>
      </x:c>
      <x:c r="C193" s="28" t="str">
        <x:v>SỬA</x:v>
      </x:c>
      <x:c r="D193" s="28" t="str">
        <x:v>Viết hoa chữ cái đầu địa danh</x:v>
      </x:c>
      <x:c r="E193" s="28" t="str">
        <x:v>Không áp dụng — giá trị số</x:v>
      </x:c>
      <x:c r="F193" s="28" t="str">
        <x:v>Quy tắc viết hoa địa danh không áp cho ngày/tháng/năm</x:v>
      </x:c>
      <x:c r="G193" s="28" t="str">
        <x:v>CHỈNH V1.1</x:v>
      </x:c>
      <x:c r="H193" s="28" t="str">
        <x:v>ĐÃ SỬA</x:v>
      </x:c>
    </x:row>
    <x:row r="194" ht="46" customHeight="1">
      <x:c r="A194" s="28" t="str">
        <x:v>ND30!S20</x:v>
      </x:c>
      <x:c r="B194" s="28" t="str">
        <x:v>ND30.D.NG.NGAY</x:v>
      </x:c>
      <x:c r="C194" s="28" t="str">
        <x:v>SỬA</x:v>
      </x:c>
      <x:c r="D194" s="28" t="str">
        <x:v>Ngày &lt;10 có số 0</x:v>
      </x:c>
      <x:c r="E194" s="28" t="str">
        <x:v>Ngày 01–09 ghi số 0 phía trước; giữ nguyên ngày được cung cấp, không tự điền</x:v>
      </x:c>
      <x:c r="F194" s="28" t="str">
        <x:v>Quy tắc ngày &lt;10</x:v>
      </x:c>
      <x:c r="G194" s="28" t="str">
        <x:v>CHỈNH V1.1</x:v>
      </x:c>
      <x:c r="H194" s="28" t="str">
        <x:v>ĐÃ SỬA</x:v>
      </x:c>
    </x:row>
    <x:row r="195" ht="46" customHeight="1">
      <x:c r="A195" s="28" t="str">
        <x:v>ND30!K21</x:v>
      </x:c>
      <x:c r="B195" s="28" t="str">
        <x:v>ND30.D.NG.THANG</x:v>
      </x:c>
      <x:c r="C195" s="28" t="str">
        <x:v>SỬA</x:v>
      </x:c>
      <x:c r="D195" s="28" t="str">
        <x:v>Viết hoa chữ cái đầu địa danh</x:v>
      </x:c>
      <x:c r="E195" s="28" t="str">
        <x:v>Không áp dụng — giá trị số</x:v>
      </x:c>
      <x:c r="F195" s="28" t="str">
        <x:v>Quy tắc viết hoa địa danh không áp cho ngày/tháng/năm</x:v>
      </x:c>
      <x:c r="G195" s="28" t="str">
        <x:v>CHỈNH V1.1</x:v>
      </x:c>
      <x:c r="H195" s="28" t="str">
        <x:v>ĐÃ SỬA</x:v>
      </x:c>
    </x:row>
    <x:row r="196" ht="46" customHeight="1">
      <x:c r="A196" s="28" t="str">
        <x:v>ND30!S21</x:v>
      </x:c>
      <x:c r="B196" s="28" t="str">
        <x:v>ND30.D.NG.THANG</x:v>
      </x:c>
      <x:c r="C196" s="28" t="str">
        <x:v>SỬA</x:v>
      </x:c>
      <x:c r="D196" s="28" t="str">
        <x:v>Tháng 01,02 có số 0</x:v>
      </x:c>
      <x:c r="E196" s="28" t="str">
        <x:v>Tháng 01–02 ghi số 0 phía trước; không áp mẫu hai chữ số cho mọi tháng</x:v>
      </x:c>
      <x:c r="F196" s="28" t="str">
        <x:v>Quy tắc tháng &lt;3</x:v>
      </x:c>
      <x:c r="G196" s="28" t="str">
        <x:v>CHỈNH V1.1</x:v>
      </x:c>
      <x:c r="H196" s="28" t="str">
        <x:v>ĐÃ SỬA</x:v>
      </x:c>
    </x:row>
    <x:row r="197" ht="46" customHeight="1">
      <x:c r="A197" s="28" t="str">
        <x:v>ND30!K22</x:v>
      </x:c>
      <x:c r="B197" s="28" t="str">
        <x:v>ND30.D.NG.NAM</x:v>
      </x:c>
      <x:c r="C197" s="28" t="str">
        <x:v>SỬA</x:v>
      </x:c>
      <x:c r="D197" s="28" t="str">
        <x:v>Viết hoa chữ cái đầu địa danh</x:v>
      </x:c>
      <x:c r="E197" s="28" t="str">
        <x:v>Không áp dụng — giá trị số</x:v>
      </x:c>
      <x:c r="F197" s="28" t="str">
        <x:v>Quy tắc viết hoa địa danh không áp cho ngày/tháng/năm</x:v>
      </x:c>
      <x:c r="G197" s="28" t="str">
        <x:v>CHỈNH V1.1</x:v>
      </x:c>
      <x:c r="H197" s="28" t="str">
        <x:v>ĐÃ SỬA</x:v>
      </x:c>
    </x:row>
    <x:row r="198" ht="46" customHeight="1">
      <x:c r="A198" s="28" t="str">
        <x:v>ND30!S22</x:v>
      </x:c>
      <x:c r="B198" s="28" t="str">
        <x:v>ND30.D.NG.NAM</x:v>
      </x:c>
      <x:c r="C198" s="28" t="str">
        <x:v>SỬA</x:v>
      </x:c>
      <x:c r="D198" s="28" t="str">
        <x:v>Năm đầy đủ 4 chữ số</x:v>
      </x:c>
      <x:c r="E198" s="28" t="str">
        <x:v>Năm viết đủ bốn chữ số; không tự xác định năm ban hành</x:v>
      </x:c>
      <x:c r="F198" s="28" t="str">
        <x:v>Năm ban hành</x:v>
      </x:c>
      <x:c r="G198" s="28" t="str">
        <x:v>CHỈNH V1.1</x:v>
      </x:c>
      <x:c r="H198" s="28" t="str">
        <x:v>ĐÃ SỬA</x:v>
      </x:c>
    </x:row>
    <x:row r="199" ht="46" customHeight="1">
      <x:c r="A199" s="28" t="str">
        <x:v>ND30!N23</x:v>
      </x:c>
      <x:c r="B199" s="28" t="str">
        <x:v>ND30.D.TY.TEN_LOAI</x:v>
      </x:c>
      <x:c r="C199" s="28" t="str">
        <x:v>SỬA</x:v>
      </x:c>
      <x:c r="D199" s="28" t="str">
        <x:v>Căn giữa ở ô 5a; công văn dưới Số/ký hiệu tại 5b</x:v>
      </x:c>
      <x:c r="E199" s="28" t="str">
        <x:v>Căn giữa tại ô 5a (theo loại văn bản)</x:v>
      </x:c>
      <x:c r="F199" s="28" t="str">
        <x:v>Vị trí riêng của thành phần 5a</x:v>
      </x:c>
      <x:c r="G199" s="28" t="str">
        <x:v>CHỈNH V1.1</x:v>
      </x:c>
      <x:c r="H199" s="28" t="str">
        <x:v>ĐÃ SỬA</x:v>
      </x:c>
    </x:row>
    <x:row r="200" ht="46" customHeight="1">
      <x:c r="A200" s="28" t="str">
        <x:v>ND30!N24</x:v>
      </x:c>
      <x:c r="B200" s="28" t="str">
        <x:v>ND30.D.TY.TRICH_YEU</x:v>
      </x:c>
      <x:c r="C200" s="28" t="str">
        <x:v>SỬA</x:v>
      </x:c>
      <x:c r="D200" s="28" t="str">
        <x:v>Căn giữa ở ô 5a; công văn dưới Số/ký hiệu tại 5b</x:v>
      </x:c>
      <x:c r="E200" s="28" t="str">
        <x:v>Căn giữa tại ô 5a (theo loại văn bản)</x:v>
      </x:c>
      <x:c r="F200" s="28" t="str">
        <x:v>Vị trí riêng của thành phần 5a</x:v>
      </x:c>
      <x:c r="G200" s="28" t="str">
        <x:v>CHỈNH V1.1</x:v>
      </x:c>
      <x:c r="H200" s="28" t="str">
        <x:v>ĐÃ SỬA</x:v>
      </x:c>
    </x:row>
    <x:row r="201" ht="46" customHeight="1">
      <x:c r="A201" s="28" t="str">
        <x:v>ND30!N25</x:v>
      </x:c>
      <x:c r="B201" s="28" t="str">
        <x:v>ND30.D.TY.DUONG_KE</x:v>
      </x:c>
      <x:c r="C201" s="28" t="str">
        <x:v>SỬA</x:v>
      </x:c>
      <x:c r="D201" s="28" t="str">
        <x:v>Căn giữa ở ô 5a; công văn dưới Số/ký hiệu tại 5b</x:v>
      </x:c>
      <x:c r="E201" s="28" t="str">
        <x:v>Căn giữa tại ô 5a (theo loại văn bản)</x:v>
      </x:c>
      <x:c r="F201" s="28" t="str">
        <x:v>Vị trí riêng của thành phần 5a</x:v>
      </x:c>
      <x:c r="G201" s="28" t="str">
        <x:v>CHỈNH V1.1</x:v>
      </x:c>
      <x:c r="H201" s="28" t="str">
        <x:v>ĐÃ SỬA</x:v>
      </x:c>
    </x:row>
    <x:row r="202" ht="46" customHeight="1">
      <x:c r="A202" s="28" t="str">
        <x:v>ND30!N26</x:v>
      </x:c>
      <x:c r="B202" s="28" t="str">
        <x:v>ND30.D.TY.NHAN_VV</x:v>
      </x:c>
      <x:c r="C202" s="28" t="str">
        <x:v>SỬA</x:v>
      </x:c>
      <x:c r="D202" s="28" t="str">
        <x:v>Căn giữa ở ô 5a; công văn dưới Số/ký hiệu tại 5b</x:v>
      </x:c>
      <x:c r="E202" s="28" t="str">
        <x:v>Cân đối dưới số/ký hiệu tại ô 5b</x:v>
      </x:c>
      <x:c r="F202" s="28" t="str">
        <x:v>Vị trí riêng của thành phần 5b</x:v>
      </x:c>
      <x:c r="G202" s="28" t="str">
        <x:v>CHỈNH V1.1</x:v>
      </x:c>
      <x:c r="H202" s="28" t="str">
        <x:v>ĐÃ SỬA</x:v>
      </x:c>
    </x:row>
    <x:row r="203" ht="46" customHeight="1">
      <x:c r="A203" s="28" t="str">
        <x:v>ND30!N27</x:v>
      </x:c>
      <x:c r="B203" s="28" t="str">
        <x:v>ND30.D.TY.TRICH_YEU_CV</x:v>
      </x:c>
      <x:c r="C203" s="28" t="str">
        <x:v>SỬA</x:v>
      </x:c>
      <x:c r="D203" s="28" t="str">
        <x:v>Căn giữa ở ô 5a; công văn dưới Số/ký hiệu tại 5b</x:v>
      </x:c>
      <x:c r="E203" s="28" t="str">
        <x:v>Cân đối dưới số/ký hiệu tại ô 5b</x:v>
      </x:c>
      <x:c r="F203" s="28" t="str">
        <x:v>Vị trí riêng của thành phần 5b</x:v>
      </x:c>
      <x:c r="G203" s="28" t="str">
        <x:v>CHỈNH V1.1</x:v>
      </x:c>
      <x:c r="H203" s="28" t="str">
        <x:v>ĐÃ SỬA</x:v>
      </x:c>
    </x:row>
    <x:row r="204" ht="46" customHeight="1">
      <x:c r="A204" s="28" t="str">
        <x:v>ND30!T31</x:v>
      </x:c>
      <x:c r="B204" s="28" t="str">
        <x:v>ND30.N.MD.CAN_CU</x:v>
      </x:c>
      <x:c r="C204" s="28" t="str">
        <x:v>SỬA</x:v>
      </x:c>
      <x:c r="D204" s="28" t="str">
        <x:v>NĐ30, Phụ lục I, Phần I, II.6; V.6</x:v>
      </x:c>
      <x:c r="E204" s="28" t="str">
        <x:v>NĐ30, Phụ lục I, Phần I, mục II.6.a; đối chiếu Phụ lục III theo tên loại</x:v>
      </x:c>
      <x:c r="F204" s="28" t="str">
        <x:v>Làm rõ căn cứ</x:v>
      </x:c>
      <x:c r="G204" s="28" t="str">
        <x:v>CHỈNH V1.1</x:v>
      </x:c>
      <x:c r="H204" s="28" t="str">
        <x:v>ĐÃ SỬA</x:v>
      </x:c>
    </x:row>
    <x:row r="205" ht="46" customHeight="1">
      <x:c r="A205" s="28" t="str">
        <x:v>ND30!M31</x:v>
      </x:c>
      <x:c r="B205" s="28" t="str">
        <x:v>ND30.N.MD.CAN_CU</x:v>
      </x:c>
      <x:c r="C205" s="28" t="str">
        <x:v>SỬA</x:v>
      </x:c>
      <x:c r="D205" s="28" t="str">
        <x:v>Nghiêng với QĐ/NQ cá biệt; văn bản khác theo mẫu tương ứng</x:v>
      </x:c>
      <x:c r="E205" s="28" t="str">
        <x:v>Có điều kiện theo loại văn bản; không tự áp chữ nghiêng cho mọi lời mở đầu</x:v>
      </x:c>
      <x:c r="F205" s="28" t="str">
        <x:v>Không gộp căn cứ với lời văn chung</x:v>
      </x:c>
      <x:c r="G205" s="28" t="str">
        <x:v>CHỈNH V1.1</x:v>
      </x:c>
      <x:c r="H205" s="28" t="str">
        <x:v>ĐÃ SỬA</x:v>
      </x:c>
    </x:row>
    <x:row r="206" ht="46" customHeight="1">
      <x:c r="A206" s="28" t="str">
        <x:v>ND30!P32</x:v>
      </x:c>
      <x:c r="B206" s="28" t="str">
        <x:v>ND30.N.DM.PHAN</x:v>
      </x:c>
      <x:c r="C206" s="28" t="str">
        <x:v>SỬA</x:v>
      </x:c>
      <x:c r="D206" s="28" t="str">
        <x:v>First line: 1 hoặc 1,27 cm</x:v>
      </x:c>
      <x:c r="E206" s="28" t="str">
        <x:v>Thụt đầu dòng: theo quy định riêng cho tiêu đề/đề mục; KHÔNG kế thừa mặc định lời văn</x:v>
      </x:c>
      <x:c r="F206" s="28" t="str">
        <x:v>Tách style tiêu đề khỏi paragraph thân</x:v>
      </x:c>
      <x:c r="G206" s="28" t="str">
        <x:v>CHỈNH V1.1</x:v>
      </x:c>
      <x:c r="H206" s="28" t="str">
        <x:v>ĐÃ SỬA</x:v>
      </x:c>
    </x:row>
    <x:row r="207" ht="46" customHeight="1">
      <x:c r="A207" s="28" t="str">
        <x:v>ND30!P33</x:v>
      </x:c>
      <x:c r="B207" s="28" t="str">
        <x:v>ND30.N.DM.CHUONG</x:v>
      </x:c>
      <x:c r="C207" s="28" t="str">
        <x:v>SỬA</x:v>
      </x:c>
      <x:c r="D207" s="28" t="str">
        <x:v>First line: 1 hoặc 1,27 cm</x:v>
      </x:c>
      <x:c r="E207" s="28" t="str">
        <x:v>Thụt đầu dòng: theo quy định riêng cho tiêu đề/đề mục; KHÔNG kế thừa mặc định lời văn</x:v>
      </x:c>
      <x:c r="F207" s="28" t="str">
        <x:v>Tách style tiêu đề khỏi paragraph thân</x:v>
      </x:c>
      <x:c r="G207" s="28" t="str">
        <x:v>CHỈNH V1.1</x:v>
      </x:c>
      <x:c r="H207" s="28" t="str">
        <x:v>ĐÃ SỬA</x:v>
      </x:c>
    </x:row>
    <x:row r="208" ht="46" customHeight="1">
      <x:c r="A208" s="28" t="str">
        <x:v>ND30!P34</x:v>
      </x:c>
      <x:c r="B208" s="28" t="str">
        <x:v>ND30.N.DM.MUC</x:v>
      </x:c>
      <x:c r="C208" s="28" t="str">
        <x:v>SỬA</x:v>
      </x:c>
      <x:c r="D208" s="28" t="str">
        <x:v>First line: 1 hoặc 1,27 cm</x:v>
      </x:c>
      <x:c r="E208" s="28" t="str">
        <x:v>Thụt đầu dòng: theo quy định riêng cho tiêu đề/đề mục; KHÔNG kế thừa mặc định lời văn</x:v>
      </x:c>
      <x:c r="F208" s="28" t="str">
        <x:v>Tách style tiêu đề khỏi paragraph thân</x:v>
      </x:c>
      <x:c r="G208" s="28" t="str">
        <x:v>CHỈNH V1.1</x:v>
      </x:c>
      <x:c r="H208" s="28" t="str">
        <x:v>ĐÃ SỬA</x:v>
      </x:c>
    </x:row>
    <x:row r="209" ht="46" customHeight="1">
      <x:c r="A209" s="28" t="str">
        <x:v>ND30!P35</x:v>
      </x:c>
      <x:c r="B209" s="28" t="str">
        <x:v>ND30.N.DM.TIEU_MUC</x:v>
      </x:c>
      <x:c r="C209" s="28" t="str">
        <x:v>SỬA</x:v>
      </x:c>
      <x:c r="D209" s="28" t="str">
        <x:v>First line: 1 hoặc 1,27 cm</x:v>
      </x:c>
      <x:c r="E209" s="28" t="str">
        <x:v>Thụt đầu dòng: theo quy định riêng cho tiêu đề/đề mục; KHÔNG kế thừa mặc định lời văn</x:v>
      </x:c>
      <x:c r="F209" s="28" t="str">
        <x:v>Tách style tiêu đề khỏi paragraph thân</x:v>
      </x:c>
      <x:c r="G209" s="28" t="str">
        <x:v>CHỈNH V1.1</x:v>
      </x:c>
      <x:c r="H209" s="28" t="str">
        <x:v>ĐÃ SỬA</x:v>
      </x:c>
    </x:row>
    <x:row r="210" ht="46" customHeight="1">
      <x:c r="A210" s="28" t="str">
        <x:v>ND30!O48</x:v>
      </x:c>
      <x:c r="B210" s="28" t="str">
        <x:v>ND30.N.HINH.DOI_TUONG</x:v>
      </x:c>
      <x:c r="C210" s="28" t="str">
        <x:v>SỬA</x:v>
      </x:c>
      <x:c r="D210" s="28" t="str">
        <x:v>Dòng: single–1,5 lines; đoạn: ≥6 pt</x:v>
      </x:c>
      <x:c r="E210" s="28" t="str">
        <x:v>Theo đoạn chứa hình hoặc chú thích đã nhận diện; không mặc định giãn dòng của lời văn</x:v>
      </x:c>
      <x:c r="F210" s="28" t="str">
        <x:v>Không ép style lên hình</x:v>
      </x:c>
      <x:c r="G210" s="28" t="str">
        <x:v>CHỈNH V1.1</x:v>
      </x:c>
      <x:c r="H210" s="28" t="str">
        <x:v>ĐÃ SỬA</x:v>
      </x:c>
    </x:row>
    <x:row r="211" ht="46" customHeight="1">
      <x:c r="A211" s="28" t="str">
        <x:v>ND30!P48</x:v>
      </x:c>
      <x:c r="B211" s="28" t="str">
        <x:v>ND30.N.HINH.DOI_TUONG</x:v>
      </x:c>
      <x:c r="C211" s="28" t="str">
        <x:v>SỬA</x:v>
      </x:c>
      <x:c r="D211" s="28" t="str">
        <x:v>First line: 1 hoặc 1,27 cm</x:v>
      </x:c>
      <x:c r="E211" s="28" t="str">
        <x:v>Không mặc định thụt đầu dòng; kiểm tra anchor/đoạn chứa hình</x:v>
      </x:c>
      <x:c r="F211" s="28" t="str">
        <x:v>Không ép style lên hình</x:v>
      </x:c>
      <x:c r="G211" s="28" t="str">
        <x:v>CHỈNH V1.1</x:v>
      </x:c>
      <x:c r="H211" s="28" t="str">
        <x:v>ĐÃ SỬA</x:v>
      </x:c>
    </x:row>
    <x:row r="212" ht="46" customHeight="1">
      <x:c r="A212" s="28" t="str">
        <x:v>ND30!S48</x:v>
      </x:c>
      <x:c r="B212" s="28" t="str">
        <x:v>ND30.N.HINH.DOI_TUONG</x:v>
      </x:c>
      <x:c r="C212" s="28" t="str">
        <x:v>SỬA</x:v>
      </x:c>
      <x:c r="D212" s="28" t="str">
        <x:v>Không có một kích cỡ pháp lý chung cho hình</x:v>
      </x:c>
      <x:c r="E212" s="28" t="str">
        <x:v>Chưa có thông số đơn trị được xác minh cho đối tượng hình/chú thích; cần phân biệt image, anchor và caption</x:v>
      </x:c>
      <x:c r="F212" s="28" t="str">
        <x:v>Không suy từ văn bản sang hình</x:v>
      </x:c>
      <x:c r="G212" s="28" t="str">
        <x:v>CHỈNH V1.1</x:v>
      </x:c>
      <x:c r="H212" s="28" t="str">
        <x:v>ĐÃ SỬA</x:v>
      </x:c>
    </x:row>
    <x:row r="213" ht="46" customHeight="1">
      <x:c r="A213" s="28" t="str">
        <x:v>ND30!O49</x:v>
      </x:c>
      <x:c r="B213" s="28" t="str">
        <x:v>ND30.N.HINH.CHU_THICH</x:v>
      </x:c>
      <x:c r="C213" s="28" t="str">
        <x:v>SỬA</x:v>
      </x:c>
      <x:c r="D213" s="28" t="str">
        <x:v>Dòng: single–1,5 lines; đoạn: ≥6 pt</x:v>
      </x:c>
      <x:c r="E213" s="28" t="str">
        <x:v>Theo đoạn chứa hình hoặc chú thích đã nhận diện; không mặc định giãn dòng của lời văn</x:v>
      </x:c>
      <x:c r="F213" s="28" t="str">
        <x:v>Không ép style lên hình</x:v>
      </x:c>
      <x:c r="G213" s="28" t="str">
        <x:v>CHỈNH V1.1</x:v>
      </x:c>
      <x:c r="H213" s="28" t="str">
        <x:v>ĐÃ SỬA</x:v>
      </x:c>
    </x:row>
    <x:row r="214" ht="46" customHeight="1">
      <x:c r="A214" s="28" t="str">
        <x:v>ND30!P49</x:v>
      </x:c>
      <x:c r="B214" s="28" t="str">
        <x:v>ND30.N.HINH.CHU_THICH</x:v>
      </x:c>
      <x:c r="C214" s="28" t="str">
        <x:v>SỬA</x:v>
      </x:c>
      <x:c r="D214" s="28" t="str">
        <x:v>First line: 1 hoặc 1,27 cm</x:v>
      </x:c>
      <x:c r="E214" s="28" t="str">
        <x:v>Không mặc định thụt đầu dòng; kiểm tra anchor/đoạn chứa hình</x:v>
      </x:c>
      <x:c r="F214" s="28" t="str">
        <x:v>Không ép style lên hình</x:v>
      </x:c>
      <x:c r="G214" s="28" t="str">
        <x:v>CHỈNH V1.1</x:v>
      </x:c>
      <x:c r="H214" s="28" t="str">
        <x:v>ĐÃ SỬA</x:v>
      </x:c>
    </x:row>
    <x:row r="215" ht="46" customHeight="1">
      <x:c r="A215" s="28" t="str">
        <x:v>ND30!S49</x:v>
      </x:c>
      <x:c r="B215" s="28" t="str">
        <x:v>ND30.N.HINH.CHU_THICH</x:v>
      </x:c>
      <x:c r="C215" s="28" t="str">
        <x:v>SỬA</x:v>
      </x:c>
      <x:c r="D215" s="28" t="str">
        <x:v>Không có một kích cỡ pháp lý chung cho hình</x:v>
      </x:c>
      <x:c r="E215" s="28" t="str">
        <x:v>Chưa có thông số đơn trị được xác minh cho đối tượng hình/chú thích; cần phân biệt image, anchor và caption</x:v>
      </x:c>
      <x:c r="F215" s="28" t="str">
        <x:v>Không suy từ văn bản sang hình</x:v>
      </x:c>
      <x:c r="G215" s="28" t="str">
        <x:v>CHỈNH V1.1</x:v>
      </x:c>
      <x:c r="H215" s="28" t="str">
        <x:v>ĐÃ SỬA</x:v>
      </x:c>
    </x:row>
    <x:row r="216" ht="46" customHeight="1">
      <x:c r="A216" s="28" t="str">
        <x:v>ND30!S59</x:v>
      </x:c>
      <x:c r="B216" s="28" t="str">
        <x:v>ND30.C.KY.KHOI_KY</x:v>
      </x:c>
      <x:c r="C216" s="28" t="str">
        <x:v>SỬA</x:v>
      </x:c>
      <x:c r="D216" s="28" t="str">
        <x:v>Không gộp C2.1-2.4 thành một style duy nhất</x:v>
      </x:c>
      <x:c r="E216" s="28" t="str">
        <x:v>Không gộp ND30.C.KY.* thành một style duy nhất</x:v>
      </x:c>
      <x:c r="F216" s="28" t="str">
        <x:v>Dùng namespace chính thức</x:v>
      </x:c>
      <x:c r="G216" s="28" t="str">
        <x:v>CHỈNH V1.1</x:v>
      </x:c>
      <x:c r="H216" s="28" t="str">
        <x:v>ĐÃ SỬA</x:v>
      </x:c>
    </x:row>
    <x:row r="217" ht="46" customHeight="1">
      <x:c r="A217" s="28" t="str">
        <x:v>ND30!S66</x:v>
      </x:c>
      <x:c r="B217" s="28" t="str">
        <x:v>ND30.G.CHU.CO_CHU</x:v>
      </x:c>
      <x:c r="C217" s="28" t="str">
        <x:v>SỬA</x:v>
      </x:c>
      <x:c r="D217" s="28" t="str">
        <x:v>ND30: các giá trị 11–14 pt tùy thành phần (ví dụ chữ body 13–14); HD05: nhiều mức 10–16 pt tùy thành phần</x:v>
      </x:c>
      <x:c r="E217" s="28" t="str">
        <x:v>Cỡ chữ phải tra theo từng thành phần; có trường sử dụng 10–11 pt (ký hiệu soạn thảo/số bản); không có một khoảng chung cho toàn văn bản</x:v>
      </x:c>
      <x:c r="F217" s="28" t="str">
        <x:v>Không khái quát sai cỡ chữ</x:v>
      </x:c>
      <x:c r="G217" s="28" t="str">
        <x:v>CHỈNH V1.1</x:v>
      </x:c>
      <x:c r="H217" s="28" t="str">
        <x:v>ĐÃ SỬA</x:v>
      </x:c>
    </x:row>
    <x:row r="218" ht="46" customHeight="1">
      <x:c r="A218" s="28" t="str">
        <x:v>ND30!S78</x:v>
      </x:c>
      <x:c r="B218" s="28" t="str">
        <x:v>ND30.X.KHAN.MUC_DO</x:v>
      </x:c>
      <x:c r="C218" s="28" t="str">
        <x:v>SỬA</x:v>
      </x:c>
      <x:c r="D218" s="28" t="str">
        <x:v>NĐ30: kích thước khung tùy mức: 30×8, 40×8, 20×8 mm; HD05: cỡ 14, theo nội dung/mẫu</x:v>
      </x:c>
      <x:c r="E218" s="28" t="str">
        <x:v>NĐ30: kích thước khung tùy mức: 30×8, 40×8, 20×8 mm</x:v>
      </x:c>
      <x:c r="F218" s="28" t="str">
        <x:v>Tách mô tả hệ khác khỏi rule chính</x:v>
      </x:c>
      <x:c r="G218" s="28" t="str">
        <x:v>CHỈNH V1.1</x:v>
      </x:c>
      <x:c r="H218" s="28" t="str">
        <x:v>ĐÃ SỬA</x:v>
      </x:c>
    </x:row>
    <x:row r="219" ht="46" customHeight="1">
      <x:c r="A219" s="28" t="str">
        <x:v>ND30!S79</x:v>
      </x:c>
      <x:c r="B219" s="28" t="str">
        <x:v>ND30.X.LUU_HANH.CHI_DAN</x:v>
      </x:c>
      <x:c r="C219" s="28" t="str">
        <x:v>SỬA</x:v>
      </x:c>
      <x:c r="D219" s="28" t="str">
        <x:v>NĐ30: ô 11, khung viền đơn; HD05: góc phải trang 1 (ngoại lệ “Không phổ biến...” ở trang cuối)</x:v>
      </x:c>
      <x:c r="E219" s="28" t="str">
        <x:v>NĐ30: ô 11, khung viền đơn</x:v>
      </x:c>
      <x:c r="F219" s="28" t="str">
        <x:v>Tách mô tả hệ khác khỏi rule chính</x:v>
      </x:c>
      <x:c r="G219" s="28" t="str">
        <x:v>CHỈNH V1.1</x:v>
      </x:c>
      <x:c r="H219" s="28" t="str">
        <x:v>ĐÃ SỬA</x:v>
      </x:c>
    </x:row>
    <x:row r="220" ht="46" customHeight="1">
      <x:c r="A220" s="28" t="str">
        <x:v>ND30!J80</x:v>
      </x:c>
      <x:c r="B220" s="28" t="str">
        <x:v>ND30.X.SOAN.KY_HIEU_NGUOI_SOAN</x:v>
      </x:c>
      <x:c r="C220" s="28" t="str">
        <x:v>SỬA</x:v>
      </x:c>
      <x:c r="D220" s="28" t="str">
        <x:v>11</x:v>
      </x:c>
      <x:c r="E220" s="28" t="str">
        <x:v>10–11</x:v>
      </x:c>
      <x:c r="F220" s="28" t="str">
        <x:v>NĐ30 Phụ lục I, bảng thông số bổ sung</x:v>
      </x:c>
      <x:c r="G220" s="28" t="str">
        <x:v>CHỈNH V1.1</x:v>
      </x:c>
      <x:c r="H220" s="28" t="str">
        <x:v>ĐÃ SỬA</x:v>
      </x:c>
    </x:row>
    <x:row r="221" ht="46" customHeight="1">
      <x:c r="A221" s="28" t="str">
        <x:v>ND30!S80</x:v>
      </x:c>
      <x:c r="B221" s="28" t="str">
        <x:v>ND30.X.SOAN.KY_HIEU_NGUOI_SOAN</x:v>
      </x:c>
      <x:c r="C221" s="28" t="str">
        <x:v>SỬA</x:v>
      </x:c>
      <x:c r="D221" s="28" t="str">
        <x:v>NĐ30: ô 12; HD05: ô 12, cuối Nơi nhận</x:v>
      </x:c>
      <x:c r="E221" s="28" t="str">
        <x:v>Cỡ chữ được phép 10–11 pt; 11 pt chỉ là lựa chọn cấu hình, không phải mức duy nhất</x:v>
      </x:c>
      <x:c r="F221" s="28" t="str">
        <x:v>Tách interval với preset</x:v>
      </x:c>
      <x:c r="G221" s="28" t="str">
        <x:v>CHỈNH V1.1</x:v>
      </x:c>
      <x:c r="H221" s="28" t="str">
        <x:v>ĐÃ SỬA</x:v>
      </x:c>
    </x:row>
    <x:row r="222" ht="46" customHeight="1">
      <x:c r="A222" s="28" t="str">
        <x:v>ND30!J81</x:v>
      </x:c>
      <x:c r="B222" s="28" t="str">
        <x:v>ND30.X.SOAN.SO_BAN</x:v>
      </x:c>
      <x:c r="C222" s="28" t="str">
        <x:v>SỬA</x:v>
      </x:c>
      <x:c r="D222" s="28" t="str">
        <x:v>11</x:v>
      </x:c>
      <x:c r="E222" s="28" t="str">
        <x:v>10–11</x:v>
      </x:c>
      <x:c r="F222" s="28" t="str">
        <x:v>NĐ30 Phụ lục I, bảng thông số bổ sung</x:v>
      </x:c>
      <x:c r="G222" s="28" t="str">
        <x:v>CHỈNH V1.1</x:v>
      </x:c>
      <x:c r="H222" s="28" t="str">
        <x:v>ĐÃ SỬA</x:v>
      </x:c>
    </x:row>
    <x:row r="223" ht="46" customHeight="1">
      <x:c r="A223" s="28" t="str">
        <x:v>ND30!S81</x:v>
      </x:c>
      <x:c r="B223" s="28" t="str">
        <x:v>ND30.X.SOAN.SO_BAN</x:v>
      </x:c>
      <x:c r="C223" s="28" t="str">
        <x:v>SỬA</x:v>
      </x:c>
      <x:c r="D223" s="28" t="str">
        <x:v>NĐ30: ô 12; HD05: ô 12, cuối Nơi nhận</x:v>
      </x:c>
      <x:c r="E223" s="28" t="str">
        <x:v>Cỡ chữ được phép 10–11 pt; 11 pt chỉ là lựa chọn cấu hình, không phải mức duy nhất</x:v>
      </x:c>
      <x:c r="F223" s="28" t="str">
        <x:v>Tách interval với preset</x:v>
      </x:c>
      <x:c r="G223" s="28" t="str">
        <x:v>CHỈNH V1.1</x:v>
      </x:c>
      <x:c r="H223" s="28" t="str">
        <x:v>ĐÃ SỬA</x:v>
      </x:c>
    </x:row>
    <x:row r="224" ht="46" customHeight="1">
      <x:c r="A224" s="28" t="str">
        <x:v>ND30!S82</x:v>
      </x:c>
      <x:c r="B224" s="28" t="str">
        <x:v>ND30.X.LIEN_HE.DIA_CHI</x:v>
      </x:c>
      <x:c r="C224" s="28" t="str">
        <x:v>SỬA</x:v>
      </x:c>
      <x:c r="D224" s="28" t="str">
        <x:v>NĐ30: trang đầu, dưới đường kẻ ngang hết vùng trình bày; HD05: trang cuối dưới đường kẻ ngang</x:v>
      </x:c>
      <x:c r="E224" s="28" t="str">
        <x:v>NĐ30: trang đầu, dưới đường kẻ ngang hết vùng trình bày</x:v>
      </x:c>
      <x:c r="F224" s="28" t="str">
        <x:v>Tách mô tả hệ khác khỏi rule chính</x:v>
      </x:c>
      <x:c r="G224" s="28" t="str">
        <x:v>CHỈNH V1.1</x:v>
      </x:c>
      <x:c r="H224" s="28" t="str">
        <x:v>ĐÃ SỬA</x:v>
      </x:c>
    </x:row>
    <x:row r="225" ht="46" customHeight="1">
      <x:c r="A225" s="28" t="str">
        <x:v>ND30!S83</x:v>
      </x:c>
      <x:c r="B225" s="28" t="str">
        <x:v>ND30.X.LIEN_HE.EMAIL</x:v>
      </x:c>
      <x:c r="C225" s="28" t="str">
        <x:v>SỬA</x:v>
      </x:c>
      <x:c r="D225" s="28" t="str">
        <x:v>NĐ30: trang đầu, dưới đường kẻ ngang hết vùng trình bày; HD05: trang cuối dưới đường kẻ ngang</x:v>
      </x:c>
      <x:c r="E225" s="28" t="str">
        <x:v>NĐ30: trang đầu, dưới đường kẻ ngang hết vùng trình bày</x:v>
      </x:c>
      <x:c r="F225" s="28" t="str">
        <x:v>Tách mô tả hệ khác khỏi rule chính</x:v>
      </x:c>
      <x:c r="G225" s="28" t="str">
        <x:v>CHỈNH V1.1</x:v>
      </x:c>
      <x:c r="H225" s="28" t="str">
        <x:v>ĐÃ SỬA</x:v>
      </x:c>
    </x:row>
    <x:row r="226" ht="46" customHeight="1">
      <x:c r="A226" s="28" t="str">
        <x:v>ND30!S84</x:v>
      </x:c>
      <x:c r="B226" s="28" t="str">
        <x:v>ND30.X.LIEN_HE.DIEN_THOAI</x:v>
      </x:c>
      <x:c r="C226" s="28" t="str">
        <x:v>SỬA</x:v>
      </x:c>
      <x:c r="D226" s="28" t="str">
        <x:v>NĐ30: trang đầu, dưới đường kẻ ngang hết vùng trình bày; HD05: trang cuối dưới đường kẻ ngang</x:v>
      </x:c>
      <x:c r="E226" s="28" t="str">
        <x:v>NĐ30: trang đầu, dưới đường kẻ ngang hết vùng trình bày</x:v>
      </x:c>
      <x:c r="F226" s="28" t="str">
        <x:v>Tách mô tả hệ khác khỏi rule chính</x:v>
      </x:c>
      <x:c r="G226" s="28" t="str">
        <x:v>CHỈNH V1.1</x:v>
      </x:c>
      <x:c r="H226" s="28" t="str">
        <x:v>ĐÃ SỬA</x:v>
      </x:c>
    </x:row>
    <x:row r="227" ht="46" customHeight="1">
      <x:c r="A227" s="28" t="str">
        <x:v>ND30!S85</x:v>
      </x:c>
      <x:c r="B227" s="28" t="str">
        <x:v>ND30.X.LIEN_HE.WEB</x:v>
      </x:c>
      <x:c r="C227" s="28" t="str">
        <x:v>SỬA</x:v>
      </x:c>
      <x:c r="D227" s="28" t="str">
        <x:v>NĐ30: trang đầu, dưới đường kẻ ngang hết vùng trình bày; HD05: trang cuối dưới đường kẻ ngang</x:v>
      </x:c>
      <x:c r="E227" s="28" t="str">
        <x:v>NĐ30: trang đầu, dưới đường kẻ ngang hết vùng trình bày</x:v>
      </x:c>
      <x:c r="F227" s="28" t="str">
        <x:v>Tách mô tả hệ khác khỏi rule chính</x:v>
      </x:c>
      <x:c r="G227" s="28" t="str">
        <x:v>CHỈNH V1.1</x:v>
      </x:c>
      <x:c r="H227" s="28" t="str">
        <x:v>ĐÃ SỬA</x:v>
      </x:c>
    </x:row>
    <x:row r="228" ht="46" customHeight="1">
      <x:c r="A228" s="28" t="str">
        <x:v>ND30!S86</x:v>
      </x:c>
      <x:c r="B228" s="28" t="str">
        <x:v>ND30.X.LIEN_HE.FAX</x:v>
      </x:c>
      <x:c r="C228" s="28" t="str">
        <x:v>SỬA</x:v>
      </x:c>
      <x:c r="D228" s="28" t="str">
        <x:v>NĐ30: trang đầu, dưới đường kẻ ngang hết vùng trình bày; HD05: trang cuối dưới đường kẻ ngang</x:v>
      </x:c>
      <x:c r="E228" s="28" t="str">
        <x:v>NĐ30: trang đầu, dưới đường kẻ ngang hết vùng trình bày</x:v>
      </x:c>
      <x:c r="F228" s="28" t="str">
        <x:v>Tách mô tả hệ khác khỏi rule chính</x:v>
      </x:c>
      <x:c r="G228" s="28" t="str">
        <x:v>CHỈNH V1.1</x:v>
      </x:c>
      <x:c r="H228" s="28" t="str">
        <x:v>ĐÃ SỬA</x:v>
      </x:c>
    </x:row>
    <x:row r="229" ht="46" customHeight="1">
      <x:c r="A229" s="28" t="str">
        <x:v>HD05!S9</x:v>
      </x:c>
      <x:c r="B229" s="28" t="str">
        <x:v>HD05.D.CQ.DAU_SAO</x:v>
      </x:c>
      <x:c r="C229" s="28" t="str">
        <x:v>SỬA</x:v>
      </x:c>
      <x:c r="D229" s="28" t="str">
        <x:v>Số lượng dấu theo bố cục tổ chức/đại hội; không mặc định mọi trường hợp đều 1 dấu</x:v>
      </x:c>
      <x:c r="E229" s="28" t="str">
        <x:v>Dấu sao (*) ở vị trí dưới tên cơ quan theo HD05; không suy rộng số dấu sao khi chưa có mẫu ngoại lệ</x:v>
      </x:c>
      <x:c r="F229" s="28" t="str">
        <x:v>Bỏ suy diễn số sao không có căn cứ cụ thể</x:v>
      </x:c>
      <x:c r="G229" s="28" t="str">
        <x:v>CHỈNH V1.1</x:v>
      </x:c>
      <x:c r="H229" s="28" t="str">
        <x:v>ĐÃ SỬA</x:v>
      </x:c>
    </x:row>
    <x:row r="230" ht="46" customHeight="1">
      <x:c r="A230" s="28" t="str">
        <x:v>HD05!K14</x:v>
      </x:c>
      <x:c r="B230" s="28" t="str">
        <x:v>HD05.D.SK.NHAN_SO</x:v>
      </x:c>
      <x:c r="C230" s="28" t="str">
        <x:v>SỬA</x:v>
      </x:c>
      <x:c r="D230" s="28" t="str">
        <x:v>Chữ viết tắt IN HOA; nhãn và số bình thường</x:v>
      </x:c>
      <x:c r="E230" s="28" t="str">
        <x:v>Không áp dụng — nhãn văn bản</x:v>
      </x:c>
      <x:c r="F230" s="28" t="str">
        <x:v>Nhãn không phải ký hiệu</x:v>
      </x:c>
      <x:c r="G230" s="28" t="str">
        <x:v>CHỈNH V1.1</x:v>
      </x:c>
      <x:c r="H230" s="28" t="str">
        <x:v>ĐÃ SỬA</x:v>
      </x:c>
    </x:row>
    <x:row r="231" ht="46" customHeight="1">
      <x:c r="A231" s="28" t="str">
        <x:v>HD05!K15</x:v>
      </x:c>
      <x:c r="B231" s="28" t="str">
        <x:v>HD05.D.SK.SO_VAN_BAN</x:v>
      </x:c>
      <x:c r="C231" s="28" t="str">
        <x:v>SỬA</x:v>
      </x:c>
      <x:c r="D231" s="28" t="str">
        <x:v>Chữ viết tắt IN HOA; nhãn và số bình thường</x:v>
      </x:c>
      <x:c r="E231" s="28" t="str">
        <x:v>Chữ số Ả Rập; không áp dụng quy tắc IN HOA</x:v>
      </x:c>
      <x:c r="F231" s="28" t="str">
        <x:v>Trường số tách khỏi ký hiệu</x:v>
      </x:c>
      <x:c r="G231" s="28" t="str">
        <x:v>CHỈNH V1.1</x:v>
      </x:c>
      <x:c r="H231" s="28" t="str">
        <x:v>ĐÃ SỬA</x:v>
      </x:c>
    </x:row>
    <x:row r="232" ht="46" customHeight="1">
      <x:c r="A232" s="28" t="str">
        <x:v>HD05!K16</x:v>
      </x:c>
      <x:c r="B232" s="28" t="str">
        <x:v>HD05.D.SK.KY_HIEU_LOAI</x:v>
      </x:c>
      <x:c r="C232" s="28" t="str">
        <x:v>SỬA</x:v>
      </x:c>
      <x:c r="D232" s="28" t="str">
        <x:v>Chữ viết tắt IN HOA; nhãn và số bình thường</x:v>
      </x:c>
      <x:c r="E232" s="28" t="str">
        <x:v>Đúng dạng viết tắt trong danh mục HD05: CTr, TTr, NQ, BC…; KHÔNG ép IN HOA toàn bộ</x:v>
      </x:c>
      <x:c r="F232" s="28" t="str">
        <x:v>HD05 mục 3.1.2.a</x:v>
      </x:c>
      <x:c r="G232" s="28" t="str">
        <x:v>CHỈNH V1.1</x:v>
      </x:c>
      <x:c r="H232" s="28" t="str">
        <x:v>ĐÃ SỬA</x:v>
      </x:c>
    </x:row>
    <x:row r="233" ht="46" customHeight="1">
      <x:c r="A233" s="28" t="str">
        <x:v>HD05!S16</x:v>
      </x:c>
      <x:c r="B233" s="28" t="str">
        <x:v>HD05.D.SK.KY_HIEU_LOAI</x:v>
      </x:c>
      <x:c r="C233" s="28" t="str">
        <x:v>SỬA</x:v>
      </x:c>
      <x:c r="D233" s="28" t="str">
        <x:v>Tra mã loại từ bảng viết tắt chính thức theo chế độ</x:v>
      </x:c>
      <x:c r="E233" s="28" t="str">
        <x:v>Tra chính xác mã loại theo HD05, gồm CTr và TTr; không upper-case hóa mặc định</x:v>
      </x:c>
      <x:c r="F233" s="28" t="str">
        <x:v>HD05 mục 3.1.2.a</x:v>
      </x:c>
      <x:c r="G233" s="28" t="str">
        <x:v>CHỈNH V1.1</x:v>
      </x:c>
      <x:c r="H233" s="28" t="str">
        <x:v>ĐÃ SỬA</x:v>
      </x:c>
    </x:row>
    <x:row r="234" ht="46" customHeight="1">
      <x:c r="A234" s="28" t="str">
        <x:v>HD05!K17</x:v>
      </x:c>
      <x:c r="B234" s="28" t="str">
        <x:v>HD05.D.SK.KY_HIEU_CO_QUAN</x:v>
      </x:c>
      <x:c r="C234" s="28" t="str">
        <x:v>SỬA</x:v>
      </x:c>
      <x:c r="D234" s="28" t="str">
        <x:v>Chữ viết tắt IN HOA; nhãn và số bình thường</x:v>
      </x:c>
      <x:c r="E234" s="28" t="str">
        <x:v>Theo mã cơ quan đã xác minh, giữ nguyên chính tả ký hiệu</x:v>
      </x:c>
      <x:c r="F234" s="28" t="str">
        <x:v>Mã chủ thể phải chính xác</x:v>
      </x:c>
      <x:c r="G234" s="28" t="str">
        <x:v>CHỈNH V1.1</x:v>
      </x:c>
      <x:c r="H234" s="28" t="str">
        <x:v>ĐÃ SỬA</x:v>
      </x:c>
    </x:row>
    <x:row r="235" ht="46" customHeight="1">
      <x:c r="A235" s="28" t="str">
        <x:v>HD05!K18</x:v>
      </x:c>
      <x:c r="B235" s="28" t="str">
        <x:v>HD05.D.SK.DAU_PHAN_CACH</x:v>
      </x:c>
      <x:c r="C235" s="28" t="str">
        <x:v>SỬA</x:v>
      </x:c>
      <x:c r="D235" s="28" t="str">
        <x:v>Chữ viết tắt IN HOA; nhãn và số bình thường</x:v>
      </x:c>
      <x:c r="E235" s="28" t="str">
        <x:v>Không áp dụng — dấu phân cách</x:v>
      </x:c>
      <x:c r="F235" s="28" t="str">
        <x:v>Dấu không phải chữ viết tắt</x:v>
      </x:c>
      <x:c r="G235" s="28" t="str">
        <x:v>CHỈNH V1.1</x:v>
      </x:c>
      <x:c r="H235" s="28" t="str">
        <x:v>ĐÃ SỬA</x:v>
      </x:c>
    </x:row>
    <x:row r="236" ht="46" customHeight="1">
      <x:c r="A236" s="28" t="str">
        <x:v>HD05!S19</x:v>
      </x:c>
      <x:c r="B236" s="28" t="str">
        <x:v>HD05.D.NG.DIA_DANH</x:v>
      </x:c>
      <x:c r="C236" s="28" t="str">
        <x:v>SỬA</x:v>
      </x:c>
      <x:c r="D236" s="28" t="str">
        <x:v>Địa danh, ngày DD tháng MM năm YYYY; dấu phẩy sau địa danh</x:v>
      </x:c>
      <x:c r="E236" s="28" t="str">
        <x:v>{địa danh}, ngày {ngày} tháng {tháng} năm {năm}; riêng số 0 theo điều kiện của ngày/tháng</x:v>
      </x:c>
      <x:c r="F236" s="28" t="str">
        <x:v>Không áp quy tắc 2 chữ số đồng loạt</x:v>
      </x:c>
      <x:c r="G236" s="28" t="str">
        <x:v>CHỈNH V1.1</x:v>
      </x:c>
      <x:c r="H236" s="28" t="str">
        <x:v>ĐÃ SỬA</x:v>
      </x:c>
    </x:row>
    <x:row r="237" ht="46" customHeight="1">
      <x:c r="A237" s="28" t="str">
        <x:v>HD05!K20</x:v>
      </x:c>
      <x:c r="B237" s="28" t="str">
        <x:v>HD05.D.NG.NGAY</x:v>
      </x:c>
      <x:c r="C237" s="28" t="str">
        <x:v>SỬA</x:v>
      </x:c>
      <x:c r="D237" s="28" t="str">
        <x:v>Viết hoa chữ cái đầu địa danh</x:v>
      </x:c>
      <x:c r="E237" s="28" t="str">
        <x:v>Không áp dụng — giá trị số</x:v>
      </x:c>
      <x:c r="F237" s="28" t="str">
        <x:v>Quy tắc viết hoa địa danh không áp cho ngày/tháng/năm</x:v>
      </x:c>
      <x:c r="G237" s="28" t="str">
        <x:v>CHỈNH V1.1</x:v>
      </x:c>
      <x:c r="H237" s="28" t="str">
        <x:v>ĐÃ SỬA</x:v>
      </x:c>
    </x:row>
    <x:row r="238" ht="46" customHeight="1">
      <x:c r="A238" s="28" t="str">
        <x:v>HD05!S20</x:v>
      </x:c>
      <x:c r="B238" s="28" t="str">
        <x:v>HD05.D.NG.NGAY</x:v>
      </x:c>
      <x:c r="C238" s="28" t="str">
        <x:v>SỬA</x:v>
      </x:c>
      <x:c r="D238" s="28" t="str">
        <x:v>Ngày &lt;10 có số 0</x:v>
      </x:c>
      <x:c r="E238" s="28" t="str">
        <x:v>Ngày 01–09 ghi số 0 phía trước; giữ nguyên ngày được cung cấp, không tự điền</x:v>
      </x:c>
      <x:c r="F238" s="28" t="str">
        <x:v>Quy tắc ngày &lt;10</x:v>
      </x:c>
      <x:c r="G238" s="28" t="str">
        <x:v>CHỈNH V1.1</x:v>
      </x:c>
      <x:c r="H238" s="28" t="str">
        <x:v>ĐÃ SỬA</x:v>
      </x:c>
    </x:row>
    <x:row r="239" ht="46" customHeight="1">
      <x:c r="A239" s="28" t="str">
        <x:v>HD05!K21</x:v>
      </x:c>
      <x:c r="B239" s="28" t="str">
        <x:v>HD05.D.NG.THANG</x:v>
      </x:c>
      <x:c r="C239" s="28" t="str">
        <x:v>SỬA</x:v>
      </x:c>
      <x:c r="D239" s="28" t="str">
        <x:v>Viết hoa chữ cái đầu địa danh</x:v>
      </x:c>
      <x:c r="E239" s="28" t="str">
        <x:v>Không áp dụng — giá trị số</x:v>
      </x:c>
      <x:c r="F239" s="28" t="str">
        <x:v>Quy tắc viết hoa địa danh không áp cho ngày/tháng/năm</x:v>
      </x:c>
      <x:c r="G239" s="28" t="str">
        <x:v>CHỈNH V1.1</x:v>
      </x:c>
      <x:c r="H239" s="28" t="str">
        <x:v>ĐÃ SỬA</x:v>
      </x:c>
    </x:row>
    <x:row r="240" ht="46" customHeight="1">
      <x:c r="A240" s="28" t="str">
        <x:v>HD05!S21</x:v>
      </x:c>
      <x:c r="B240" s="28" t="str">
        <x:v>HD05.D.NG.THANG</x:v>
      </x:c>
      <x:c r="C240" s="28" t="str">
        <x:v>SỬA</x:v>
      </x:c>
      <x:c r="D240" s="28" t="str">
        <x:v>Tháng 01,02 có số 0</x:v>
      </x:c>
      <x:c r="E240" s="28" t="str">
        <x:v>Tháng 01–02 ghi số 0 phía trước; không áp mẫu hai chữ số cho mọi tháng</x:v>
      </x:c>
      <x:c r="F240" s="28" t="str">
        <x:v>Quy tắc tháng &lt;3</x:v>
      </x:c>
      <x:c r="G240" s="28" t="str">
        <x:v>CHỈNH V1.1</x:v>
      </x:c>
      <x:c r="H240" s="28" t="str">
        <x:v>ĐÃ SỬA</x:v>
      </x:c>
    </x:row>
    <x:row r="241" ht="46" customHeight="1">
      <x:c r="A241" s="28" t="str">
        <x:v>HD05!K22</x:v>
      </x:c>
      <x:c r="B241" s="28" t="str">
        <x:v>HD05.D.NG.NAM</x:v>
      </x:c>
      <x:c r="C241" s="28" t="str">
        <x:v>SỬA</x:v>
      </x:c>
      <x:c r="D241" s="28" t="str">
        <x:v>Viết hoa chữ cái đầu địa danh</x:v>
      </x:c>
      <x:c r="E241" s="28" t="str">
        <x:v>Không áp dụng — giá trị số</x:v>
      </x:c>
      <x:c r="F241" s="28" t="str">
        <x:v>Quy tắc viết hoa địa danh không áp cho ngày/tháng/năm</x:v>
      </x:c>
      <x:c r="G241" s="28" t="str">
        <x:v>CHỈNH V1.1</x:v>
      </x:c>
      <x:c r="H241" s="28" t="str">
        <x:v>ĐÃ SỬA</x:v>
      </x:c>
    </x:row>
    <x:row r="242" ht="46" customHeight="1">
      <x:c r="A242" s="28" t="str">
        <x:v>HD05!S22</x:v>
      </x:c>
      <x:c r="B242" s="28" t="str">
        <x:v>HD05.D.NG.NAM</x:v>
      </x:c>
      <x:c r="C242" s="28" t="str">
        <x:v>SỬA</x:v>
      </x:c>
      <x:c r="D242" s="28" t="str">
        <x:v>Năm đầy đủ 4 chữ số</x:v>
      </x:c>
      <x:c r="E242" s="28" t="str">
        <x:v>Năm viết đủ bốn chữ số; không tự xác định năm ban hành</x:v>
      </x:c>
      <x:c r="F242" s="28" t="str">
        <x:v>Năm ban hành</x:v>
      </x:c>
      <x:c r="G242" s="28" t="str">
        <x:v>CHỈNH V1.1</x:v>
      </x:c>
      <x:c r="H242" s="28" t="str">
        <x:v>ĐÃ SỬA</x:v>
      </x:c>
    </x:row>
    <x:row r="243" ht="46" customHeight="1">
      <x:c r="A243" s="28" t="str">
        <x:v>HD05!N23</x:v>
      </x:c>
      <x:c r="B243" s="28" t="str">
        <x:v>HD05.D.TY.TEN_LOAI</x:v>
      </x:c>
      <x:c r="C243" s="28" t="str">
        <x:v>SỬA</x:v>
      </x:c>
      <x:c r="D243" s="28" t="str">
        <x:v>Căn giữa ở ô 5a; công văn dưới Số/ký hiệu tại 5b</x:v>
      </x:c>
      <x:c r="E243" s="28" t="str">
        <x:v>Căn giữa tại ô 5a (theo loại văn bản)</x:v>
      </x:c>
      <x:c r="F243" s="28" t="str">
        <x:v>Vị trí riêng của thành phần 5a</x:v>
      </x:c>
      <x:c r="G243" s="28" t="str">
        <x:v>CHỈNH V1.1</x:v>
      </x:c>
      <x:c r="H243" s="28" t="str">
        <x:v>ĐÃ SỬA</x:v>
      </x:c>
    </x:row>
    <x:row r="244" ht="46" customHeight="1">
      <x:c r="A244" s="28" t="str">
        <x:v>HD05!N24</x:v>
      </x:c>
      <x:c r="B244" s="28" t="str">
        <x:v>HD05.D.TY.TRICH_YEU</x:v>
      </x:c>
      <x:c r="C244" s="28" t="str">
        <x:v>SỬA</x:v>
      </x:c>
      <x:c r="D244" s="28" t="str">
        <x:v>Căn giữa ở ô 5a; công văn dưới Số/ký hiệu tại 5b</x:v>
      </x:c>
      <x:c r="E244" s="28" t="str">
        <x:v>Căn giữa tại ô 5a (theo loại văn bản)</x:v>
      </x:c>
      <x:c r="F244" s="28" t="str">
        <x:v>Vị trí riêng của thành phần 5a</x:v>
      </x:c>
      <x:c r="G244" s="28" t="str">
        <x:v>CHỈNH V1.1</x:v>
      </x:c>
      <x:c r="H244" s="28" t="str">
        <x:v>ĐÃ SỬA</x:v>
      </x:c>
    </x:row>
    <x:row r="245" ht="46" customHeight="1">
      <x:c r="A245" s="28" t="str">
        <x:v>HD05!N25</x:v>
      </x:c>
      <x:c r="B245" s="28" t="str">
        <x:v>HD05.D.TY.NAM_DAU_GACH</x:v>
      </x:c>
      <x:c r="C245" s="28" t="str">
        <x:v>SỬA</x:v>
      </x:c>
      <x:c r="D245" s="28" t="str">
        <x:v>Căn giữa ở ô 5a; công văn dưới Số/ký hiệu tại 5b</x:v>
      </x:c>
      <x:c r="E245" s="28" t="str">
        <x:v>Căn giữa tại ô 5a (theo loại văn bản)</x:v>
      </x:c>
      <x:c r="F245" s="28" t="str">
        <x:v>Vị trí riêng của thành phần 5a</x:v>
      </x:c>
      <x:c r="G245" s="28" t="str">
        <x:v>CHỈNH V1.1</x:v>
      </x:c>
      <x:c r="H245" s="28" t="str">
        <x:v>ĐÃ SỬA</x:v>
      </x:c>
    </x:row>
    <x:row r="246" ht="46" customHeight="1">
      <x:c r="A246" s="28" t="str">
        <x:v>HD05!N26</x:v>
      </x:c>
      <x:c r="B246" s="28" t="str">
        <x:v>HD05.D.TY.TRICH_YEU_CV</x:v>
      </x:c>
      <x:c r="C246" s="28" t="str">
        <x:v>SỬA</x:v>
      </x:c>
      <x:c r="D246" s="28" t="str">
        <x:v>Căn giữa ở ô 5a; công văn dưới Số/ký hiệu tại 5b</x:v>
      </x:c>
      <x:c r="E246" s="28" t="str">
        <x:v>Cân đối dưới số/ký hiệu tại ô 5b</x:v>
      </x:c>
      <x:c r="F246" s="28" t="str">
        <x:v>Vị trí riêng của thành phần 5b</x:v>
      </x:c>
      <x:c r="G246" s="28" t="str">
        <x:v>CHỈNH V1.1</x:v>
      </x:c>
      <x:c r="H246" s="28" t="str">
        <x:v>ĐÃ SỬA</x:v>
      </x:c>
    </x:row>
    <x:row r="247" ht="46" customHeight="1">
      <x:c r="A247" s="28" t="str">
        <x:v>HD05!N27</x:v>
      </x:c>
      <x:c r="B247" s="28" t="str">
        <x:v>HD05.D.TY.CHU_DE_DAI_HOI</x:v>
      </x:c>
      <x:c r="C247" s="28" t="str">
        <x:v>SỬA</x:v>
      </x:c>
      <x:c r="D247" s="28" t="str">
        <x:v>Căn giữa ở ô 5a; công văn dưới Số/ký hiệu tại 5b</x:v>
      </x:c>
      <x:c r="E247" s="28" t="str">
        <x:v>Căn giữa tại ô 5a (theo loại văn bản)</x:v>
      </x:c>
      <x:c r="F247" s="28" t="str">
        <x:v>Vị trí riêng của thành phần 5a</x:v>
      </x:c>
      <x:c r="G247" s="28" t="str">
        <x:v>CHỈNH V1.1</x:v>
      </x:c>
      <x:c r="H247" s="28" t="str">
        <x:v>ĐÃ SỬA</x:v>
      </x:c>
    </x:row>
    <x:row r="248" ht="46" customHeight="1">
      <x:c r="A248" s="28" t="str">
        <x:v>HD05!G28</x:v>
      </x:c>
      <x:c r="B248" s="28" t="str">
        <x:v>HD05.D.NHAN.KINH_GUI</x:v>
      </x:c>
      <x:c r="C248" s="28" t="str">
        <x:v>SỬA</x:v>
      </x:c>
      <x:c r="D248" s="28" t="str">
        <x:v>Công văn: Kính gửi; Tờ trình: Kính trình</x:v>
      </x:c>
      <x:c r="E248" s="28" t="str">
        <x:v>Chỉ áp dụng Công văn theo HD05, khi có nơi nhận trực tiếp; ô 5a</x:v>
      </x:c>
      <x:c r="F248" s="28" t="str">
        <x:v>Không trộn Kính gửi với Kính trình</x:v>
      </x:c>
      <x:c r="G248" s="28" t="str">
        <x:v>CHỈNH V1.1</x:v>
      </x:c>
      <x:c r="H248" s="28" t="str">
        <x:v>ĐÃ SỬA</x:v>
      </x:c>
    </x:row>
    <x:row r="249" ht="46" customHeight="1">
      <x:c r="A249" s="28" t="str">
        <x:v>HD05!G29</x:v>
      </x:c>
      <x:c r="B249" s="28" t="str">
        <x:v>HD05.D.NHAN.DS_KINH_GUI</x:v>
      </x:c>
      <x:c r="C249" s="28" t="str">
        <x:v>SỬA</x:v>
      </x:c>
      <x:c r="D249" s="28" t="str">
        <x:v>Công văn: Kính gửi; Tờ trình: Kính trình</x:v>
      </x:c>
      <x:c r="E249" s="28" t="str">
        <x:v>Chỉ áp dụng Công văn theo HD05, khi có nơi nhận trực tiếp; ô 5a</x:v>
      </x:c>
      <x:c r="F249" s="28" t="str">
        <x:v>Không trộn Kính gửi với Kính trình</x:v>
      </x:c>
      <x:c r="G249" s="28" t="str">
        <x:v>CHỈNH V1.1</x:v>
      </x:c>
      <x:c r="H249" s="28" t="str">
        <x:v>ĐÃ SỬA</x:v>
      </x:c>
    </x:row>
    <x:row r="250" ht="46" customHeight="1">
      <x:c r="A250" s="28" t="str">
        <x:v>HD05!G30</x:v>
      </x:c>
      <x:c r="B250" s="28" t="str">
        <x:v>HD05.D.NHAN.KINH_TRINH</x:v>
      </x:c>
      <x:c r="C250" s="28" t="str">
        <x:v>SỬA</x:v>
      </x:c>
      <x:c r="D250" s="28" t="str">
        <x:v>Công văn: Kính gửi; Tờ trình: Kính trình</x:v>
      </x:c>
      <x:c r="E250" s="28" t="str">
        <x:v>Chỉ áp dụng Tờ trình theo HD05, khi đúng chủ thể/đối tượng nhận; ô 9b</x:v>
      </x:c>
      <x:c r="F250" s="28" t="str">
        <x:v>Không trộn Kính gửi với Kính trình</x:v>
      </x:c>
      <x:c r="G250" s="28" t="str">
        <x:v>CHỈNH V1.1</x:v>
      </x:c>
      <x:c r="H250" s="28" t="str">
        <x:v>ĐÃ SỬA</x:v>
      </x:c>
    </x:row>
    <x:row r="251" ht="46" customHeight="1">
      <x:c r="A251" s="28" t="str">
        <x:v>HD05!G31</x:v>
      </x:c>
      <x:c r="B251" s="28" t="str">
        <x:v>HD05.D.NHAN.DS_KINH_TRINH</x:v>
      </x:c>
      <x:c r="C251" s="28" t="str">
        <x:v>SỬA</x:v>
      </x:c>
      <x:c r="D251" s="28" t="str">
        <x:v>Công văn: Kính gửi; Tờ trình: Kính trình</x:v>
      </x:c>
      <x:c r="E251" s="28" t="str">
        <x:v>Chỉ áp dụng Tờ trình theo HD05, khi đúng chủ thể/đối tượng nhận; ô 9b</x:v>
      </x:c>
      <x:c r="F251" s="28" t="str">
        <x:v>Không trộn Kính gửi với Kính trình</x:v>
      </x:c>
      <x:c r="G251" s="28" t="str">
        <x:v>CHỈNH V1.1</x:v>
      </x:c>
      <x:c r="H251" s="28" t="str">
        <x:v>ĐÃ SỬA</x:v>
      </x:c>
    </x:row>
    <x:row r="252" ht="46" customHeight="1">
      <x:c r="A252" s="28" t="str">
        <x:v>HD05!Q33</x:v>
      </x:c>
      <x:c r="B252" s="28" t="str">
        <x:v>HD05.N.MD.CAN_CU</x:v>
      </x:c>
      <x:c r="C252" s="28" t="str">
        <x:v>SỬA</x:v>
      </x:c>
      <x:c r="D252" s="28" t="str"/>
      <x:c r="E252" s="28" t="str">
        <x:v>Trước mỗi căn cứ có một dấu gạch ngang (-); các căn cứ ngăn theo dấu câu quy định</x:v>
      </x:c>
      <x:c r="F252" s="28" t="str">
        <x:v>HD05 6.2.3</x:v>
      </x:c>
      <x:c r="G252" s="28" t="str">
        <x:v>CHỈNH V1.1</x:v>
      </x:c>
      <x:c r="H252" s="28" t="str">
        <x:v>ĐÃ SỬA</x:v>
      </x:c>
    </x:row>
    <x:row r="253" ht="46" customHeight="1">
      <x:c r="A253" s="28" t="str">
        <x:v>HD05!T33</x:v>
      </x:c>
      <x:c r="B253" s="28" t="str">
        <x:v>HD05.N.MD.CAN_CU</x:v>
      </x:c>
      <x:c r="C253" s="28" t="str">
        <x:v>SỬA</x:v>
      </x:c>
      <x:c r="D253" s="28" t="str">
        <x:v>HD05, Phần II, I.6 và IV; Phụ lục 2 mục 6</x:v>
      </x:c>
      <x:c r="E253" s="28" t="str">
        <x:v>HD05, Phần II mục 6.2.3</x:v>
      </x:c>
      <x:c r="F253" s="28" t="str">
        <x:v>Nguồn điều khoản cụ thể</x:v>
      </x:c>
      <x:c r="G253" s="28" t="str">
        <x:v>CHỈNH V1.1</x:v>
      </x:c>
      <x:c r="H253" s="28" t="str">
        <x:v>ĐÃ SỬA</x:v>
      </x:c>
    </x:row>
    <x:row r="254" ht="46" customHeight="1">
      <x:c r="A254" s="28" t="str">
        <x:v>HD05!P34</x:v>
      </x:c>
      <x:c r="B254" s="28" t="str">
        <x:v>HD05.N.DM.PHAN</x:v>
      </x:c>
      <x:c r="C254" s="28" t="str">
        <x:v>SỬA</x:v>
      </x:c>
      <x:c r="D254" s="28" t="str">
        <x:v>First line khoảng 10 mm</x:v>
      </x:c>
      <x:c r="E254" s="28" t="str">
        <x:v>Thụt đầu dòng: theo quy định riêng cho tiêu đề/đề mục; KHÔNG kế thừa mặc định lời văn</x:v>
      </x:c>
      <x:c r="F254" s="28" t="str">
        <x:v>Tách style tiêu đề khỏi paragraph thân</x:v>
      </x:c>
      <x:c r="G254" s="28" t="str">
        <x:v>CHỈNH V1.1</x:v>
      </x:c>
      <x:c r="H254" s="28" t="str">
        <x:v>ĐÃ SỬA</x:v>
      </x:c>
    </x:row>
    <x:row r="255" ht="46" customHeight="1">
      <x:c r="A255" s="28" t="str">
        <x:v>HD05!P35</x:v>
      </x:c>
      <x:c r="B255" s="28" t="str">
        <x:v>HD05.N.DM.CHUONG</x:v>
      </x:c>
      <x:c r="C255" s="28" t="str">
        <x:v>SỬA</x:v>
      </x:c>
      <x:c r="D255" s="28" t="str">
        <x:v>First line khoảng 10 mm</x:v>
      </x:c>
      <x:c r="E255" s="28" t="str">
        <x:v>Thụt đầu dòng: theo quy định riêng cho tiêu đề/đề mục; KHÔNG kế thừa mặc định lời văn</x:v>
      </x:c>
      <x:c r="F255" s="28" t="str">
        <x:v>Tách style tiêu đề khỏi paragraph thân</x:v>
      </x:c>
      <x:c r="G255" s="28" t="str">
        <x:v>CHỈNH V1.1</x:v>
      </x:c>
      <x:c r="H255" s="28" t="str">
        <x:v>ĐÃ SỬA</x:v>
      </x:c>
    </x:row>
    <x:row r="256" ht="46" customHeight="1">
      <x:c r="A256" s="28" t="str">
        <x:v>HD05!P36</x:v>
      </x:c>
      <x:c r="B256" s="28" t="str">
        <x:v>HD05.N.DM.MUC</x:v>
      </x:c>
      <x:c r="C256" s="28" t="str">
        <x:v>SỬA</x:v>
      </x:c>
      <x:c r="D256" s="28" t="str">
        <x:v>First line khoảng 10 mm</x:v>
      </x:c>
      <x:c r="E256" s="28" t="str">
        <x:v>Thụt đầu dòng: theo quy định riêng cho tiêu đề/đề mục; KHÔNG kế thừa mặc định lời văn</x:v>
      </x:c>
      <x:c r="F256" s="28" t="str">
        <x:v>Tách style tiêu đề khỏi paragraph thân</x:v>
      </x:c>
      <x:c r="G256" s="28" t="str">
        <x:v>CHỈNH V1.1</x:v>
      </x:c>
      <x:c r="H256" s="28" t="str">
        <x:v>ĐÃ SỬA</x:v>
      </x:c>
    </x:row>
    <x:row r="257" ht="46" customHeight="1">
      <x:c r="A257" s="28" t="str">
        <x:v>HD05!P37</x:v>
      </x:c>
      <x:c r="B257" s="28" t="str">
        <x:v>HD05.N.DM.TIEU_MUC</x:v>
      </x:c>
      <x:c r="C257" s="28" t="str">
        <x:v>SỬA</x:v>
      </x:c>
      <x:c r="D257" s="28" t="str">
        <x:v>First line khoảng 10 mm</x:v>
      </x:c>
      <x:c r="E257" s="28" t="str">
        <x:v>Thụt đầu dòng: theo quy định riêng cho tiêu đề/đề mục; KHÔNG kế thừa mặc định lời văn</x:v>
      </x:c>
      <x:c r="F257" s="28" t="str">
        <x:v>Tách style tiêu đề khỏi paragraph thân</x:v>
      </x:c>
      <x:c r="G257" s="28" t="str">
        <x:v>CHỈNH V1.1</x:v>
      </x:c>
      <x:c r="H257" s="28" t="str">
        <x:v>ĐÃ SỬA</x:v>
      </x:c>
    </x:row>
    <x:row r="258" ht="46" customHeight="1">
      <x:c r="A258" s="28" t="str">
        <x:v>HD05!O50</x:v>
      </x:c>
      <x:c r="B258" s="28" t="str">
        <x:v>HD05.N.HINH.DOI_TUONG</x:v>
      </x:c>
      <x:c r="C258" s="28" t="str">
        <x:v>SỬA</x:v>
      </x:c>
      <x:c r="D258" s="28" t="str">
        <x:v>Exactly 18–22 pt; đoạn ≥6 pt</x:v>
      </x:c>
      <x:c r="E258" s="28" t="str">
        <x:v>Theo đoạn chứa hình hoặc chú thích đã nhận diện; không mặc định giãn dòng của lời văn</x:v>
      </x:c>
      <x:c r="F258" s="28" t="str">
        <x:v>Không ép style lên hình</x:v>
      </x:c>
      <x:c r="G258" s="28" t="str">
        <x:v>CHỈNH V1.1</x:v>
      </x:c>
      <x:c r="H258" s="28" t="str">
        <x:v>ĐÃ SỬA</x:v>
      </x:c>
    </x:row>
    <x:row r="259" ht="46" customHeight="1">
      <x:c r="A259" s="28" t="str">
        <x:v>HD05!P50</x:v>
      </x:c>
      <x:c r="B259" s="28" t="str">
        <x:v>HD05.N.HINH.DOI_TUONG</x:v>
      </x:c>
      <x:c r="C259" s="28" t="str">
        <x:v>SỬA</x:v>
      </x:c>
      <x:c r="D259" s="28" t="str">
        <x:v>First line khoảng 10 mm</x:v>
      </x:c>
      <x:c r="E259" s="28" t="str">
        <x:v>Không mặc định thụt đầu dòng; kiểm tra anchor/đoạn chứa hình</x:v>
      </x:c>
      <x:c r="F259" s="28" t="str">
        <x:v>Không ép style lên hình</x:v>
      </x:c>
      <x:c r="G259" s="28" t="str">
        <x:v>CHỈNH V1.1</x:v>
      </x:c>
      <x:c r="H259" s="28" t="str">
        <x:v>ĐÃ SỬA</x:v>
      </x:c>
    </x:row>
    <x:row r="260" ht="46" customHeight="1">
      <x:c r="A260" s="28" t="str">
        <x:v>HD05!S50</x:v>
      </x:c>
      <x:c r="B260" s="28" t="str">
        <x:v>HD05.N.HINH.DOI_TUONG</x:v>
      </x:c>
      <x:c r="C260" s="28" t="str">
        <x:v>SỬA</x:v>
      </x:c>
      <x:c r="D260" s="28" t="str">
        <x:v>Không có một kích cỡ pháp lý chung cho hình</x:v>
      </x:c>
      <x:c r="E260" s="28" t="str">
        <x:v>Chưa có thông số đơn trị được xác minh cho đối tượng hình/chú thích; cần phân biệt image, anchor và caption</x:v>
      </x:c>
      <x:c r="F260" s="28" t="str">
        <x:v>Không suy từ văn bản sang hình</x:v>
      </x:c>
      <x:c r="G260" s="28" t="str">
        <x:v>CHỈNH V1.1</x:v>
      </x:c>
      <x:c r="H260" s="28" t="str">
        <x:v>ĐÃ SỬA</x:v>
      </x:c>
    </x:row>
    <x:row r="261" ht="46" customHeight="1">
      <x:c r="A261" s="28" t="str">
        <x:v>HD05!O51</x:v>
      </x:c>
      <x:c r="B261" s="28" t="str">
        <x:v>HD05.N.HINH.CHU_THICH</x:v>
      </x:c>
      <x:c r="C261" s="28" t="str">
        <x:v>SỬA</x:v>
      </x:c>
      <x:c r="D261" s="28" t="str">
        <x:v>Exactly 18–22 pt; đoạn ≥6 pt</x:v>
      </x:c>
      <x:c r="E261" s="28" t="str">
        <x:v>Theo đoạn chứa hình hoặc chú thích đã nhận diện; không mặc định giãn dòng của lời văn</x:v>
      </x:c>
      <x:c r="F261" s="28" t="str">
        <x:v>Không ép style lên hình</x:v>
      </x:c>
      <x:c r="G261" s="28" t="str">
        <x:v>CHỈNH V1.1</x:v>
      </x:c>
      <x:c r="H261" s="28" t="str">
        <x:v>ĐÃ SỬA</x:v>
      </x:c>
    </x:row>
    <x:row r="262" ht="46" customHeight="1">
      <x:c r="A262" s="28" t="str">
        <x:v>HD05!P51</x:v>
      </x:c>
      <x:c r="B262" s="28" t="str">
        <x:v>HD05.N.HINH.CHU_THICH</x:v>
      </x:c>
      <x:c r="C262" s="28" t="str">
        <x:v>SỬA</x:v>
      </x:c>
      <x:c r="D262" s="28" t="str">
        <x:v>First line khoảng 10 mm</x:v>
      </x:c>
      <x:c r="E262" s="28" t="str">
        <x:v>Không mặc định thụt đầu dòng; kiểm tra anchor/đoạn chứa hình</x:v>
      </x:c>
      <x:c r="F262" s="28" t="str">
        <x:v>Không ép style lên hình</x:v>
      </x:c>
      <x:c r="G262" s="28" t="str">
        <x:v>CHỈNH V1.1</x:v>
      </x:c>
      <x:c r="H262" s="28" t="str">
        <x:v>ĐÃ SỬA</x:v>
      </x:c>
    </x:row>
    <x:row r="263" ht="46" customHeight="1">
      <x:c r="A263" s="28" t="str">
        <x:v>HD05!S51</x:v>
      </x:c>
      <x:c r="B263" s="28" t="str">
        <x:v>HD05.N.HINH.CHU_THICH</x:v>
      </x:c>
      <x:c r="C263" s="28" t="str">
        <x:v>SỬA</x:v>
      </x:c>
      <x:c r="D263" s="28" t="str">
        <x:v>Không có một kích cỡ pháp lý chung cho hình</x:v>
      </x:c>
      <x:c r="E263" s="28" t="str">
        <x:v>Chưa có thông số đơn trị được xác minh cho đối tượng hình/chú thích; cần phân biệt image, anchor và caption</x:v>
      </x:c>
      <x:c r="F263" s="28" t="str">
        <x:v>Không suy từ văn bản sang hình</x:v>
      </x:c>
      <x:c r="G263" s="28" t="str">
        <x:v>CHỈNH V1.1</x:v>
      </x:c>
      <x:c r="H263" s="28" t="str">
        <x:v>ĐÃ SỬA</x:v>
      </x:c>
    </x:row>
    <x:row r="264" ht="46" customHeight="1">
      <x:c r="A264" s="28" t="str">
        <x:v>HD05!S62</x:v>
      </x:c>
      <x:c r="B264" s="28" t="str">
        <x:v>HD05.C.KY.KHOI_KY</x:v>
      </x:c>
      <x:c r="C264" s="28" t="str">
        <x:v>SỬA</x:v>
      </x:c>
      <x:c r="D264" s="28" t="str">
        <x:v>Không gộp C2.1-2.4 thành một style duy nhất</x:v>
      </x:c>
      <x:c r="E264" s="28" t="str">
        <x:v>Không gộp HD05.C.KY.* thành một style duy nhất</x:v>
      </x:c>
      <x:c r="F264" s="28" t="str">
        <x:v>Dùng namespace chính thức</x:v>
      </x:c>
      <x:c r="G264" s="28" t="str">
        <x:v>CHỈNH V1.1</x:v>
      </x:c>
      <x:c r="H264" s="28" t="str">
        <x:v>ĐÃ SỬA</x:v>
      </x:c>
    </x:row>
    <x:row r="265" ht="46" customHeight="1">
      <x:c r="A265" s="28" t="str">
        <x:v>HD05!S83</x:v>
      </x:c>
      <x:c r="B265" s="28" t="str">
        <x:v>HD05.X.LUU_HANH.CHI_DAN</x:v>
      </x:c>
      <x:c r="C265" s="28" t="str">
        <x:v>SỬA</x:v>
      </x:c>
      <x:c r="D265" s="28" t="str">
        <x:v>NĐ30: ô 11, khung viền đơn; HD05: góc phải trang 1 (ngoại lệ “Không phổ biến...” ở trang cuối)</x:v>
      </x:c>
      <x:c r="E265" s="28" t="str">
        <x:v>HD05: góc phải trang 1 (ngoại lệ “Không phổ biến...” ở trang cuối)</x:v>
      </x:c>
      <x:c r="F265" s="28" t="str">
        <x:v>Tách mô tả hệ khác khỏi rule chính</x:v>
      </x:c>
      <x:c r="G265" s="28" t="str">
        <x:v>CHỈNH V1.1</x:v>
      </x:c>
      <x:c r="H265" s="28" t="str">
        <x:v>ĐÃ SỬA</x:v>
      </x:c>
    </x:row>
    <x:row r="266" ht="46" customHeight="1">
      <x:c r="A266" s="28" t="str">
        <x:v>HD05!S85</x:v>
      </x:c>
      <x:c r="B266" s="28" t="str">
        <x:v>HD05.X.SOAN.KY_HIEU_NGUOI_SOAN</x:v>
      </x:c>
      <x:c r="C266" s="28" t="str">
        <x:v>SỬA</x:v>
      </x:c>
      <x:c r="D266" s="28" t="str">
        <x:v>NĐ30: ô 12; HD05: ô 12, cuối Nơi nhận</x:v>
      </x:c>
      <x:c r="E266" s="28" t="str">
        <x:v>HD05: ô 12, cuối Nơi nhận</x:v>
      </x:c>
      <x:c r="F266" s="28" t="str">
        <x:v>Tách mô tả hệ khác khỏi rule chính</x:v>
      </x:c>
      <x:c r="G266" s="28" t="str">
        <x:v>CHỈNH V1.1</x:v>
      </x:c>
      <x:c r="H266" s="28" t="str">
        <x:v>ĐÃ SỬA</x:v>
      </x:c>
    </x:row>
    <x:row r="267" ht="46" customHeight="1">
      <x:c r="A267" s="28" t="str">
        <x:v>HD05!S86</x:v>
      </x:c>
      <x:c r="B267" s="28" t="str">
        <x:v>HD05.X.SOAN.SO_BAN</x:v>
      </x:c>
      <x:c r="C267" s="28" t="str">
        <x:v>SỬA</x:v>
      </x:c>
      <x:c r="D267" s="28" t="str">
        <x:v>NĐ30: ô 12; HD05: ô 12, cuối Nơi nhận</x:v>
      </x:c>
      <x:c r="E267" s="28" t="str">
        <x:v>HD05: ô 12, cuối Nơi nhận</x:v>
      </x:c>
      <x:c r="F267" s="28" t="str">
        <x:v>Tách mô tả hệ khác khỏi rule chính</x:v>
      </x:c>
      <x:c r="G267" s="28" t="str">
        <x:v>CHỈNH V1.1</x:v>
      </x:c>
      <x:c r="H267" s="28" t="str">
        <x:v>ĐÃ SỬA</x:v>
      </x:c>
    </x:row>
    <x:row r="268" ht="46" customHeight="1">
      <x:c r="A268" s="28" t="str">
        <x:v>HD05!S87</x:v>
      </x:c>
      <x:c r="B268" s="28" t="str">
        <x:v>HD05.X.LIEN_HE.DIA_CHI</x:v>
      </x:c>
      <x:c r="C268" s="28" t="str">
        <x:v>SỬA</x:v>
      </x:c>
      <x:c r="D268" s="28" t="str">
        <x:v>NĐ30: trang đầu, dưới đường kẻ ngang hết vùng trình bày; HD05: trang cuối dưới đường kẻ ngang</x:v>
      </x:c>
      <x:c r="E268" s="28" t="str">
        <x:v>HD05: trang cuối dưới đường kẻ ngang</x:v>
      </x:c>
      <x:c r="F268" s="28" t="str">
        <x:v>Tách mô tả hệ khác khỏi rule chính</x:v>
      </x:c>
      <x:c r="G268" s="28" t="str">
        <x:v>CHỈNH V1.1</x:v>
      </x:c>
      <x:c r="H268" s="28" t="str">
        <x:v>ĐÃ SỬA</x:v>
      </x:c>
    </x:row>
    <x:row r="269" ht="46" customHeight="1">
      <x:c r="A269" s="28" t="str">
        <x:v>HD05!S88</x:v>
      </x:c>
      <x:c r="B269" s="28" t="str">
        <x:v>HD05.X.LIEN_HE.EMAIL</x:v>
      </x:c>
      <x:c r="C269" s="28" t="str">
        <x:v>SỬA</x:v>
      </x:c>
      <x:c r="D269" s="28" t="str">
        <x:v>NĐ30: trang đầu, dưới đường kẻ ngang hết vùng trình bày; HD05: trang cuối dưới đường kẻ ngang</x:v>
      </x:c>
      <x:c r="E269" s="28" t="str">
        <x:v>HD05: trang cuối dưới đường kẻ ngang</x:v>
      </x:c>
      <x:c r="F269" s="28" t="str">
        <x:v>Tách mô tả hệ khác khỏi rule chính</x:v>
      </x:c>
      <x:c r="G269" s="28" t="str">
        <x:v>CHỈNH V1.1</x:v>
      </x:c>
      <x:c r="H269" s="28" t="str">
        <x:v>ĐÃ SỬA</x:v>
      </x:c>
    </x:row>
    <x:row r="270" ht="46" customHeight="1">
      <x:c r="A270" s="28" t="str">
        <x:v>HD05!S89</x:v>
      </x:c>
      <x:c r="B270" s="28" t="str">
        <x:v>HD05.X.LIEN_HE.DIEN_THOAI</x:v>
      </x:c>
      <x:c r="C270" s="28" t="str">
        <x:v>SỬA</x:v>
      </x:c>
      <x:c r="D270" s="28" t="str">
        <x:v>NĐ30: trang đầu, dưới đường kẻ ngang hết vùng trình bày; HD05: trang cuối dưới đường kẻ ngang</x:v>
      </x:c>
      <x:c r="E270" s="28" t="str">
        <x:v>HD05: trang cuối dưới đường kẻ ngang</x:v>
      </x:c>
      <x:c r="F270" s="28" t="str">
        <x:v>Tách mô tả hệ khác khỏi rule chính</x:v>
      </x:c>
      <x:c r="G270" s="28" t="str">
        <x:v>CHỈNH V1.1</x:v>
      </x:c>
      <x:c r="H270" s="28" t="str">
        <x:v>ĐÃ SỬA</x:v>
      </x:c>
    </x:row>
    <x:row r="271" ht="46" customHeight="1">
      <x:c r="A271" s="28" t="str">
        <x:v>HD05!S90</x:v>
      </x:c>
      <x:c r="B271" s="28" t="str">
        <x:v>HD05.X.LIEN_HE.WEB</x:v>
      </x:c>
      <x:c r="C271" s="28" t="str">
        <x:v>SỬA</x:v>
      </x:c>
      <x:c r="D271" s="28" t="str">
        <x:v>NĐ30: trang đầu, dưới đường kẻ ngang hết vùng trình bày; HD05: trang cuối dưới đường kẻ ngang</x:v>
      </x:c>
      <x:c r="E271" s="28" t="str">
        <x:v>HD05: trang cuối dưới đường kẻ ngang</x:v>
      </x:c>
      <x:c r="F271" s="28" t="str">
        <x:v>Tách mô tả hệ khác khỏi rule chính</x:v>
      </x:c>
      <x:c r="G271" s="28" t="str">
        <x:v>CHỈNH V1.1</x:v>
      </x:c>
      <x:c r="H271" s="28" t="str">
        <x:v>ĐÃ SỬA</x:v>
      </x:c>
    </x:row>
    <x:row r="272" ht="46" customHeight="1">
      <x:c r="A272" s="28" t="str">
        <x:v>HD05!S91</x:v>
      </x:c>
      <x:c r="B272" s="28" t="str">
        <x:v>HD05.X.LIEN_HE.FAX</x:v>
      </x:c>
      <x:c r="C272" s="28" t="str">
        <x:v>SỬA</x:v>
      </x:c>
      <x:c r="D272" s="28" t="str">
        <x:v>NĐ30: trang đầu, dưới đường kẻ ngang hết vùng trình bày; HD05: trang cuối dưới đường kẻ ngang</x:v>
      </x:c>
      <x:c r="E272" s="28" t="str">
        <x:v>HD05: trang cuối dưới đường kẻ ngang</x:v>
      </x:c>
      <x:c r="F272" s="28" t="str">
        <x:v>Tách mô tả hệ khác khỏi rule chính</x:v>
      </x:c>
      <x:c r="G272" s="28" t="str">
        <x:v>CHỈNH V1.1</x:v>
      </x:c>
      <x:c r="H272" s="28" t="str">
        <x:v>ĐÃ SỬA</x:v>
      </x:c>
    </x:row>
    <x:row r="273" ht="46" customHeight="1">
      <x:c r="A273" s="28" t="str">
        <x:v>ND30!S32</x:v>
      </x:c>
      <x:c r="B273" s="28" t="str">
        <x:v>ND30.N.DM.PHAN</x:v>
      </x:c>
      <x:c r="C273" s="28" t="str">
        <x:v>SỬA</x:v>
      </x:c>
      <x:c r="D273" s="28" t="str">
        <x:v>NĐ30 dùng số La Mã cho Phần/Chương; HD05 theo dạng văn bản</x:v>
      </x:c>
      <x:c r="E273" s="28" t="str">
        <x:v>Từ “Phần” và số thứ tự phần dùng chữ số La Mã; dùng rule NĐ30 khi mẫu có phần</x:v>
      </x:c>
      <x:c r="F273" s="28" t="str">
        <x:v>Tách nội dung chéo hai hệ</x:v>
      </x:c>
      <x:c r="G273" s="28" t="str">
        <x:v>CHỈNH V1.1</x:v>
      </x:c>
      <x:c r="H273" s="28" t="str">
        <x:v>ĐÃ SỬA</x:v>
      </x:c>
    </x:row>
    <x:row r="274" ht="46" customHeight="1">
      <x:c r="A274" s="28" t="str">
        <x:v>ND30!S36</x:v>
      </x:c>
      <x:c r="B274" s="28" t="str">
        <x:v>ND30.N.DIEU.SO_DIEU</x:v>
      </x:c>
      <x:c r="C274" s="28" t="str">
        <x:v>SỬA</x:v>
      </x:c>
      <x:c r="D274" s="28" t="str">
        <x:v>NĐ30: “Điều 1.”; phần nhãn/tên đậm; HD05 tương ứng Phụ lục 2</x:v>
      </x:c>
      <x:c r="E274" s="28" t="str">
        <x:v>Điều và số điều dạng “Điều 1.”; phải đối chiếu kiểu chữ với NĐ30, Phụ lục I, mục II.6</x:v>
      </x:c>
      <x:c r="F274" s="28" t="str">
        <x:v>Tách nội dung chéo hai hệ</x:v>
      </x:c>
      <x:c r="G274" s="28" t="str">
        <x:v>CHỈNH V1.1</x:v>
      </x:c>
      <x:c r="H274" s="28" t="str">
        <x:v>ĐÃ SỬA</x:v>
      </x:c>
    </x:row>
    <x:row r="275" ht="46" customHeight="1">
      <x:c r="A275" s="28" t="str">
        <x:v>ND30!S37</x:v>
      </x:c>
      <x:c r="B275" s="28" t="str">
        <x:v>ND30.N.DIEU.TEN_DIEU</x:v>
      </x:c>
      <x:c r="C275" s="28" t="str">
        <x:v>SỬA</x:v>
      </x:c>
      <x:c r="D275" s="28" t="str">
        <x:v>NĐ30: “Điều 1.”; phần nhãn/tên đậm; HD05 tương ứng Phụ lục 2</x:v>
      </x:c>
      <x:c r="E275" s="28" t="str">
        <x:v>Tên điều theo bố cục của văn bản có điều; không suy từ quy định của hệ Đảng</x:v>
      </x:c>
      <x:c r="F275" s="28" t="str">
        <x:v>Tách nội dung chéo hai hệ</x:v>
      </x:c>
      <x:c r="G275" s="28" t="str">
        <x:v>CHỈNH V1.1</x:v>
      </x:c>
      <x:c r="H275" s="28" t="str">
        <x:v>ĐÃ SỬA</x:v>
      </x:c>
    </x:row>
    <x:row r="276" ht="46" customHeight="1">
      <x:c r="A276" s="28" t="str">
        <x:v>ND30!S38</x:v>
      </x:c>
      <x:c r="B276" s="28" t="str">
        <x:v>ND30.N.DIEU.NOI_DUNG_DIEU</x:v>
      </x:c>
      <x:c r="C276" s="28" t="str">
        <x:v>SỬA</x:v>
      </x:c>
      <x:c r="D276" s="28" t="str">
        <x:v>NĐ30: “Điều 1.”; phần nhãn/tên đậm; HD05 tương ứng Phụ lục 2</x:v>
      </x:c>
      <x:c r="E276" s="28" t="str">
        <x:v>Nội dung điều theo mẫu/loại văn bản NĐ30; không lấy quy tắc trình bày của HD05</x:v>
      </x:c>
      <x:c r="F276" s="28" t="str">
        <x:v>Tách nội dung chéo hai hệ</x:v>
      </x:c>
      <x:c r="G276" s="28" t="str">
        <x:v>CHỈNH V1.1</x:v>
      </x:c>
      <x:c r="H276" s="28" t="str">
        <x:v>ĐÃ SỬA</x:v>
      </x:c>
    </x:row>
    <x:row r="277" ht="46" customHeight="1">
      <x:c r="A277" s="28" t="str">
        <x:v>ND30!S51</x:v>
      </x:c>
      <x:c r="B277" s="28" t="str">
        <x:v>ND30.C.NN.NHAN_NOI_NHAN</x:v>
      </x:c>
      <x:c r="C277" s="28" t="str">
        <x:v>SỬA</x:v>
      </x:c>
      <x:c r="D277" s="28" t="str">
        <x:v>Nơi nhận:; HD05 có gạch ngang bên dưới</x:v>
      </x:c>
      <x:c r="E277" s="28" t="str">
        <x:v>Nhãn “Nơi nhận:” trình bày theo NĐ30, Phụ lục I, mục II.9</x:v>
      </x:c>
      <x:c r="F277" s="28" t="str">
        <x:v>Tách nội dung chéo hai hệ</x:v>
      </x:c>
      <x:c r="G277" s="28" t="str">
        <x:v>CHỈNH V1.1</x:v>
      </x:c>
      <x:c r="H277" s="28" t="str">
        <x:v>ĐÃ SỬA</x:v>
      </x:c>
    </x:row>
    <x:row r="278" ht="46" customHeight="1">
      <x:c r="A278" s="28" t="str">
        <x:v>ND30!S62</x:v>
      </x:c>
      <x:c r="B278" s="28" t="str">
        <x:v>ND30.G.TRANG.KHO_GIAY</x:v>
      </x:c>
      <x:c r="C278" s="28" t="str">
        <x:v>SỬA</x:v>
      </x:c>
      <x:c r="D278" s="28" t="str">
        <x:v>210 × 297 mm; HD05: một số giấy tờ hành chính theo chế độ có A5/mẫu in sẵn</x:v>
      </x:c>
      <x:c r="E278" s="28" t="str">
        <x:v>Giấy A4: 210 × 297 mm theo NĐ30, Phụ lục I; ngoại lệ chỉ khi có căn cứ riêng</x:v>
      </x:c>
      <x:c r="F278" s="28" t="str">
        <x:v>Tách nội dung chéo hai hệ</x:v>
      </x:c>
      <x:c r="G278" s="28" t="str">
        <x:v>CHỈNH V1.1</x:v>
      </x:c>
      <x:c r="H278" s="28" t="str">
        <x:v>ĐÃ SỬA</x:v>
      </x:c>
    </x:row>
    <x:row r="279" ht="46" customHeight="1">
      <x:c r="A279" s="28" t="str">
        <x:v>HD05!S34</x:v>
      </x:c>
      <x:c r="B279" s="28" t="str">
        <x:v>HD05.N.DM.PHAN</x:v>
      </x:c>
      <x:c r="C279" s="28" t="str">
        <x:v>SỬA</x:v>
      </x:c>
      <x:c r="D279" s="28" t="str">
        <x:v>NĐ30 dùng số La Mã cho Phần/Chương; HD05 theo dạng văn bản</x:v>
      </x:c>
      <x:c r="E279" s="28" t="str">
        <x:v>Phần: số La Mã hoặc ghi bằng chữ; trình bày giữa hai lề, tên phần ở dòng tiếp theo (HD05 6.2.4.a)</x:v>
      </x:c>
      <x:c r="F279" s="28" t="str">
        <x:v>Tách nội dung chéo hai hệ</x:v>
      </x:c>
      <x:c r="G279" s="28" t="str">
        <x:v>CHỈNH V1.1</x:v>
      </x:c>
      <x:c r="H279" s="28" t="str">
        <x:v>ĐÃ SỬA</x:v>
      </x:c>
    </x:row>
    <x:row r="280" ht="46" customHeight="1">
      <x:c r="A280" s="28" t="str">
        <x:v>HD05!S35</x:v>
      </x:c>
      <x:c r="B280" s="28" t="str">
        <x:v>HD05.N.DM.CHUONG</x:v>
      </x:c>
      <x:c r="C280" s="28" t="str">
        <x:v>SỬA</x:v>
      </x:c>
      <x:c r="D280" s="28" t="str">
        <x:v>NĐ30 dùng số La Mã cho Phần/Chương; HD05 theo dạng văn bản</x:v>
      </x:c>
      <x:c r="E280" s="28" t="str">
        <x:v>Chương: số La Mã hoặc ghi bằng chữ; trình bày giữa hai lề, tên chương ở dòng tiếp theo (HD05 6.2.4.a)</x:v>
      </x:c>
      <x:c r="F280" s="28" t="str">
        <x:v>Tách nội dung chéo hai hệ</x:v>
      </x:c>
      <x:c r="G280" s="28" t="str">
        <x:v>CHỈNH V1.1</x:v>
      </x:c>
      <x:c r="H280" s="28" t="str">
        <x:v>ĐÃ SỬA</x:v>
      </x:c>
    </x:row>
    <x:row r="281" ht="46" customHeight="1">
      <x:c r="A281" s="28" t="str">
        <x:v>HD05!S36</x:v>
      </x:c>
      <x:c r="B281" s="28" t="str">
        <x:v>HD05.N.DM.MUC</x:v>
      </x:c>
      <x:c r="C281" s="28" t="str">
        <x:v>SỬA</x:v>
      </x:c>
      <x:c r="D281" s="28" t="str">
        <x:v>NĐ30 nhãn số Ả Rập và title IN HOA khi áp bố cục có Chương/Mục</x:v>
      </x:c>
      <x:c r="E281" s="28" t="str">
        <x:v>Mục: số Ả Rập, căn giữa; tên mục ở dòng liền kề (HD05 6.2.4.b)</x:v>
      </x:c>
      <x:c r="F281" s="28" t="str">
        <x:v>Tách nội dung chéo hai hệ</x:v>
      </x:c>
      <x:c r="G281" s="28" t="str">
        <x:v>CHỈNH V1.1</x:v>
      </x:c>
      <x:c r="H281" s="28" t="str">
        <x:v>ĐÃ SỬA</x:v>
      </x:c>
    </x:row>
    <x:row r="282" ht="46" customHeight="1">
      <x:c r="A282" s="28" t="str">
        <x:v>HD05!S37</x:v>
      </x:c>
      <x:c r="B282" s="28" t="str">
        <x:v>HD05.N.DM.TIEU_MUC</x:v>
      </x:c>
      <x:c r="C282" s="28" t="str">
        <x:v>SỬA</x:v>
      </x:c>
      <x:c r="D282" s="28" t="str">
        <x:v>NĐ30 nhãn số Ả Rập và title IN HOA khi áp bố cục có Chương/Mục</x:v>
      </x:c>
      <x:c r="E282" s="28" t="str">
        <x:v>Tiểu mục: chưa có định nghĩa riêng trong HD05 6.2.4; cần source/mẫu hợp lệ trước khi áp dụng</x:v>
      </x:c>
      <x:c r="F282" s="28" t="str">
        <x:v>Tách nội dung chéo hai hệ</x:v>
      </x:c>
      <x:c r="G282" s="28" t="str">
        <x:v>CHỈNH V1.1</x:v>
      </x:c>
      <x:c r="H282" s="28" t="str">
        <x:v>ĐÃ SỬA</x:v>
      </x:c>
    </x:row>
    <x:row r="283" ht="46" customHeight="1">
      <x:c r="A283" s="28" t="str">
        <x:v>HD05!S38</x:v>
      </x:c>
      <x:c r="B283" s="28" t="str">
        <x:v>HD05.N.DIEU.SO_DIEU</x:v>
      </x:c>
      <x:c r="C283" s="28" t="str">
        <x:v>SỬA</x:v>
      </x:c>
      <x:c r="D283" s="28" t="str">
        <x:v>NĐ30: “Điều 1.”; phần nhãn/tên đậm; HD05 tương ứng Phụ lục 2</x:v>
      </x:c>
      <x:c r="E283" s="28" t="str">
        <x:v>Điều: số thứ tự bằng số Ả Rập, sau số thứ tự có dấu chấm (HD05 6.2.4.c)</x:v>
      </x:c>
      <x:c r="F283" s="28" t="str">
        <x:v>Tách nội dung chéo hai hệ</x:v>
      </x:c>
      <x:c r="G283" s="28" t="str">
        <x:v>CHỈNH V1.1</x:v>
      </x:c>
      <x:c r="H283" s="28" t="str">
        <x:v>ĐÃ SỬA</x:v>
      </x:c>
    </x:row>
    <x:row r="284" ht="46" customHeight="1">
      <x:c r="A284" s="28" t="str">
        <x:v>HD05!S39</x:v>
      </x:c>
      <x:c r="B284" s="28" t="str">
        <x:v>HD05.N.DIEU.TEN_DIEU</x:v>
      </x:c>
      <x:c r="C284" s="28" t="str">
        <x:v>SỬA</x:v>
      </x:c>
      <x:c r="D284" s="28" t="str">
        <x:v>NĐ30: “Điều 1.”; phần nhãn/tên đậm; HD05 tương ứng Phụ lục 2</x:v>
      </x:c>
      <x:c r="E284" s="28" t="str">
        <x:v>Tên điều cùng dòng với từ “Điều” và số điều (HD05 6.2.4.c)</x:v>
      </x:c>
      <x:c r="F284" s="28" t="str">
        <x:v>Tách nội dung chéo hai hệ</x:v>
      </x:c>
      <x:c r="G284" s="28" t="str">
        <x:v>CHỈNH V1.1</x:v>
      </x:c>
      <x:c r="H284" s="28" t="str">
        <x:v>ĐÃ SỬA</x:v>
      </x:c>
    </x:row>
    <x:row r="285" ht="46" customHeight="1">
      <x:c r="A285" s="28" t="str">
        <x:v>HD05!S40</x:v>
      </x:c>
      <x:c r="B285" s="28" t="str">
        <x:v>HD05.N.DIEU.NOI_DUNG_DIEU</x:v>
      </x:c>
      <x:c r="C285" s="28" t="str">
        <x:v>SỬA</x:v>
      </x:c>
      <x:c r="D285" s="28" t="str">
        <x:v>NĐ30: “Điều 1.”; phần nhãn/tên đậm; HD05 tương ứng Phụ lục 2</x:v>
      </x:c>
      <x:c r="E285" s="28" t="str">
        <x:v>Nội dung điều có thể trình bày cùng dòng với từ “Điều” và số điều (HD05 6.2.4.c)</x:v>
      </x:c>
      <x:c r="F285" s="28" t="str">
        <x:v>Tách nội dung chéo hai hệ</x:v>
      </x:c>
      <x:c r="G285" s="28" t="str">
        <x:v>CHỈNH V1.1</x:v>
      </x:c>
      <x:c r="H285" s="28" t="str">
        <x:v>ĐÃ SỬA</x:v>
      </x:c>
    </x:row>
    <x:row r="286" ht="46" customHeight="1">
      <x:c r="A286" s="28" t="str">
        <x:v>HD05!S54</x:v>
      </x:c>
      <x:c r="B286" s="28" t="str">
        <x:v>HD05.C.NN.DUONG_KE</x:v>
      </x:c>
      <x:c r="C286" s="28" t="str">
        <x:v>SỬA</x:v>
      </x:c>
      <x:c r="D286" s="28" t="str">
        <x:v>Không có thành phần tương ứng độc lập của NĐ30</x:v>
      </x:c>
      <x:c r="E286" s="28" t="str">
        <x:v>Đường kẻ ngang liền dưới cụm “Nơi nhận”, dài tương ứng với cụm từ (HD05 9.2.1)</x:v>
      </x:c>
      <x:c r="F286" s="28" t="str">
        <x:v>Tách nội dung chéo hai hệ</x:v>
      </x:c>
      <x:c r="G286" s="28" t="str">
        <x:v>CHỈNH V1.1</x:v>
      </x:c>
      <x:c r="H286" s="28" t="str">
        <x:v>ĐÃ SỬA</x:v>
      </x:c>
    </x:row>
    <x:row r="287">
      <x:c r="A287" t="str">
        <x:v>ND30.X.SOAN.KY_HIEU_NGUOI_SOAN</x:v>
      </x:c>
      <x:c r="B287" t="str">
        <x:v>ND30.X.SOAN.KY_HIEU_NGUOI_SOAN</x:v>
      </x:c>
      <x:c r="C287" t="str">
        <x:v>SỬA v1.2</x:v>
      </x:c>
      <x:c r="D287" t="str">
        <x:v>10–11 pt</x:v>
      </x:c>
      <x:c r="E287" t="str">
        <x:v>11 pt, ký hiệu IN HOA</x:v>
      </x:c>
      <x:c r="F287" t="str">
        <x:v>NĐ30 PL I, III.3</x:v>
      </x:c>
      <x:c r="G287" t="str">
        <x:v>ĐỐI CHIẾU NGUỒN</x:v>
      </x:c>
      <x:c r="H287" t="str">
        <x:v>ĐÃ SỬA</x:v>
      </x:c>
    </x:row>
    <x:row r="288">
      <x:c r="A288" t="str">
        <x:v>ND30.X.SOAN.SO_BAN</x:v>
      </x:c>
      <x:c r="B288" t="str">
        <x:v>ND30.X.SOAN.SO_BAN</x:v>
      </x:c>
      <x:c r="C288" t="str">
        <x:v>SỬA v1.2</x:v>
      </x:c>
      <x:c r="D288" t="str">
        <x:v>10–11 pt, mô tả IN HOA</x:v>
      </x:c>
      <x:c r="E288" t="str">
        <x:v>11 pt; số lượng bản là chữ số Ả Rập</x:v>
      </x:c>
      <x:c r="F288" t="str">
        <x:v>NĐ30 PL I, III.3</x:v>
      </x:c>
      <x:c r="G288" t="str">
        <x:v>ĐỐI CHIẾU NGUỒN</x:v>
      </x:c>
      <x:c r="H288" t="str">
        <x:v>ĐÃ SỬA</x:v>
      </x:c>
    </x:row>
    <x:row r="289">
      <x:c r="A289" t="str">
        <x:v>ND30.D.SK.KY_HIEU_LOAI</x:v>
      </x:c>
      <x:c r="B289" t="str">
        <x:v>ND30.D.SK.KY_HIEU_LOAI</x:v>
      </x:c>
      <x:c r="C289" t="str">
        <x:v>SỬA v1.2</x:v>
      </x:c>
      <x:c r="D289" t="str">
        <x:v>Không xác định chữ hoa</x:v>
      </x:c>
      <x:c r="E289" t="str">
        <x:v>IN HOA theo bảng viết tắt NĐ30</x:v>
      </x:c>
      <x:c r="F289" t="str">
        <x:v>NĐ30 PL I II.3/PL III</x:v>
      </x:c>
      <x:c r="G289" t="str">
        <x:v>ĐỐI CHIẾU MỘT PHẦN</x:v>
      </x:c>
      <x:c r="H289" t="str">
        <x:v>ĐÃ SỬA</x:v>
      </x:c>
    </x:row>
    <x:row r="290">
      <x:c r="A290" t="str">
        <x:v>HD05.D.NHAN.KINH_GUI</x:v>
      </x:c>
      <x:c r="B290" t="str">
        <x:v>HD05.D.NHAN.KINH_GUI</x:v>
      </x:c>
      <x:c r="C290" t="str">
        <x:v>GIỮ v1.2</x:v>
      </x:c>
      <x:c r="D290" t="str">
        <x:v>Nghi vấn ô 5a</x:v>
      </x:c>
      <x:c r="E290" t="str">
        <x:v>Giữ ô 5a riêng cho công văn</x:v>
      </x:c>
      <x:c r="F290" t="str">
        <x:v>HD05 II.9.2.3</x:v>
      </x:c>
      <x:c r="G290" t="str">
        <x:v>XÁC MINH PDF</x:v>
      </x:c>
      <x:c r="H290" t="str">
        <x:v>GIỮ NGUYÊN</x:v>
      </x:c>
    </x:row>
    <x:row r="291">
      <x:c r="A291" t="str">
        <x:v>HD05.D.NHAN.KINH_TRINH</x:v>
      </x:c>
      <x:c r="B291" t="str">
        <x:v>HD05.D.NHAN.KINH_TRINH</x:v>
      </x:c>
      <x:c r="C291" t="str">
        <x:v>GIỮ v1.2</x:v>
      </x:c>
      <x:c r="D291" t="str">
        <x:v>Nghi vấn ô 9b</x:v>
      </x:c>
      <x:c r="E291" t="str">
        <x:v>Giữ ô 9b riêng cho tờ trình</x:v>
      </x:c>
      <x:c r="F291" t="str">
        <x:v>HD05 II.9.2.4</x:v>
      </x:c>
      <x:c r="G291" t="str">
        <x:v>XÁC MINH PDF</x:v>
      </x:c>
      <x:c r="H291" t="str">
        <x:v>GIỮ NGUYÊN</x:v>
      </x:c>
    </x:row>
    <x:row r="292">
      <x:c r="A292" t="str">
        <x:v>ND30.C.KY.CHU_KY</x:v>
      </x:c>
      <x:c r="B292" t="str">
        <x:v>ND30.C.KY.CHU_KY</x:v>
      </x:c>
      <x:c r="C292" t="str">
        <x:v>GIỮ v1.2</x:v>
      </x:c>
      <x:c r="D292" t="str">
        <x:v>Nghi vấn ô ký</x:v>
      </x:c>
      <x:c r="E292" t="str">
        <x:v>Chữ ký 7c; họ tên 7b</x:v>
      </x:c>
      <x:c r="F292" t="str">
        <x:v>NĐ30 PL I II.7</x:v>
      </x:c>
      <x:c r="G292" t="str">
        <x:v>XÁC MINH</x:v>
      </x:c>
      <x:c r="H292" t="str">
        <x:v>GIỮ NGUYÊN</x:v>
      </x:c>
    </x:row>
    <x:row r="293">
      <x:c r="A293" t="str">
        <x:v>HD05.C.KY.CHU_KY</x:v>
      </x:c>
      <x:c r="B293" t="str">
        <x:v>HD05.C.KY.CHU_KY</x:v>
      </x:c>
      <x:c r="C293" t="str">
        <x:v>GIỮ v1.2</x:v>
      </x:c>
      <x:c r="D293" t="str">
        <x:v>Nghi vấn ô ký</x:v>
      </x:c>
      <x:c r="E293" t="str">
        <x:v>Chữ ký 7c; họ tên 7b</x:v>
      </x:c>
      <x:c r="F293" t="str">
        <x:v>HD05 II.7.2.2–3</x:v>
      </x:c>
      <x:c r="G293" t="str">
        <x:v>XÁC MINH PDF</x:v>
      </x:c>
      <x:c r="H293" t="str">
        <x:v>GIỮ NGUYÊN</x:v>
      </x:c>
    </x:row>
    <x:row r="294">
      <x:c r="A294" t="str">
        <x:v>HD05.X.MAT.MUC_DO</x:v>
      </x:c>
      <x:c r="B294" t="str">
        <x:v>HD05.X.MAT.MUC_DO</x:v>
      </x:c>
      <x:c r="C294" t="str">
        <x:v>GIỮ v1.2</x:v>
      </x:c>
      <x:c r="D294" t="str">
        <x:v>Cần gán ô</x:v>
      </x:c>
      <x:c r="E294" t="str">
        <x:v>Không tự gán ô khi Phụ lục 1 không ghi ô riêng</x:v>
      </x:c>
      <x:c r="F294" t="str">
        <x:v>HD05 II.II.2</x:v>
      </x:c>
      <x:c r="G294" t="str">
        <x:v>XÁC MINH</x:v>
      </x:c>
      <x:c r="H294" t="str">
        <x:v>CẦN RÀ SOÁT</x:v>
      </x:c>
    </x:row>
    <x:row r="295">
      <x:c r="A295" t="str">
        <x:v>README</x:v>
      </x:c>
      <x:c r="B295" t="str">
        <x:v>README</x:v>
      </x:c>
      <x:c r="C295" t="str">
        <x:v>SỬA v1.2</x:v>
      </x:c>
      <x:c r="D295" t="str">
        <x:v>Nhãn vùng thông số bị lệch</x:v>
      </x:c>
      <x:c r="E295" t="str">
        <x:v>Khôi phục nhãn dòng 34–36 và mô tả</x:v>
      </x:c>
      <x:c r="F295" t="str">
        <x:v>QA audit người dùng</x:v>
      </x:c>
      <x:c r="G295" t="str">
        <x:v>KIỂM TRA TỆP</x:v>
      </x:c>
      <x:c r="H295" t="str">
        <x:v>ĐÃ SỬA</x:v>
      </x:c>
    </x:row>
    <x:row r="296">
      <x:c r="A296" t="str">
        <x:v>KIEM_TRA</x:v>
      </x:c>
      <x:c r="B296" t="str">
        <x:v>KIEM_TRA</x:v>
      </x:c>
      <x:c r="C296" t="str">
        <x:v>SỬA v1.2</x:v>
      </x:c>
      <x:c r="D296" t="str">
        <x:v>Danh sách mã chép tĩnh</x:v>
      </x:c>
      <x:c r="E296" t="str">
        <x:v>Đọc bằng công thức từ ND30/HD05</x:v>
      </x:c>
      <x:c r="F296" t="str">
        <x:v>Data quality</x:v>
      </x:c>
      <x:c r="G296" t="str">
        <x:v>KIỂM TRA TỆP</x:v>
      </x:c>
      <x:c r="H296" t="str">
        <x:v>ĐÃ SỬA</x:v>
      </x:c>
    </x:row>
  </x:sheetData>
  <x:pageMargins left="0.7" right="0.7" top="0.75" bottom="0.75" header="0.3" footer="0.3"/>
  <x:tableParts count="1">
    <x:tablePart xmlns:r="http://schemas.openxmlformats.org/officeDocument/2006/relationships" r:id="R7699dfd25b0d446c"/>
  </x:tableParts>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32" hidden="0" customWidth="1"/>
    <x:col min="3" max="3" width="26" hidden="0" customWidth="1"/>
    <x:col min="4" max="4" width="26" hidden="0" customWidth="1"/>
  </x:cols>
  <x:sheetData>
    <x:row r="1" ht="28" customHeight="1">
      <x:c r="A1" s="110" t="str">
        <x:v>Mức xác minh (W)</x:v>
      </x:c>
      <x:c r="B1" s="110" t="str">
        <x:v>Chính sách sửa (X)</x:v>
      </x:c>
      <x:c r="C1" s="110" t="str">
        <x:v>Kết luận Validator</x:v>
      </x:c>
      <x:c r="D1" s="110" t="str">
        <x:v>Chế độ</x:v>
      </x:c>
    </x:row>
    <x:row r="2">
      <x:c r="A2" t="str">
        <x:v>ĐỐI CHIẾU MỘT PHẦN</x:v>
      </x:c>
      <x:c r="B2" t="str">
        <x:v>READ_ONLY</x:v>
      </x:c>
      <x:c r="C2" t="str">
        <x:v>PASS</x:v>
      </x:c>
      <x:c r="D2" t="str">
        <x:v>ND30</x:v>
      </x:c>
    </x:row>
    <x:row r="3">
      <x:c r="A3" t="str">
        <x:v>CHƯA ĐỦ BẰNG CHỨNG</x:v>
      </x:c>
      <x:c r="B3" t="str">
        <x:v>CHỈ SAU REVIEW</x:v>
      </x:c>
      <x:c r="C3" t="str">
        <x:v>FAIL</x:v>
      </x:c>
      <x:c r="D3" t="str">
        <x:v>HD05</x:v>
      </x:c>
    </x:row>
    <x:row r="4">
      <x:c r="A4" t="str">
        <x:v>CẦN RÀ SOÁT</x:v>
      </x:c>
      <x:c r="B4" t="str">
        <x:v>BẢO VỆ / KHÔNG TỰ SỬA</x:v>
      </x:c>
      <x:c r="C4" t="str">
        <x:v>NOT_APPLICABLE</x:v>
      </x:c>
      <x:c r="D4" t="str">
        <x:v>SPECIALIZED</x:v>
      </x:c>
    </x:row>
    <x:row r="5">
      <x:c r="A5" t="str">
        <x:v>CẦN QA KỸ THUẬT</x:v>
      </x:c>
      <x:c r="B5" t="str">
        <x:v>REVIEW TRƯỚC KHI SỬA</x:v>
      </x:c>
      <x:c r="C5" t="str">
        <x:v>INSUFFICIENT_DATA</x:v>
      </x:c>
      <x:c r="D5" t="str">
        <x:v>UNKNOWN</x:v>
      </x:c>
    </x:row>
    <x:row r="6">
      <x:c r="A6"/>
      <x:c r="B6" t="str">
        <x:v>CHECK_ONLY</x:v>
      </x:c>
      <x:c r="C6"/>
      <x:c r="D6"/>
    </x:row>
    <x:row r="7">
      <x:c r="A7"/>
      <x:c r="B7" t="str">
        <x:v>NEVER_GENERATE</x:v>
      </x:c>
      <x:c r="C7"/>
      <x:c r="D7"/>
    </x:row>
  </x:sheetData>
  <x:pageMargins left="0.7" right="0.7" top="0.75" bottom="0.75" header="0.3" footer="0.3"/>
</x:worksheet>
</file>

<file path=xl/worksheets/sheet7.xml><?xml version="1.0" encoding="utf-8"?>
<x:worksheet xmlns:x="http://schemas.openxmlformats.org/spreadsheetml/2006/main">
  <x:sheetViews>
    <x:sheetView workbookViewId="0">
      <x:pane xSplit="2" ySplit="6" topLeftCell="C7" activePane="bottomRight" state="frozen"/>
    </x:sheetView>
  </x:sheetViews>
  <x:sheetFormatPr defaultRowHeight="15"/>
  <x:cols>
    <x:col min="1" max="1" width="6" hidden="0" customWidth="1"/>
    <x:col min="2" max="2" width="43" hidden="0" customWidth="1"/>
    <x:col min="3" max="3" width="14" hidden="0" customWidth="1"/>
    <x:col min="4" max="4" width="25" hidden="0" customWidth="1"/>
    <x:col min="5" max="5" width="34" hidden="0" customWidth="1"/>
    <x:col min="6" max="6" width="12" hidden="0" customWidth="1"/>
    <x:col min="7" max="7" width="40" hidden="0" customWidth="1"/>
    <x:col min="8" max="8" width="39" hidden="0" customWidth="1"/>
    <x:col min="9" max="9" width="27" hidden="0" customWidth="1"/>
    <x:col min="10" max="10" width="13" hidden="0" customWidth="1"/>
    <x:col min="11" max="11" width="26" hidden="0" customWidth="1"/>
    <x:col min="12" max="12" width="17" hidden="0" customWidth="1"/>
    <x:col min="13" max="13" width="18" hidden="0" customWidth="1"/>
    <x:col min="14" max="14" width="35" hidden="0" customWidth="1"/>
    <x:col min="15" max="15" width="36" hidden="0" customWidth="1"/>
    <x:col min="16" max="16" width="37" hidden="0" customWidth="1"/>
    <x:col min="17" max="17" width="38" hidden="0" customWidth="1"/>
    <x:col min="18" max="18" width="42" hidden="0" customWidth="1"/>
    <x:col min="19" max="19" width="50" hidden="0" customWidth="1"/>
    <x:col min="20" max="20" width="39" hidden="0" customWidth="1"/>
    <x:col min="21" max="21" width="32" hidden="0" customWidth="1"/>
    <x:col min="22" max="22" width="32" hidden="0" customWidth="1"/>
    <x:col min="23" max="23" width="24" hidden="0" customWidth="1"/>
    <x:col min="24" max="24" width="27" hidden="0" customWidth="1"/>
    <x:col min="25" max="25" width="44" hidden="0" customWidth="1"/>
    <x:col min="26" max="26" width="56" hidden="0" customWidth="1"/>
    <x:col min="27" max="27" width="31" hidden="0" customWidth="1"/>
    <x:col min="28" max="28" width="32" hidden="0" customWidth="1"/>
    <x:col min="29" max="29" width="25" hidden="0" customWidth="1"/>
    <x:col min="30" max="30" width="47" hidden="0" customWidth="1"/>
    <x:col min="31" max="31" width="64" hidden="0" customWidth="1"/>
    <x:col min="32" max="32" width="55" hidden="0" customWidth="1"/>
    <x:col min="33" max="33" width="19" hidden="0" customWidth="1"/>
    <x:col min="34" max="34" width="19" hidden="0" customWidth="1"/>
    <x:col min="35" max="35" width="15" hidden="0" customWidth="1"/>
    <x:col min="36" max="36" width="15" hidden="0" customWidth="1"/>
    <x:col min="37" max="37" width="15" hidden="0" customWidth="1"/>
    <x:col min="38" max="38" width="15" hidden="0" customWidth="1"/>
    <x:col min="39" max="39" width="19" hidden="0" customWidth="1"/>
    <x:col min="40" max="40" width="19" hidden="0" customWidth="1"/>
    <x:col min="41" max="41" width="34" hidden="0" customWidth="1"/>
    <x:col min="42" max="42" width="19" hidden="0" customWidth="1"/>
    <x:col min="43" max="43" width="19" hidden="0" customWidth="1"/>
    <x:col min="44" max="44" width="19" hidden="0" customWidth="1"/>
    <x:col min="45" max="45" width="19" hidden="0" customWidth="1"/>
    <x:col min="46" max="46" width="19" hidden="0" customWidth="1"/>
    <x:col min="47" max="47" width="19" hidden="0" customWidth="1"/>
    <x:col min="48" max="48" width="19" hidden="0" customWidth="1"/>
    <x:col min="49" max="49" width="19" hidden="0" customWidth="1"/>
    <x:col min="50" max="50" width="19" hidden="0" customWidth="1"/>
    <x:col min="51" max="51" width="19" hidden="0" customWidth="1"/>
    <x:col min="52" max="52" width="15" hidden="0" customWidth="1"/>
    <x:col min="53" max="53" width="19" hidden="0" customWidth="1"/>
    <x:col min="54" max="54" width="19" hidden="0" customWidth="1"/>
    <x:col min="55" max="55" width="15" hidden="0" customWidth="1"/>
    <x:col min="56" max="56" width="19" hidden="0" customWidth="1"/>
    <x:col min="57" max="57" width="19" hidden="0" customWidth="1"/>
    <x:col min="58" max="58" width="19" hidden="0" customWidth="1"/>
    <x:col min="59" max="59" width="19" hidden="0" customWidth="1"/>
    <x:col min="60" max="60" width="19" hidden="0" customWidth="1"/>
    <x:col min="61" max="61" width="19" hidden="0" customWidth="1"/>
    <x:col min="62" max="62" width="19" hidden="0" customWidth="1"/>
    <x:col min="63" max="63" width="19" hidden="0" customWidth="1"/>
    <x:col min="64" max="64" width="19" hidden="0" customWidth="1"/>
    <x:col min="65" max="65" width="19" hidden="0" customWidth="1"/>
    <x:col min="66" max="66" width="19" hidden="0" customWidth="1"/>
    <x:col min="67" max="67" width="19" hidden="0" customWidth="1"/>
    <x:col min="68" max="68" width="19" hidden="0" customWidth="1"/>
    <x:col min="69" max="69" width="19" hidden="0" customWidth="1"/>
    <x:col min="70" max="70" width="19" hidden="0" customWidth="1"/>
    <x:col min="71" max="71" width="19" hidden="0" customWidth="1"/>
    <x:col min="72" max="72" width="19" hidden="0" customWidth="1"/>
    <x:col min="73" max="73" width="34" hidden="0" customWidth="1"/>
    <x:col min="74" max="74" width="19" hidden="0" customWidth="1"/>
    <x:col min="75" max="75" width="19" hidden="0" customWidth="1"/>
    <x:col min="76" max="76" width="34" hidden="0" customWidth="1"/>
    <x:col min="77" max="77" width="32" hidden="0" customWidth="1"/>
    <x:col min="78" max="78" width="25" hidden="0" customWidth="1"/>
    <x:col min="79" max="79" width="29" hidden="0" customWidth="1"/>
    <x:col min="80" max="80" width="29" hidden="0" customWidth="1"/>
    <x:col min="81" max="81" width="29" hidden="0" customWidth="1"/>
    <x:col min="82" max="82" width="29" hidden="0" customWidth="1"/>
    <x:col min="83" max="83" width="17" hidden="0" customWidth="1"/>
    <x:col min="84" max="84" width="17" hidden="0" customWidth="1"/>
    <x:col min="85" max="85" width="17" hidden="0" customWidth="1"/>
    <x:col min="86" max="86" width="17" hidden="0" customWidth="1"/>
    <x:col min="87" max="87" width="17" hidden="0" customWidth="1"/>
    <x:col min="88" max="88" width="17" hidden="0" customWidth="1"/>
    <x:col min="89" max="89" width="17" hidden="0" customWidth="1"/>
    <x:col min="90" max="90" width="36" hidden="0" customWidth="1"/>
    <x:col min="91" max="91" width="36" hidden="0" customWidth="1"/>
    <x:col min="92" max="92" width="36" hidden="0" customWidth="1"/>
    <x:col min="93" max="93" width="36" hidden="0" customWidth="1"/>
    <x:col min="94" max="94" width="46" hidden="0" customWidth="1"/>
    <x:col min="95" max="95" width="18" hidden="0" customWidth="1"/>
    <x:col min="96" max="96" width="18" hidden="0" customWidth="1"/>
    <x:col min="97" max="97" width="33" hidden="0" customWidth="1"/>
    <x:col min="98" max="98" width="33" hidden="0" customWidth="1"/>
    <x:col min="99" max="99" width="27" hidden="0" customWidth="1"/>
    <x:col min="100" max="100" width="27" hidden="0" customWidth="1"/>
    <x:col min="101" max="101" width="27" hidden="0" customWidth="1"/>
  </x:cols>
  <x:sheetData>
    <x:row r="1" ht="32" customHeight="1">
      <x:c r="A1" s="113" t="str">
        <x:v>PROFILE NĐ30 — CÔNG TY HOA TIÊU HÀNG HẢI MIỀN BẮC</x:v>
      </x:c>
      <x:c r="B1" s="113"/>
      <x:c r="C1" s="113"/>
      <x:c r="D1" s="113"/>
      <x:c r="E1" s="113"/>
      <x:c r="F1" s="113"/>
      <x:c r="G1" s="113"/>
      <x:c r="H1" s="113"/>
      <x:c r="I1" s="113"/>
      <x:c r="J1" s="113"/>
      <x:c r="K1" s="113"/>
      <x:c r="L1" s="113"/>
      <x:c r="M1" s="113"/>
      <x:c r="N1" s="113"/>
      <x:c r="O1" s="113"/>
      <x:c r="P1" s="113"/>
      <x:c r="Q1" s="113"/>
      <x:c r="R1" s="113"/>
      <x:c r="S1" s="113"/>
      <x:c r="T1" s="113"/>
      <x:c r="U1" s="113"/>
      <x:c r="V1" s="113"/>
      <x:c r="W1" s="113"/>
      <x:c r="X1" s="113"/>
      <x:c r="Y1" s="113"/>
      <x:c r="Z1" s="113"/>
      <x:c r="AA1" s="113"/>
      <x:c r="AB1" s="113"/>
      <x:c r="AC1" s="113"/>
      <x:c r="AD1" s="113"/>
      <x:c r="AE1" s="113"/>
      <x:c r="AF1" s="113"/>
      <x:c r="AG1" s="188" t="str">
        <x:v>BỘ THÔNG SỐ ĐỊNH DẠNG ĐÃ TÁCH RIÊNG – NĐ30</x:v>
      </x:c>
      <x:c r="AH1" s="188"/>
      <x:c r="AI1" s="188"/>
      <x:c r="AJ1" s="188"/>
      <x:c r="AK1" s="188"/>
      <x:c r="AL1" s="188"/>
      <x:c r="AM1" s="188"/>
      <x:c r="AN1" s="188"/>
      <x:c r="AO1" s="188"/>
      <x:c r="AP1" s="188"/>
      <x:c r="AQ1" s="188"/>
      <x:c r="AR1" s="188"/>
      <x:c r="AS1" s="188"/>
      <x:c r="AT1" s="188"/>
      <x:c r="AU1" s="188"/>
      <x:c r="AV1" s="188"/>
      <x:c r="AW1" s="188"/>
      <x:c r="AX1" s="188"/>
      <x:c r="AY1" s="188"/>
      <x:c r="AZ1" s="188"/>
      <x:c r="BA1" s="188"/>
      <x:c r="BB1" s="188"/>
      <x:c r="BC1" s="188"/>
      <x:c r="BD1" s="188"/>
      <x:c r="BE1" s="188"/>
      <x:c r="BF1" s="188"/>
      <x:c r="BG1" s="188"/>
      <x:c r="BH1" s="188"/>
      <x:c r="BI1" s="188"/>
      <x:c r="BJ1" s="188"/>
      <x:c r="BK1" s="188"/>
      <x:c r="BL1" s="188"/>
      <x:c r="BM1" s="188"/>
      <x:c r="BN1" s="188"/>
      <x:c r="BO1" s="188"/>
      <x:c r="BP1" s="188"/>
      <x:c r="BQ1" s="188"/>
      <x:c r="BR1" s="188"/>
      <x:c r="BS1" s="188"/>
      <x:c r="BT1" s="188"/>
      <x:c r="BU1" s="188"/>
      <x:c r="BV1" s="188"/>
      <x:c r="BW1" s="188"/>
      <x:c r="BX1" s="188"/>
    </x:row>
    <x:row r="2" ht="26" customHeight="1">
      <x:c r="A2" s="142" t="str">
        <x:v>PROFILE: hoa-tieu-mien-bac-administrative-v1 | DN-01 | A4 · TNR · 14 pt · Exactly 19 pt · Sau đoạn 6 pt · Lề 20/20/30/15 mm</x:v>
      </x:c>
      <x:c r="B2" s="142"/>
      <x:c r="C2" s="142"/>
      <x:c r="D2" s="142"/>
      <x:c r="E2" s="142"/>
      <x:c r="F2" s="142"/>
      <x:c r="G2" s="142"/>
      <x:c r="H2" s="142"/>
      <x:c r="I2" s="115"/>
      <x:c r="J2" s="115"/>
      <x:c r="K2" s="115"/>
      <x:c r="L2" s="115"/>
      <x:c r="M2" s="115"/>
      <x:c r="N2" s="115"/>
      <x:c r="O2" s="115"/>
      <x:c r="P2" s="115"/>
      <x:c r="Q2" s="115"/>
      <x:c r="R2" s="115"/>
      <x:c r="S2" s="115"/>
      <x:c r="T2" s="115"/>
      <x:c r="U2" s="115"/>
      <x:c r="V2" s="115"/>
      <x:c r="W2" s="115"/>
      <x:c r="X2" s="115"/>
      <x:c r="Y2" s="115"/>
      <x:c r="Z2" s="115"/>
      <x:c r="AA2" s="115"/>
      <x:c r="AB2" s="115"/>
      <x:c r="AC2" s="115"/>
      <x:c r="AD2" s="115"/>
      <x:c r="AE2" s="115"/>
      <x:c r="AF2" s="115"/>
      <x:c r="AG2" s="190" t="str">
        <x:v>CỘT AG–BX: 01 thiết lập = 01 cột; giá trị trống = chưa xác minh/không có dữ liệu; không suy ra mặc định.</x:v>
      </x:c>
      <x:c r="AH2" s="190"/>
      <x:c r="AI2" s="190"/>
      <x:c r="AJ2" s="190"/>
      <x:c r="AK2" s="190"/>
      <x:c r="AL2" s="190"/>
      <x:c r="AM2" s="190"/>
      <x:c r="AN2" s="190"/>
      <x:c r="AO2" s="190"/>
      <x:c r="AP2" s="190"/>
      <x:c r="AQ2" s="190"/>
      <x:c r="AR2" s="190"/>
      <x:c r="AS2" s="190"/>
      <x:c r="AT2" s="190"/>
      <x:c r="AU2" s="190"/>
      <x:c r="AV2" s="190"/>
      <x:c r="AW2" s="190"/>
      <x:c r="AX2" s="190"/>
      <x:c r="AY2" s="190"/>
      <x:c r="AZ2" s="190"/>
      <x:c r="BA2" s="190"/>
      <x:c r="BB2" s="190"/>
      <x:c r="BC2" s="190"/>
      <x:c r="BD2" s="190"/>
      <x:c r="BE2" s="190"/>
      <x:c r="BF2" s="190"/>
      <x:c r="BG2" s="190"/>
      <x:c r="BH2" s="190"/>
      <x:c r="BI2" s="190"/>
      <x:c r="BJ2" s="190"/>
      <x:c r="BK2" s="190"/>
      <x:c r="BL2" s="190"/>
      <x:c r="BM2" s="190"/>
      <x:c r="BN2" s="190"/>
      <x:c r="BO2" s="190"/>
      <x:c r="BP2" s="190"/>
      <x:c r="BQ2" s="190"/>
      <x:c r="BR2" s="190"/>
      <x:c r="BS2" s="190"/>
      <x:c r="BT2" s="190"/>
      <x:c r="BU2" s="190"/>
      <x:c r="BV2" s="190"/>
      <x:c r="BW2" s="190"/>
      <x:c r="BX2" s="190"/>
    </x:row>
    <x:row r="3" ht="24" customHeight="1">
      <x:c r="A3" s="144" t="str">
        <x:v>NGUỒN THAM CHIẾU: sao chép đủ trường từ sheet ND30; cột I–S chứa thông số profile; các cột Z–AF ghi rõ nội dung, đối tượng, trạng thái và QA. Mọi giá trị chọn chỉ là preset, không thay luật bắt buộc.</x:v>
      </x:c>
      <x:c r="B3" s="144"/>
      <x:c r="C3" s="144"/>
      <x:c r="D3" s="144"/>
      <x:c r="E3" s="144"/>
      <x:c r="F3" s="144"/>
      <x:c r="G3" s="144"/>
      <x:c r="H3" s="144"/>
      <x:c r="I3" s="117"/>
      <x:c r="J3" s="117"/>
      <x:c r="K3" s="117"/>
      <x:c r="L3" s="117"/>
      <x:c r="M3" s="117"/>
      <x:c r="N3" s="117"/>
      <x:c r="O3" s="117"/>
      <x:c r="P3" s="117"/>
      <x:c r="Q3" s="117"/>
      <x:c r="R3" s="117"/>
      <x:c r="S3" s="117"/>
      <x:c r="T3" s="117"/>
      <x:c r="U3" s="117"/>
      <x:c r="V3" s="117"/>
      <x:c r="W3" s="117"/>
      <x:c r="X3" s="117"/>
      <x:c r="Y3" s="117"/>
      <x:c r="Z3" s="117"/>
      <x:c r="AA3" s="117"/>
      <x:c r="AB3" s="117"/>
      <x:c r="AC3" s="117"/>
      <x:c r="AD3" s="117"/>
      <x:c r="AE3" s="117"/>
      <x:c r="AF3" s="117"/>
      <x:c r="AG3" s="192" t="str">
        <x:v>Dữ liệu gốc A–AF được bảo toàn để đối chiếu. Chỉ các giá trị nguyên tử đã có bằng chứng trong profile v1.3 mới được trích tách.</x:v>
      </x:c>
      <x:c r="AH3" s="192"/>
      <x:c r="AI3" s="192"/>
      <x:c r="AJ3" s="192"/>
      <x:c r="AK3" s="192"/>
      <x:c r="AL3" s="192"/>
      <x:c r="AM3" s="192"/>
      <x:c r="AN3" s="192"/>
      <x:c r="AO3" s="192"/>
      <x:c r="AP3" s="192"/>
      <x:c r="AQ3" s="192"/>
      <x:c r="AR3" s="192"/>
      <x:c r="AS3" s="192"/>
      <x:c r="AT3" s="192"/>
      <x:c r="AU3" s="192"/>
      <x:c r="AV3" s="192"/>
      <x:c r="AW3" s="192"/>
      <x:c r="AX3" s="192"/>
      <x:c r="AY3" s="192"/>
      <x:c r="AZ3" s="192"/>
      <x:c r="BA3" s="192"/>
      <x:c r="BB3" s="192"/>
      <x:c r="BC3" s="192"/>
      <x:c r="BD3" s="192"/>
      <x:c r="BE3" s="192"/>
      <x:c r="BF3" s="192"/>
      <x:c r="BG3" s="192"/>
      <x:c r="BH3" s="192"/>
      <x:c r="BI3" s="192"/>
      <x:c r="BJ3" s="192"/>
      <x:c r="BK3" s="192"/>
      <x:c r="BL3" s="192"/>
      <x:c r="BM3" s="192"/>
      <x:c r="BN3" s="192"/>
      <x:c r="BO3" s="192"/>
      <x:c r="BP3" s="192"/>
      <x:c r="BQ3" s="192"/>
      <x:c r="BR3" s="192"/>
      <x:c r="BS3" s="192"/>
      <x:c r="BT3" s="192"/>
      <x:c r="BU3" s="192"/>
      <x:c r="BV3" s="192"/>
      <x:c r="BW3" s="192"/>
      <x:c r="BX3" s="192"/>
    </x:row>
    <x:row r="4" ht="24" customHeight="1">
      <x:c r="A4" s="144" t="str">
        <x:v>CẢNH BÁO: không tự sinh số văn bản, ngày, nơi nhận, họ tên, chữ ký hay dấu. Dùng tên đơn vị rút gọn theo profile có sẵn; kiểm tra lại thẩm quyền trước phát hành.</x:v>
      </x:c>
      <x:c r="B4" s="144"/>
      <x:c r="C4" s="144"/>
      <x:c r="D4" s="144"/>
      <x:c r="E4" s="144"/>
      <x:c r="F4" s="144"/>
      <x:c r="G4" s="144"/>
      <x:c r="H4" s="144"/>
      <x:c r="I4" s="117"/>
      <x:c r="J4" s="117"/>
      <x:c r="K4" s="117"/>
      <x:c r="L4" s="117"/>
      <x:c r="M4" s="117"/>
      <x:c r="N4" s="117"/>
      <x:c r="O4" s="117"/>
      <x:c r="P4" s="117"/>
      <x:c r="Q4" s="117"/>
      <x:c r="R4" s="117"/>
      <x:c r="S4" s="117"/>
      <x:c r="T4" s="117"/>
      <x:c r="U4" s="117"/>
      <x:c r="V4" s="117"/>
      <x:c r="W4" s="117"/>
      <x:c r="X4" s="117"/>
      <x:c r="Y4" s="117"/>
      <x:c r="Z4" s="117"/>
      <x:c r="AA4" s="117"/>
      <x:c r="AB4" s="117"/>
      <x:c r="AC4" s="117"/>
      <x:c r="AD4" s="117"/>
      <x:c r="AE4" s="117"/>
      <x:c r="AF4" s="117"/>
      <x:c r="AG4" s="194" t="str">
        <x:v>NĐ30: PROFILE CÔNG TY; thông số preset không thay thế quy định pháp luật. Thông số chưa rõ: để trống, ghi tại BX.</x:v>
      </x:c>
      <x:c r="AH4" s="194"/>
      <x:c r="AI4" s="194"/>
      <x:c r="AJ4" s="194"/>
      <x:c r="AK4" s="194"/>
      <x:c r="AL4" s="194"/>
      <x:c r="AM4" s="194"/>
      <x:c r="AN4" s="194"/>
      <x:c r="AO4" s="194"/>
      <x:c r="AP4" s="194"/>
      <x:c r="AQ4" s="194"/>
      <x:c r="AR4" s="194"/>
      <x:c r="AS4" s="194"/>
      <x:c r="AT4" s="194"/>
      <x:c r="AU4" s="194"/>
      <x:c r="AV4" s="194"/>
      <x:c r="AW4" s="194"/>
      <x:c r="AX4" s="194"/>
      <x:c r="AY4" s="194"/>
      <x:c r="AZ4" s="194"/>
      <x:c r="BA4" s="194"/>
      <x:c r="BB4" s="194"/>
      <x:c r="BC4" s="194"/>
      <x:c r="BD4" s="194"/>
      <x:c r="BE4" s="194"/>
      <x:c r="BF4" s="194"/>
      <x:c r="BG4" s="194"/>
      <x:c r="BH4" s="194"/>
      <x:c r="BI4" s="194"/>
      <x:c r="BJ4" s="194"/>
      <x:c r="BK4" s="194"/>
      <x:c r="BL4" s="194"/>
      <x:c r="BM4" s="194"/>
      <x:c r="BN4" s="194"/>
      <x:c r="BO4" s="194"/>
      <x:c r="BP4" s="194"/>
      <x:c r="BQ4" s="194"/>
      <x:c r="BR4" s="194"/>
      <x:c r="BS4" s="194"/>
      <x:c r="BT4" s="194"/>
      <x:c r="BU4" s="194"/>
      <x:c r="BV4" s="194"/>
      <x:c r="BW4" s="194"/>
      <x:c r="BX4" s="194"/>
    </x:row>
    <x:row r="5" ht="24" customHeight="1">
      <x:c r="AG5" s="161" t="str">
        <x:v>PHÔNG CHỮ</x:v>
      </x:c>
      <x:c r="AH5" s="161"/>
      <x:c r="AI5" s="161"/>
      <x:c r="AJ5" s="161"/>
      <x:c r="AK5" s="161"/>
      <x:c r="AL5" s="161"/>
      <x:c r="AM5" s="161"/>
      <x:c r="AN5" s="165" t="str">
        <x:v>ĐOẠN VĂN</x:v>
      </x:c>
      <x:c r="AO5" s="165"/>
      <x:c r="AP5" s="165"/>
      <x:c r="AQ5" s="165"/>
      <x:c r="AR5" s="165"/>
      <x:c r="AS5" s="165"/>
      <x:c r="AT5" s="165"/>
      <x:c r="AU5" s="165"/>
      <x:c r="AV5" s="165"/>
      <x:c r="AW5" s="165"/>
      <x:c r="AX5" s="165"/>
      <x:c r="AY5" s="165"/>
      <x:c r="AZ5" s="169" t="str">
        <x:v>TRANG / SECTION</x:v>
      </x:c>
      <x:c r="BA5" s="169"/>
      <x:c r="BB5" s="169"/>
      <x:c r="BC5" s="169"/>
      <x:c r="BD5" s="169"/>
      <x:c r="BE5" s="169"/>
      <x:c r="BF5" s="169"/>
      <x:c r="BG5" s="169"/>
      <x:c r="BH5" s="169"/>
      <x:c r="BI5" s="169"/>
      <x:c r="BJ5" s="169"/>
      <x:c r="BK5" s="173" t="str">
        <x:v>BẢNG</x:v>
      </x:c>
      <x:c r="BL5" s="173"/>
      <x:c r="BM5" s="177" t="str">
        <x:v>ĐƯỜNG KẺ / KÝ TỰ</x:v>
      </x:c>
      <x:c r="BN5" s="177"/>
      <x:c r="BO5" s="177"/>
      <x:c r="BP5" s="177"/>
      <x:c r="BQ5" s="181" t="str">
        <x:v>ĐÁNH SỐ / SECTION</x:v>
      </x:c>
      <x:c r="BR5" s="181"/>
      <x:c r="BS5" s="181"/>
      <x:c r="BT5" s="185" t="str">
        <x:v>KỸ THUẬT / QA</x:v>
      </x:c>
      <x:c r="BU5" s="185"/>
      <x:c r="BV5" s="185"/>
      <x:c r="BW5" s="185"/>
      <x:c r="BX5" s="185"/>
    </x:row>
    <x:row r="6" ht="48" customHeight="1">
      <x:c r="A6" s="120" t="str">
        <x:v>STT</x:v>
      </x:c>
      <x:c r="B6" s="120" t="str">
        <x:v>Mã trường chuẩn</x:v>
      </x:c>
      <x:c r="C6" s="120" t="str">
        <x:v>Vùng</x:v>
      </x:c>
      <x:c r="D6" s="120" t="str">
        <x:v>Nhóm</x:v>
      </x:c>
      <x:c r="E6" s="120" t="str">
        <x:v>Tên trường/thành phần</x:v>
      </x:c>
      <x:c r="F6" s="120" t="str">
        <x:v>Ô pháp lý</x:v>
      </x:c>
      <x:c r="G6" s="120" t="str">
        <x:v>Điều kiện áp dụng (không phải mức xác minh)</x:v>
      </x:c>
      <x:c r="H6" s="120" t="str">
        <x:v>Quy tắc nội dung/hiện diện</x:v>
      </x:c>
      <x:c r="I6" s="120" t="str">
        <x:v>PRESET / mô tả • Font chữ</x:v>
      </x:c>
      <x:c r="J6" s="120" t="str">
        <x:v>PRESET / mô tả • Cỡ chữ (pt)</x:v>
      </x:c>
      <x:c r="K6" s="120" t="str">
        <x:v>PRESET / mô tả • Chữ hoa/thường</x:v>
      </x:c>
      <x:c r="L6" s="120" t="str">
        <x:v>PRESET / mô tả • Đậm</x:v>
      </x:c>
      <x:c r="M6" s="120" t="str">
        <x:v>PRESET / mô tả • Nghiêng</x:v>
      </x:c>
      <x:c r="N6" s="120" t="str">
        <x:v>PRESET / mô tả • Căn chỉnh</x:v>
      </x:c>
      <x:c r="O6" s="120" t="str">
        <x:v>PRESET / mô tả • Giãn dòng/đoạn</x:v>
      </x:c>
      <x:c r="P6" s="120" t="str">
        <x:v>PRESET / mô tả • Thụt/lề/khoảng cách</x:v>
      </x:c>
      <x:c r="Q6" s="120" t="str">
        <x:v>PRESET / mô tả • Đường kẻ/ký tự</x:v>
      </x:c>
      <x:c r="R6" s="120" t="str">
        <x:v>PRESET / mô tả • Thiết lập/đối tượng DOCX</x:v>
      </x:c>
      <x:c r="S6" s="120" t="str">
        <x:v>PRESET / mô tả • Thông số cụ thể &amp; giới hạn</x:v>
      </x:c>
      <x:c r="T6" s="120" t="str">
        <x:v>Nguồn/điều khoản</x:v>
      </x:c>
      <x:c r="U6" s="120" t="str">
        <x:v>URL nguồn chính thức</x:v>
      </x:c>
      <x:c r="V6" s="120" t="str">
        <x:v>URL tham chiếu chi tiết</x:v>
      </x:c>
      <x:c r="W6" s="120" t="str">
        <x:v>Mức xác minh (cấp dòng, chưa nghiệm thu thuộc tính)</x:v>
      </x:c>
      <x:c r="X6" s="120" t="str">
        <x:v>Chính sách thao tác (tách khỏi kiểm chứng)</x:v>
      </x:c>
      <x:c r="Y6" s="120" t="str">
        <x:v>Ghi chú / ngoại lệ / lịch sử chuyển đổi</x:v>
      </x:c>
      <x:c r="Z6" s="120" t="str">
        <x:v>Nội dung / giá trị profile Công ty</x:v>
      </x:c>
      <x:c r="AA6" s="120" t="str">
        <x:v>Word Style / thiết lập OOXML</x:v>
      </x:c>
      <x:c r="AB6" s="120" t="str">
        <x:v>Trạng thái áp dụng profile</x:v>
      </x:c>
      <x:c r="AC6" s="120" t="str">
        <x:v>Quyền xử lý profile</x:v>
      </x:c>
      <x:c r="AD6" s="120" t="str">
        <x:v>Nguồn / xuất xứ thiết lập</x:v>
      </x:c>
      <x:c r="AE6" s="120" t="str">
        <x:v>Tiêu chí QA cho từng trường</x:v>
      </x:c>
      <x:c r="AF6" s="120" t="str">
        <x:v>Ghi chú khác biệt / cần xác nhận</x:v>
      </x:c>
      <x:c r="AG6" s="155" t="str">
        <x:v>Phông chữ</x:v>
      </x:c>
      <x:c r="AH6" s="155" t="str">
        <x:v>Bảng mã chữ</x:v>
      </x:c>
      <x:c r="AI6" s="155" t="str">
        <x:v>Màu chữ HEX</x:v>
      </x:c>
      <x:c r="AJ6" s="155" t="str">
        <x:v>Cỡ chữ (pt)</x:v>
      </x:c>
      <x:c r="AK6" s="155" t="str">
        <x:v>In đậm</x:v>
      </x:c>
      <x:c r="AL6" s="155" t="str">
        <x:v>In nghiêng</x:v>
      </x:c>
      <x:c r="AM6" s="155" t="str">
        <x:v>Kiểu chữ hoa/thường</x:v>
      </x:c>
      <x:c r="AN6" s="155" t="str">
        <x:v>Căn ngang</x:v>
      </x:c>
      <x:c r="AO6" s="155" t="str">
        <x:v>Vùng/vị trí bố cục</x:v>
      </x:c>
      <x:c r="AP6" s="155" t="str">
        <x:v>Kiểu giãn dòng</x:v>
      </x:c>
      <x:c r="AQ6" s="155" t="str">
        <x:v>Mức giãn dòng</x:v>
      </x:c>
      <x:c r="AR6" s="155" t="str">
        <x:v>Đơn vị giãn dòng</x:v>
      </x:c>
      <x:c r="AS6" s="155" t="str">
        <x:v>Cách đoạn trước (pt)</x:v>
      </x:c>
      <x:c r="AT6" s="155" t="str">
        <x:v>Cách đoạn sau (pt)</x:v>
      </x:c>
      <x:c r="AU6" s="155" t="str">
        <x:v>Thụt dòng đầu (mm)</x:v>
      </x:c>
      <x:c r="AV6" s="155" t="str">
        <x:v>Thụt lề trái (mm)</x:v>
      </x:c>
      <x:c r="AW6" s="155" t="str">
        <x:v>Thụt lề phải (mm)</x:v>
      </x:c>
      <x:c r="AX6" s="155" t="str">
        <x:v>Giữ với đoạn sau</x:v>
      </x:c>
      <x:c r="AY6" s="155" t="str">
        <x:v>Giữ dòng cùng trang</x:v>
      </x:c>
      <x:c r="AZ6" s="155" t="str">
        <x:v>Khổ giấy</x:v>
      </x:c>
      <x:c r="BA6" s="155" t="str">
        <x:v>Rộng trang (mm)</x:v>
      </x:c>
      <x:c r="BB6" s="155" t="str">
        <x:v>Cao trang (mm)</x:v>
      </x:c>
      <x:c r="BC6" s="155" t="str">
        <x:v>Hướng giấy</x:v>
      </x:c>
      <x:c r="BD6" s="155" t="str">
        <x:v>Lề trên (mm)</x:v>
      </x:c>
      <x:c r="BE6" s="155" t="str">
        <x:v>Lề dưới (mm)</x:v>
      </x:c>
      <x:c r="BF6" s="155" t="str">
        <x:v>Lề trái (mm)</x:v>
      </x:c>
      <x:c r="BG6" s="155" t="str">
        <x:v>Lề phải (mm)</x:v>
      </x:c>
      <x:c r="BH6" s="155" t="str">
        <x:v>In hai mặt</x:v>
      </x:c>
      <x:c r="BI6" s="155" t="str">
        <x:v>Lề trái mặt sau (mm)</x:v>
      </x:c>
      <x:c r="BJ6" s="155" t="str">
        <x:v>Lề phải mặt sau (mm)</x:v>
      </x:c>
      <x:c r="BK6" s="155" t="str">
        <x:v>Lề trong ô (mm)</x:v>
      </x:c>
      <x:c r="BL6" s="155" t="str">
        <x:v>Chế độ AutoFit</x:v>
      </x:c>
      <x:c r="BM6" s="155" t="str">
        <x:v>Kiểu đường/dấu</x:v>
      </x:c>
      <x:c r="BN6" s="155" t="str">
        <x:v>Ký tự/dấu phân cách</x:v>
      </x:c>
      <x:c r="BO6" s="155" t="str">
        <x:v>Độ dài tương đối (%)</x:v>
      </x:c>
      <x:c r="BP6" s="155" t="str">
        <x:v>Độ dày nét (pt)</x:v>
      </x:c>
      <x:c r="BQ6" s="155" t="str">
        <x:v>Kiểu đánh số</x:v>
      </x:c>
      <x:c r="BR6" s="155" t="str">
        <x:v>Vị trí số trang</x:v>
      </x:c>
      <x:c r="BS6" s="155" t="str">
        <x:v>Ẩn số trang đầu</x:v>
      </x:c>
      <x:c r="BT6" s="155" t="str">
        <x:v>Word Style/định tuyến</x:v>
      </x:c>
      <x:c r="BU6" s="155" t="str">
        <x:v>Đối tượng DOCX</x:v>
      </x:c>
      <x:c r="BV6" s="155" t="str">
        <x:v>Trạng thái profile</x:v>
      </x:c>
      <x:c r="BW6" s="155" t="str">
        <x:v>Tình trạng tách thiết lập</x:v>
      </x:c>
      <x:c r="BX6" s="155" t="str">
        <x:v>Lưu ý/giá trị chưa phân rã</x:v>
      </x:c>
      <x:c r="BY6" s="210" t="str">
        <x:v>Mã trường nguồn đối chiếu</x:v>
      </x:c>
      <x:c r="BZ6" s="210" t="str">
        <x:v>Cỡ chữ pháp lý gốc (J, chỉ tham chiếu)</x:v>
      </x:c>
      <x:c r="CA6" s="210" t="str">
        <x:v>Loại đối tượng DOCX (phân loại dự thảo)</x:v>
      </x:c>
      <x:c r="CB6" s="210" t="str">
        <x:v>Điều kiện áp dụng / phụ thuộc</x:v>
      </x:c>
      <x:c r="CC6" s="210" t="str">
        <x:v>Chính sách gốc (theo mã)</x:v>
      </x:c>
      <x:c r="CD6" s="210" t="str">
        <x:v>Chính sách hiệu lực (an toàn)</x:v>
      </x:c>
      <x:c r="CE6" s="210" t="str">
        <x:v>Cho phép sửa định dạng (gate)</x:v>
      </x:c>
      <x:c r="CF6" s="210" t="str">
        <x:v>Cho phép sửa nội dung</x:v>
      </x:c>
      <x:c r="CG6" s="210" t="str">
        <x:v>Yêu cầu duyệt trước</x:v>
      </x:c>
      <x:c r="CH6" s="210" t="str">
        <x:v>Rule đã xác minh đầy đủ</x:v>
      </x:c>
      <x:c r="CI6" s="210" t="str">
        <x:v>Đích DOCX đã xác nhận</x:v>
      </x:c>
      <x:c r="CJ6" s="210" t="str">
        <x:v>Phạm vi patch được duyệt</x:v>
      </x:c>
      <x:c r="CK6" s="210" t="str">
        <x:v>Autofix được phép</x:v>
      </x:c>
      <x:c r="CL6" s="210" t="str">
        <x:v>Nguồn preset / bằng chứng</x:v>
      </x:c>
      <x:c r="CM6" s="210" t="str">
        <x:v>Phiên bản profile</x:v>
      </x:c>
      <x:c r="CN6" s="210" t="str">
        <x:v>Trạng thái chủ thể ban hành</x:v>
      </x:c>
      <x:c r="CO6" s="210" t="str">
        <x:v>Định danh style theo trường (đề xuất)</x:v>
      </x:c>
      <x:c r="CP6" s="210" t="str">
        <x:v>Cảnh báo quy định ≠ preset</x:v>
      </x:c>
      <x:c r="CQ6" s="210" t="str">
        <x:v>Lề trái mặt sau HIỆU LỰC (mm)</x:v>
      </x:c>
      <x:c r="CR6" s="210" t="str">
        <x:v>Lề phải mặt sau HIỆU LỰC (mm)</x:v>
      </x:c>
      <x:c r="CS6" s="210" t="str">
        <x:v>Loại thao tác DOCX (đề xuất)</x:v>
      </x:c>
      <x:c r="CT6" s="210" t="str">
        <x:v>Trạng thái nghiệm thu thuộc tính</x:v>
      </x:c>
      <x:c r="CU6" s="210" t="str">
        <x:v>Đã duyệt quy tắc/profile</x:v>
      </x:c>
      <x:c r="CV6" s="210" t="str">
        <x:v>Đã xác minh tư cách chủ thể</x:v>
      </x:c>
      <x:c r="CW6" s="210" t="str">
        <x:v>Mã chứng cứ phê duyệt (nếu có)</x:v>
      </x:c>
    </x:row>
    <x:row r="7" ht="29" customHeight="1">
      <x:c r="A7" s="125" t="n">
        <x:v>1</x:v>
      </x:c>
      <x:c r="B7" s="123" t="str">
        <x:v>ND30.D.CQ.CAP_TREN</x:v>
      </x:c>
      <x:c r="C7" s="123" t="str">
        <x:v>Đầu văn bản</x:v>
      </x:c>
      <x:c r="D7" s="123" t="str">
        <x:v>Cơ quan ban hành</x:v>
      </x:c>
      <x:c r="E7" s="123" t="str">
        <x:v>Tên cơ quan, tổ chức chủ quản/cấp trên</x:v>
      </x:c>
      <x:c r="F7" s="123" t="str">
        <x:v>2</x:v>
      </x:c>
      <x:c r="G7" s="123" t="str">
        <x:v>Chỉ khi phát hành bởi đúng chủ thể của profile; theo NĐ30</x:v>
      </x:c>
      <x:c r="H7" s="123" t="str">
        <x:v>TỔNG CÔNG TY BẢO ĐẢM / AN TOÀN HÀNG HẢI VIỆT NAM</x:v>
      </x:c>
      <x:c r="I7" s="123" t="str">
        <x:v>Times New Roman | Unicode | đen</x:v>
      </x:c>
      <x:c r="J7" s="126" t="str">
        <x:v>12</x:v>
      </x:c>
      <x:c r="K7" s="123" t="str">
        <x:v>IN HOA</x:v>
      </x:c>
      <x:c r="L7" s="123" t="str">
        <x:v>Không</x:v>
      </x:c>
      <x:c r="M7" s="123" t="str">
        <x:v>Không</x:v>
      </x:c>
      <x:c r="N7" s="123" t="str">
        <x:v>Căn giữa khối trái, trang 1; bảng bố cục 2 cột không viền</x:v>
      </x:c>
      <x:c r="O7" s="124" t="str">
        <x:v>Single; sau 0 pt</x:v>
      </x:c>
      <x:c r="P7" s="124" t="str">
        <x:v>First line 0; cách dòng theo ô bố cục</x:v>
      </x:c>
      <x:c r="Q7" s="123"/>
      <x:c r="R7" s="123" t="str">
        <x:v>Word paragraph(s) / run(s) trong khối tên cơ quan</x:v>
      </x:c>
      <x:c r="S7" s="123" t="str">
        <x:v>TỔNG CÔNG TY BẢO ĐẢM
AN TOÀN HÀNG HẢI VIỆT NAM</x:v>
      </x:c>
      <x:c r="T7" s="123" t="str">
        <x:v>NĐ30, Phụ lục I, Phần I, II.2; V.2</x:v>
      </x:c>
      <x:c r="U7" s="123" t="str">
        <x:v>https://datafiles.chinhphu.vn/cpp/files/vbpq/2020/03/30.signed.pdf</x:v>
      </x:c>
      <x:c r="V7" s="123" t="str">
        <x:v>https://riam.edu.vn/nghi-dinh-ve-cong-tac-van-thu-phu-luc/</x:v>
      </x:c>
      <x:c r="W7" s="123" t="str">
        <x:v>ĐỐI CHIẾU MỘT PHẦN</x:v>
      </x:c>
      <x:c r="X7" s="123" t="str">
        <x:v>FORMAT_AFTER_REVIEW</x:v>
      </x:c>
      <x:c r="Y7" s="123" t="str">
        <x:v>Không tự chèn/sửa khi chưa có chứng cứ về đối tượng và rule.</x:v>
      </x:c>
      <x:c r="Z7" s="124" t="str">
        <x:v>TỔNG CÔNG TY BẢO ĐẢM
AN TOÀN HÀNG HẢI VIỆT NAM</x:v>
      </x:c>
      <x:c r="AA7" s="123" t="str">
        <x:v>HeaderIssuer/LeftColumn</x:v>
      </x:c>
      <x:c r="AB7" s="124" t="str">
        <x:v>PROFILE_CHOT_THEO_TRAO_DOI</x:v>
      </x:c>
      <x:c r="AC7" s="123" t="str">
        <x:v>FORMAT_AFTER_REVIEW</x:v>
      </x:c>
      <x:c r="AD7" s="123" t="str">
        <x:v>https://www.pilotconorth.com/gioi-thieu-cn | Người dùng chốt trong trao đổi 29/10/2026; PROFILE NỘI BỘ; chưa có văn bản phê duyệt doanh nghiệp</x:v>
      </x:c>
      <x:c r="AE7" s="123" t="str">
        <x:v>Đối chiếu mã ND30.D.CQ.CAP_TREN; so cỡ 12 pt và vùng 2; giữ nguyên nội dung ngoài phạm vi.</x:v>
      </x:c>
      <x:c r="AF7" s="123" t="str">
        <x:v>Tên cấp trên xác nhận theo thông tin Công ty con; cỡ 12 pt là cấu hình profile.</x:v>
      </x:c>
      <x:c r="AG7" s="157" t="str">
        <x:v>Times New Roman</x:v>
      </x:c>
      <x:c r="AH7" s="157" t="str">
        <x:v>Unicode</x:v>
      </x:c>
      <x:c r="AI7" s="157" t="str">
        <x:v>#000000</x:v>
      </x:c>
      <x:c r="AJ7" s="195" t="n">
        <x:v>12</x:v>
      </x:c>
      <x:c r="AK7" s="157" t="str">
        <x:v>KHÔNG</x:v>
      </x:c>
      <x:c r="AL7" s="157" t="str">
        <x:v>KHÔNG</x:v>
      </x:c>
      <x:c r="AM7" s="157" t="str">
        <x:v>IN HOA</x:v>
      </x:c>
      <x:c r="AN7" s="157" t="str">
        <x:v>CENTER</x:v>
      </x:c>
      <x:c r="AO7" s="157" t="str">
        <x:v>KHỐI/CỘT TRÁI</x:v>
      </x:c>
      <x:c r="AP7" s="157" t="str">
        <x:v>SINGLE</x:v>
      </x:c>
      <x:c r="AQ7" s="195" t="n">
        <x:v>1</x:v>
      </x:c>
      <x:c r="AR7" s="157" t="str">
        <x:v>lines</x:v>
      </x:c>
      <x:c r="AS7" s="195"/>
      <x:c r="AT7" s="195" t="n">
        <x:v>0</x:v>
      </x:c>
      <x:c r="AU7" s="195" t="n">
        <x:v>0</x:v>
      </x:c>
      <x:c r="AV7" s="195"/>
      <x:c r="AW7" s="195"/>
      <x:c r="AX7" s="157"/>
      <x:c r="AY7" s="157"/>
      <x:c r="AZ7" s="157"/>
      <x:c r="BA7" s="195"/>
      <x:c r="BB7" s="195"/>
      <x:c r="BC7" s="157"/>
      <x:c r="BD7" s="195"/>
      <x:c r="BE7" s="195"/>
      <x:c r="BF7" s="195"/>
      <x:c r="BG7" s="195"/>
      <x:c r="BH7" s="157"/>
      <x:c r="BI7" s="195"/>
      <x:c r="BJ7" s="195"/>
      <x:c r="BK7" s="195"/>
      <x:c r="BL7" s="157"/>
      <x:c r="BM7" s="157"/>
      <x:c r="BN7" s="157"/>
      <x:c r="BO7" s="195"/>
      <x:c r="BP7" s="195"/>
      <x:c r="BQ7" s="157"/>
      <x:c r="BR7" s="157"/>
      <x:c r="BS7" s="157"/>
      <x:c r="BT7" s="157" t="str">
        <x:v>HeaderIssuer/LeftColumn</x:v>
      </x:c>
      <x:c r="BU7" s="157" t="str">
        <x:v>Word paragraph(s) / run(s) trong khối tên cơ quan</x:v>
      </x:c>
      <x:c r="BV7" s="196" t="str">
        <x:v>THAM KHẢO</x:v>
      </x:c>
      <x:c r="BW7" s="197" t="str">
        <x:v>ĐÃ TÁCH MỘT PHẦN</x:v>
      </x:c>
      <x:c r="BX7" s="157" t="str">
        <x:v>Đối chiếu mô tả gốc ở I–S, Z–AF nếu thuộc tính phụ thuộc mẫu.</x:v>
      </x:c>
      <x:c r="BY7" t="str">
        <x:v>ND30.D.CQ.CAP_TREN</x:v>
      </x:c>
      <x:c r="BZ7" t="str">
        <x:f>IFERROR(INDEX(ND30!$J$7:$J$300,MATCH($B7,ND30!$B$7:$B$300,0)),"UNRESOLVED")</x:f>
        <x:v>12–13</x:v>
      </x:c>
      <x:c r="CA7" t="str">
        <x:v>TEXT</x:v>
      </x:c>
      <x:c r="CB7" t="str">
        <x:v>issuer_scope_confirmed AND document_type_confirmed AND legal_effective_date_confirmed</x:v>
      </x:c>
      <x:c r="CC7" t="str">
        <x:f>IFERROR(INDEX(ND30!$X$7:$X$300,MATCH($B7,ND30!$B$7:$B$300,0)),"UNRESOLVED")</x:f>
        <x:v>READ_ONLY</x:v>
      </x:c>
      <x:c r="CD7" t="str">
        <x:f>IF(OR(ISNUMBER(SEARCH("READ_ONLY",CC7)),ISNUMBER(SEARCH("PROTECTED",CC7)),ISNUMBER(SEARCH("BẢO VỆ",CC7)),ISNUMBER(SEARCH("KHÔNG KÝ",CC7))),"PROTECTED","CHECK_ONLY")</x:f>
        <x:v>PROTECTED</x:v>
      </x:c>
      <x:c r="CE7" t="str">
        <x:f>IF(AND(CD7="FORMAT_APPROVED",CU7="CÓ",CV7="CÓ",CH7="CÓ",CI7="CÓ",CJ7="CÓ"),"CÓ","KHÔNG")</x:f>
        <x:v>KHÔNG</x:v>
      </x:c>
      <x:c r="CF7" t="str">
        <x:v>KHÔNG</x:v>
      </x:c>
      <x:c r="CG7" t="str">
        <x:v>CÓ</x:v>
      </x:c>
      <x:c r="CH7" t="str">
        <x:v>KHÔNG</x:v>
      </x:c>
      <x:c r="CI7" t="str">
        <x:v>KHÔNG</x:v>
      </x:c>
      <x:c r="CJ7" t="str">
        <x:v>KHÔNG</x:v>
      </x:c>
      <x:c r="CK7" t="str">
        <x:f>IF(AND(CE7="CÓ",CF7="KHÔNG",CG7="CÓ",CU7="CÓ",CV7="CÓ",CH7="CÓ",CI7="CÓ",CJ7="CÓ"),"CÓ","KHÔNG")</x:f>
        <x:v>KHÔNG</x:v>
      </x:c>
      <x:c r="CL7" t="str">
        <x:v>https://www.pilotconorth.com/gioi-thieu-cn | Người dùng chốt trong trao đổi 29/10/2026; PROFILE NỘI BỘ; chưa có văn bản phê duyệt doanh nghiệp</x:v>
      </x:c>
      <x:c r="CM7" t="str">
        <x:v>v1.5 (nâng từ v1.4)</x:v>
      </x:c>
      <x:c r="CN7" t="str">
        <x:v>CẦN XÁC MINH TÊN/QUY CHẾ</x:v>
      </x:c>
      <x:c r="CO7" t="str">
        <x:v>ND30_D_CQ_CAP_TREN_FIELD_ONLY; chưa tạo trong Word</x:v>
      </x:c>
      <x:c r="CP7" t="str">
        <x:v>Khác biệt giữa giá trị profile và nguồn pháp lý phải tiếp tục được kiểm chứng; không cho tự sửa DOCX.</x:v>
      </x:c>
      <x:c r="CQ7" t="str">
        <x:f>IF(OR(BH7="CÓ",BH7=TRUE),BI7,"")</x:f>
      </x:c>
      <x:c r="CR7" t="str">
        <x:f>IF(OR(BH7="CÓ",BH7=TRUE),BJ7,"")</x:f>
      </x:c>
      <x:c r="CS7" t="str">
        <x:v>FORMAT_CHECK_ONLY</x:v>
      </x:c>
      <x:c r="CT7" t="str">
        <x:v>VERIFIED_PROFILE_PRESET</x:v>
      </x:c>
      <x:c r="CU7" t="str">
        <x:v>CÓ</x:v>
      </x:c>
      <x:c r="CV7" t="str">
        <x:v>KHÔNG</x:v>
      </x:c>
      <x:c r="CW7" t="str"/>
    </x:row>
    <x:row r="8" ht="29" customHeight="1">
      <x:c r="A8" s="125" t="n">
        <x:v>2</x:v>
      </x:c>
      <x:c r="B8" s="123" t="str">
        <x:v>ND30.D.CQ.BAN_HANH</x:v>
      </x:c>
      <x:c r="C8" s="123" t="str">
        <x:v>Đầu văn bản</x:v>
      </x:c>
      <x:c r="D8" s="123" t="str">
        <x:v>Cơ quan ban hành</x:v>
      </x:c>
      <x:c r="E8" s="123" t="str">
        <x:v>Tên cơ quan, tổ chức ban hành</x:v>
      </x:c>
      <x:c r="F8" s="123" t="str">
        <x:v>2</x:v>
      </x:c>
      <x:c r="G8" s="123" t="str">
        <x:v>Chỉ khi phát hành bởi đúng chủ thể của profile; theo NĐ30</x:v>
      </x:c>
      <x:c r="H8" s="123" t="str">
        <x:v>CÔNG TY HOA TIÊU HÀNG HẢI MIỀN BẮC</x:v>
      </x:c>
      <x:c r="I8" s="123" t="str">
        <x:v>Times New Roman | Unicode | đen</x:v>
      </x:c>
      <x:c r="J8" s="126" t="str">
        <x:v>12</x:v>
      </x:c>
      <x:c r="K8" s="123" t="str">
        <x:v>IN HOA</x:v>
      </x:c>
      <x:c r="L8" s="123" t="str">
        <x:v>Có</x:v>
      </x:c>
      <x:c r="M8" s="123" t="str">
        <x:v>Không</x:v>
      </x:c>
      <x:c r="N8" s="123" t="str">
        <x:v>Căn giữa khối trái, trang 1; bảng bố cục 2 cột không viền</x:v>
      </x:c>
      <x:c r="O8" s="124" t="str">
        <x:v>Single; sau 0 pt</x:v>
      </x:c>
      <x:c r="P8" s="124" t="str">
        <x:v>First line 0; cách dòng theo ô bố cục</x:v>
      </x:c>
      <x:c r="Q8" s="123"/>
      <x:c r="R8" s="123" t="str">
        <x:v>Word paragraph(s) / run(s) trong khối tên cơ quan</x:v>
      </x:c>
      <x:c r="S8" s="123" t="str">
        <x:v>CÔNG TY HOA TIÊU HÀNG HẢI MIỀN BẮC</x:v>
      </x:c>
      <x:c r="T8" s="123" t="str">
        <x:v>NĐ30, Phụ lục I, Phần I, II.2; V.2</x:v>
      </x:c>
      <x:c r="U8" s="123" t="str">
        <x:v>https://datafiles.chinhphu.vn/cpp/files/vbpq/2020/03/30.signed.pdf</x:v>
      </x:c>
      <x:c r="V8" s="123" t="str">
        <x:v>https://riam.edu.vn/nghi-dinh-ve-cong-tac-van-thu-phu-luc/</x:v>
      </x:c>
      <x:c r="W8" s="123" t="str">
        <x:v>ĐỐI CHIẾU MỘT PHẦN</x:v>
      </x:c>
      <x:c r="X8" s="123" t="str">
        <x:v>FORMAT_AFTER_REVIEW</x:v>
      </x:c>
      <x:c r="Y8" s="123" t="str">
        <x:v>Không tự chèn/sửa khi chưa có chứng cứ về đối tượng và rule.</x:v>
      </x:c>
      <x:c r="Z8" s="124" t="str">
        <x:v>CÔNG TY HOA TIÊU HÀNG HẢI MIỀN BẮC</x:v>
      </x:c>
      <x:c r="AA8" s="123" t="str">
        <x:v>HeaderIssuer/LeftColumn</x:v>
      </x:c>
      <x:c r="AB8" s="124" t="str">
        <x:v>PROFILE_CHOT_THEO_TRAO_DOI</x:v>
      </x:c>
      <x:c r="AC8" s="123" t="str">
        <x:v>FORMAT_AFTER_REVIEW</x:v>
      </x:c>
      <x:c r="AD8" s="123" t="str">
        <x:v>https://www.pilotconorth.com/gioi-thieu-cn | Người dùng chốt trong trao đổi 29/10/2026; PROFILE NỘI BỘ; chưa có văn bản phê duyệt doanh nghiệp</x:v>
      </x:c>
      <x:c r="AE8" s="123" t="str">
        <x:v>Đối chiếu mã ND30.D.CQ.BAN_HANH; so cỡ 12 pt và vùng 2; giữ nguyên nội dung ngoài phạm vi.</x:v>
      </x:c>
      <x:c r="AF8" s="123" t="str">
        <x:v>Tên viết gọn có trên website chính thức. Tên pháp nhân đầy đủ: CÔNG TY TRÁCH NHIỆM HỮU HẠN MỘT THÀNH VIÊN HOA TIÊU HÀNG HẢI MIỀN BẮC.</x:v>
      </x:c>
      <x:c r="AG8" s="157" t="str">
        <x:v>Times New Roman</x:v>
      </x:c>
      <x:c r="AH8" s="157" t="str">
        <x:v>Unicode</x:v>
      </x:c>
      <x:c r="AI8" s="157" t="str">
        <x:v>#000000</x:v>
      </x:c>
      <x:c r="AJ8" s="195" t="n">
        <x:v>12</x:v>
      </x:c>
      <x:c r="AK8" s="157" t="str">
        <x:v>CÓ</x:v>
      </x:c>
      <x:c r="AL8" s="157" t="str">
        <x:v>KHÔNG</x:v>
      </x:c>
      <x:c r="AM8" s="157" t="str">
        <x:v>IN HOA</x:v>
      </x:c>
      <x:c r="AN8" s="157" t="str">
        <x:v>CENTER</x:v>
      </x:c>
      <x:c r="AO8" s="157" t="str">
        <x:v>KHỐI/CỘT TRÁI</x:v>
      </x:c>
      <x:c r="AP8" s="157" t="str">
        <x:v>SINGLE</x:v>
      </x:c>
      <x:c r="AQ8" s="195" t="n">
        <x:v>1</x:v>
      </x:c>
      <x:c r="AR8" s="157" t="str">
        <x:v>lines</x:v>
      </x:c>
      <x:c r="AS8" s="195"/>
      <x:c r="AT8" s="195" t="n">
        <x:v>0</x:v>
      </x:c>
      <x:c r="AU8" s="195" t="n">
        <x:v>0</x:v>
      </x:c>
      <x:c r="AV8" s="195"/>
      <x:c r="AW8" s="195"/>
      <x:c r="AX8" s="157"/>
      <x:c r="AY8" s="157"/>
      <x:c r="AZ8" s="157"/>
      <x:c r="BA8" s="195"/>
      <x:c r="BB8" s="195"/>
      <x:c r="BC8" s="157"/>
      <x:c r="BD8" s="195"/>
      <x:c r="BE8" s="195"/>
      <x:c r="BF8" s="195"/>
      <x:c r="BG8" s="195"/>
      <x:c r="BH8" s="157"/>
      <x:c r="BI8" s="195"/>
      <x:c r="BJ8" s="195"/>
      <x:c r="BK8" s="195"/>
      <x:c r="BL8" s="157"/>
      <x:c r="BM8" s="157"/>
      <x:c r="BN8" s="157"/>
      <x:c r="BO8" s="195"/>
      <x:c r="BP8" s="195"/>
      <x:c r="BQ8" s="157"/>
      <x:c r="BR8" s="157"/>
      <x:c r="BS8" s="157"/>
      <x:c r="BT8" s="157" t="str">
        <x:v>HeaderIssuer/LeftColumn</x:v>
      </x:c>
      <x:c r="BU8" s="157" t="str">
        <x:v>Word paragraph(s) / run(s) trong khối tên cơ quan</x:v>
      </x:c>
      <x:c r="BV8" s="196" t="str">
        <x:v>THAM KHẢO</x:v>
      </x:c>
      <x:c r="BW8" s="197" t="str">
        <x:v>ĐÃ TÁCH MỘT PHẦN</x:v>
      </x:c>
      <x:c r="BX8" s="157" t="str">
        <x:v>Đối chiếu mô tả gốc ở I–S, Z–AF nếu thuộc tính phụ thuộc mẫu.</x:v>
      </x:c>
      <x:c r="BY8" t="str">
        <x:v>ND30.D.CQ.BAN_HANH</x:v>
      </x:c>
      <x:c r="BZ8" t="str">
        <x:f>IFERROR(INDEX(ND30!$J$7:$J$300,MATCH($B8,ND30!$B$7:$B$300,0)),"UNRESOLVED")</x:f>
        <x:v>12–13</x:v>
      </x:c>
      <x:c r="CA8" t="str">
        <x:v>TEXT</x:v>
      </x:c>
      <x:c r="CB8" t="str">
        <x:v>issuer_scope_confirmed AND document_type_confirmed AND legal_effective_date_confirmed</x:v>
      </x:c>
      <x:c r="CC8" t="str">
        <x:f>IFERROR(INDEX(ND30!$X$7:$X$300,MATCH($B8,ND30!$B$7:$B$300,0)),"UNRESOLVED")</x:f>
        <x:v>READ_ONLY</x:v>
      </x:c>
      <x:c r="CD8" t="str">
        <x:f>IF(OR(ISNUMBER(SEARCH("READ_ONLY",CC8)),ISNUMBER(SEARCH("PROTECTED",CC8)),ISNUMBER(SEARCH("BẢO VỆ",CC8)),ISNUMBER(SEARCH("KHÔNG KÝ",CC8))),"PROTECTED","CHECK_ONLY")</x:f>
        <x:v>PROTECTED</x:v>
      </x:c>
      <x:c r="CE8" t="str">
        <x:f>IF(AND(CD8="FORMAT_APPROVED",CU8="CÓ",CV8="CÓ",CH8="CÓ",CI8="CÓ",CJ8="CÓ"),"CÓ","KHÔNG")</x:f>
        <x:v>KHÔNG</x:v>
      </x:c>
      <x:c r="CF8" t="str">
        <x:v>KHÔNG</x:v>
      </x:c>
      <x:c r="CG8" t="str">
        <x:v>CÓ</x:v>
      </x:c>
      <x:c r="CH8" t="str">
        <x:v>KHÔNG</x:v>
      </x:c>
      <x:c r="CI8" t="str">
        <x:v>KHÔNG</x:v>
      </x:c>
      <x:c r="CJ8" t="str">
        <x:v>KHÔNG</x:v>
      </x:c>
      <x:c r="CK8" t="str">
        <x:f>IF(AND(CE8="CÓ",CF8="KHÔNG",CG8="CÓ",CU8="CÓ",CV8="CÓ",CH8="CÓ",CI8="CÓ",CJ8="CÓ"),"CÓ","KHÔNG")</x:f>
        <x:v>KHÔNG</x:v>
      </x:c>
      <x:c r="CL8" t="str">
        <x:v>https://www.pilotconorth.com/gioi-thieu-cn | Người dùng chốt trong trao đổi 29/10/2026; PROFILE NỘI BỘ; chưa có văn bản phê duyệt doanh nghiệp</x:v>
      </x:c>
      <x:c r="CM8" t="str">
        <x:v>v1.5 (nâng từ v1.4)</x:v>
      </x:c>
      <x:c r="CN8" t="str">
        <x:v>CẦN XÁC MINH TÊN/QUY CHẾ</x:v>
      </x:c>
      <x:c r="CO8" t="str">
        <x:v>ND30_D_CQ_BAN_HANH_FIELD_ONLY; chưa tạo trong Word</x:v>
      </x:c>
      <x:c r="CP8" t="str">
        <x:v>Khác biệt giữa giá trị profile và nguồn pháp lý phải tiếp tục được kiểm chứng; không cho tự sửa DOCX.</x:v>
      </x:c>
      <x:c r="CQ8" t="str">
        <x:f>IF(OR(BH8="CÓ",BH8=TRUE),BI8,"")</x:f>
      </x:c>
      <x:c r="CR8" t="str">
        <x:f>IF(OR(BH8="CÓ",BH8=TRUE),BJ8,"")</x:f>
      </x:c>
      <x:c r="CS8" t="str">
        <x:v>FORMAT_CHECK_ONLY</x:v>
      </x:c>
      <x:c r="CT8" t="str">
        <x:v>VERIFIED_PROFILE_PRESET</x:v>
      </x:c>
      <x:c r="CU8" t="str">
        <x:v>CÓ</x:v>
      </x:c>
      <x:c r="CV8" t="str">
        <x:v>KHÔNG</x:v>
      </x:c>
      <x:c r="CW8" t="str"/>
    </x:row>
    <x:row r="9" ht="29" customHeight="1">
      <x:c r="A9" s="125" t="n">
        <x:v>3</x:v>
      </x:c>
      <x:c r="B9" s="123" t="str">
        <x:v>ND30.D.CQ.DUONG_KE</x:v>
      </x:c>
      <x:c r="C9" s="123" t="str">
        <x:v>Đầu văn bản</x:v>
      </x:c>
      <x:c r="D9" s="123" t="str">
        <x:v>Cơ quan ban hành</x:v>
      </x:c>
      <x:c r="E9" s="123" t="str">
        <x:v>Đường kẻ bên dưới tên cơ quan ban hành</x:v>
      </x:c>
      <x:c r="F9" s="123" t="str">
        <x:v>2</x:v>
      </x:c>
      <x:c r="G9" s="123" t="str">
        <x:v>Chỉ khi phát hành bởi đúng chủ thể của profile; theo NĐ30</x:v>
      </x:c>
      <x:c r="H9" s="123" t="str">
        <x:v>Đường kẻ bên dưới tên cơ quan ban hành</x:v>
      </x:c>
      <x:c r="I9" s="123" t="str">
        <x:v>Không áp dụng</x:v>
      </x:c>
      <x:c r="J9" s="126" t="str">
        <x:v>—</x:v>
      </x:c>
      <x:c r="K9" s="123" t="str">
        <x:v>Không áp dụng</x:v>
      </x:c>
      <x:c r="L9" s="123" t="str">
        <x:v>Không áp dụng</x:v>
      </x:c>
      <x:c r="M9" s="123" t="str">
        <x:v>Không áp dụng</x:v>
      </x:c>
      <x:c r="N9" s="123" t="str">
        <x:v>Căn giữa khối trái, trang 1; bảng bố cục 2 cột không viền</x:v>
      </x:c>
      <x:c r="O9" s="124" t="str">
        <x:v>Single; sau 0 pt</x:v>
      </x:c>
      <x:c r="P9" s="124" t="str">
        <x:v>First line 0; cách dòng theo ô bố cục</x:v>
      </x:c>
      <x:c r="Q9" s="123" t="str">
        <x:v>Đường liền; dài 40% chiều dài dòng tên cơ quan; căn giữa (preset)</x:v>
      </x:c>
      <x:c r="R9" s="123" t="str">
        <x:v>Dạng drawing/line ổn định; kiểm tra hình học sau render</x:v>
      </x:c>
      <x:c r="S9" s="123" t="str">
        <x:v>Đường liền; dài 40% chiều dài dòng tên cơ quan; căn giữa (preset)</x:v>
      </x:c>
      <x:c r="T9" s="123" t="str">
        <x:v>NĐ30, Phụ lục I, Phần I, II.2.b</x:v>
      </x:c>
      <x:c r="U9" s="123" t="str">
        <x:v>https://datafiles.chinhphu.vn/cpp/files/vbpq/2020/03/30.signed.pdf</x:v>
      </x:c>
      <x:c r="V9" s="123" t="str">
        <x:v>https://riam.edu.vn/nghi-dinh-ve-cong-tac-van-thu-phu-luc/</x:v>
      </x:c>
      <x:c r="W9" s="123" t="str">
        <x:v>ĐỐI CHIẾU MỘT PHẦN</x:v>
      </x:c>
      <x:c r="X9" s="123" t="str">
        <x:v>FORMAT_AFTER_REVIEW</x:v>
      </x:c>
      <x:c r="Y9" s="123" t="str">
        <x:v>Không tự chèn/sửa khi chưa có chứng cứ về đối tượng và rule.</x:v>
      </x:c>
      <x:c r="Z9" s="124" t="str">
        <x:v>Đường liền; dài 40% chiều dài dòng tên cơ quan; căn giữa (preset)</x:v>
      </x:c>
      <x:c r="AA9" s="123" t="str">
        <x:v>HeaderIssuer/LeftColumn</x:v>
      </x:c>
      <x:c r="AB9" s="124" t="str">
        <x:v>CẦN QA RENDER</x:v>
      </x:c>
      <x:c r="AC9" s="123" t="str">
        <x:v>FORMAT_AFTER_REVIEW</x:v>
      </x:c>
      <x:c r="AD9" s="123" t="str">
        <x:v>PLUGIN:hoa-tieu-mien-bac-administrative-v1 | user_approved_visual_reference</x:v>
      </x:c>
      <x:c r="AE9" s="123" t="str">
        <x:v>Đối chiếu mã ND30.D.CQ.DUONG_KE; so cỡ — pt và vùng 2; giữ nguyên nội dung ngoài phạm vi.</x:v>
      </x:c>
      <x:c r="AF9" s="123" t="str">
        <x:v>Công ty: profile trình bày văn bản dự thảo; không mặc định thay cho văn bản pháp quy đặc thù.</x:v>
      </x:c>
      <x:c r="AG9" s="157"/>
      <x:c r="AH9" s="157"/>
      <x:c r="AI9" s="157"/>
      <x:c r="AJ9" s="195"/>
      <x:c r="AK9" s="157" t="str">
        <x:v>KHÔNG ÁP DỤNG</x:v>
      </x:c>
      <x:c r="AL9" s="157" t="str">
        <x:v>KHÔNG ÁP DỤNG</x:v>
      </x:c>
      <x:c r="AM9" s="157"/>
      <x:c r="AN9" s="157" t="str">
        <x:v>CENTER</x:v>
      </x:c>
      <x:c r="AO9" s="157" t="str">
        <x:v>KHỐI/CỘT TRÁI</x:v>
      </x:c>
      <x:c r="AP9" s="157"/>
      <x:c r="AQ9" s="195"/>
      <x:c r="AR9" s="157"/>
      <x:c r="AS9" s="195"/>
      <x:c r="AT9" s="195"/>
      <x:c r="AU9" s="195"/>
      <x:c r="AV9" s="195"/>
      <x:c r="AW9" s="195"/>
      <x:c r="AX9" s="157"/>
      <x:c r="AY9" s="157"/>
      <x:c r="AZ9" s="157"/>
      <x:c r="BA9" s="195"/>
      <x:c r="BB9" s="195"/>
      <x:c r="BC9" s="157"/>
      <x:c r="BD9" s="195"/>
      <x:c r="BE9" s="195"/>
      <x:c r="BF9" s="195"/>
      <x:c r="BG9" s="195"/>
      <x:c r="BH9" s="157"/>
      <x:c r="BI9" s="195"/>
      <x:c r="BJ9" s="195"/>
      <x:c r="BK9" s="195"/>
      <x:c r="BL9" s="157"/>
      <x:c r="BM9" s="157" t="str">
        <x:v>NÉT LIỀN</x:v>
      </x:c>
      <x:c r="BN9" s="157"/>
      <x:c r="BO9" s="195" t="n">
        <x:v>40</x:v>
      </x:c>
      <x:c r="BP9" s="195"/>
      <x:c r="BQ9" s="157"/>
      <x:c r="BR9" s="157"/>
      <x:c r="BS9" s="157"/>
      <x:c r="BT9" s="157" t="str">
        <x:v>HeaderIssuer/LeftColumn</x:v>
      </x:c>
      <x:c r="BU9" s="157" t="str">
        <x:v>Dạng drawing/line ổn định; kiểm tra hình học sau render</x:v>
      </x:c>
      <x:c r="BV9" s="196" t="str">
        <x:v>CẦN QA RENDER</x:v>
      </x:c>
      <x:c r="BW9" s="197" t="str">
        <x:v>ĐÃ TÁCH MỘT PHẦN</x:v>
      </x:c>
      <x:c r="BX9" s="157" t="str">
        <x:v>Đối chiếu mô tả gốc ở I–S, Z–AF nếu thuộc tính phụ thuộc mẫu.</x:v>
      </x:c>
      <x:c r="BY9" t="str">
        <x:v>ND30.D.CQ.DUONG_KE</x:v>
      </x:c>
      <x:c r="BZ9" t="str">
        <x:f>IFERROR(INDEX(ND30!$J$7:$J$300,MATCH($B9,ND30!$B$7:$B$300,0)),"UNRESOLVED")</x:f>
        <x:v>Không áp dụng</x:v>
      </x:c>
      <x:c r="CA9" t="str">
        <x:v>SEPARATOR</x:v>
      </x:c>
      <x:c r="CB9" t="str">
        <x:v>target_kind_confirmed; ký tự và đối tượng hình học không được hoán đổi</x:v>
      </x:c>
      <x:c r="CC9" t="str">
        <x:f>IFERROR(INDEX(ND30!$X$7:$X$300,MATCH($B9,ND30!$B$7:$B$300,0)),"UNRESOLVED")</x:f>
        <x:v>REVIEW TRƯỚC KHI SỬA</x:v>
      </x:c>
      <x:c r="CD9" t="str">
        <x:f>IF(OR(ISNUMBER(SEARCH("READ_ONLY",CC9)),ISNUMBER(SEARCH("PROTECTED",CC9)),ISNUMBER(SEARCH("BẢO VỆ",CC9)),ISNUMBER(SEARCH("KHÔNG KÝ",CC9))),"PROTECTED","CHECK_ONLY")</x:f>
        <x:v>CHECK_ONLY</x:v>
      </x:c>
      <x:c r="CE9" t="str">
        <x:f>IF(AND(CD9="FORMAT_APPROVED",CU9="CÓ",CV9="CÓ",CH9="CÓ",CI9="CÓ",CJ9="CÓ"),"CÓ","KHÔNG")</x:f>
        <x:v>KHÔNG</x:v>
      </x:c>
      <x:c r="CF9" t="str">
        <x:v>KHÔNG</x:v>
      </x:c>
      <x:c r="CG9" t="str">
        <x:v>CÓ</x:v>
      </x:c>
      <x:c r="CH9" t="str">
        <x:v>KHÔNG</x:v>
      </x:c>
      <x:c r="CI9" t="str">
        <x:v>KHÔNG</x:v>
      </x:c>
      <x:c r="CJ9" t="str">
        <x:v>KHÔNG</x:v>
      </x:c>
      <x:c r="CK9" t="str">
        <x:f>IF(AND(CE9="CÓ",CF9="KHÔNG",CG9="CÓ",CU9="CÓ",CV9="CÓ",CH9="CÓ",CI9="CÓ",CJ9="CÓ"),"CÓ","KHÔNG")</x:f>
        <x:v>KHÔNG</x:v>
      </x:c>
      <x:c r="CL9" t="str">
        <x:v>PILOT_NORTH_PROFILE_DRAFT; chưa có master DOCX đã duyệt</x:v>
      </x:c>
      <x:c r="CM9" t="str">
        <x:v>v1.5 (nâng từ v1.4)</x:v>
      </x:c>
      <x:c r="CN9" t="str">
        <x:v>CẦN XÁC MINH TÊN/QUY CHẾ</x:v>
      </x:c>
      <x:c r="CO9" t="str">
        <x:v>ND30_D_CQ_DUONG_KE_FIELD_ONLY; chưa tạo trong Word</x:v>
      </x:c>
      <x:c r="CP9" t="str">
        <x:v>Preset là cấu hình Công ty; không thay thế giới hạn của nguồn NĐ30/HD05</x:v>
      </x:c>
      <x:c r="CQ9" t="str">
        <x:f>IF(OR(BH9="CÓ",BH9=TRUE),BI9,"")</x:f>
      </x:c>
      <x:c r="CR9" t="str">
        <x:f>IF(OR(BH9="CÓ",BH9=TRUE),BJ9,"")</x:f>
      </x:c>
      <x:c r="CS9" t="str">
        <x:v>STRUCTURAL_CHECK_ONLY</x:v>
      </x:c>
      <x:c r="CT9" t="str">
        <x:v>PENDING_SOURCE_AND_DOCX_QA</x:v>
      </x:c>
      <x:c r="CU9" t="str">
        <x:v>KHÔNG</x:v>
      </x:c>
      <x:c r="CV9" t="str">
        <x:v>KHÔNG</x:v>
      </x:c>
      <x:c r="CW9" t="str"/>
    </x:row>
    <x:row r="10" ht="29" customHeight="1">
      <x:c r="A10" s="125" t="n">
        <x:v>4</x:v>
      </x:c>
      <x:c r="B10" s="123" t="str">
        <x:v>ND30.D.CQ.LIEN_CO_QUAN</x:v>
      </x:c>
      <x:c r="C10" s="123" t="str">
        <x:v>Đầu văn bản</x:v>
      </x:c>
      <x:c r="D10" s="123" t="str">
        <x:v>Cơ quan ban hành</x:v>
      </x:c>
      <x:c r="E10" s="123" t="str">
        <x:v>Tên các cơ quan cùng ban hành (nếu có)</x:v>
      </x:c>
      <x:c r="F10" s="123" t="str">
        <x:v>2</x:v>
      </x:c>
      <x:c r="G10" s="123" t="str">
        <x:v>joint_issuer</x:v>
      </x:c>
      <x:c r="H10" s="123" t="str">
        <x:v>Tên các cơ quan cùng ban hành (nếu có)</x:v>
      </x:c>
      <x:c r="I10" s="123" t="str">
        <x:v>Times New Roman | Unicode | đen</x:v>
      </x:c>
      <x:c r="J10" s="126" t="str">
        <x:v>12</x:v>
      </x:c>
      <x:c r="K10" s="123" t="str">
        <x:v>In hoa</x:v>
      </x:c>
      <x:c r="L10" s="123" t="str">
        <x:v>Không</x:v>
      </x:c>
      <x:c r="M10" s="123" t="str">
        <x:v>Không</x:v>
      </x:c>
      <x:c r="N10" s="123" t="str">
        <x:v>Căn giữa khối trái, trang 1; bảng bố cục 2 cột không viền</x:v>
      </x:c>
      <x:c r="O10" s="124" t="str">
        <x:v>Single; sau 0 pt</x:v>
      </x:c>
      <x:c r="P10" s="124" t="str">
        <x:v>First line 0; cách dòng theo ô bố cục</x:v>
      </x:c>
      <x:c r="Q10" s="123"/>
      <x:c r="R10" s="123" t="str">
        <x:v>Word paragraph(s) / run(s) trong khối tên cơ quan</x:v>
      </x:c>
      <x:c r="S10" s="123" t="str">
        <x:v>Không sử dụng trong mẫu Công ty/Đảng ủy thông thường; chỉ theo văn bản có liên cơ quan/đại hội</x:v>
      </x:c>
      <x:c r="T10" s="123" t="str">
        <x:v>NĐ30, Phụ lục I, Phần I, II.2; V.2</x:v>
      </x:c>
      <x:c r="U10" s="123" t="str">
        <x:v>https://datafiles.chinhphu.vn/cpp/files/vbpq/2020/03/30.signed.pdf</x:v>
      </x:c>
      <x:c r="V10" s="123" t="str">
        <x:v>https://riam.edu.vn/nghi-dinh-ve-cong-tac-van-thu-phu-luc/</x:v>
      </x:c>
      <x:c r="W10" s="123" t="str">
        <x:v>CHƯA ĐỦ BẰNG CHỨNG</x:v>
      </x:c>
      <x:c r="X10" s="123" t="str">
        <x:v>CHECK_ONLY</x:v>
      </x:c>
      <x:c r="Y10" s="123" t="str">
        <x:v>Xác minh thẩm quyền/biến thể liên cơ quan; không tự suy đoán tên và số người ký. | Trạng thái v1.0: CÓ ĐIỀU KIỆN</x:v>
      </x:c>
      <x:c r="Z10" s="124" t="str">
        <x:v>Không sử dụng trong mẫu Công ty/Đảng ủy thông thường; chỉ theo văn bản có liên cơ quan/đại hội</x:v>
      </x:c>
      <x:c r="AA10" s="123" t="str">
        <x:v>HeaderIssuer/LeftColumn</x:v>
      </x:c>
      <x:c r="AB10" s="124" t="str">
        <x:v>CÓ ĐIỀU KIỆN</x:v>
      </x:c>
      <x:c r="AC10" s="123" t="str">
        <x:v>CHECK_ONLY</x:v>
      </x:c>
      <x:c r="AD10" s="123" t="str">
        <x:v>PLUGIN:hoa-tieu-mien-bac-administrative-v1 | user_approved_visual_reference</x:v>
      </x:c>
      <x:c r="AE10" s="123" t="str">
        <x:v>Đối chiếu mã ND30.D.CQ.LIEN_CO_QUAN; so cỡ 12 pt và vùng 2; giữ nguyên nội dung ngoài phạm vi.</x:v>
      </x:c>
      <x:c r="AF10" s="123" t="str">
        <x:v>Công ty: profile trình bày văn bản dự thảo; không mặc định thay cho văn bản pháp quy đặc thù.</x:v>
      </x:c>
      <x:c r="AG10" s="157" t="str">
        <x:v>Times New Roman</x:v>
      </x:c>
      <x:c r="AH10" s="157" t="str">
        <x:v>Unicode</x:v>
      </x:c>
      <x:c r="AI10" s="157" t="str">
        <x:v>#000000</x:v>
      </x:c>
      <x:c r="AJ10" s="195" t="n">
        <x:v>12</x:v>
      </x:c>
      <x:c r="AK10" s="157" t="str">
        <x:v>KHÔNG</x:v>
      </x:c>
      <x:c r="AL10" s="157" t="str">
        <x:v>KHÔNG</x:v>
      </x:c>
      <x:c r="AM10" s="157" t="str">
        <x:v>In hoa</x:v>
      </x:c>
      <x:c r="AN10" s="157" t="str">
        <x:v>CENTER</x:v>
      </x:c>
      <x:c r="AO10" s="157" t="str">
        <x:v>KHỐI/CỘT TRÁI</x:v>
      </x:c>
      <x:c r="AP10" s="157" t="str">
        <x:v>SINGLE</x:v>
      </x:c>
      <x:c r="AQ10" s="195" t="n">
        <x:v>1</x:v>
      </x:c>
      <x:c r="AR10" s="157" t="str">
        <x:v>lines</x:v>
      </x:c>
      <x:c r="AS10" s="195"/>
      <x:c r="AT10" s="195" t="n">
        <x:v>0</x:v>
      </x:c>
      <x:c r="AU10" s="195" t="n">
        <x:v>0</x:v>
      </x:c>
      <x:c r="AV10" s="195"/>
      <x:c r="AW10" s="195"/>
      <x:c r="AX10" s="157"/>
      <x:c r="AY10" s="157"/>
      <x:c r="AZ10" s="157"/>
      <x:c r="BA10" s="195"/>
      <x:c r="BB10" s="195"/>
      <x:c r="BC10" s="157"/>
      <x:c r="BD10" s="195"/>
      <x:c r="BE10" s="195"/>
      <x:c r="BF10" s="195"/>
      <x:c r="BG10" s="195"/>
      <x:c r="BH10" s="157"/>
      <x:c r="BI10" s="195"/>
      <x:c r="BJ10" s="195"/>
      <x:c r="BK10" s="195"/>
      <x:c r="BL10" s="157"/>
      <x:c r="BM10" s="157"/>
      <x:c r="BN10" s="157"/>
      <x:c r="BO10" s="195"/>
      <x:c r="BP10" s="195"/>
      <x:c r="BQ10" s="157"/>
      <x:c r="BR10" s="157"/>
      <x:c r="BS10" s="157"/>
      <x:c r="BT10" s="157" t="str">
        <x:v>HeaderIssuer/LeftColumn</x:v>
      </x:c>
      <x:c r="BU10" s="157" t="str">
        <x:v>Word paragraph(s) / run(s) trong khối tên cơ quan</x:v>
      </x:c>
      <x:c r="BV10" s="196" t="str">
        <x:v>CÓ ĐIỀU KIỆN</x:v>
      </x:c>
      <x:c r="BW10" s="197" t="str">
        <x:v>ĐÃ TÁCH MỘT PHẦN</x:v>
      </x:c>
      <x:c r="BX10" s="157" t="str">
        <x:v>Đối chiếu mô tả gốc ở I–S, Z–AF nếu thuộc tính phụ thuộc mẫu.</x:v>
      </x:c>
      <x:c r="BY10" t="str">
        <x:v>ND30.D.CQ.LIEN_CO_QUAN</x:v>
      </x:c>
      <x:c r="BZ10" t="str">
        <x:f>IFERROR(INDEX(ND30!$J$7:$J$300,MATCH($B10,ND30!$B$7:$B$300,0)),"UNRESOLVED")</x:f>
        <x:v>12–13</x:v>
      </x:c>
      <x:c r="CA10" t="str">
        <x:v>TEXT</x:v>
      </x:c>
      <x:c r="CB10" t="str">
        <x:v>issuer_scope_confirmed AND document_type_confirmed AND legal_effective_date_confirmed</x:v>
      </x:c>
      <x:c r="CC10" t="str">
        <x:f>IFERROR(INDEX(ND30!$X$7:$X$300,MATCH($B10,ND30!$B$7:$B$300,0)),"UNRESOLVED")</x:f>
        <x:v>READ_ONLY</x:v>
      </x:c>
      <x:c r="CD10" t="str">
        <x:f>IF(OR(ISNUMBER(SEARCH("READ_ONLY",CC10)),ISNUMBER(SEARCH("PROTECTED",CC10)),ISNUMBER(SEARCH("BẢO VỆ",CC10)),ISNUMBER(SEARCH("KHÔNG KÝ",CC10))),"PROTECTED","CHECK_ONLY")</x:f>
        <x:v>PROTECTED</x:v>
      </x:c>
      <x:c r="CE10" t="str">
        <x:f>IF(AND(CD10="FORMAT_APPROVED",CU10="CÓ",CV10="CÓ",CH10="CÓ",CI10="CÓ",CJ10="CÓ"),"CÓ","KHÔNG")</x:f>
        <x:v>KHÔNG</x:v>
      </x:c>
      <x:c r="CF10" t="str">
        <x:v>KHÔNG</x:v>
      </x:c>
      <x:c r="CG10" t="str">
        <x:v>CÓ</x:v>
      </x:c>
      <x:c r="CH10" t="str">
        <x:v>KHÔNG</x:v>
      </x:c>
      <x:c r="CI10" t="str">
        <x:v>KHÔNG</x:v>
      </x:c>
      <x:c r="CJ10" t="str">
        <x:v>KHÔNG</x:v>
      </x:c>
      <x:c r="CK10" t="str">
        <x:f>IF(AND(CE10="CÓ",CF10="KHÔNG",CG10="CÓ",CU10="CÓ",CV10="CÓ",CH10="CÓ",CI10="CÓ",CJ10="CÓ"),"CÓ","KHÔNG")</x:f>
        <x:v>KHÔNG</x:v>
      </x:c>
      <x:c r="CL10" t="str">
        <x:v>PILOT_NORTH_PROFILE_DRAFT; chưa có master DOCX đã duyệt</x:v>
      </x:c>
      <x:c r="CM10" t="str">
        <x:v>v1.5 (nâng từ v1.4)</x:v>
      </x:c>
      <x:c r="CN10" t="str">
        <x:v>CẦN XÁC MINH TÊN/QUY CHẾ</x:v>
      </x:c>
      <x:c r="CO10" t="str">
        <x:v>ND30_D_CQ_LIEN_CO_QUAN_FIELD_ONLY; chưa tạo trong Word</x:v>
      </x:c>
      <x:c r="CP10" t="str">
        <x:v>Preset là cấu hình Công ty; không thay thế giới hạn của nguồn NĐ30/HD05</x:v>
      </x:c>
      <x:c r="CQ10" t="str">
        <x:f>IF(OR(BH10="CÓ",BH10=TRUE),BI10,"")</x:f>
      </x:c>
      <x:c r="CR10" t="str">
        <x:f>IF(OR(BH10="CÓ",BH10=TRUE),BJ10,"")</x:f>
      </x:c>
      <x:c r="CS10" t="str">
        <x:v>FORMAT_CHECK_ONLY</x:v>
      </x:c>
      <x:c r="CT10" t="str">
        <x:v>PENDING_SOURCE_AND_DOCX_QA</x:v>
      </x:c>
      <x:c r="CU10" t="str">
        <x:v>KHÔNG</x:v>
      </x:c>
      <x:c r="CV10" t="str">
        <x:v>KHÔNG</x:v>
      </x:c>
      <x:c r="CW10" t="str"/>
    </x:row>
    <x:row r="11" ht="29" customHeight="1">
      <x:c r="A11" s="125" t="n">
        <x:v>5</x:v>
      </x:c>
      <x:c r="B11" s="123" t="str">
        <x:v>ND30.D.QH.QUOC_HIEU</x:v>
      </x:c>
      <x:c r="C11" s="123" t="str">
        <x:v>Đầu văn bản</x:v>
      </x:c>
      <x:c r="D11" s="123" t="str">
        <x:v>Quốc hiệu và Tiêu ngữ</x:v>
      </x:c>
      <x:c r="E11" s="123" t="str">
        <x:v>Quốc hiệu</x:v>
      </x:c>
      <x:c r="F11" s="123" t="str">
        <x:v>1</x:v>
      </x:c>
      <x:c r="G11" s="123" t="str">
        <x:v>Chỉ khi phát hành bởi đúng chủ thể của profile; theo NĐ30</x:v>
      </x:c>
      <x:c r="H11" s="123" t="str">
        <x:v>Quốc hiệu</x:v>
      </x:c>
      <x:c r="I11" s="123" t="str">
        <x:v>Times New Roman | Unicode | đen</x:v>
      </x:c>
      <x:c r="J11" s="126" t="str">
        <x:v>12</x:v>
      </x:c>
      <x:c r="K11" s="123" t="str">
        <x:v>IN HOA</x:v>
      </x:c>
      <x:c r="L11" s="123" t="str">
        <x:v>Có</x:v>
      </x:c>
      <x:c r="M11" s="123" t="str">
        <x:v>Không</x:v>
      </x:c>
      <x:c r="N11" s="123" t="str">
        <x:v>Căn giữa trong khối phải, trang 1</x:v>
      </x:c>
      <x:c r="O11" s="124" t="str">
        <x:v>Single; sau 0 pt</x:v>
      </x:c>
      <x:c r="P11" s="124" t="str">
        <x:v>Thụt dòng 0</x:v>
      </x:c>
      <x:c r="Q11" s="123"/>
      <x:c r="R11" s="123" t="str">
        <x:v>Run chữ trong vùng đầu trang (không đồng nhất Word Header)</x:v>
      </x:c>
      <x:c r="S11" s="123" t="str">
        <x:v>CỘNG HÒA XÃ HỘI CHỦ NGHĨA VIỆT NAM</x:v>
      </x:c>
      <x:c r="T11" s="123" t="str">
        <x:v>NĐ30, Phụ lục I, Phần I, II.1.a; V.1</x:v>
      </x:c>
      <x:c r="U11" s="123" t="str">
        <x:v>https://datafiles.chinhphu.vn/cpp/files/vbpq/2020/03/30.signed.pdf</x:v>
      </x:c>
      <x:c r="V11" s="123" t="str">
        <x:v>https://riam.edu.vn/nghi-dinh-ve-cong-tac-van-thu-phu-luc/</x:v>
      </x:c>
      <x:c r="W11" s="123" t="str">
        <x:v>ĐỐI CHIẾU MỘT PHẦN</x:v>
      </x:c>
      <x:c r="X11" s="123" t="str">
        <x:v>FORMAT_AFTER_REVIEW</x:v>
      </x:c>
      <x:c r="Y11" s="123" t="str">
        <x:v>Không tự chèn/sửa khi chưa có chứng cứ về đối tượng và rule.</x:v>
      </x:c>
      <x:c r="Z11" s="124" t="str">
        <x:v>CỘNG HÒA XÃ HỘI CHỦ NGHĨA VIỆT NAM</x:v>
      </x:c>
      <x:c r="AA11" s="123" t="str">
        <x:v>HeaderNationalOrParty/RightColumn</x:v>
      </x:c>
      <x:c r="AB11" s="124" t="str">
        <x:v>THAM KHẢO</x:v>
      </x:c>
      <x:c r="AC11" s="123" t="str">
        <x:v>FORMAT_AFTER_REVIEW</x:v>
      </x:c>
      <x:c r="AD11" s="123" t="str">
        <x:v>PLUGIN:hoa-tieu-mien-bac-administrative-v1 | user_approved_visual_reference</x:v>
      </x:c>
      <x:c r="AE11" s="123" t="str">
        <x:v>Đối chiếu mã ND30.D.QH.QUOC_HIEU; so cỡ 12 pt và vùng 1; giữ nguyên nội dung ngoài phạm vi.</x:v>
      </x:c>
      <x:c r="AF11" s="123" t="str">
        <x:v>Công ty: profile trình bày văn bản dự thảo; không mặc định thay cho văn bản pháp quy đặc thù.</x:v>
      </x:c>
      <x:c r="AG11" s="157" t="str">
        <x:v>Times New Roman</x:v>
      </x:c>
      <x:c r="AH11" s="157" t="str">
        <x:v>Unicode</x:v>
      </x:c>
      <x:c r="AI11" s="157" t="str">
        <x:v>#000000</x:v>
      </x:c>
      <x:c r="AJ11" s="195" t="n">
        <x:v>12</x:v>
      </x:c>
      <x:c r="AK11" s="157" t="str">
        <x:v>CÓ</x:v>
      </x:c>
      <x:c r="AL11" s="157" t="str">
        <x:v>KHÔNG</x:v>
      </x:c>
      <x:c r="AM11" s="157" t="str">
        <x:v>IN HOA</x:v>
      </x:c>
      <x:c r="AN11" s="157" t="str">
        <x:v>CENTER</x:v>
      </x:c>
      <x:c r="AO11" s="157" t="str">
        <x:v>KHỐI PHẢI</x:v>
      </x:c>
      <x:c r="AP11" s="157" t="str">
        <x:v>SINGLE</x:v>
      </x:c>
      <x:c r="AQ11" s="195" t="n">
        <x:v>1</x:v>
      </x:c>
      <x:c r="AR11" s="157" t="str">
        <x:v>lines</x:v>
      </x:c>
      <x:c r="AS11" s="195"/>
      <x:c r="AT11" s="195" t="n">
        <x:v>0</x:v>
      </x:c>
      <x:c r="AU11" s="195" t="n">
        <x:v>0</x:v>
      </x:c>
      <x:c r="AV11" s="195"/>
      <x:c r="AW11" s="195"/>
      <x:c r="AX11" s="157"/>
      <x:c r="AY11" s="157"/>
      <x:c r="AZ11" s="157"/>
      <x:c r="BA11" s="195"/>
      <x:c r="BB11" s="195"/>
      <x:c r="BC11" s="157"/>
      <x:c r="BD11" s="195"/>
      <x:c r="BE11" s="195"/>
      <x:c r="BF11" s="195"/>
      <x:c r="BG11" s="195"/>
      <x:c r="BH11" s="157"/>
      <x:c r="BI11" s="195"/>
      <x:c r="BJ11" s="195"/>
      <x:c r="BK11" s="195"/>
      <x:c r="BL11" s="157"/>
      <x:c r="BM11" s="157"/>
      <x:c r="BN11" s="157"/>
      <x:c r="BO11" s="195"/>
      <x:c r="BP11" s="195"/>
      <x:c r="BQ11" s="157"/>
      <x:c r="BR11" s="157"/>
      <x:c r="BS11" s="157"/>
      <x:c r="BT11" s="157" t="str">
        <x:v>HeaderNationalOrParty/RightColumn</x:v>
      </x:c>
      <x:c r="BU11" s="157" t="str">
        <x:v>Run chữ trong vùng đầu trang (không đồng nhất Word Header)</x:v>
      </x:c>
      <x:c r="BV11" s="196" t="str">
        <x:v>THAM KHẢO</x:v>
      </x:c>
      <x:c r="BW11" s="197" t="str">
        <x:v>ĐÃ TÁCH MỘT PHẦN</x:v>
      </x:c>
      <x:c r="BX11" s="157" t="str">
        <x:v>Đối chiếu mô tả gốc ở I–S, Z–AF nếu thuộc tính phụ thuộc mẫu.</x:v>
      </x:c>
      <x:c r="BY11" t="str">
        <x:v>ND30.D.QH.QUOC_HIEU</x:v>
      </x:c>
      <x:c r="BZ11" t="str">
        <x:f>IFERROR(INDEX(ND30!$J$7:$J$300,MATCH($B11,ND30!$B$7:$B$300,0)),"UNRESOLVED")</x:f>
        <x:v>12–13</x:v>
      </x:c>
      <x:c r="CA11" t="str">
        <x:v>TEXT</x:v>
      </x:c>
      <x:c r="CB11" t="str">
        <x:v>issuer_scope_confirmed AND document_type_confirmed AND legal_effective_date_confirmed</x:v>
      </x:c>
      <x:c r="CC11" t="str">
        <x:f>IFERROR(INDEX(ND30!$X$7:$X$300,MATCH($B11,ND30!$B$7:$B$300,0)),"UNRESOLVED")</x:f>
        <x:v>READ_ONLY</x:v>
      </x:c>
      <x:c r="CD11" t="str">
        <x:f>IF(OR(ISNUMBER(SEARCH("READ_ONLY",CC11)),ISNUMBER(SEARCH("PROTECTED",CC11)),ISNUMBER(SEARCH("BẢO VỆ",CC11)),ISNUMBER(SEARCH("KHÔNG KÝ",CC11))),"PROTECTED","CHECK_ONLY")</x:f>
        <x:v>PROTECTED</x:v>
      </x:c>
      <x:c r="CE11" t="str">
        <x:f>IF(AND(CD11="FORMAT_APPROVED",CU11="CÓ",CV11="CÓ",CH11="CÓ",CI11="CÓ",CJ11="CÓ"),"CÓ","KHÔNG")</x:f>
        <x:v>KHÔNG</x:v>
      </x:c>
      <x:c r="CF11" t="str">
        <x:v>KHÔNG</x:v>
      </x:c>
      <x:c r="CG11" t="str">
        <x:v>CÓ</x:v>
      </x:c>
      <x:c r="CH11" t="str">
        <x:v>KHÔNG</x:v>
      </x:c>
      <x:c r="CI11" t="str">
        <x:v>KHÔNG</x:v>
      </x:c>
      <x:c r="CJ11" t="str">
        <x:v>KHÔNG</x:v>
      </x:c>
      <x:c r="CK11" t="str">
        <x:f>IF(AND(CE11="CÓ",CF11="KHÔNG",CG11="CÓ",CU11="CÓ",CV11="CÓ",CH11="CÓ",CI11="CÓ",CJ11="CÓ"),"CÓ","KHÔNG")</x:f>
        <x:v>KHÔNG</x:v>
      </x:c>
      <x:c r="CL11" t="str">
        <x:v>PILOT_NORTH_PROFILE_DRAFT; chưa có master DOCX đã duyệt</x:v>
      </x:c>
      <x:c r="CM11" t="str">
        <x:v>v1.5 (nâng từ v1.4)</x:v>
      </x:c>
      <x:c r="CN11" t="str">
        <x:v>CẦN XÁC MINH TÊN/QUY CHẾ</x:v>
      </x:c>
      <x:c r="CO11" t="str">
        <x:v>ND30_D_QH_QUOC_HIEU_FIELD_ONLY; chưa tạo trong Word</x:v>
      </x:c>
      <x:c r="CP11" t="str">
        <x:v>Preset là cấu hình Công ty; không thay thế giới hạn của nguồn NĐ30/HD05</x:v>
      </x:c>
      <x:c r="CQ11" t="str">
        <x:f>IF(OR(BH11="CÓ",BH11=TRUE),BI11,"")</x:f>
      </x:c>
      <x:c r="CR11" t="str">
        <x:f>IF(OR(BH11="CÓ",BH11=TRUE),BJ11,"")</x:f>
      </x:c>
      <x:c r="CS11" t="str">
        <x:v>FORMAT_CHECK_ONLY</x:v>
      </x:c>
      <x:c r="CT11" t="str">
        <x:v>PENDING_SOURCE_AND_DOCX_QA</x:v>
      </x:c>
      <x:c r="CU11" t="str">
        <x:v>KHÔNG</x:v>
      </x:c>
      <x:c r="CV11" t="str">
        <x:v>KHÔNG</x:v>
      </x:c>
      <x:c r="CW11" t="str"/>
    </x:row>
    <x:row r="12" ht="29" customHeight="1">
      <x:c r="A12" s="125" t="n">
        <x:v>6</x:v>
      </x:c>
      <x:c r="B12" s="123" t="str">
        <x:v>ND30.D.QH.TIEU_NGU</x:v>
      </x:c>
      <x:c r="C12" s="123" t="str">
        <x:v>Đầu văn bản</x:v>
      </x:c>
      <x:c r="D12" s="123" t="str">
        <x:v>Quốc hiệu và Tiêu ngữ</x:v>
      </x:c>
      <x:c r="E12" s="123" t="str">
        <x:v>Tiêu ngữ</x:v>
      </x:c>
      <x:c r="F12" s="123" t="str">
        <x:v>1</x:v>
      </x:c>
      <x:c r="G12" s="123" t="str">
        <x:v>Chỉ khi phát hành bởi đúng chủ thể của profile; theo NĐ30</x:v>
      </x:c>
      <x:c r="H12" s="123" t="str">
        <x:v>Tiêu ngữ</x:v>
      </x:c>
      <x:c r="I12" s="123" t="str">
        <x:v>Times New Roman | Unicode | đen</x:v>
      </x:c>
      <x:c r="J12" s="126" t="str">
        <x:v>13</x:v>
      </x:c>
      <x:c r="K12" s="123" t="str">
        <x:v>Theo mẫu</x:v>
      </x:c>
      <x:c r="L12" s="123" t="str">
        <x:v>Có</x:v>
      </x:c>
      <x:c r="M12" s="123" t="str">
        <x:v>Không</x:v>
      </x:c>
      <x:c r="N12" s="123" t="str">
        <x:v>Căn giữa trong khối phải, trang 1</x:v>
      </x:c>
      <x:c r="O12" s="124" t="str">
        <x:v>Single; sau 0 pt</x:v>
      </x:c>
      <x:c r="P12" s="124" t="str">
        <x:v>Thụt dòng 0</x:v>
      </x:c>
      <x:c r="Q12" s="123"/>
      <x:c r="R12" s="123" t="str">
        <x:v>Văn bản/OOXML: xác định đối tượng trước khi sửa</x:v>
      </x:c>
      <x:c r="S12" s="123" t="str">
        <x:v>Độc lập - Tự do - Hạnh phúc</x:v>
      </x:c>
      <x:c r="T12" s="123" t="str">
        <x:v>NĐ30, Phụ lục I, Phần I, II.1.b–c; V.1</x:v>
      </x:c>
      <x:c r="U12" s="123" t="str">
        <x:v>https://datafiles.chinhphu.vn/cpp/files/vbpq/2020/03/30.signed.pdf</x:v>
      </x:c>
      <x:c r="V12" s="123" t="str">
        <x:v>https://riam.edu.vn/nghi-dinh-ve-cong-tac-van-thu-phu-luc/</x:v>
      </x:c>
      <x:c r="W12" s="123" t="str">
        <x:v>ĐỐI CHIẾU MỘT PHẦN</x:v>
      </x:c>
      <x:c r="X12" s="123" t="str">
        <x:v>FORMAT_AFTER_REVIEW</x:v>
      </x:c>
      <x:c r="Y12" s="123" t="str">
        <x:v>Không tự chèn/sửa khi chưa có chứng cứ về đối tượng và rule.</x:v>
      </x:c>
      <x:c r="Z12" s="124" t="str">
        <x:v>Độc lập - Tự do - Hạnh phúc</x:v>
      </x:c>
      <x:c r="AA12" s="123" t="str">
        <x:v>HeaderNationalOrParty/RightColumn</x:v>
      </x:c>
      <x:c r="AB12" s="124" t="str">
        <x:v>THAM KHẢO</x:v>
      </x:c>
      <x:c r="AC12" s="123" t="str">
        <x:v>FORMAT_AFTER_REVIEW</x:v>
      </x:c>
      <x:c r="AD12" s="123" t="str">
        <x:v>PLUGIN:hoa-tieu-mien-bac-administrative-v1 | user_approved_visual_reference</x:v>
      </x:c>
      <x:c r="AE12" s="123" t="str">
        <x:v>Đối chiếu mã ND30.D.QH.TIEU_NGU; so cỡ 13 pt và vùng 1; giữ nguyên nội dung ngoài phạm vi.</x:v>
      </x:c>
      <x:c r="AF12" s="123" t="str">
        <x:v>Công ty: profile trình bày văn bản dự thảo; không mặc định thay cho văn bản pháp quy đặc thù.</x:v>
      </x:c>
      <x:c r="AG12" s="157" t="str">
        <x:v>Times New Roman</x:v>
      </x:c>
      <x:c r="AH12" s="157" t="str">
        <x:v>Unicode</x:v>
      </x:c>
      <x:c r="AI12" s="157" t="str">
        <x:v>#000000</x:v>
      </x:c>
      <x:c r="AJ12" s="195" t="n">
        <x:v>13</x:v>
      </x:c>
      <x:c r="AK12" s="157" t="str">
        <x:v>CÓ</x:v>
      </x:c>
      <x:c r="AL12" s="157" t="str">
        <x:v>KHÔNG</x:v>
      </x:c>
      <x:c r="AM12" s="157" t="str">
        <x:v>Theo mẫu</x:v>
      </x:c>
      <x:c r="AN12" s="157" t="str">
        <x:v>CENTER</x:v>
      </x:c>
      <x:c r="AO12" s="157" t="str">
        <x:v>KHỐI PHẢI</x:v>
      </x:c>
      <x:c r="AP12" s="157" t="str">
        <x:v>SINGLE</x:v>
      </x:c>
      <x:c r="AQ12" s="195" t="n">
        <x:v>1</x:v>
      </x:c>
      <x:c r="AR12" s="157" t="str">
        <x:v>lines</x:v>
      </x:c>
      <x:c r="AS12" s="195"/>
      <x:c r="AT12" s="195" t="n">
        <x:v>0</x:v>
      </x:c>
      <x:c r="AU12" s="195" t="n">
        <x:v>0</x:v>
      </x:c>
      <x:c r="AV12" s="195"/>
      <x:c r="AW12" s="195"/>
      <x:c r="AX12" s="157"/>
      <x:c r="AY12" s="157"/>
      <x:c r="AZ12" s="157"/>
      <x:c r="BA12" s="195"/>
      <x:c r="BB12" s="195"/>
      <x:c r="BC12" s="157"/>
      <x:c r="BD12" s="195"/>
      <x:c r="BE12" s="195"/>
      <x:c r="BF12" s="195"/>
      <x:c r="BG12" s="195"/>
      <x:c r="BH12" s="157"/>
      <x:c r="BI12" s="195"/>
      <x:c r="BJ12" s="195"/>
      <x:c r="BK12" s="195"/>
      <x:c r="BL12" s="157"/>
      <x:c r="BM12" s="157"/>
      <x:c r="BN12" s="157"/>
      <x:c r="BO12" s="195"/>
      <x:c r="BP12" s="195"/>
      <x:c r="BQ12" s="157"/>
      <x:c r="BR12" s="157"/>
      <x:c r="BS12" s="157"/>
      <x:c r="BT12" s="157" t="str">
        <x:v>HeaderNationalOrParty/RightColumn</x:v>
      </x:c>
      <x:c r="BU12" s="157" t="str">
        <x:v>Văn bản/OOXML: xác định đối tượng trước khi sửa</x:v>
      </x:c>
      <x:c r="BV12" s="196" t="str">
        <x:v>THAM KHẢO</x:v>
      </x:c>
      <x:c r="BW12" s="197" t="str">
        <x:v>ĐÃ TÁCH MỘT PHẦN</x:v>
      </x:c>
      <x:c r="BX12" s="157" t="str">
        <x:v>Đối chiếu mô tả gốc ở I–S, Z–AF nếu thuộc tính phụ thuộc mẫu.</x:v>
      </x:c>
      <x:c r="BY12" t="str">
        <x:v>ND30.D.QH.TIEU_NGU</x:v>
      </x:c>
      <x:c r="BZ12" t="str">
        <x:f>IFERROR(INDEX(ND30!$J$7:$J$300,MATCH($B12,ND30!$B$7:$B$300,0)),"UNRESOLVED")</x:f>
        <x:v>13–14</x:v>
      </x:c>
      <x:c r="CA12" t="str">
        <x:v>TEXT</x:v>
      </x:c>
      <x:c r="CB12" t="str">
        <x:v>issuer_scope_confirmed AND document_type_confirmed AND legal_effective_date_confirmed</x:v>
      </x:c>
      <x:c r="CC12" t="str">
        <x:f>IFERROR(INDEX(ND30!$X$7:$X$300,MATCH($B12,ND30!$B$7:$B$300,0)),"UNRESOLVED")</x:f>
        <x:v>READ_ONLY</x:v>
      </x:c>
      <x:c r="CD12" t="str">
        <x:f>IF(OR(ISNUMBER(SEARCH("READ_ONLY",CC12)),ISNUMBER(SEARCH("PROTECTED",CC12)),ISNUMBER(SEARCH("BẢO VỆ",CC12)),ISNUMBER(SEARCH("KHÔNG KÝ",CC12))),"PROTECTED","CHECK_ONLY")</x:f>
        <x:v>PROTECTED</x:v>
      </x:c>
      <x:c r="CE12" t="str">
        <x:f>IF(AND(CD12="FORMAT_APPROVED",CU12="CÓ",CV12="CÓ",CH12="CÓ",CI12="CÓ",CJ12="CÓ"),"CÓ","KHÔNG")</x:f>
        <x:v>KHÔNG</x:v>
      </x:c>
      <x:c r="CF12" t="str">
        <x:v>KHÔNG</x:v>
      </x:c>
      <x:c r="CG12" t="str">
        <x:v>CÓ</x:v>
      </x:c>
      <x:c r="CH12" t="str">
        <x:v>KHÔNG</x:v>
      </x:c>
      <x:c r="CI12" t="str">
        <x:v>KHÔNG</x:v>
      </x:c>
      <x:c r="CJ12" t="str">
        <x:v>KHÔNG</x:v>
      </x:c>
      <x:c r="CK12" t="str">
        <x:f>IF(AND(CE12="CÓ",CF12="KHÔNG",CG12="CÓ",CU12="CÓ",CV12="CÓ",CH12="CÓ",CI12="CÓ",CJ12="CÓ"),"CÓ","KHÔNG")</x:f>
        <x:v>KHÔNG</x:v>
      </x:c>
      <x:c r="CL12" t="str">
        <x:v>PILOT_NORTH_PROFILE_DRAFT; chưa có master DOCX đã duyệt</x:v>
      </x:c>
      <x:c r="CM12" t="str">
        <x:v>v1.5 (nâng từ v1.4)</x:v>
      </x:c>
      <x:c r="CN12" t="str">
        <x:v>CẦN XÁC MINH TÊN/QUY CHẾ</x:v>
      </x:c>
      <x:c r="CO12" t="str">
        <x:v>ND30_D_QH_TIEU_NGU_FIELD_ONLY; chưa tạo trong Word</x:v>
      </x:c>
      <x:c r="CP12" t="str">
        <x:v>Preset là cấu hình Công ty; không thay thế giới hạn của nguồn NĐ30/HD05</x:v>
      </x:c>
      <x:c r="CQ12" t="str">
        <x:f>IF(OR(BH12="CÓ",BH12=TRUE),BI12,"")</x:f>
      </x:c>
      <x:c r="CR12" t="str">
        <x:f>IF(OR(BH12="CÓ",BH12=TRUE),BJ12,"")</x:f>
      </x:c>
      <x:c r="CS12" t="str">
        <x:v>FORMAT_CHECK_ONLY</x:v>
      </x:c>
      <x:c r="CT12" t="str">
        <x:v>PENDING_SOURCE_AND_DOCX_QA</x:v>
      </x:c>
      <x:c r="CU12" t="str">
        <x:v>KHÔNG</x:v>
      </x:c>
      <x:c r="CV12" t="str">
        <x:v>KHÔNG</x:v>
      </x:c>
      <x:c r="CW12" t="str"/>
    </x:row>
    <x:row r="13" ht="29" customHeight="1">
      <x:c r="A13" s="125" t="n">
        <x:v>7</x:v>
      </x:c>
      <x:c r="B13" s="123" t="str">
        <x:v>ND30.D.QH.DUONG_KE</x:v>
      </x:c>
      <x:c r="C13" s="123" t="str">
        <x:v>Đầu văn bản</x:v>
      </x:c>
      <x:c r="D13" s="123" t="str">
        <x:v>Quốc hiệu và Tiêu ngữ</x:v>
      </x:c>
      <x:c r="E13" s="123" t="str">
        <x:v>Đường kẻ dưới Tiêu ngữ</x:v>
      </x:c>
      <x:c r="F13" s="123" t="str">
        <x:v>1</x:v>
      </x:c>
      <x:c r="G13" s="123" t="str">
        <x:v>Chỉ khi phát hành bởi đúng chủ thể của profile; theo NĐ30</x:v>
      </x:c>
      <x:c r="H13" s="123" t="str">
        <x:v>Đường kẻ dưới Tiêu ngữ</x:v>
      </x:c>
      <x:c r="I13" s="123" t="str">
        <x:v>Không áp dụng</x:v>
      </x:c>
      <x:c r="J13" s="126" t="str">
        <x:v>—</x:v>
      </x:c>
      <x:c r="K13" s="123" t="str">
        <x:v>Không áp dụng</x:v>
      </x:c>
      <x:c r="L13" s="123" t="str">
        <x:v>Không áp dụng</x:v>
      </x:c>
      <x:c r="M13" s="123" t="str">
        <x:v>Không áp dụng</x:v>
      </x:c>
      <x:c r="N13" s="123" t="str">
        <x:v>Căn giữa trong khối phải, trang 1</x:v>
      </x:c>
      <x:c r="O13" s="124" t="str">
        <x:v>Single; sau 0 pt</x:v>
      </x:c>
      <x:c r="P13" s="124" t="str">
        <x:v>Thụt dòng 0</x:v>
      </x:c>
      <x:c r="Q13" s="123" t="str">
        <x:v>Nét liền; độ dài theo Tiêu ngữ/Tiêu đề; căn giữa</x:v>
      </x:c>
      <x:c r="R13" s="123" t="str">
        <x:v>Văn bản/OOXML: xác định đối tượng trước khi sửa</x:v>
      </x:c>
      <x:c r="S13" s="123" t="str">
        <x:v>Nét liền; độ dài theo Tiêu ngữ/Tiêu đề; căn giữa</x:v>
      </x:c>
      <x:c r="T13" s="123" t="str">
        <x:v>NĐ30, Phụ lục I, Phần I, II.1.b</x:v>
      </x:c>
      <x:c r="U13" s="123" t="str">
        <x:v>https://datafiles.chinhphu.vn/cpp/files/vbpq/2020/03/30.signed.pdf</x:v>
      </x:c>
      <x:c r="V13" s="123" t="str">
        <x:v>https://riam.edu.vn/nghi-dinh-ve-cong-tac-van-thu-phu-luc/</x:v>
      </x:c>
      <x:c r="W13" s="123" t="str">
        <x:v>ĐỐI CHIẾU MỘT PHẦN</x:v>
      </x:c>
      <x:c r="X13" s="123" t="str">
        <x:v>FORMAT_AFTER_REVIEW</x:v>
      </x:c>
      <x:c r="Y13" s="123" t="str">
        <x:v>Không tự chèn/sửa khi chưa có chứng cứ về đối tượng và rule.</x:v>
      </x:c>
      <x:c r="Z13" s="124" t="str">
        <x:v>Nét liền; độ dài theo Tiêu ngữ/Tiêu đề; căn giữa</x:v>
      </x:c>
      <x:c r="AA13" s="123" t="str">
        <x:v>HeaderNationalOrParty/RightColumn</x:v>
      </x:c>
      <x:c r="AB13" s="124" t="str">
        <x:v>CẦN QA RENDER</x:v>
      </x:c>
      <x:c r="AC13" s="123" t="str">
        <x:v>FORMAT_AFTER_REVIEW</x:v>
      </x:c>
      <x:c r="AD13" s="123" t="str">
        <x:v>PLUGIN:hoa-tieu-mien-bac-administrative-v1 | user_approved_visual_reference</x:v>
      </x:c>
      <x:c r="AE13" s="123" t="str">
        <x:v>Đối chiếu mã ND30.D.QH.DUONG_KE; so cỡ — pt và vùng 1; giữ nguyên nội dung ngoài phạm vi.</x:v>
      </x:c>
      <x:c r="AF13" s="123" t="str">
        <x:v>Công ty: profile trình bày văn bản dự thảo; không mặc định thay cho văn bản pháp quy đặc thù.</x:v>
      </x:c>
      <x:c r="AG13" s="157"/>
      <x:c r="AH13" s="157"/>
      <x:c r="AI13" s="157"/>
      <x:c r="AJ13" s="195"/>
      <x:c r="AK13" s="157" t="str">
        <x:v>KHÔNG ÁP DỤNG</x:v>
      </x:c>
      <x:c r="AL13" s="157" t="str">
        <x:v>KHÔNG ÁP DỤNG</x:v>
      </x:c>
      <x:c r="AM13" s="157"/>
      <x:c r="AN13" s="157" t="str">
        <x:v>CENTER</x:v>
      </x:c>
      <x:c r="AO13" s="157" t="str">
        <x:v>KHỐI PHẢI</x:v>
      </x:c>
      <x:c r="AP13" s="157"/>
      <x:c r="AQ13" s="195"/>
      <x:c r="AR13" s="157"/>
      <x:c r="AS13" s="195"/>
      <x:c r="AT13" s="195"/>
      <x:c r="AU13" s="195"/>
      <x:c r="AV13" s="195"/>
      <x:c r="AW13" s="195"/>
      <x:c r="AX13" s="157"/>
      <x:c r="AY13" s="157"/>
      <x:c r="AZ13" s="157"/>
      <x:c r="BA13" s="195"/>
      <x:c r="BB13" s="195"/>
      <x:c r="BC13" s="157"/>
      <x:c r="BD13" s="195"/>
      <x:c r="BE13" s="195"/>
      <x:c r="BF13" s="195"/>
      <x:c r="BG13" s="195"/>
      <x:c r="BH13" s="157"/>
      <x:c r="BI13" s="195"/>
      <x:c r="BJ13" s="195"/>
      <x:c r="BK13" s="195"/>
      <x:c r="BL13" s="157"/>
      <x:c r="BM13" s="157" t="str">
        <x:v>NÉT LIỀN</x:v>
      </x:c>
      <x:c r="BN13" s="157"/>
      <x:c r="BO13" s="195"/>
      <x:c r="BP13" s="195"/>
      <x:c r="BQ13" s="157"/>
      <x:c r="BR13" s="157"/>
      <x:c r="BS13" s="157"/>
      <x:c r="BT13" s="157" t="str">
        <x:v>HeaderNationalOrParty/RightColumn</x:v>
      </x:c>
      <x:c r="BU13" s="157" t="str">
        <x:v>Văn bản/OOXML: xác định đối tượng trước khi sửa</x:v>
      </x:c>
      <x:c r="BV13" s="196" t="str">
        <x:v>CẦN QA RENDER</x:v>
      </x:c>
      <x:c r="BW13" s="197" t="str">
        <x:v>ĐÃ TÁCH MỘT PHẦN</x:v>
      </x:c>
      <x:c r="BX13" s="157" t="str">
        <x:v>Đối chiếu mô tả gốc ở I–S, Z–AF nếu thuộc tính phụ thuộc mẫu.</x:v>
      </x:c>
      <x:c r="BY13" t="str">
        <x:v>ND30.D.QH.DUONG_KE</x:v>
      </x:c>
      <x:c r="BZ13" t="str">
        <x:f>IFERROR(INDEX(ND30!$J$7:$J$300,MATCH($B13,ND30!$B$7:$B$300,0)),"UNRESOLVED")</x:f>
        <x:v>Không áp dụng</x:v>
      </x:c>
      <x:c r="CA13" t="str">
        <x:v>SEPARATOR</x:v>
      </x:c>
      <x:c r="CB13" t="str">
        <x:v>target_kind_confirmed; ký tự và đối tượng hình học không được hoán đổi</x:v>
      </x:c>
      <x:c r="CC13" t="str">
        <x:f>IFERROR(INDEX(ND30!$X$7:$X$300,MATCH($B13,ND30!$B$7:$B$300,0)),"UNRESOLVED")</x:f>
        <x:v>READ_ONLY</x:v>
      </x:c>
      <x:c r="CD13" t="str">
        <x:f>IF(OR(ISNUMBER(SEARCH("READ_ONLY",CC13)),ISNUMBER(SEARCH("PROTECTED",CC13)),ISNUMBER(SEARCH("BẢO VỆ",CC13)),ISNUMBER(SEARCH("KHÔNG KÝ",CC13))),"PROTECTED","CHECK_ONLY")</x:f>
        <x:v>PROTECTED</x:v>
      </x:c>
      <x:c r="CE13" t="str">
        <x:f>IF(AND(CD13="FORMAT_APPROVED",CU13="CÓ",CV13="CÓ",CH13="CÓ",CI13="CÓ",CJ13="CÓ"),"CÓ","KHÔNG")</x:f>
        <x:v>KHÔNG</x:v>
      </x:c>
      <x:c r="CF13" t="str">
        <x:v>KHÔNG</x:v>
      </x:c>
      <x:c r="CG13" t="str">
        <x:v>CÓ</x:v>
      </x:c>
      <x:c r="CH13" t="str">
        <x:v>KHÔNG</x:v>
      </x:c>
      <x:c r="CI13" t="str">
        <x:v>KHÔNG</x:v>
      </x:c>
      <x:c r="CJ13" t="str">
        <x:v>KHÔNG</x:v>
      </x:c>
      <x:c r="CK13" t="str">
        <x:f>IF(AND(CE13="CÓ",CF13="KHÔNG",CG13="CÓ",CU13="CÓ",CV13="CÓ",CH13="CÓ",CI13="CÓ",CJ13="CÓ"),"CÓ","KHÔNG")</x:f>
        <x:v>KHÔNG</x:v>
      </x:c>
      <x:c r="CL13" t="str">
        <x:v>PILOT_NORTH_PROFILE_DRAFT; chưa có master DOCX đã duyệt</x:v>
      </x:c>
      <x:c r="CM13" t="str">
        <x:v>v1.5 (nâng từ v1.4)</x:v>
      </x:c>
      <x:c r="CN13" t="str">
        <x:v>CẦN XÁC MINH TÊN/QUY CHẾ</x:v>
      </x:c>
      <x:c r="CO13" t="str">
        <x:v>ND30_D_QH_DUONG_KE_FIELD_ONLY; chưa tạo trong Word</x:v>
      </x:c>
      <x:c r="CP13" t="str">
        <x:v>Preset là cấu hình Công ty; không thay thế giới hạn của nguồn NĐ30/HD05</x:v>
      </x:c>
      <x:c r="CQ13" t="str">
        <x:f>IF(OR(BH13="CÓ",BH13=TRUE),BI13,"")</x:f>
      </x:c>
      <x:c r="CR13" t="str">
        <x:f>IF(OR(BH13="CÓ",BH13=TRUE),BJ13,"")</x:f>
      </x:c>
      <x:c r="CS13" t="str">
        <x:v>STRUCTURAL_CHECK_ONLY</x:v>
      </x:c>
      <x:c r="CT13" t="str">
        <x:v>PENDING_SOURCE_AND_DOCX_QA</x:v>
      </x:c>
      <x:c r="CU13" t="str">
        <x:v>KHÔNG</x:v>
      </x:c>
      <x:c r="CV13" t="str">
        <x:v>KHÔNG</x:v>
      </x:c>
      <x:c r="CW13" t="str"/>
    </x:row>
    <x:row r="14" ht="29" customHeight="1">
      <x:c r="A14" s="125" t="n">
        <x:v>8</x:v>
      </x:c>
      <x:c r="B14" s="123" t="str">
        <x:v>ND30.D.SK.NHAN_SO</x:v>
      </x:c>
      <x:c r="C14" s="123" t="str">
        <x:v>Đầu văn bản</x:v>
      </x:c>
      <x:c r="D14" s="123" t="str">
        <x:v>Số và ký hiệu</x:v>
      </x:c>
      <x:c r="E14" s="123" t="str">
        <x:v>Nhãn Số:</x:v>
      </x:c>
      <x:c r="F14" s="123" t="str">
        <x:v>3</x:v>
      </x:c>
      <x:c r="G14" s="123" t="str">
        <x:v>Chỉ khi phát hành bởi đúng chủ thể của profile; theo NĐ30</x:v>
      </x:c>
      <x:c r="H14" s="123" t="str">
        <x:v>Nhãn Số:</x:v>
      </x:c>
      <x:c r="I14" s="123" t="str">
        <x:v>Times New Roman | Unicode | đen</x:v>
      </x:c>
      <x:c r="J14" s="126" t="str">
        <x:v>13</x:v>
      </x:c>
      <x:c r="K14" s="123" t="str">
        <x:v>Viết hoa chữ đầu</x:v>
      </x:c>
      <x:c r="L14" s="123" t="str">
        <x:v>Không</x:v>
      </x:c>
      <x:c r="M14" s="123" t="str">
        <x:v>Không</x:v>
      </x:c>
      <x:c r="N14" s="123" t="str">
        <x:v>Căn giữa trong cột trái; dưới tên cơ quan</x:v>
      </x:c>
      <x:c r="O14" s="124" t="str">
        <x:v>Single; sau 0 pt</x:v>
      </x:c>
      <x:c r="P14" s="124" t="str">
        <x:v>Thụt dòng 0</x:v>
      </x:c>
      <x:c r="Q14" s="123" t="str">
        <x:v>Dấu : sau Số</x:v>
      </x:c>
      <x:c r="R14" s="123" t="str">
        <x:v>Text runs cùng đoạn; ký hiệu cấu trúc là text, không tự tạo số</x:v>
      </x:c>
      <x:c r="S14" s="123" t="str">
        <x:v>Số:</x:v>
      </x:c>
      <x:c r="T14" s="123" t="str">
        <x:v>NĐ30, Phụ lục I, Phần I, II.3; V.3</x:v>
      </x:c>
      <x:c r="U14" s="123" t="str">
        <x:v>https://datafiles.chinhphu.vn/cpp/files/vbpq/2020/03/30.signed.pdf</x:v>
      </x:c>
      <x:c r="V14" s="123" t="str">
        <x:v>https://riam.edu.vn/nghi-dinh-ve-cong-tac-van-thu-phu-luc/</x:v>
      </x:c>
      <x:c r="W14" s="123" t="str">
        <x:v>ĐỐI CHIẾU MỘT PHẦN</x:v>
      </x:c>
      <x:c r="X14" s="123" t="str">
        <x:v>PROTECT_CONTENT</x:v>
      </x:c>
      <x:c r="Y14" s="123" t="str">
        <x:v>Không tự chèn/sửa khi chưa có chứng cứ về đối tượng và rule.</x:v>
      </x:c>
      <x:c r="Z14" s="124" t="str">
        <x:v>Số:</x:v>
      </x:c>
      <x:c r="AA14" s="123" t="str">
        <x:v>DocumentNumber/LeftColumn</x:v>
      </x:c>
      <x:c r="AB14" s="124" t="str">
        <x:v>THAM KHẢO</x:v>
      </x:c>
      <x:c r="AC14" s="123" t="str">
        <x:v>PROTECT_CONTENT</x:v>
      </x:c>
      <x:c r="AD14" s="123" t="str">
        <x:v>PLUGIN:hoa-tieu-mien-bac-administrative-v1 | user_approved_visual_reference</x:v>
      </x:c>
      <x:c r="AE14" s="123" t="str">
        <x:v>Đối chiếu mã ND30.D.SK.NHAN_SO; so cỡ 13 pt và vùng 3; giữ nguyên nội dung ngoài phạm vi.</x:v>
      </x:c>
      <x:c r="AF14" s="123" t="str">
        <x:v>Công ty: profile trình bày văn bản dự thảo; không mặc định thay cho văn bản pháp quy đặc thù.</x:v>
      </x:c>
      <x:c r="AG14" s="157" t="str">
        <x:v>Times New Roman</x:v>
      </x:c>
      <x:c r="AH14" s="157" t="str">
        <x:v>Unicode</x:v>
      </x:c>
      <x:c r="AI14" s="157" t="str">
        <x:v>#000000</x:v>
      </x:c>
      <x:c r="AJ14" s="195" t="n">
        <x:v>13</x:v>
      </x:c>
      <x:c r="AK14" s="157" t="str">
        <x:v>KHÔNG</x:v>
      </x:c>
      <x:c r="AL14" s="157" t="str">
        <x:v>KHÔNG</x:v>
      </x:c>
      <x:c r="AM14" s="157" t="str">
        <x:v>Viết hoa chữ đầu</x:v>
      </x:c>
      <x:c r="AN14" s="157" t="str">
        <x:v>CENTER</x:v>
      </x:c>
      <x:c r="AO14" s="157" t="str">
        <x:v>KHỐI/CỘT TRÁI</x:v>
      </x:c>
      <x:c r="AP14" s="157" t="str">
        <x:v>SINGLE</x:v>
      </x:c>
      <x:c r="AQ14" s="195" t="n">
        <x:v>1</x:v>
      </x:c>
      <x:c r="AR14" s="157" t="str">
        <x:v>lines</x:v>
      </x:c>
      <x:c r="AS14" s="195"/>
      <x:c r="AT14" s="195" t="n">
        <x:v>0</x:v>
      </x:c>
      <x:c r="AU14" s="195" t="n">
        <x:v>0</x:v>
      </x:c>
      <x:c r="AV14" s="195"/>
      <x:c r="AW14" s="195"/>
      <x:c r="AX14" s="157"/>
      <x:c r="AY14" s="157"/>
      <x:c r="AZ14" s="157"/>
      <x:c r="BA14" s="195"/>
      <x:c r="BB14" s="195"/>
      <x:c r="BC14" s="157"/>
      <x:c r="BD14" s="195"/>
      <x:c r="BE14" s="195"/>
      <x:c r="BF14" s="195"/>
      <x:c r="BG14" s="195"/>
      <x:c r="BH14" s="157"/>
      <x:c r="BI14" s="195"/>
      <x:c r="BJ14" s="195"/>
      <x:c r="BK14" s="195"/>
      <x:c r="BL14" s="157"/>
      <x:c r="BM14" s="157" t="str">
        <x:v>KÝ TỰ</x:v>
      </x:c>
      <x:c r="BN14" s="157" t="str">
        <x:v>:</x:v>
      </x:c>
      <x:c r="BO14" s="195"/>
      <x:c r="BP14" s="195"/>
      <x:c r="BQ14" s="157"/>
      <x:c r="BR14" s="157"/>
      <x:c r="BS14" s="157"/>
      <x:c r="BT14" s="157" t="str">
        <x:v>DocumentNumber/LeftColumn</x:v>
      </x:c>
      <x:c r="BU14" s="157" t="str">
        <x:v>Text runs cùng đoạn; ký hiệu cấu trúc là text, không tự tạo số</x:v>
      </x:c>
      <x:c r="BV14" s="196" t="str">
        <x:v>THAM KHẢO</x:v>
      </x:c>
      <x:c r="BW14" s="197" t="str">
        <x:v>ĐÃ TÁCH MỘT PHẦN</x:v>
      </x:c>
      <x:c r="BX14" s="157" t="str">
        <x:v>Đối chiếu mô tả gốc ở I–S, Z–AF nếu thuộc tính phụ thuộc mẫu.</x:v>
      </x:c>
      <x:c r="BY14" t="str">
        <x:v>ND30.D.SK.NHAN_SO</x:v>
      </x:c>
      <x:c r="BZ14" t="n">
        <x:f>IFERROR(INDEX(ND30!$J$7:$J$300,MATCH($B14,ND30!$B$7:$B$300,0)),"UNRESOLVED")</x:f>
        <x:v>13</x:v>
      </x:c>
      <x:c r="CA14" t="str">
        <x:v>TEXT</x:v>
      </x:c>
      <x:c r="CB14" t="str">
        <x:v>issuer_scope_confirmed AND document_type_confirmed AND legal_effective_date_confirmed</x:v>
      </x:c>
      <x:c r="CC14" t="str">
        <x:f>IFERROR(INDEX(ND30!$X$7:$X$300,MATCH($B14,ND30!$B$7:$B$300,0)),"UNRESOLVED")</x:f>
        <x:v>READ_ONLY</x:v>
      </x:c>
      <x:c r="CD14" t="str">
        <x:f>IF(OR(ISNUMBER(SEARCH("READ_ONLY",CC14)),ISNUMBER(SEARCH("PROTECTED",CC14)),ISNUMBER(SEARCH("BẢO VỆ",CC14)),ISNUMBER(SEARCH("KHÔNG KÝ",CC14))),"PROTECTED","CHECK_ONLY")</x:f>
        <x:v>PROTECTED</x:v>
      </x:c>
      <x:c r="CE14" t="str">
        <x:f>IF(AND(CD14="FORMAT_APPROVED",CU14="CÓ",CV14="CÓ",CH14="CÓ",CI14="CÓ",CJ14="CÓ"),"CÓ","KHÔNG")</x:f>
        <x:v>KHÔNG</x:v>
      </x:c>
      <x:c r="CF14" t="str">
        <x:v>KHÔNG</x:v>
      </x:c>
      <x:c r="CG14" t="str">
        <x:v>CÓ</x:v>
      </x:c>
      <x:c r="CH14" t="str">
        <x:v>KHÔNG</x:v>
      </x:c>
      <x:c r="CI14" t="str">
        <x:v>KHÔNG</x:v>
      </x:c>
      <x:c r="CJ14" t="str">
        <x:v>KHÔNG</x:v>
      </x:c>
      <x:c r="CK14" t="str">
        <x:f>IF(AND(CE14="CÓ",CF14="KHÔNG",CG14="CÓ",CU14="CÓ",CV14="CÓ",CH14="CÓ",CI14="CÓ",CJ14="CÓ"),"CÓ","KHÔNG")</x:f>
        <x:v>KHÔNG</x:v>
      </x:c>
      <x:c r="CL14" t="str">
        <x:v>PILOT_NORTH_PROFILE_DRAFT; chưa có master DOCX đã duyệt</x:v>
      </x:c>
      <x:c r="CM14" t="str">
        <x:v>v1.5 (nâng từ v1.4)</x:v>
      </x:c>
      <x:c r="CN14" t="str">
        <x:v>CẦN XÁC MINH TÊN/QUY CHẾ</x:v>
      </x:c>
      <x:c r="CO14" t="str">
        <x:v>ND30_D_SK_NHAN_SO_FIELD_ONLY; chưa tạo trong Word</x:v>
      </x:c>
      <x:c r="CP14" t="str">
        <x:v>Preset là cấu hình Công ty; không thay thế giới hạn của nguồn NĐ30/HD05</x:v>
      </x:c>
      <x:c r="CQ14" t="str">
        <x:f>IF(OR(BH14="CÓ",BH14=TRUE),BI14,"")</x:f>
      </x:c>
      <x:c r="CR14" t="str">
        <x:f>IF(OR(BH14="CÓ",BH14=TRUE),BJ14,"")</x:f>
      </x:c>
      <x:c r="CS14" t="str">
        <x:v>FORMAT_CHECK_ONLY</x:v>
      </x:c>
      <x:c r="CT14" t="str">
        <x:v>PENDING_SOURCE_AND_DOCX_QA</x:v>
      </x:c>
      <x:c r="CU14" t="str">
        <x:v>KHÔNG</x:v>
      </x:c>
      <x:c r="CV14" t="str">
        <x:v>KHÔNG</x:v>
      </x:c>
      <x:c r="CW14" t="str"/>
    </x:row>
    <x:row r="15" ht="29" customHeight="1">
      <x:c r="A15" s="125" t="n">
        <x:v>9</x:v>
      </x:c>
      <x:c r="B15" s="123" t="str">
        <x:v>ND30.D.SK.SO_VAN_BAN</x:v>
      </x:c>
      <x:c r="C15" s="123" t="str">
        <x:v>Đầu văn bản</x:v>
      </x:c>
      <x:c r="D15" s="123" t="str">
        <x:v>Số và ký hiệu</x:v>
      </x:c>
      <x:c r="E15" s="123" t="str">
        <x:v>Số thứ tự văn bản</x:v>
      </x:c>
      <x:c r="F15" s="123" t="str">
        <x:v>3</x:v>
      </x:c>
      <x:c r="G15" s="123" t="str">
        <x:v>Chỉ khi phát hành bởi đúng chủ thể của profile; theo NĐ30</x:v>
      </x:c>
      <x:c r="H15" s="123" t="str">
        <x:v>Số văn bản lấy từ sổ văn thư; chỉ kiểm tra định dạng, không tự cấp số</x:v>
      </x:c>
      <x:c r="I15" s="123" t="str">
        <x:v>Times New Roman | Unicode | đen</x:v>
      </x:c>
      <x:c r="J15" s="126" t="str">
        <x:v>13</x:v>
      </x:c>
      <x:c r="K15" s="123" t="str">
        <x:v>Chữ số Ả Rập; không áp dụng quy tắc IN HOA</x:v>
      </x:c>
      <x:c r="L15" s="123" t="str">
        <x:v>Không</x:v>
      </x:c>
      <x:c r="M15" s="123" t="str">
        <x:v>Không</x:v>
      </x:c>
      <x:c r="N15" s="123" t="str">
        <x:v>Căn giữa trong cột trái; dưới tên cơ quan</x:v>
      </x:c>
      <x:c r="O15" s="124" t="str">
        <x:v>Single; sau 0 pt</x:v>
      </x:c>
      <x:c r="P15" s="124" t="str">
        <x:v>Thụt dòng 0</x:v>
      </x:c>
      <x:c r="Q15" s="123"/>
      <x:c r="R15" s="123" t="str">
        <x:v>Text runs cùng đoạn; ký hiệu cấu trúc là text, không tự tạo số</x:v>
      </x:c>
      <x:c r="S15" s="123" t="str">
        <x:v>Chữ số Ả Rập; số nhỏ hơn 10 thêm 0</x:v>
      </x:c>
      <x:c r="T15" s="123" t="str">
        <x:v>NĐ30, Phụ lục I, Phần I, II.3; V.3</x:v>
      </x:c>
      <x:c r="U15" s="123" t="str">
        <x:v>https://datafiles.chinhphu.vn/cpp/files/vbpq/2020/03/30.signed.pdf</x:v>
      </x:c>
      <x:c r="V15" s="123" t="str">
        <x:v>https://riam.edu.vn/nghi-dinh-ve-cong-tac-van-thu-phu-luc/</x:v>
      </x:c>
      <x:c r="W15" s="123" t="str">
        <x:v>ĐỐI CHIẾU MỘT PHẦN</x:v>
      </x:c>
      <x:c r="X15" s="123" t="str">
        <x:v>PROTECT_CONTENT</x:v>
      </x:c>
      <x:c r="Y15" s="123" t="str">
        <x:v>Không tự chèn/sửa khi chưa có chứng cứ về đối tượng và rule.</x:v>
      </x:c>
      <x:c r="Z15" s="124" t="str">
        <x:v>[SỐ VĂN BẢN — TRỐNG, KHÔNG TỰ SINH]</x:v>
      </x:c>
      <x:c r="AA15" s="123" t="str">
        <x:v>DocumentNumber/LeftColumn</x:v>
      </x:c>
      <x:c r="AB15" s="124" t="str">
        <x:v>THAM KHẢO</x:v>
      </x:c>
      <x:c r="AC15" s="123" t="str">
        <x:v>PROTECT_CONTENT</x:v>
      </x:c>
      <x:c r="AD15" s="123" t="str">
        <x:v>PLUGIN:hoa-tieu-mien-bac-administrative-v1 | user_approved_visual_reference</x:v>
      </x:c>
      <x:c r="AE15" s="123" t="str">
        <x:v>Đối chiếu mã ND30.D.SK.SO_VAN_BAN; so cỡ 13 pt và vùng 3; giữ nguyên nội dung ngoài phạm vi.</x:v>
      </x:c>
      <x:c r="AF15" s="123" t="str">
        <x:v>Công ty: profile trình bày văn bản dự thảo; không mặc định thay cho văn bản pháp quy đặc thù.</x:v>
      </x:c>
      <x:c r="AG15" s="157" t="str">
        <x:v>Times New Roman</x:v>
      </x:c>
      <x:c r="AH15" s="157" t="str">
        <x:v>Unicode</x:v>
      </x:c>
      <x:c r="AI15" s="157" t="str">
        <x:v>#000000</x:v>
      </x:c>
      <x:c r="AJ15" s="195" t="n">
        <x:v>13</x:v>
      </x:c>
      <x:c r="AK15" s="157" t="str">
        <x:v>KHÔNG</x:v>
      </x:c>
      <x:c r="AL15" s="157" t="str">
        <x:v>KHÔNG</x:v>
      </x:c>
      <x:c r="AM15" s="157" t="str">
        <x:v>Chữ số Ả Rập; không áp dụng quy tắc IN HOA</x:v>
      </x:c>
      <x:c r="AN15" s="157" t="str">
        <x:v>CENTER</x:v>
      </x:c>
      <x:c r="AO15" s="157" t="str">
        <x:v>KHỐI/CỘT TRÁI</x:v>
      </x:c>
      <x:c r="AP15" s="157" t="str">
        <x:v>SINGLE</x:v>
      </x:c>
      <x:c r="AQ15" s="195" t="n">
        <x:v>1</x:v>
      </x:c>
      <x:c r="AR15" s="157" t="str">
        <x:v>lines</x:v>
      </x:c>
      <x:c r="AS15" s="195"/>
      <x:c r="AT15" s="195" t="n">
        <x:v>0</x:v>
      </x:c>
      <x:c r="AU15" s="195" t="n">
        <x:v>0</x:v>
      </x:c>
      <x:c r="AV15" s="195"/>
      <x:c r="AW15" s="195"/>
      <x:c r="AX15" s="157"/>
      <x:c r="AY15" s="157"/>
      <x:c r="AZ15" s="157"/>
      <x:c r="BA15" s="195"/>
      <x:c r="BB15" s="195"/>
      <x:c r="BC15" s="157"/>
      <x:c r="BD15" s="195"/>
      <x:c r="BE15" s="195"/>
      <x:c r="BF15" s="195"/>
      <x:c r="BG15" s="195"/>
      <x:c r="BH15" s="157"/>
      <x:c r="BI15" s="195"/>
      <x:c r="BJ15" s="195"/>
      <x:c r="BK15" s="195"/>
      <x:c r="BL15" s="157"/>
      <x:c r="BM15" s="157"/>
      <x:c r="BN15" s="157"/>
      <x:c r="BO15" s="195"/>
      <x:c r="BP15" s="195"/>
      <x:c r="BQ15" s="157"/>
      <x:c r="BR15" s="157"/>
      <x:c r="BS15" s="157"/>
      <x:c r="BT15" s="157" t="str">
        <x:v>DocumentNumber/LeftColumn</x:v>
      </x:c>
      <x:c r="BU15" s="157" t="str">
        <x:v>Text runs cùng đoạn; ký hiệu cấu trúc là text, không tự tạo số</x:v>
      </x:c>
      <x:c r="BV15" s="196" t="str">
        <x:v>THAM KHẢO</x:v>
      </x:c>
      <x:c r="BW15" s="197" t="str">
        <x:v>ĐÃ TÁCH MỘT PHẦN</x:v>
      </x:c>
      <x:c r="BX15" s="157" t="str">
        <x:v>Đối chiếu mô tả gốc ở I–S, Z–AF nếu thuộc tính phụ thuộc mẫu.</x:v>
      </x:c>
      <x:c r="BY15" t="str">
        <x:v>ND30.D.SK.SO_VAN_BAN</x:v>
      </x:c>
      <x:c r="BZ15" t="n">
        <x:f>IFERROR(INDEX(ND30!$J$7:$J$300,MATCH($B15,ND30!$B$7:$B$300,0)),"UNRESOLVED")</x:f>
        <x:v>13</x:v>
      </x:c>
      <x:c r="CA15" t="str">
        <x:v>PROTECTED_TEXT</x:v>
      </x:c>
      <x:c r="CB15" t="str">
        <x:v>issuer_scope_confirmed AND document_type_confirmed AND legal_effective_date_confirmed</x:v>
      </x:c>
      <x:c r="CC15" t="str">
        <x:f>IFERROR(INDEX(ND30!$X$7:$X$300,MATCH($B15,ND30!$B$7:$B$300,0)),"UNRESOLVED")</x:f>
        <x:v>KHÔNG TỰ CẤP SỐ</x:v>
      </x:c>
      <x:c r="CD15" t="str">
        <x:f>IF(OR(ISNUMBER(SEARCH("READ_ONLY",CC15)),ISNUMBER(SEARCH("PROTECTED",CC15)),ISNUMBER(SEARCH("BẢO VỆ",CC15)),ISNUMBER(SEARCH("KHÔNG KÝ",CC15))),"PROTECTED","CHECK_ONLY")</x:f>
        <x:v>CHECK_ONLY</x:v>
      </x:c>
      <x:c r="CE15" t="str">
        <x:f>IF(AND(CD15="FORMAT_APPROVED",CU15="CÓ",CV15="CÓ",CH15="CÓ",CI15="CÓ",CJ15="CÓ"),"CÓ","KHÔNG")</x:f>
        <x:v>KHÔNG</x:v>
      </x:c>
      <x:c r="CF15" t="str">
        <x:v>KHÔNG</x:v>
      </x:c>
      <x:c r="CG15" t="str">
        <x:v>CÓ</x:v>
      </x:c>
      <x:c r="CH15" t="str">
        <x:v>KHÔNG</x:v>
      </x:c>
      <x:c r="CI15" t="str">
        <x:v>KHÔNG</x:v>
      </x:c>
      <x:c r="CJ15" t="str">
        <x:v>KHÔNG</x:v>
      </x:c>
      <x:c r="CK15" t="str">
        <x:f>IF(AND(CE15="CÓ",CF15="KHÔNG",CG15="CÓ",CU15="CÓ",CV15="CÓ",CH15="CÓ",CI15="CÓ",CJ15="CÓ"),"CÓ","KHÔNG")</x:f>
        <x:v>KHÔNG</x:v>
      </x:c>
      <x:c r="CL15" t="str">
        <x:v>PILOT_NORTH_PROFILE_DRAFT; chưa có master DOCX đã duyệt</x:v>
      </x:c>
      <x:c r="CM15" t="str">
        <x:v>v1.5 (nâng từ v1.4)</x:v>
      </x:c>
      <x:c r="CN15" t="str">
        <x:v>CẦN XÁC MINH TÊN/QUY CHẾ</x:v>
      </x:c>
      <x:c r="CO15" t="str">
        <x:v>ND30_D_SK_SO_VAN_BAN_FIELD_ONLY; chưa tạo trong Word</x:v>
      </x:c>
      <x:c r="CP15" t="str">
        <x:v>Preset là cấu hình Công ty; không thay thế giới hạn của nguồn NĐ30/HD05</x:v>
      </x:c>
      <x:c r="CQ15" t="str">
        <x:f>IF(OR(BH15="CÓ",BH15=TRUE),BI15,"")</x:f>
      </x:c>
      <x:c r="CR15" t="str">
        <x:f>IF(OR(BH15="CÓ",BH15=TRUE),BJ15,"")</x:f>
      </x:c>
      <x:c r="CS15" t="str">
        <x:v>FORMAT_CHECK_ONLY</x:v>
      </x:c>
      <x:c r="CT15" t="str">
        <x:v>PENDING_SOURCE_AND_DOCX_QA</x:v>
      </x:c>
      <x:c r="CU15" t="str">
        <x:v>KHÔNG</x:v>
      </x:c>
      <x:c r="CV15" t="str">
        <x:v>KHÔNG</x:v>
      </x:c>
      <x:c r="CW15" t="str"/>
    </x:row>
    <x:row r="16" ht="29" customHeight="1">
      <x:c r="A16" s="125" t="n">
        <x:v>10</x:v>
      </x:c>
      <x:c r="B16" s="123" t="str">
        <x:v>ND30.D.SK.KY_HIEU_LOAI</x:v>
      </x:c>
      <x:c r="C16" s="123" t="str">
        <x:v>Đầu văn bản</x:v>
      </x:c>
      <x:c r="D16" s="123" t="str">
        <x:v>Số và ký hiệu</x:v>
      </x:c>
      <x:c r="E16" s="123" t="str">
        <x:v>Ký hiệu tên loại văn bản</x:v>
      </x:c>
      <x:c r="F16" s="123" t="str">
        <x:v>3</x:v>
      </x:c>
      <x:c r="G16" s="123" t="str">
        <x:v>Văn bản có tên loại; công văn theo quy ước riêng</x:v>
      </x:c>
      <x:c r="H16" s="123" t="str">
        <x:v>Ký hiệu tên loại văn bản</x:v>
      </x:c>
      <x:c r="I16" s="123" t="str">
        <x:v>Times New Roman | Unicode | đen</x:v>
      </x:c>
      <x:c r="J16" s="126" t="str">
        <x:v>13</x:v>
      </x:c>
      <x:c r="K16" s="123" t="str">
        <x:v>IN HOA theo mã viết tắt chính thức</x:v>
      </x:c>
      <x:c r="L16" s="123" t="str">
        <x:v>Không</x:v>
      </x:c>
      <x:c r="M16" s="123" t="str">
        <x:v>Không</x:v>
      </x:c>
      <x:c r="N16" s="123" t="str">
        <x:v>Căn giữa trong cột trái; dưới tên cơ quan</x:v>
      </x:c>
      <x:c r="O16" s="124" t="str">
        <x:v>Single; sau 0 pt</x:v>
      </x:c>
      <x:c r="P16" s="124" t="str">
        <x:v>Thụt dòng 0</x:v>
      </x:c>
      <x:c r="Q16" s="123"/>
      <x:c r="R16" s="123" t="str">
        <x:v>Text runs cùng đoạn; ký hiệu cấu trúc là text, không tự tạo số</x:v>
      </x:c>
      <x:c r="S16" s="123" t="str">
        <x:v>Tra mã loại từ bảng viết tắt chính thức theo chế độ</x:v>
      </x:c>
      <x:c r="T16" s="123" t="str">
        <x:v>NĐ30, Phụ lục I, Phần I, II.3; V.3</x:v>
      </x:c>
      <x:c r="U16" s="123" t="str">
        <x:v>https://datafiles.chinhphu.vn/cpp/files/vbpq/2020/03/30.signed.pdf</x:v>
      </x:c>
      <x:c r="V16" s="123" t="str">
        <x:v>https://riam.edu.vn/nghi-dinh-ve-cong-tac-van-thu-phu-luc/</x:v>
      </x:c>
      <x:c r="W16" s="123" t="str">
        <x:v>ĐỐI CHIẾU MỘT PHẦN</x:v>
      </x:c>
      <x:c r="X16" s="123" t="str">
        <x:v>PROTECT_CONTENT</x:v>
      </x:c>
      <x:c r="Y16" s="123" t="str">
        <x:v>Không tự chèn/sửa khi chưa có chứng cứ về đối tượng và rule.</x:v>
      </x:c>
      <x:c r="Z16" s="124" t="str">
        <x:v>[MÃ LOẠI — TRA DANH MỤC CHÍNH THỨC]</x:v>
      </x:c>
      <x:c r="AA16" s="123" t="str">
        <x:v>DocumentNumber/LeftColumn</x:v>
      </x:c>
      <x:c r="AB16" s="124" t="str">
        <x:v>THAM KHẢO</x:v>
      </x:c>
      <x:c r="AC16" s="123" t="str">
        <x:v>PROTECT_CONTENT</x:v>
      </x:c>
      <x:c r="AD16" s="123" t="str">
        <x:v>PLUGIN:hoa-tieu-mien-bac-administrative-v1 | user_approved_visual_reference</x:v>
      </x:c>
      <x:c r="AE16" s="123" t="str">
        <x:v>Đối chiếu mã ND30.D.SK.KY_HIEU_LOAI; so cỡ 13 pt và vùng 3; giữ nguyên nội dung ngoài phạm vi.</x:v>
      </x:c>
      <x:c r="AF16" s="123" t="str">
        <x:v>Công ty: profile trình bày văn bản dự thảo; không mặc định thay cho văn bản pháp quy đặc thù.</x:v>
      </x:c>
      <x:c r="AG16" s="157" t="str">
        <x:v>Times New Roman</x:v>
      </x:c>
      <x:c r="AH16" s="157" t="str">
        <x:v>Unicode</x:v>
      </x:c>
      <x:c r="AI16" s="157" t="str">
        <x:v>#000000</x:v>
      </x:c>
      <x:c r="AJ16" s="195" t="n">
        <x:v>13</x:v>
      </x:c>
      <x:c r="AK16" s="157" t="str">
        <x:v>KHÔNG</x:v>
      </x:c>
      <x:c r="AL16" s="157" t="str">
        <x:v>KHÔNG</x:v>
      </x:c>
      <x:c r="AM16" s="157" t="str">
        <x:v>IN HOA theo mã viết tắt chính thức</x:v>
      </x:c>
      <x:c r="AN16" s="157" t="str">
        <x:v>CENTER</x:v>
      </x:c>
      <x:c r="AO16" s="157" t="str">
        <x:v>KHỐI/CỘT TRÁI</x:v>
      </x:c>
      <x:c r="AP16" s="157" t="str">
        <x:v>SINGLE</x:v>
      </x:c>
      <x:c r="AQ16" s="195" t="n">
        <x:v>1</x:v>
      </x:c>
      <x:c r="AR16" s="157" t="str">
        <x:v>lines</x:v>
      </x:c>
      <x:c r="AS16" s="195"/>
      <x:c r="AT16" s="195" t="n">
        <x:v>0</x:v>
      </x:c>
      <x:c r="AU16" s="195" t="n">
        <x:v>0</x:v>
      </x:c>
      <x:c r="AV16" s="195"/>
      <x:c r="AW16" s="195"/>
      <x:c r="AX16" s="157"/>
      <x:c r="AY16" s="157"/>
      <x:c r="AZ16" s="157"/>
      <x:c r="BA16" s="195"/>
      <x:c r="BB16" s="195"/>
      <x:c r="BC16" s="157"/>
      <x:c r="BD16" s="195"/>
      <x:c r="BE16" s="195"/>
      <x:c r="BF16" s="195"/>
      <x:c r="BG16" s="195"/>
      <x:c r="BH16" s="157"/>
      <x:c r="BI16" s="195"/>
      <x:c r="BJ16" s="195"/>
      <x:c r="BK16" s="195"/>
      <x:c r="BL16" s="157"/>
      <x:c r="BM16" s="157"/>
      <x:c r="BN16" s="157"/>
      <x:c r="BO16" s="195"/>
      <x:c r="BP16" s="195"/>
      <x:c r="BQ16" s="157"/>
      <x:c r="BR16" s="157"/>
      <x:c r="BS16" s="157"/>
      <x:c r="BT16" s="157" t="str">
        <x:v>DocumentNumber/LeftColumn</x:v>
      </x:c>
      <x:c r="BU16" s="157" t="str">
        <x:v>Text runs cùng đoạn; ký hiệu cấu trúc là text, không tự tạo số</x:v>
      </x:c>
      <x:c r="BV16" s="196" t="str">
        <x:v>THAM KHẢO</x:v>
      </x:c>
      <x:c r="BW16" s="197" t="str">
        <x:v>ĐÃ TÁCH MỘT PHẦN</x:v>
      </x:c>
      <x:c r="BX16" s="157" t="str">
        <x:v>Đối chiếu mô tả gốc ở I–S, Z–AF nếu thuộc tính phụ thuộc mẫu.</x:v>
      </x:c>
      <x:c r="BY16" t="str">
        <x:v>ND30.D.SK.KY_HIEU_LOAI</x:v>
      </x:c>
      <x:c r="BZ16" t="n">
        <x:f>IFERROR(INDEX(ND30!$J$7:$J$300,MATCH($B16,ND30!$B$7:$B$300,0)),"UNRESOLVED")</x:f>
        <x:v>13</x:v>
      </x:c>
      <x:c r="CA16" t="str">
        <x:v>TEXT</x:v>
      </x:c>
      <x:c r="CB16" t="str">
        <x:v>issuer_scope_confirmed AND document_type_confirmed AND legal_effective_date_confirmed</x:v>
      </x:c>
      <x:c r="CC16" t="str">
        <x:f>IFERROR(INDEX(ND30!$X$7:$X$300,MATCH($B16,ND30!$B$7:$B$300,0)),"UNRESOLVED")</x:f>
        <x:v>KHÔNG TỰ SUY DIỄN MÃ</x:v>
      </x:c>
      <x:c r="CD16" t="str">
        <x:f>IF(OR(ISNUMBER(SEARCH("READ_ONLY",CC16)),ISNUMBER(SEARCH("PROTECTED",CC16)),ISNUMBER(SEARCH("BẢO VỆ",CC16)),ISNUMBER(SEARCH("KHÔNG KÝ",CC16))),"PROTECTED","CHECK_ONLY")</x:f>
        <x:v>CHECK_ONLY</x:v>
      </x:c>
      <x:c r="CE16" t="str">
        <x:f>IF(AND(CD16="FORMAT_APPROVED",CU16="CÓ",CV16="CÓ",CH16="CÓ",CI16="CÓ",CJ16="CÓ"),"CÓ","KHÔNG")</x:f>
        <x:v>KHÔNG</x:v>
      </x:c>
      <x:c r="CF16" t="str">
        <x:v>KHÔNG</x:v>
      </x:c>
      <x:c r="CG16" t="str">
        <x:v>CÓ</x:v>
      </x:c>
      <x:c r="CH16" t="str">
        <x:v>KHÔNG</x:v>
      </x:c>
      <x:c r="CI16" t="str">
        <x:v>KHÔNG</x:v>
      </x:c>
      <x:c r="CJ16" t="str">
        <x:v>KHÔNG</x:v>
      </x:c>
      <x:c r="CK16" t="str">
        <x:f>IF(AND(CE16="CÓ",CF16="KHÔNG",CG16="CÓ",CU16="CÓ",CV16="CÓ",CH16="CÓ",CI16="CÓ",CJ16="CÓ"),"CÓ","KHÔNG")</x:f>
        <x:v>KHÔNG</x:v>
      </x:c>
      <x:c r="CL16" t="str">
        <x:v>PILOT_NORTH_PROFILE_DRAFT; chưa có master DOCX đã duyệt</x:v>
      </x:c>
      <x:c r="CM16" t="str">
        <x:v>v1.5 (nâng từ v1.4)</x:v>
      </x:c>
      <x:c r="CN16" t="str">
        <x:v>CẦN XÁC MINH TÊN/QUY CHẾ</x:v>
      </x:c>
      <x:c r="CO16" t="str">
        <x:v>ND30_D_SK_KY_HIEU_LOAI_FIELD_ONLY; chưa tạo trong Word</x:v>
      </x:c>
      <x:c r="CP16" t="str">
        <x:v>Preset là cấu hình Công ty; không thay thế giới hạn của nguồn NĐ30/HD05</x:v>
      </x:c>
      <x:c r="CQ16" t="str">
        <x:f>IF(OR(BH16="CÓ",BH16=TRUE),BI16,"")</x:f>
      </x:c>
      <x:c r="CR16" t="str">
        <x:f>IF(OR(BH16="CÓ",BH16=TRUE),BJ16,"")</x:f>
      </x:c>
      <x:c r="CS16" t="str">
        <x:v>FORMAT_CHECK_ONLY</x:v>
      </x:c>
      <x:c r="CT16" t="str">
        <x:v>PENDING_SOURCE_AND_DOCX_QA</x:v>
      </x:c>
      <x:c r="CU16" t="str">
        <x:v>KHÔNG</x:v>
      </x:c>
      <x:c r="CV16" t="str">
        <x:v>KHÔNG</x:v>
      </x:c>
      <x:c r="CW16" t="str"/>
    </x:row>
    <x:row r="17" ht="29" customHeight="1">
      <x:c r="A17" s="125" t="n">
        <x:v>11</x:v>
      </x:c>
      <x:c r="B17" s="123" t="str">
        <x:v>ND30.D.SK.KY_HIEU_CO_QUAN</x:v>
      </x:c>
      <x:c r="C17" s="123" t="str">
        <x:v>Đầu văn bản</x:v>
      </x:c>
      <x:c r="D17" s="123" t="str">
        <x:v>Số và ký hiệu</x:v>
      </x:c>
      <x:c r="E17" s="123" t="str">
        <x:v>Ký hiệu cơ quan, tổ chức ban hành</x:v>
      </x:c>
      <x:c r="F17" s="123" t="str">
        <x:v>3</x:v>
      </x:c>
      <x:c r="G17" s="123" t="str">
        <x:v>Chỉ điền khi đã xác minh ký hiệu thực tế từ văn bản phát hành của đúng chủ thể; tạm là đề xuất, không sinh số/ký hiệu.</x:v>
      </x:c>
      <x:c r="H17" s="123" t="str">
        <x:v>Ký hiệu cơ quan, tổ chức ban hành</x:v>
      </x:c>
      <x:c r="I17" s="123" t="str">
        <x:v>Times New Roman | Unicode | đen</x:v>
      </x:c>
      <x:c r="J17" s="126" t="str">
        <x:v>13</x:v>
      </x:c>
      <x:c r="K17" s="123" t="str">
        <x:v>IN HOA theo mã viết tắt chính thức</x:v>
      </x:c>
      <x:c r="L17" s="123" t="str">
        <x:v>Không</x:v>
      </x:c>
      <x:c r="M17" s="123" t="str">
        <x:v>Không</x:v>
      </x:c>
      <x:c r="N17" s="123" t="str">
        <x:v>Căn giữa trong cột trái; dưới tên cơ quan</x:v>
      </x:c>
      <x:c r="O17" s="124" t="str">
        <x:v>Single; sau 0 pt</x:v>
      </x:c>
      <x:c r="P17" s="124" t="str">
        <x:v>Thụt dòng 0</x:v>
      </x:c>
      <x:c r="Q17" s="123"/>
      <x:c r="R17" s="123" t="str">
        <x:v>Text runs cùng đoạn; ký hiệu cấu trúc là text, không tự tạo số</x:v>
      </x:c>
      <x:c r="S17" s="123" t="str">
        <x:v>Theo cơ quan và sổ/quy chế viết tắt đã xác minh</x:v>
      </x:c>
      <x:c r="T17" s="123" t="str">
        <x:v>NĐ30, Phụ lục I, Phần I, II.3; V.3</x:v>
      </x:c>
      <x:c r="U17" s="123" t="str">
        <x:v>https://datafiles.chinhphu.vn/cpp/files/vbpq/2020/03/30.signed.pdf</x:v>
      </x:c>
      <x:c r="V17" s="123" t="str">
        <x:v>https://riam.edu.vn/nghi-dinh-ve-cong-tac-van-thu-phu-luc/</x:v>
      </x:c>
      <x:c r="W17" s="123" t="str">
        <x:v>ĐỐI CHIẾU MỘT PHẦN</x:v>
      </x:c>
      <x:c r="X17" s="123" t="str">
        <x:v>PROTECT_CONTENT</x:v>
      </x:c>
      <x:c r="Y17" s="123" t="str">
        <x:v>Không tự chèn/sửa khi chưa có chứng cứ về đối tượng và rule.</x:v>
      </x:c>
      <x:c r="Z17" s="124" t="str">
        <x:v>HTMB</x:v>
      </x:c>
      <x:c r="AA17" s="123" t="str">
        <x:v>DocumentNumber/LeftColumn</x:v>
      </x:c>
      <x:c r="AB17" s="124" t="str">
        <x:v>CHO_XAC_MINH_HO_SO</x:v>
      </x:c>
      <x:c r="AC17" s="123" t="str">
        <x:v>PROTECT_CONTENT</x:v>
      </x:c>
      <x:c r="AD17" s="123" t="str">
        <x:v>https://www.pilotconorth.com/gioi-thieu-cn | Người dùng chốt trong trao đổi 29/10/2026; PROFILE NỘI BỘ; chưa có văn bản phê duyệt doanh nghiệp</x:v>
      </x:c>
      <x:c r="AE17" s="123" t="str">
        <x:v>Đối chiếu mã ND30.D.SK.KY_HIEU_CO_QUAN; so cỡ 13 pt và vùng 3; giữ nguyên nội dung ngoài phạm vi.</x:v>
      </x:c>
      <x:c r="AF17" s="123" t="str">
        <x:v>Ký hiệu HTMB do người dùng đề xuất; tên viết tắt công khai là PILOTCO-NORTH, không suy ra ký hiệu văn thư. Chờ mẫu ký hiệu chính thức.</x:v>
      </x:c>
      <x:c r="AG17" s="157" t="str">
        <x:v>Times New Roman</x:v>
      </x:c>
      <x:c r="AH17" s="157" t="str">
        <x:v>Unicode</x:v>
      </x:c>
      <x:c r="AI17" s="157" t="str">
        <x:v>#000000</x:v>
      </x:c>
      <x:c r="AJ17" s="195" t="n">
        <x:v>13</x:v>
      </x:c>
      <x:c r="AK17" s="157" t="str">
        <x:v>KHÔNG</x:v>
      </x:c>
      <x:c r="AL17" s="157" t="str">
        <x:v>KHÔNG</x:v>
      </x:c>
      <x:c r="AM17" s="157" t="str">
        <x:v>IN HOA theo mã viết tắt chính thức</x:v>
      </x:c>
      <x:c r="AN17" s="157" t="str">
        <x:v>CENTER</x:v>
      </x:c>
      <x:c r="AO17" s="157" t="str">
        <x:v>KHỐI/CỘT TRÁI</x:v>
      </x:c>
      <x:c r="AP17" s="157" t="str">
        <x:v>SINGLE</x:v>
      </x:c>
      <x:c r="AQ17" s="195" t="n">
        <x:v>1</x:v>
      </x:c>
      <x:c r="AR17" s="157" t="str">
        <x:v>lines</x:v>
      </x:c>
      <x:c r="AS17" s="195"/>
      <x:c r="AT17" s="195" t="n">
        <x:v>0</x:v>
      </x:c>
      <x:c r="AU17" s="195" t="n">
        <x:v>0</x:v>
      </x:c>
      <x:c r="AV17" s="195"/>
      <x:c r="AW17" s="195"/>
      <x:c r="AX17" s="157"/>
      <x:c r="AY17" s="157"/>
      <x:c r="AZ17" s="157"/>
      <x:c r="BA17" s="195"/>
      <x:c r="BB17" s="195"/>
      <x:c r="BC17" s="157"/>
      <x:c r="BD17" s="195"/>
      <x:c r="BE17" s="195"/>
      <x:c r="BF17" s="195"/>
      <x:c r="BG17" s="195"/>
      <x:c r="BH17" s="157"/>
      <x:c r="BI17" s="195"/>
      <x:c r="BJ17" s="195"/>
      <x:c r="BK17" s="195"/>
      <x:c r="BL17" s="157"/>
      <x:c r="BM17" s="157"/>
      <x:c r="BN17" s="157"/>
      <x:c r="BO17" s="195"/>
      <x:c r="BP17" s="195"/>
      <x:c r="BQ17" s="157"/>
      <x:c r="BR17" s="157"/>
      <x:c r="BS17" s="157"/>
      <x:c r="BT17" s="157" t="str">
        <x:v>DocumentNumber/LeftColumn</x:v>
      </x:c>
      <x:c r="BU17" s="157" t="str">
        <x:v>Text runs cùng đoạn; ký hiệu cấu trúc là text, không tự tạo số</x:v>
      </x:c>
      <x:c r="BV17" s="196" t="str">
        <x:v>CẦN XÁC NHẬN</x:v>
      </x:c>
      <x:c r="BW17" s="197" t="str">
        <x:v>ĐÃ TÁCH MỘT PHẦN</x:v>
      </x:c>
      <x:c r="BX17" s="157" t="str">
        <x:v>Cấu hình profile chưa được xác nhận; giữ nguyên chính sách CHECK_ONLY.</x:v>
      </x:c>
      <x:c r="BY17" t="str">
        <x:v>ND30.D.SK.KY_HIEU_CO_QUAN</x:v>
      </x:c>
      <x:c r="BZ17" t="n">
        <x:f>IFERROR(INDEX(ND30!$J$7:$J$300,MATCH($B17,ND30!$B$7:$B$300,0)),"UNRESOLVED")</x:f>
        <x:v>13</x:v>
      </x:c>
      <x:c r="CA17" t="str">
        <x:v>TEXT</x:v>
      </x:c>
      <x:c r="CB17" t="str">
        <x:v>issuer_scope_confirmed AND document_type_confirmed AND legal_effective_date_confirmed</x:v>
      </x:c>
      <x:c r="CC17" t="str">
        <x:f>IFERROR(INDEX(ND30!$X$7:$X$300,MATCH($B17,ND30!$B$7:$B$300,0)),"UNRESOLVED")</x:f>
        <x:v>KHÔNG TỰ ĐIỀN MÃ</x:v>
      </x:c>
      <x:c r="CD17" t="str">
        <x:f>IF(OR(ISNUMBER(SEARCH("READ_ONLY",CC17)),ISNUMBER(SEARCH("PROTECTED",CC17)),ISNUMBER(SEARCH("BẢO VỆ",CC17)),ISNUMBER(SEARCH("KHÔNG KÝ",CC17))),"PROTECTED","CHECK_ONLY")</x:f>
        <x:v>CHECK_ONLY</x:v>
      </x:c>
      <x:c r="CE17" t="str">
        <x:f>IF(AND(CD17="FORMAT_APPROVED",CU17="CÓ",CV17="CÓ",CH17="CÓ",CI17="CÓ",CJ17="CÓ"),"CÓ","KHÔNG")</x:f>
        <x:v>KHÔNG</x:v>
      </x:c>
      <x:c r="CF17" t="str">
        <x:v>KHÔNG</x:v>
      </x:c>
      <x:c r="CG17" t="str">
        <x:v>CÓ</x:v>
      </x:c>
      <x:c r="CH17" t="str">
        <x:v>KHÔNG</x:v>
      </x:c>
      <x:c r="CI17" t="str">
        <x:v>KHÔNG</x:v>
      </x:c>
      <x:c r="CJ17" t="str">
        <x:v>KHÔNG</x:v>
      </x:c>
      <x:c r="CK17" t="str">
        <x:f>IF(AND(CE17="CÓ",CF17="KHÔNG",CG17="CÓ",CU17="CÓ",CV17="CÓ",CH17="CÓ",CI17="CÓ",CJ17="CÓ"),"CÓ","KHÔNG")</x:f>
        <x:v>KHÔNG</x:v>
      </x:c>
      <x:c r="CL17" t="str">
        <x:v>https://www.pilotconorth.com/gioi-thieu-cn | Người dùng chốt trong trao đổi 29/10/2026; PROFILE NỘI BỘ; chưa có văn bản phê duyệt doanh nghiệp</x:v>
      </x:c>
      <x:c r="CM17" t="str">
        <x:v>v1.5 (nâng từ v1.4)</x:v>
      </x:c>
      <x:c r="CN17" t="str">
        <x:v>CẦN XÁC MINH TÊN/QUY CHẾ</x:v>
      </x:c>
      <x:c r="CO17" t="str">
        <x:v>ND30_D_SK_KY_HIEU_CO_QUAN_FIELD_ONLY; chưa tạo trong Word</x:v>
      </x:c>
      <x:c r="CP17" t="str">
        <x:v>Khác biệt giữa giá trị profile và nguồn pháp lý phải tiếp tục được kiểm chứng; không cho tự sửa DOCX.</x:v>
      </x:c>
      <x:c r="CQ17" t="str">
        <x:f>IF(OR(BH17="CÓ",BH17=TRUE),BI17,"")</x:f>
      </x:c>
      <x:c r="CR17" t="str">
        <x:f>IF(OR(BH17="CÓ",BH17=TRUE),BJ17,"")</x:f>
      </x:c>
      <x:c r="CS17" t="str">
        <x:v>FORMAT_CHECK_ONLY</x:v>
      </x:c>
      <x:c r="CT17" t="str">
        <x:v>PROFILE_USER_SELECTED_SOURCE_PENDING</x:v>
      </x:c>
      <x:c r="CU17" t="str">
        <x:v>CÓ (GIÁ TRỊ ĐỀ XUẤT; CHỜ VĂN BẢN)</x:v>
      </x:c>
      <x:c r="CV17" t="str">
        <x:v>KHÔNG</x:v>
      </x:c>
      <x:c r="CW17" t="str"/>
    </x:row>
    <x:row r="18" ht="29" customHeight="1">
      <x:c r="A18" s="125" t="n">
        <x:v>12</x:v>
      </x:c>
      <x:c r="B18" s="123" t="str">
        <x:v>ND30.D.SK.DAU_PHAN_CACH</x:v>
      </x:c>
      <x:c r="C18" s="123" t="str">
        <x:v>Đầu văn bản</x:v>
      </x:c>
      <x:c r="D18" s="123" t="str">
        <x:v>Số và ký hiệu</x:v>
      </x:c>
      <x:c r="E18" s="123" t="str">
        <x:v>Dấu phân cách trong số, ký hiệu</x:v>
      </x:c>
      <x:c r="F18" s="123" t="str">
        <x:v>3</x:v>
      </x:c>
      <x:c r="G18" s="123" t="str">
        <x:v>Chỉ khi phát hành bởi đúng chủ thể của profile; theo NĐ30</x:v>
      </x:c>
      <x:c r="H18" s="123" t="str">
        <x:v>Dấu phân cách trong số, ký hiệu</x:v>
      </x:c>
      <x:c r="I18" s="123" t="str">
        <x:v>Times New Roman | Unicode | đen</x:v>
      </x:c>
      <x:c r="J18" s="126" t="str">
        <x:v>13</x:v>
      </x:c>
      <x:c r="K18" s="123" t="str">
        <x:v>Không áp dụng — dấu phân cách</x:v>
      </x:c>
      <x:c r="L18" s="123" t="str">
        <x:v>Không</x:v>
      </x:c>
      <x:c r="M18" s="123" t="str">
        <x:v>Không</x:v>
      </x:c>
      <x:c r="N18" s="123" t="str">
        <x:v>Căn giữa trong cột trái; dưới tên cơ quan</x:v>
      </x:c>
      <x:c r="O18" s="124" t="str">
        <x:v>Single; sau 0 pt</x:v>
      </x:c>
      <x:c r="P18" s="124" t="str">
        <x:v>Thụt dòng 0</x:v>
      </x:c>
      <x:c r="Q18" s="123" t="str">
        <x:v>Giữa số và ký hiệu dùng /; giữa nhóm ký hiệu dùng -</x:v>
      </x:c>
      <x:c r="R18" s="123" t="str">
        <x:v>Text runs cùng đoạn; ký hiệu cấu trúc là text, không tự tạo số</x:v>
      </x:c>
      <x:c r="S18" s="123" t="str">
        <x:v>Không thêm khoảng trắng trong cụm ký hiệu</x:v>
      </x:c>
      <x:c r="T18" s="123" t="str">
        <x:v>NĐ30, Phụ lục I, Phần I, II.3; V.3</x:v>
      </x:c>
      <x:c r="U18" s="123" t="str">
        <x:v>https://datafiles.chinhphu.vn/cpp/files/vbpq/2020/03/30.signed.pdf</x:v>
      </x:c>
      <x:c r="V18" s="123" t="str">
        <x:v>https://riam.edu.vn/nghi-dinh-ve-cong-tac-van-thu-phu-luc/</x:v>
      </x:c>
      <x:c r="W18" s="123" t="str">
        <x:v>ĐỐI CHIẾU MỘT PHẦN</x:v>
      </x:c>
      <x:c r="X18" s="123" t="str">
        <x:v>PROTECT_CONTENT</x:v>
      </x:c>
      <x:c r="Y18" s="123" t="str">
        <x:v>Không tự chèn/sửa khi chưa có chứng cứ về đối tượng và rule.</x:v>
      </x:c>
      <x:c r="Z18" s="124" t="str">
        <x:v>Số: …/XX-… (minh họa dấu / -)</x:v>
      </x:c>
      <x:c r="AA18" s="123" t="str">
        <x:v>DocumentNumber/LeftColumn</x:v>
      </x:c>
      <x:c r="AB18" s="124" t="str">
        <x:v>THAM KHẢO</x:v>
      </x:c>
      <x:c r="AC18" s="123" t="str">
        <x:v>PROTECT_CONTENT</x:v>
      </x:c>
      <x:c r="AD18" s="123" t="str">
        <x:v>PLUGIN:hoa-tieu-mien-bac-administrative-v1 | user_approved_visual_reference</x:v>
      </x:c>
      <x:c r="AE18" s="123" t="str">
        <x:v>Đối chiếu mã ND30.D.SK.DAU_PHAN_CACH; so cỡ 13 pt và vùng 3; giữ nguyên nội dung ngoài phạm vi.</x:v>
      </x:c>
      <x:c r="AF18" s="123" t="str">
        <x:v>Công ty: profile trình bày văn bản dự thảo; không mặc định thay cho văn bản pháp quy đặc thù.</x:v>
      </x:c>
      <x:c r="AG18" s="157" t="str">
        <x:v>Times New Roman</x:v>
      </x:c>
      <x:c r="AH18" s="157" t="str">
        <x:v>Unicode</x:v>
      </x:c>
      <x:c r="AI18" s="157" t="str">
        <x:v>#000000</x:v>
      </x:c>
      <x:c r="AJ18" s="195" t="n">
        <x:v>13</x:v>
      </x:c>
      <x:c r="AK18" s="157" t="str">
        <x:v>KHÔNG</x:v>
      </x:c>
      <x:c r="AL18" s="157" t="str">
        <x:v>KHÔNG</x:v>
      </x:c>
      <x:c r="AM18" s="157" t="str">
        <x:v>Không áp dụng — dấu phân cách</x:v>
      </x:c>
      <x:c r="AN18" s="157" t="str">
        <x:v>CENTER</x:v>
      </x:c>
      <x:c r="AO18" s="157" t="str">
        <x:v>KHỐI/CỘT TRÁI</x:v>
      </x:c>
      <x:c r="AP18" s="157"/>
      <x:c r="AQ18" s="195"/>
      <x:c r="AR18" s="157"/>
      <x:c r="AS18" s="195"/>
      <x:c r="AT18" s="195"/>
      <x:c r="AU18" s="195"/>
      <x:c r="AV18" s="195"/>
      <x:c r="AW18" s="195"/>
      <x:c r="AX18" s="157"/>
      <x:c r="AY18" s="157"/>
      <x:c r="AZ18" s="157"/>
      <x:c r="BA18" s="195"/>
      <x:c r="BB18" s="195"/>
      <x:c r="BC18" s="157"/>
      <x:c r="BD18" s="195"/>
      <x:c r="BE18" s="195"/>
      <x:c r="BF18" s="195"/>
      <x:c r="BG18" s="195"/>
      <x:c r="BH18" s="157"/>
      <x:c r="BI18" s="195"/>
      <x:c r="BJ18" s="195"/>
      <x:c r="BK18" s="195"/>
      <x:c r="BL18" s="157"/>
      <x:c r="BM18" s="157"/>
      <x:c r="BN18" s="157"/>
      <x:c r="BO18" s="195"/>
      <x:c r="BP18" s="195"/>
      <x:c r="BQ18" s="157"/>
      <x:c r="BR18" s="157"/>
      <x:c r="BS18" s="157"/>
      <x:c r="BT18" s="157" t="str">
        <x:v>DocumentNumber/LeftColumn</x:v>
      </x:c>
      <x:c r="BU18" s="157" t="str">
        <x:v>Text runs cùng đoạn; ký hiệu cấu trúc là text, không tự tạo số</x:v>
      </x:c>
      <x:c r="BV18" s="196" t="str">
        <x:v>THAM KHẢO</x:v>
      </x:c>
      <x:c r="BW18" s="197" t="str">
        <x:v>ĐÃ TÁCH MỘT PHẦN</x:v>
      </x:c>
      <x:c r="BX18" s="157" t="str">
        <x:v>Đặc tả dấu/đường chưa đủ định lượng: Giữa số và ký hiệu dùng /; giữa nhóm ký hiệu dùng -</x:v>
      </x:c>
      <x:c r="BY18" t="str">
        <x:v>ND30.D.SK.DAU_PHAN_CACH</x:v>
      </x:c>
      <x:c r="BZ18" t="n">
        <x:f>IFERROR(INDEX(ND30!$J$7:$J$300,MATCH($B18,ND30!$B$7:$B$300,0)),"UNRESOLVED")</x:f>
        <x:v>13</x:v>
      </x:c>
      <x:c r="CA18" t="str">
        <x:v>SEPARATOR</x:v>
      </x:c>
      <x:c r="CB18" t="str">
        <x:v>issuer_scope_confirmed AND document_type_confirmed AND legal_effective_date_confirmed</x:v>
      </x:c>
      <x:c r="CC18" t="str">
        <x:f>IFERROR(INDEX(ND30!$X$7:$X$300,MATCH($B18,ND30!$B$7:$B$300,0)),"UNRESOLVED")</x:f>
        <x:v>READ_ONLY</x:v>
      </x:c>
      <x:c r="CD18" t="str">
        <x:f>IF(OR(ISNUMBER(SEARCH("READ_ONLY",CC18)),ISNUMBER(SEARCH("PROTECTED",CC18)),ISNUMBER(SEARCH("BẢO VỆ",CC18)),ISNUMBER(SEARCH("KHÔNG KÝ",CC18))),"PROTECTED","CHECK_ONLY")</x:f>
        <x:v>PROTECTED</x:v>
      </x:c>
      <x:c r="CE18" t="str">
        <x:f>IF(AND(CD18="FORMAT_APPROVED",CU18="CÓ",CV18="CÓ",CH18="CÓ",CI18="CÓ",CJ18="CÓ"),"CÓ","KHÔNG")</x:f>
        <x:v>KHÔNG</x:v>
      </x:c>
      <x:c r="CF18" t="str">
        <x:v>KHÔNG</x:v>
      </x:c>
      <x:c r="CG18" t="str">
        <x:v>CÓ</x:v>
      </x:c>
      <x:c r="CH18" t="str">
        <x:v>KHÔNG</x:v>
      </x:c>
      <x:c r="CI18" t="str">
        <x:v>KHÔNG</x:v>
      </x:c>
      <x:c r="CJ18" t="str">
        <x:v>KHÔNG</x:v>
      </x:c>
      <x:c r="CK18" t="str">
        <x:f>IF(AND(CE18="CÓ",CF18="KHÔNG",CG18="CÓ",CU18="CÓ",CV18="CÓ",CH18="CÓ",CI18="CÓ",CJ18="CÓ"),"CÓ","KHÔNG")</x:f>
        <x:v>KHÔNG</x:v>
      </x:c>
      <x:c r="CL18" t="str">
        <x:v>PILOT_NORTH_PROFILE_DRAFT; chưa có master DOCX đã duyệt</x:v>
      </x:c>
      <x:c r="CM18" t="str">
        <x:v>v1.5 (nâng từ v1.4)</x:v>
      </x:c>
      <x:c r="CN18" t="str">
        <x:v>CẦN XÁC MINH TÊN/QUY CHẾ</x:v>
      </x:c>
      <x:c r="CO18" t="str">
        <x:v>ND30_D_SK_DAU_PHAN_CACH_FIELD_ONLY; chưa tạo trong Word</x:v>
      </x:c>
      <x:c r="CP18" t="str">
        <x:v>Preset là cấu hình Công ty; không thay thế giới hạn của nguồn NĐ30/HD05</x:v>
      </x:c>
      <x:c r="CQ18" t="str">
        <x:f>IF(OR(BH18="CÓ",BH18=TRUE),BI18,"")</x:f>
      </x:c>
      <x:c r="CR18" t="str">
        <x:f>IF(OR(BH18="CÓ",BH18=TRUE),BJ18,"")</x:f>
      </x:c>
      <x:c r="CS18" t="str">
        <x:v>STRUCTURAL_CHECK_ONLY</x:v>
      </x:c>
      <x:c r="CT18" t="str">
        <x:v>PENDING_SOURCE_AND_DOCX_QA</x:v>
      </x:c>
      <x:c r="CU18" t="str">
        <x:v>KHÔNG</x:v>
      </x:c>
      <x:c r="CV18" t="str">
        <x:v>KHÔNG</x:v>
      </x:c>
      <x:c r="CW18" t="str"/>
    </x:row>
    <x:row r="19" ht="29" customHeight="1">
      <x:c r="A19" s="125" t="n">
        <x:v>13</x:v>
      </x:c>
      <x:c r="B19" s="123" t="str">
        <x:v>ND30.D.NG.DIA_DANH</x:v>
      </x:c>
      <x:c r="C19" s="123" t="str">
        <x:v>Đầu văn bản</x:v>
      </x:c>
      <x:c r="D19" s="123" t="str">
        <x:v>Địa danh và thời gian ban hành</x:v>
      </x:c>
      <x:c r="E19" s="123" t="str">
        <x:v>Địa danh</x:v>
      </x:c>
      <x:c r="F19" s="123" t="str">
        <x:v>4</x:v>
      </x:c>
      <x:c r="G19" s="123" t="str">
        <x:v>Chỉ khi phát hành bởi đúng chủ thể của profile; theo NĐ30</x:v>
      </x:c>
      <x:c r="H19" s="123" t="str">
        <x:v>Tên địa danh chính thức theo cơ quan/tổ chức và đơn vị hành chính tại thời điểm ban hành</x:v>
      </x:c>
      <x:c r="I19" s="123" t="str">
        <x:v>Times New Roman | Unicode | đen</x:v>
      </x:c>
      <x:c r="J19" s="126" t="str">
        <x:v>13</x:v>
      </x:c>
      <x:c r="K19" s="123" t="str">
        <x:v>Theo số/chữ địa danh</x:v>
      </x:c>
      <x:c r="L19" s="123" t="str">
        <x:v>Không</x:v>
      </x:c>
      <x:c r="M19" s="123" t="str">
        <x:v>Có</x:v>
      </x:c>
      <x:c r="N19" s="123" t="str">
        <x:v>Căn phải trong cột phải; dưới tiêu đề</x:v>
      </x:c>
      <x:c r="O19" s="124" t="str">
        <x:v>Single; sau 0 pt</x:v>
      </x:c>
      <x:c r="P19" s="124" t="str">
        <x:v>Thụt dòng 0</x:v>
      </x:c>
      <x:c r="Q19" s="123"/>
      <x:c r="R19" s="123" t="str">
        <x:v>Văn bản/OOXML: xác định đối tượng trước khi sửa</x:v>
      </x:c>
      <x:c r="S19" s="123" t="str">
        <x:v>{địa danh}, ngày {ngày} tháng {tháng} năm {năm}; riêng số 0 theo điều kiện của ngày/tháng</x:v>
      </x:c>
      <x:c r="T19" s="123" t="str">
        <x:v>NĐ30, Phụ lục I, Phần I, II.4; V.4</x:v>
      </x:c>
      <x:c r="U19" s="123" t="str">
        <x:v>https://datafiles.chinhphu.vn/cpp/files/vbpq/2020/03/30.signed.pdf</x:v>
      </x:c>
      <x:c r="V19" s="123" t="str">
        <x:v>https://riam.edu.vn/nghi-dinh-ve-cong-tac-van-thu-phu-luc/</x:v>
      </x:c>
      <x:c r="W19" s="123" t="str">
        <x:v>ĐỐI CHIẾU MỘT PHẦN</x:v>
      </x:c>
      <x:c r="X19" s="123" t="str">
        <x:v>PROTECT_CONTENT</x:v>
      </x:c>
      <x:c r="Y19" s="123" t="str">
        <x:v>Không tự chèn/sửa khi chưa có chứng cứ về đối tượng và rule.</x:v>
      </x:c>
      <x:c r="Z19" s="124" t="str">
        <x:v>Hải Phòng</x:v>
      </x:c>
      <x:c r="AA19" s="123" t="str">
        <x:v>PlaceDate/RightColumn</x:v>
      </x:c>
      <x:c r="AB19" s="124" t="str">
        <x:v>THAM KHẢO</x:v>
      </x:c>
      <x:c r="AC19" s="123" t="str">
        <x:v>PROTECT_CONTENT</x:v>
      </x:c>
      <x:c r="AD19" s="123" t="str">
        <x:v>PLUGIN:hoa-tieu-mien-bac-administrative-v1 | user_approved_visual_reference</x:v>
      </x:c>
      <x:c r="AE19" s="123" t="str">
        <x:v>Đối chiếu mã ND30.D.NG.DIA_DANH; so cỡ 13 pt và vùng 4; giữ nguyên nội dung ngoài phạm vi.</x:v>
      </x:c>
      <x:c r="AF19" s="123" t="str">
        <x:v>Địa danh Hải Phòng là lựa chọn từ profile; xác nhận theo địa điểm phát hành thực tế. | Công ty: profile trình bày văn bản dự thảo; không mặc định thay cho văn bản pháp quy đặc thù.</x:v>
      </x:c>
      <x:c r="AG19" s="157" t="str">
        <x:v>Times New Roman</x:v>
      </x:c>
      <x:c r="AH19" s="157" t="str">
        <x:v>Unicode</x:v>
      </x:c>
      <x:c r="AI19" s="157" t="str">
        <x:v>#000000</x:v>
      </x:c>
      <x:c r="AJ19" s="195" t="n">
        <x:v>13</x:v>
      </x:c>
      <x:c r="AK19" s="157" t="str">
        <x:v>KHÔNG</x:v>
      </x:c>
      <x:c r="AL19" s="157" t="str">
        <x:v>CÓ</x:v>
      </x:c>
      <x:c r="AM19" s="157" t="str">
        <x:v>Theo số/chữ địa danh</x:v>
      </x:c>
      <x:c r="AN19" s="157" t="str">
        <x:v>RIGHT</x:v>
      </x:c>
      <x:c r="AO19" s="157"/>
      <x:c r="AP19" s="157" t="str">
        <x:v>SINGLE</x:v>
      </x:c>
      <x:c r="AQ19" s="195" t="n">
        <x:v>1</x:v>
      </x:c>
      <x:c r="AR19" s="157" t="str">
        <x:v>lines</x:v>
      </x:c>
      <x:c r="AS19" s="195"/>
      <x:c r="AT19" s="195" t="n">
        <x:v>0</x:v>
      </x:c>
      <x:c r="AU19" s="195" t="n">
        <x:v>0</x:v>
      </x:c>
      <x:c r="AV19" s="195"/>
      <x:c r="AW19" s="195"/>
      <x:c r="AX19" s="157"/>
      <x:c r="AY19" s="157"/>
      <x:c r="AZ19" s="157"/>
      <x:c r="BA19" s="195"/>
      <x:c r="BB19" s="195"/>
      <x:c r="BC19" s="157"/>
      <x:c r="BD19" s="195"/>
      <x:c r="BE19" s="195"/>
      <x:c r="BF19" s="195"/>
      <x:c r="BG19" s="195"/>
      <x:c r="BH19" s="157"/>
      <x:c r="BI19" s="195"/>
      <x:c r="BJ19" s="195"/>
      <x:c r="BK19" s="195"/>
      <x:c r="BL19" s="157"/>
      <x:c r="BM19" s="157"/>
      <x:c r="BN19" s="157"/>
      <x:c r="BO19" s="195"/>
      <x:c r="BP19" s="195"/>
      <x:c r="BQ19" s="157"/>
      <x:c r="BR19" s="157"/>
      <x:c r="BS19" s="157"/>
      <x:c r="BT19" s="157" t="str">
        <x:v>PlaceDate/RightColumn</x:v>
      </x:c>
      <x:c r="BU19" s="157" t="str">
        <x:v>Văn bản/OOXML: xác định đối tượng trước khi sửa</x:v>
      </x:c>
      <x:c r="BV19" s="196" t="str">
        <x:v>THAM KHẢO</x:v>
      </x:c>
      <x:c r="BW19" s="197" t="str">
        <x:v>ĐÃ TÁCH MỘT PHẦN</x:v>
      </x:c>
      <x:c r="BX19" s="157" t="str">
        <x:v>Đối chiếu mô tả gốc ở I–S, Z–AF nếu thuộc tính phụ thuộc mẫu.</x:v>
      </x:c>
      <x:c r="BY19" t="str">
        <x:v>ND30.D.NG.DIA_DANH</x:v>
      </x:c>
      <x:c r="BZ19" t="str">
        <x:f>IFERROR(INDEX(ND30!$J$7:$J$300,MATCH($B19,ND30!$B$7:$B$300,0)),"UNRESOLVED")</x:f>
        <x:v>13–14</x:v>
      </x:c>
      <x:c r="CA19" t="str">
        <x:v>TEXT</x:v>
      </x:c>
      <x:c r="CB19" t="str">
        <x:v>issuer_scope_confirmed AND document_type_confirmed AND legal_effective_date_confirmed</x:v>
      </x:c>
      <x:c r="CC19" t="str">
        <x:f>IFERROR(INDEX(ND30!$X$7:$X$300,MATCH($B19,ND30!$B$7:$B$300,0)),"UNRESOLVED")</x:f>
        <x:v>KHÔNG TỰ SINH ĐỊA DANH</x:v>
      </x:c>
      <x:c r="CD19" t="str">
        <x:f>IF(OR(ISNUMBER(SEARCH("READ_ONLY",CC19)),ISNUMBER(SEARCH("PROTECTED",CC19)),ISNUMBER(SEARCH("BẢO VỆ",CC19)),ISNUMBER(SEARCH("KHÔNG KÝ",CC19))),"PROTECTED","CHECK_ONLY")</x:f>
        <x:v>CHECK_ONLY</x:v>
      </x:c>
      <x:c r="CE19" t="str">
        <x:f>IF(AND(CD19="FORMAT_APPROVED",CU19="CÓ",CV19="CÓ",CH19="CÓ",CI19="CÓ",CJ19="CÓ"),"CÓ","KHÔNG")</x:f>
        <x:v>KHÔNG</x:v>
      </x:c>
      <x:c r="CF19" t="str">
        <x:v>KHÔNG</x:v>
      </x:c>
      <x:c r="CG19" t="str">
        <x:v>CÓ</x:v>
      </x:c>
      <x:c r="CH19" t="str">
        <x:v>KHÔNG</x:v>
      </x:c>
      <x:c r="CI19" t="str">
        <x:v>KHÔNG</x:v>
      </x:c>
      <x:c r="CJ19" t="str">
        <x:v>KHÔNG</x:v>
      </x:c>
      <x:c r="CK19" t="str">
        <x:f>IF(AND(CE19="CÓ",CF19="KHÔNG",CG19="CÓ",CU19="CÓ",CV19="CÓ",CH19="CÓ",CI19="CÓ",CJ19="CÓ"),"CÓ","KHÔNG")</x:f>
        <x:v>KHÔNG</x:v>
      </x:c>
      <x:c r="CL19" t="str">
        <x:v>PILOT_NORTH_PROFILE_DRAFT; chưa có master DOCX đã duyệt</x:v>
      </x:c>
      <x:c r="CM19" t="str">
        <x:v>v1.5 (nâng từ v1.4)</x:v>
      </x:c>
      <x:c r="CN19" t="str">
        <x:v>CẦN XÁC MINH TÊN/QUY CHẾ</x:v>
      </x:c>
      <x:c r="CO19" t="str">
        <x:v>ND30_D_NG_DIA_DANH_FIELD_ONLY; chưa tạo trong Word</x:v>
      </x:c>
      <x:c r="CP19" t="str">
        <x:v>Preset là cấu hình Công ty; không thay thế giới hạn của nguồn NĐ30/HD05</x:v>
      </x:c>
      <x:c r="CQ19" t="str">
        <x:f>IF(OR(BH19="CÓ",BH19=TRUE),BI19,"")</x:f>
      </x:c>
      <x:c r="CR19" t="str">
        <x:f>IF(OR(BH19="CÓ",BH19=TRUE),BJ19,"")</x:f>
      </x:c>
      <x:c r="CS19" t="str">
        <x:v>FORMAT_CHECK_ONLY</x:v>
      </x:c>
      <x:c r="CT19" t="str">
        <x:v>PENDING_SOURCE_AND_DOCX_QA</x:v>
      </x:c>
      <x:c r="CU19" t="str">
        <x:v>KHÔNG</x:v>
      </x:c>
      <x:c r="CV19" t="str">
        <x:v>KHÔNG</x:v>
      </x:c>
      <x:c r="CW19" t="str"/>
    </x:row>
    <x:row r="20" ht="29" customHeight="1">
      <x:c r="A20" s="125" t="n">
        <x:v>14</x:v>
      </x:c>
      <x:c r="B20" s="123" t="str">
        <x:v>ND30.D.NG.NGAY</x:v>
      </x:c>
      <x:c r="C20" s="123" t="str">
        <x:v>Đầu văn bản</x:v>
      </x:c>
      <x:c r="D20" s="123" t="str">
        <x:v>Địa danh và thời gian ban hành</x:v>
      </x:c>
      <x:c r="E20" s="123" t="str">
        <x:v>Ngày</x:v>
      </x:c>
      <x:c r="F20" s="123" t="str">
        <x:v>4</x:v>
      </x:c>
      <x:c r="G20" s="123" t="str">
        <x:v>Chỉ khi phát hành bởi đúng chủ thể của profile; theo NĐ30</x:v>
      </x:c>
      <x:c r="H20" s="123" t="str">
        <x:v>Thành phần của ngày tháng năm ban hành; không tự xác định thời điểm ký</x:v>
      </x:c>
      <x:c r="I20" s="123" t="str">
        <x:v>Times New Roman | Unicode | đen</x:v>
      </x:c>
      <x:c r="J20" s="126" t="str">
        <x:v>13</x:v>
      </x:c>
      <x:c r="K20" s="123" t="str">
        <x:v>Theo số/chữ địa danh</x:v>
      </x:c>
      <x:c r="L20" s="123" t="str">
        <x:v>Không</x:v>
      </x:c>
      <x:c r="M20" s="123" t="str">
        <x:v>Có</x:v>
      </x:c>
      <x:c r="N20" s="123" t="str">
        <x:v>Căn phải trong cột phải; dưới tiêu đề</x:v>
      </x:c>
      <x:c r="O20" s="124" t="str">
        <x:v>Single; sau 0 pt</x:v>
      </x:c>
      <x:c r="P20" s="124" t="str">
        <x:v>Thụt dòng 0</x:v>
      </x:c>
      <x:c r="Q20" s="123"/>
      <x:c r="R20" s="123" t="str">
        <x:v>Văn bản/OOXML: xác định đối tượng trước khi sửa</x:v>
      </x:c>
      <x:c r="S20" s="123" t="str">
        <x:v>Ngày 01–09 ghi số 0 phía trước; giữ nguyên ngày được cung cấp, không tự điền</x:v>
      </x:c>
      <x:c r="T20" s="123" t="str">
        <x:v>NĐ30, Phụ lục I, Phần I, II.4; V.4</x:v>
      </x:c>
      <x:c r="U20" s="123" t="str">
        <x:v>https://datafiles.chinhphu.vn/cpp/files/vbpq/2020/03/30.signed.pdf</x:v>
      </x:c>
      <x:c r="V20" s="123" t="str">
        <x:v>https://riam.edu.vn/nghi-dinh-ve-cong-tac-van-thu-phu-luc/</x:v>
      </x:c>
      <x:c r="W20" s="123" t="str">
        <x:v>ĐỐI CHIẾU MỘT PHẦN</x:v>
      </x:c>
      <x:c r="X20" s="123" t="str">
        <x:v>PROTECT_CONTENT</x:v>
      </x:c>
      <x:c r="Y20" s="123" t="str">
        <x:v>Không tự chèn/sửa khi chưa có chứng cứ về đối tượng và rule.</x:v>
      </x:c>
      <x:c r="Z20" s="124" t="str">
        <x:v>[CHƯA NHẬP — KHÔNG TỰ SINH]</x:v>
      </x:c>
      <x:c r="AA20" s="123" t="str">
        <x:v>PlaceDate/RightColumn</x:v>
      </x:c>
      <x:c r="AB20" s="124" t="str">
        <x:v>THAM KHẢO</x:v>
      </x:c>
      <x:c r="AC20" s="123" t="str">
        <x:v>PROTECT_CONTENT</x:v>
      </x:c>
      <x:c r="AD20" s="123" t="str">
        <x:v>PLUGIN:hoa-tieu-mien-bac-administrative-v1 | user_approved_visual_reference</x:v>
      </x:c>
      <x:c r="AE20" s="123" t="str">
        <x:v>Đối chiếu mã ND30.D.NG.NGAY; so cỡ 13 pt và vùng 4; giữ nguyên nội dung ngoài phạm vi.</x:v>
      </x:c>
      <x:c r="AF20" s="123" t="str">
        <x:v>Công ty: profile trình bày văn bản dự thảo; không mặc định thay cho văn bản pháp quy đặc thù.</x:v>
      </x:c>
      <x:c r="AG20" s="157" t="str">
        <x:v>Times New Roman</x:v>
      </x:c>
      <x:c r="AH20" s="157" t="str">
        <x:v>Unicode</x:v>
      </x:c>
      <x:c r="AI20" s="157" t="str">
        <x:v>#000000</x:v>
      </x:c>
      <x:c r="AJ20" s="195" t="n">
        <x:v>13</x:v>
      </x:c>
      <x:c r="AK20" s="157" t="str">
        <x:v>KHÔNG</x:v>
      </x:c>
      <x:c r="AL20" s="157" t="str">
        <x:v>CÓ</x:v>
      </x:c>
      <x:c r="AM20" s="157" t="str">
        <x:v>Theo số/chữ địa danh</x:v>
      </x:c>
      <x:c r="AN20" s="157" t="str">
        <x:v>RIGHT</x:v>
      </x:c>
      <x:c r="AO20" s="157"/>
      <x:c r="AP20" s="157" t="str">
        <x:v>SINGLE</x:v>
      </x:c>
      <x:c r="AQ20" s="195" t="n">
        <x:v>1</x:v>
      </x:c>
      <x:c r="AR20" s="157" t="str">
        <x:v>lines</x:v>
      </x:c>
      <x:c r="AS20" s="195"/>
      <x:c r="AT20" s="195" t="n">
        <x:v>0</x:v>
      </x:c>
      <x:c r="AU20" s="195" t="n">
        <x:v>0</x:v>
      </x:c>
      <x:c r="AV20" s="195"/>
      <x:c r="AW20" s="195"/>
      <x:c r="AX20" s="157"/>
      <x:c r="AY20" s="157"/>
      <x:c r="AZ20" s="157"/>
      <x:c r="BA20" s="195"/>
      <x:c r="BB20" s="195"/>
      <x:c r="BC20" s="157"/>
      <x:c r="BD20" s="195"/>
      <x:c r="BE20" s="195"/>
      <x:c r="BF20" s="195"/>
      <x:c r="BG20" s="195"/>
      <x:c r="BH20" s="157"/>
      <x:c r="BI20" s="195"/>
      <x:c r="BJ20" s="195"/>
      <x:c r="BK20" s="195"/>
      <x:c r="BL20" s="157"/>
      <x:c r="BM20" s="157"/>
      <x:c r="BN20" s="157"/>
      <x:c r="BO20" s="195"/>
      <x:c r="BP20" s="195"/>
      <x:c r="BQ20" s="157"/>
      <x:c r="BR20" s="157"/>
      <x:c r="BS20" s="157"/>
      <x:c r="BT20" s="157" t="str">
        <x:v>PlaceDate/RightColumn</x:v>
      </x:c>
      <x:c r="BU20" s="157" t="str">
        <x:v>Văn bản/OOXML: xác định đối tượng trước khi sửa</x:v>
      </x:c>
      <x:c r="BV20" s="196" t="str">
        <x:v>THAM KHẢO</x:v>
      </x:c>
      <x:c r="BW20" s="197" t="str">
        <x:v>ĐÃ TÁCH MỘT PHẦN</x:v>
      </x:c>
      <x:c r="BX20" s="157" t="str">
        <x:v>Chưa có giá trị nghiệp vụ; không tự điền.</x:v>
      </x:c>
      <x:c r="BY20" t="str">
        <x:v>ND30.D.NG.NGAY</x:v>
      </x:c>
      <x:c r="BZ20" t="str">
        <x:f>IFERROR(INDEX(ND30!$J$7:$J$300,MATCH($B20,ND30!$B$7:$B$300,0)),"UNRESOLVED")</x:f>
        <x:v>13–14</x:v>
      </x:c>
      <x:c r="CA20" t="str">
        <x:v>PROTECTED_TEXT</x:v>
      </x:c>
      <x:c r="CB20" t="str">
        <x:v>issuer_scope_confirmed AND document_type_confirmed AND legal_effective_date_confirmed</x:v>
      </x:c>
      <x:c r="CC20" t="str">
        <x:f>IFERROR(INDEX(ND30!$X$7:$X$300,MATCH($B20,ND30!$B$7:$B$300,0)),"UNRESOLVED")</x:f>
        <x:v>KHÔNG TỰ ĐIỀN NGÀY</x:v>
      </x:c>
      <x:c r="CD20" t="str">
        <x:f>IF(OR(ISNUMBER(SEARCH("READ_ONLY",CC20)),ISNUMBER(SEARCH("PROTECTED",CC20)),ISNUMBER(SEARCH("BẢO VỆ",CC20)),ISNUMBER(SEARCH("KHÔNG KÝ",CC20))),"PROTECTED","CHECK_ONLY")</x:f>
        <x:v>CHECK_ONLY</x:v>
      </x:c>
      <x:c r="CE20" t="str">
        <x:f>IF(AND(CD20="FORMAT_APPROVED",CU20="CÓ",CV20="CÓ",CH20="CÓ",CI20="CÓ",CJ20="CÓ"),"CÓ","KHÔNG")</x:f>
        <x:v>KHÔNG</x:v>
      </x:c>
      <x:c r="CF20" t="str">
        <x:v>KHÔNG</x:v>
      </x:c>
      <x:c r="CG20" t="str">
        <x:v>CÓ</x:v>
      </x:c>
      <x:c r="CH20" t="str">
        <x:v>KHÔNG</x:v>
      </x:c>
      <x:c r="CI20" t="str">
        <x:v>KHÔNG</x:v>
      </x:c>
      <x:c r="CJ20" t="str">
        <x:v>KHÔNG</x:v>
      </x:c>
      <x:c r="CK20" t="str">
        <x:f>IF(AND(CE20="CÓ",CF20="KHÔNG",CG20="CÓ",CU20="CÓ",CV20="CÓ",CH20="CÓ",CI20="CÓ",CJ20="CÓ"),"CÓ","KHÔNG")</x:f>
        <x:v>KHÔNG</x:v>
      </x:c>
      <x:c r="CL20" t="str">
        <x:v>PILOT_NORTH_PROFILE_DRAFT; chưa có master DOCX đã duyệt</x:v>
      </x:c>
      <x:c r="CM20" t="str">
        <x:v>v1.5 (nâng từ v1.4)</x:v>
      </x:c>
      <x:c r="CN20" t="str">
        <x:v>CẦN XÁC MINH TÊN/QUY CHẾ</x:v>
      </x:c>
      <x:c r="CO20" t="str">
        <x:v>ND30_D_NG_NGAY_FIELD_ONLY; chưa tạo trong Word</x:v>
      </x:c>
      <x:c r="CP20" t="str">
        <x:v>Preset là cấu hình Công ty; không thay thế giới hạn của nguồn NĐ30/HD05</x:v>
      </x:c>
      <x:c r="CQ20" t="str">
        <x:f>IF(OR(BH20="CÓ",BH20=TRUE),BI20,"")</x:f>
      </x:c>
      <x:c r="CR20" t="str">
        <x:f>IF(OR(BH20="CÓ",BH20=TRUE),BJ20,"")</x:f>
      </x:c>
      <x:c r="CS20" t="str">
        <x:v>FORMAT_CHECK_ONLY</x:v>
      </x:c>
      <x:c r="CT20" t="str">
        <x:v>PENDING_SOURCE_AND_DOCX_QA</x:v>
      </x:c>
      <x:c r="CU20" t="str">
        <x:v>KHÔNG</x:v>
      </x:c>
      <x:c r="CV20" t="str">
        <x:v>KHÔNG</x:v>
      </x:c>
      <x:c r="CW20" t="str"/>
    </x:row>
    <x:row r="21" ht="29" customHeight="1">
      <x:c r="A21" s="125" t="n">
        <x:v>15</x:v>
      </x:c>
      <x:c r="B21" s="123" t="str">
        <x:v>ND30.D.NG.THANG</x:v>
      </x:c>
      <x:c r="C21" s="123" t="str">
        <x:v>Đầu văn bản</x:v>
      </x:c>
      <x:c r="D21" s="123" t="str">
        <x:v>Địa danh và thời gian ban hành</x:v>
      </x:c>
      <x:c r="E21" s="123" t="str">
        <x:v>Tháng</x:v>
      </x:c>
      <x:c r="F21" s="123" t="str">
        <x:v>4</x:v>
      </x:c>
      <x:c r="G21" s="123" t="str">
        <x:v>Chỉ khi phát hành bởi đúng chủ thể của profile; theo NĐ30</x:v>
      </x:c>
      <x:c r="H21" s="123" t="str">
        <x:v>Thành phần của ngày tháng năm ban hành; không tự xác định thời điểm ký</x:v>
      </x:c>
      <x:c r="I21" s="123" t="str">
        <x:v>Times New Roman | Unicode | đen</x:v>
      </x:c>
      <x:c r="J21" s="126" t="str">
        <x:v>13</x:v>
      </x:c>
      <x:c r="K21" s="123" t="str">
        <x:v>Theo số/chữ địa danh</x:v>
      </x:c>
      <x:c r="L21" s="123" t="str">
        <x:v>Không</x:v>
      </x:c>
      <x:c r="M21" s="123" t="str">
        <x:v>Có</x:v>
      </x:c>
      <x:c r="N21" s="123" t="str">
        <x:v>Căn phải trong cột phải; dưới tiêu đề</x:v>
      </x:c>
      <x:c r="O21" s="124" t="str">
        <x:v>Single; sau 0 pt</x:v>
      </x:c>
      <x:c r="P21" s="124" t="str">
        <x:v>Thụt dòng 0</x:v>
      </x:c>
      <x:c r="Q21" s="123"/>
      <x:c r="R21" s="123" t="str">
        <x:v>Văn bản/OOXML: xác định đối tượng trước khi sửa</x:v>
      </x:c>
      <x:c r="S21" s="123" t="str">
        <x:v>Tháng 01–02 ghi số 0 phía trước; không áp mẫu hai chữ số cho mọi tháng</x:v>
      </x:c>
      <x:c r="T21" s="123" t="str">
        <x:v>NĐ30, Phụ lục I, Phần I, II.4; V.4</x:v>
      </x:c>
      <x:c r="U21" s="123" t="str">
        <x:v>https://datafiles.chinhphu.vn/cpp/files/vbpq/2020/03/30.signed.pdf</x:v>
      </x:c>
      <x:c r="V21" s="123" t="str">
        <x:v>https://riam.edu.vn/nghi-dinh-ve-cong-tac-van-thu-phu-luc/</x:v>
      </x:c>
      <x:c r="W21" s="123" t="str">
        <x:v>ĐỐI CHIẾU MỘT PHẦN</x:v>
      </x:c>
      <x:c r="X21" s="123" t="str">
        <x:v>PROTECT_CONTENT</x:v>
      </x:c>
      <x:c r="Y21" s="123" t="str">
        <x:v>Không tự chèn/sửa khi chưa có chứng cứ về đối tượng và rule.</x:v>
      </x:c>
      <x:c r="Z21" s="124" t="str">
        <x:v>[CHƯA NHẬP — KHÔNG TỰ SINH]</x:v>
      </x:c>
      <x:c r="AA21" s="123" t="str">
        <x:v>PlaceDate/RightColumn</x:v>
      </x:c>
      <x:c r="AB21" s="124" t="str">
        <x:v>THAM KHẢO</x:v>
      </x:c>
      <x:c r="AC21" s="123" t="str">
        <x:v>PROTECT_CONTENT</x:v>
      </x:c>
      <x:c r="AD21" s="123" t="str">
        <x:v>PLUGIN:hoa-tieu-mien-bac-administrative-v1 | user_approved_visual_reference</x:v>
      </x:c>
      <x:c r="AE21" s="123" t="str">
        <x:v>Đối chiếu mã ND30.D.NG.THANG; so cỡ 13 pt và vùng 4; giữ nguyên nội dung ngoài phạm vi.</x:v>
      </x:c>
      <x:c r="AF21" s="123" t="str">
        <x:v>Công ty: profile trình bày văn bản dự thảo; không mặc định thay cho văn bản pháp quy đặc thù.</x:v>
      </x:c>
      <x:c r="AG21" s="157" t="str">
        <x:v>Times New Roman</x:v>
      </x:c>
      <x:c r="AH21" s="157" t="str">
        <x:v>Unicode</x:v>
      </x:c>
      <x:c r="AI21" s="157" t="str">
        <x:v>#000000</x:v>
      </x:c>
      <x:c r="AJ21" s="195" t="n">
        <x:v>13</x:v>
      </x:c>
      <x:c r="AK21" s="157" t="str">
        <x:v>KHÔNG</x:v>
      </x:c>
      <x:c r="AL21" s="157" t="str">
        <x:v>CÓ</x:v>
      </x:c>
      <x:c r="AM21" s="157" t="str">
        <x:v>Theo số/chữ địa danh</x:v>
      </x:c>
      <x:c r="AN21" s="157" t="str">
        <x:v>RIGHT</x:v>
      </x:c>
      <x:c r="AO21" s="157"/>
      <x:c r="AP21" s="157" t="str">
        <x:v>SINGLE</x:v>
      </x:c>
      <x:c r="AQ21" s="195" t="n">
        <x:v>1</x:v>
      </x:c>
      <x:c r="AR21" s="157" t="str">
        <x:v>lines</x:v>
      </x:c>
      <x:c r="AS21" s="195"/>
      <x:c r="AT21" s="195" t="n">
        <x:v>0</x:v>
      </x:c>
      <x:c r="AU21" s="195" t="n">
        <x:v>0</x:v>
      </x:c>
      <x:c r="AV21" s="195"/>
      <x:c r="AW21" s="195"/>
      <x:c r="AX21" s="157"/>
      <x:c r="AY21" s="157"/>
      <x:c r="AZ21" s="157"/>
      <x:c r="BA21" s="195"/>
      <x:c r="BB21" s="195"/>
      <x:c r="BC21" s="157"/>
      <x:c r="BD21" s="195"/>
      <x:c r="BE21" s="195"/>
      <x:c r="BF21" s="195"/>
      <x:c r="BG21" s="195"/>
      <x:c r="BH21" s="157"/>
      <x:c r="BI21" s="195"/>
      <x:c r="BJ21" s="195"/>
      <x:c r="BK21" s="195"/>
      <x:c r="BL21" s="157"/>
      <x:c r="BM21" s="157"/>
      <x:c r="BN21" s="157"/>
      <x:c r="BO21" s="195"/>
      <x:c r="BP21" s="195"/>
      <x:c r="BQ21" s="157"/>
      <x:c r="BR21" s="157"/>
      <x:c r="BS21" s="157"/>
      <x:c r="BT21" s="157" t="str">
        <x:v>PlaceDate/RightColumn</x:v>
      </x:c>
      <x:c r="BU21" s="157" t="str">
        <x:v>Văn bản/OOXML: xác định đối tượng trước khi sửa</x:v>
      </x:c>
      <x:c r="BV21" s="196" t="str">
        <x:v>THAM KHẢO</x:v>
      </x:c>
      <x:c r="BW21" s="197" t="str">
        <x:v>ĐÃ TÁCH MỘT PHẦN</x:v>
      </x:c>
      <x:c r="BX21" s="157" t="str">
        <x:v>Chưa có giá trị nghiệp vụ; không tự điền.</x:v>
      </x:c>
      <x:c r="BY21" t="str">
        <x:v>ND30.D.NG.THANG</x:v>
      </x:c>
      <x:c r="BZ21" t="str">
        <x:f>IFERROR(INDEX(ND30!$J$7:$J$300,MATCH($B21,ND30!$B$7:$B$300,0)),"UNRESOLVED")</x:f>
        <x:v>13–14</x:v>
      </x:c>
      <x:c r="CA21" t="str">
        <x:v>PROTECTED_TEXT</x:v>
      </x:c>
      <x:c r="CB21" t="str">
        <x:v>issuer_scope_confirmed AND document_type_confirmed AND legal_effective_date_confirmed</x:v>
      </x:c>
      <x:c r="CC21" t="str">
        <x:f>IFERROR(INDEX(ND30!$X$7:$X$300,MATCH($B21,ND30!$B$7:$B$300,0)),"UNRESOLVED")</x:f>
        <x:v>KHÔNG TỰ ĐIỀN NGÀY</x:v>
      </x:c>
      <x:c r="CD21" t="str">
        <x:f>IF(OR(ISNUMBER(SEARCH("READ_ONLY",CC21)),ISNUMBER(SEARCH("PROTECTED",CC21)),ISNUMBER(SEARCH("BẢO VỆ",CC21)),ISNUMBER(SEARCH("KHÔNG KÝ",CC21))),"PROTECTED","CHECK_ONLY")</x:f>
        <x:v>CHECK_ONLY</x:v>
      </x:c>
      <x:c r="CE21" t="str">
        <x:f>IF(AND(CD21="FORMAT_APPROVED",CU21="CÓ",CV21="CÓ",CH21="CÓ",CI21="CÓ",CJ21="CÓ"),"CÓ","KHÔNG")</x:f>
        <x:v>KHÔNG</x:v>
      </x:c>
      <x:c r="CF21" t="str">
        <x:v>KHÔNG</x:v>
      </x:c>
      <x:c r="CG21" t="str">
        <x:v>CÓ</x:v>
      </x:c>
      <x:c r="CH21" t="str">
        <x:v>KHÔNG</x:v>
      </x:c>
      <x:c r="CI21" t="str">
        <x:v>KHÔNG</x:v>
      </x:c>
      <x:c r="CJ21" t="str">
        <x:v>KHÔNG</x:v>
      </x:c>
      <x:c r="CK21" t="str">
        <x:f>IF(AND(CE21="CÓ",CF21="KHÔNG",CG21="CÓ",CU21="CÓ",CV21="CÓ",CH21="CÓ",CI21="CÓ",CJ21="CÓ"),"CÓ","KHÔNG")</x:f>
        <x:v>KHÔNG</x:v>
      </x:c>
      <x:c r="CL21" t="str">
        <x:v>PILOT_NORTH_PROFILE_DRAFT; chưa có master DOCX đã duyệt</x:v>
      </x:c>
      <x:c r="CM21" t="str">
        <x:v>v1.5 (nâng từ v1.4)</x:v>
      </x:c>
      <x:c r="CN21" t="str">
        <x:v>CẦN XÁC MINH TÊN/QUY CHẾ</x:v>
      </x:c>
      <x:c r="CO21" t="str">
        <x:v>ND30_D_NG_THANG_FIELD_ONLY; chưa tạo trong Word</x:v>
      </x:c>
      <x:c r="CP21" t="str">
        <x:v>Preset là cấu hình Công ty; không thay thế giới hạn của nguồn NĐ30/HD05</x:v>
      </x:c>
      <x:c r="CQ21" t="str">
        <x:f>IF(OR(BH21="CÓ",BH21=TRUE),BI21,"")</x:f>
      </x:c>
      <x:c r="CR21" t="str">
        <x:f>IF(OR(BH21="CÓ",BH21=TRUE),BJ21,"")</x:f>
      </x:c>
      <x:c r="CS21" t="str">
        <x:v>FORMAT_CHECK_ONLY</x:v>
      </x:c>
      <x:c r="CT21" t="str">
        <x:v>PENDING_SOURCE_AND_DOCX_QA</x:v>
      </x:c>
      <x:c r="CU21" t="str">
        <x:v>KHÔNG</x:v>
      </x:c>
      <x:c r="CV21" t="str">
        <x:v>KHÔNG</x:v>
      </x:c>
      <x:c r="CW21" t="str"/>
    </x:row>
    <x:row r="22" ht="29" customHeight="1">
      <x:c r="A22" s="125" t="n">
        <x:v>16</x:v>
      </x:c>
      <x:c r="B22" s="123" t="str">
        <x:v>ND30.D.NG.NAM</x:v>
      </x:c>
      <x:c r="C22" s="123" t="str">
        <x:v>Đầu văn bản</x:v>
      </x:c>
      <x:c r="D22" s="123" t="str">
        <x:v>Địa danh và thời gian ban hành</x:v>
      </x:c>
      <x:c r="E22" s="123" t="str">
        <x:v>Năm</x:v>
      </x:c>
      <x:c r="F22" s="123" t="str">
        <x:v>4</x:v>
      </x:c>
      <x:c r="G22" s="123" t="str">
        <x:v>Chỉ khi phát hành bởi đúng chủ thể của profile; theo NĐ30</x:v>
      </x:c>
      <x:c r="H22" s="123" t="str">
        <x:v>Thành phần của ngày tháng năm ban hành; không tự xác định thời điểm ký</x:v>
      </x:c>
      <x:c r="I22" s="123" t="str">
        <x:v>Times New Roman | Unicode | đen</x:v>
      </x:c>
      <x:c r="J22" s="126" t="str">
        <x:v>13</x:v>
      </x:c>
      <x:c r="K22" s="123" t="str">
        <x:v>Theo số/chữ địa danh</x:v>
      </x:c>
      <x:c r="L22" s="123" t="str">
        <x:v>Không</x:v>
      </x:c>
      <x:c r="M22" s="123" t="str">
        <x:v>Có</x:v>
      </x:c>
      <x:c r="N22" s="123" t="str">
        <x:v>Căn phải trong cột phải; dưới tiêu đề</x:v>
      </x:c>
      <x:c r="O22" s="124" t="str">
        <x:v>Single; sau 0 pt</x:v>
      </x:c>
      <x:c r="P22" s="124" t="str">
        <x:v>Thụt dòng 0</x:v>
      </x:c>
      <x:c r="Q22" s="123"/>
      <x:c r="R22" s="123" t="str">
        <x:v>Văn bản/OOXML: xác định đối tượng trước khi sửa</x:v>
      </x:c>
      <x:c r="S22" s="123" t="str">
        <x:v>Năm viết đủ bốn chữ số; không tự xác định năm ban hành</x:v>
      </x:c>
      <x:c r="T22" s="123" t="str">
        <x:v>NĐ30, Phụ lục I, Phần I, II.4; V.4</x:v>
      </x:c>
      <x:c r="U22" s="123" t="str">
        <x:v>https://datafiles.chinhphu.vn/cpp/files/vbpq/2020/03/30.signed.pdf</x:v>
      </x:c>
      <x:c r="V22" s="123" t="str">
        <x:v>https://riam.edu.vn/nghi-dinh-ve-cong-tac-van-thu-phu-luc/</x:v>
      </x:c>
      <x:c r="W22" s="123" t="str">
        <x:v>ĐỐI CHIẾU MỘT PHẦN</x:v>
      </x:c>
      <x:c r="X22" s="123" t="str">
        <x:v>PROTECT_CONTENT</x:v>
      </x:c>
      <x:c r="Y22" s="123" t="str">
        <x:v>Không tự chèn/sửa khi chưa có chứng cứ về đối tượng và rule.</x:v>
      </x:c>
      <x:c r="Z22" s="124" t="str">
        <x:v>[CHƯA NHẬP — KHÔNG TỰ SINH]</x:v>
      </x:c>
      <x:c r="AA22" s="123" t="str">
        <x:v>PlaceDate/RightColumn</x:v>
      </x:c>
      <x:c r="AB22" s="124" t="str">
        <x:v>THAM KHẢO</x:v>
      </x:c>
      <x:c r="AC22" s="123" t="str">
        <x:v>PROTECT_CONTENT</x:v>
      </x:c>
      <x:c r="AD22" s="123" t="str">
        <x:v>PLUGIN:hoa-tieu-mien-bac-administrative-v1 | user_approved_visual_reference</x:v>
      </x:c>
      <x:c r="AE22" s="123" t="str">
        <x:v>Đối chiếu mã ND30.D.NG.NAM; so cỡ 13 pt và vùng 4; giữ nguyên nội dung ngoài phạm vi.</x:v>
      </x:c>
      <x:c r="AF22" s="123" t="str">
        <x:v>Công ty: profile trình bày văn bản dự thảo; không mặc định thay cho văn bản pháp quy đặc thù.</x:v>
      </x:c>
      <x:c r="AG22" s="157" t="str">
        <x:v>Times New Roman</x:v>
      </x:c>
      <x:c r="AH22" s="157" t="str">
        <x:v>Unicode</x:v>
      </x:c>
      <x:c r="AI22" s="157" t="str">
        <x:v>#000000</x:v>
      </x:c>
      <x:c r="AJ22" s="195" t="n">
        <x:v>13</x:v>
      </x:c>
      <x:c r="AK22" s="157" t="str">
        <x:v>KHÔNG</x:v>
      </x:c>
      <x:c r="AL22" s="157" t="str">
        <x:v>CÓ</x:v>
      </x:c>
      <x:c r="AM22" s="157" t="str">
        <x:v>Theo số/chữ địa danh</x:v>
      </x:c>
      <x:c r="AN22" s="157" t="str">
        <x:v>RIGHT</x:v>
      </x:c>
      <x:c r="AO22" s="157"/>
      <x:c r="AP22" s="157" t="str">
        <x:v>SINGLE</x:v>
      </x:c>
      <x:c r="AQ22" s="195" t="n">
        <x:v>1</x:v>
      </x:c>
      <x:c r="AR22" s="157" t="str">
        <x:v>lines</x:v>
      </x:c>
      <x:c r="AS22" s="195"/>
      <x:c r="AT22" s="195" t="n">
        <x:v>0</x:v>
      </x:c>
      <x:c r="AU22" s="195" t="n">
        <x:v>0</x:v>
      </x:c>
      <x:c r="AV22" s="195"/>
      <x:c r="AW22" s="195"/>
      <x:c r="AX22" s="157"/>
      <x:c r="AY22" s="157"/>
      <x:c r="AZ22" s="157"/>
      <x:c r="BA22" s="195"/>
      <x:c r="BB22" s="195"/>
      <x:c r="BC22" s="157"/>
      <x:c r="BD22" s="195"/>
      <x:c r="BE22" s="195"/>
      <x:c r="BF22" s="195"/>
      <x:c r="BG22" s="195"/>
      <x:c r="BH22" s="157"/>
      <x:c r="BI22" s="195"/>
      <x:c r="BJ22" s="195"/>
      <x:c r="BK22" s="195"/>
      <x:c r="BL22" s="157"/>
      <x:c r="BM22" s="157"/>
      <x:c r="BN22" s="157"/>
      <x:c r="BO22" s="195"/>
      <x:c r="BP22" s="195"/>
      <x:c r="BQ22" s="157"/>
      <x:c r="BR22" s="157"/>
      <x:c r="BS22" s="157"/>
      <x:c r="BT22" s="157" t="str">
        <x:v>PlaceDate/RightColumn</x:v>
      </x:c>
      <x:c r="BU22" s="157" t="str">
        <x:v>Văn bản/OOXML: xác định đối tượng trước khi sửa</x:v>
      </x:c>
      <x:c r="BV22" s="196" t="str">
        <x:v>THAM KHẢO</x:v>
      </x:c>
      <x:c r="BW22" s="197" t="str">
        <x:v>ĐÃ TÁCH MỘT PHẦN</x:v>
      </x:c>
      <x:c r="BX22" s="157" t="str">
        <x:v>Chưa có giá trị nghiệp vụ; không tự điền.</x:v>
      </x:c>
      <x:c r="BY22" t="str">
        <x:v>ND30.D.NG.NAM</x:v>
      </x:c>
      <x:c r="BZ22" t="str">
        <x:f>IFERROR(INDEX(ND30!$J$7:$J$300,MATCH($B22,ND30!$B$7:$B$300,0)),"UNRESOLVED")</x:f>
        <x:v>13–14</x:v>
      </x:c>
      <x:c r="CA22" t="str">
        <x:v>PROTECTED_TEXT</x:v>
      </x:c>
      <x:c r="CB22" t="str">
        <x:v>issuer_scope_confirmed AND document_type_confirmed AND legal_effective_date_confirmed</x:v>
      </x:c>
      <x:c r="CC22" t="str">
        <x:f>IFERROR(INDEX(ND30!$X$7:$X$300,MATCH($B22,ND30!$B$7:$B$300,0)),"UNRESOLVED")</x:f>
        <x:v>KHÔNG TỰ ĐIỀN NGÀY</x:v>
      </x:c>
      <x:c r="CD22" t="str">
        <x:f>IF(OR(ISNUMBER(SEARCH("READ_ONLY",CC22)),ISNUMBER(SEARCH("PROTECTED",CC22)),ISNUMBER(SEARCH("BẢO VỆ",CC22)),ISNUMBER(SEARCH("KHÔNG KÝ",CC22))),"PROTECTED","CHECK_ONLY")</x:f>
        <x:v>CHECK_ONLY</x:v>
      </x:c>
      <x:c r="CE22" t="str">
        <x:f>IF(AND(CD22="FORMAT_APPROVED",CU22="CÓ",CV22="CÓ",CH22="CÓ",CI22="CÓ",CJ22="CÓ"),"CÓ","KHÔNG")</x:f>
        <x:v>KHÔNG</x:v>
      </x:c>
      <x:c r="CF22" t="str">
        <x:v>KHÔNG</x:v>
      </x:c>
      <x:c r="CG22" t="str">
        <x:v>CÓ</x:v>
      </x:c>
      <x:c r="CH22" t="str">
        <x:v>KHÔNG</x:v>
      </x:c>
      <x:c r="CI22" t="str">
        <x:v>KHÔNG</x:v>
      </x:c>
      <x:c r="CJ22" t="str">
        <x:v>KHÔNG</x:v>
      </x:c>
      <x:c r="CK22" t="str">
        <x:f>IF(AND(CE22="CÓ",CF22="KHÔNG",CG22="CÓ",CU22="CÓ",CV22="CÓ",CH22="CÓ",CI22="CÓ",CJ22="CÓ"),"CÓ","KHÔNG")</x:f>
        <x:v>KHÔNG</x:v>
      </x:c>
      <x:c r="CL22" t="str">
        <x:v>PILOT_NORTH_PROFILE_DRAFT; chưa có master DOCX đã duyệt</x:v>
      </x:c>
      <x:c r="CM22" t="str">
        <x:v>v1.5 (nâng từ v1.4)</x:v>
      </x:c>
      <x:c r="CN22" t="str">
        <x:v>CẦN XÁC MINH TÊN/QUY CHẾ</x:v>
      </x:c>
      <x:c r="CO22" t="str">
        <x:v>ND30_D_NG_NAM_FIELD_ONLY; chưa tạo trong Word</x:v>
      </x:c>
      <x:c r="CP22" t="str">
        <x:v>Preset là cấu hình Công ty; không thay thế giới hạn của nguồn NĐ30/HD05</x:v>
      </x:c>
      <x:c r="CQ22" t="str">
        <x:f>IF(OR(BH22="CÓ",BH22=TRUE),BI22,"")</x:f>
      </x:c>
      <x:c r="CR22" t="str">
        <x:f>IF(OR(BH22="CÓ",BH22=TRUE),BJ22,"")</x:f>
      </x:c>
      <x:c r="CS22" t="str">
        <x:v>FORMAT_CHECK_ONLY</x:v>
      </x:c>
      <x:c r="CT22" t="str">
        <x:v>PENDING_SOURCE_AND_DOCX_QA</x:v>
      </x:c>
      <x:c r="CU22" t="str">
        <x:v>KHÔNG</x:v>
      </x:c>
      <x:c r="CV22" t="str">
        <x:v>KHÔNG</x:v>
      </x:c>
      <x:c r="CW22" t="str"/>
    </x:row>
    <x:row r="23" ht="29" customHeight="1">
      <x:c r="A23" s="125" t="n">
        <x:v>17</x:v>
      </x:c>
      <x:c r="B23" s="123" t="str">
        <x:v>ND30.D.TY.TEN_LOAI</x:v>
      </x:c>
      <x:c r="C23" s="123" t="str">
        <x:v>Đầu văn bản</x:v>
      </x:c>
      <x:c r="D23" s="123" t="str">
        <x:v>Tên loại và trích yếu</x:v>
      </x:c>
      <x:c r="E23" s="123" t="str">
        <x:v>Tên loại văn bản</x:v>
      </x:c>
      <x:c r="F23" s="123" t="str">
        <x:v>5a</x:v>
      </x:c>
      <x:c r="G23" s="123" t="str">
        <x:v>Theo loại văn bản: có tên loại / công văn / ngoại lệ; không dùng đồng thời sai vị trí</x:v>
      </x:c>
      <x:c r="H23" s="123" t="str">
        <x:v>Tên loại văn bản hợp lệ; không ghi CÔNG VĂN như tiêu đề của công văn thông thường</x:v>
      </x:c>
      <x:c r="I23" s="123" t="str">
        <x:v>Times New Roman | Unicode | đen</x:v>
      </x:c>
      <x:c r="J23" s="126" t="str">
        <x:v>14</x:v>
      </x:c>
      <x:c r="K23" s="123" t="str">
        <x:v>IN HOA</x:v>
      </x:c>
      <x:c r="L23" s="123" t="str">
        <x:v>Có</x:v>
      </x:c>
      <x:c r="M23" s="123" t="str">
        <x:v>Không</x:v>
      </x:c>
      <x:c r="N23" s="123" t="str">
        <x:v>Căn giữa vùng nội dung</x:v>
      </x:c>
      <x:c r="O23" s="124" t="str">
        <x:v>Single; sau 6 pt (preset)</x:v>
      </x:c>
      <x:c r="P23" s="124" t="str">
        <x:v>Thụt 0; canh giữa trong vùng nội dung</x:v>
      </x:c>
      <x:c r="Q23" s="123"/>
      <x:c r="R23" s="123" t="str">
        <x:v>Văn bản/OOXML: xác định đối tượng trước khi sửa</x:v>
      </x:c>
      <x:c r="S23" s="123" t="str">
        <x:v>Không có thông số đơn trị; theo rule của thành phần và loại văn bản</x:v>
      </x:c>
      <x:c r="T23" s="123" t="str">
        <x:v>NĐ30, Phụ lục I, Phần I, II.5; V.5</x:v>
      </x:c>
      <x:c r="U23" s="123" t="str">
        <x:v>https://datafiles.chinhphu.vn/cpp/files/vbpq/2020/03/30.signed.pdf</x:v>
      </x:c>
      <x:c r="V23" s="123" t="str">
        <x:v>https://riam.edu.vn/nghi-dinh-ve-cong-tac-van-thu-phu-luc/</x:v>
      </x:c>
      <x:c r="W23" s="123" t="str">
        <x:v>ĐỐI CHIẾU MỘT PHẦN</x:v>
      </x:c>
      <x:c r="X23" s="123" t="str">
        <x:v>FORMAT_AFTER_REVIEW</x:v>
      </x:c>
      <x:c r="Y23" s="123" t="str">
        <x:v>Không tự chèn/sửa khi chưa có chứng cứ về đối tượng và rule.</x:v>
      </x:c>
      <x:c r="Z23" s="124" t="str">
        <x:v>[TÊN LOẠI] — chỉ văn bản có tên loại</x:v>
      </x:c>
      <x:c r="AA23" s="123" t="str">
        <x:v>DocumentTitleOrAbstract</x:v>
      </x:c>
      <x:c r="AB23" s="124" t="str">
        <x:v>CÓ ĐIỀU KIỆN</x:v>
      </x:c>
      <x:c r="AC23" s="123" t="str">
        <x:v>FORMAT_AFTER_REVIEW</x:v>
      </x:c>
      <x:c r="AD23" s="123" t="str">
        <x:v>PLUGIN:hoa-tieu-mien-bac-administrative-v1 | user_approved_visual_reference</x:v>
      </x:c>
      <x:c r="AE23" s="123" t="str">
        <x:v>Đối chiếu mã ND30.D.TY.TEN_LOAI; so cỡ 14 pt và vùng 5a; giữ nguyên nội dung ngoài phạm vi.</x:v>
      </x:c>
      <x:c r="AF23" s="123" t="str">
        <x:v>Công ty: profile trình bày văn bản dự thảo; không mặc định thay cho văn bản pháp quy đặc thù.</x:v>
      </x:c>
      <x:c r="AG23" s="157" t="str">
        <x:v>Times New Roman</x:v>
      </x:c>
      <x:c r="AH23" s="157" t="str">
        <x:v>Unicode</x:v>
      </x:c>
      <x:c r="AI23" s="157" t="str">
        <x:v>#000000</x:v>
      </x:c>
      <x:c r="AJ23" s="195" t="n">
        <x:v>14</x:v>
      </x:c>
      <x:c r="AK23" s="157" t="str">
        <x:v>CÓ</x:v>
      </x:c>
      <x:c r="AL23" s="157" t="str">
        <x:v>KHÔNG</x:v>
      </x:c>
      <x:c r="AM23" s="157" t="str">
        <x:v>IN HOA</x:v>
      </x:c>
      <x:c r="AN23" s="157" t="str">
        <x:v>CENTER</x:v>
      </x:c>
      <x:c r="AO23" s="157"/>
      <x:c r="AP23" s="157" t="str">
        <x:v>SINGLE</x:v>
      </x:c>
      <x:c r="AQ23" s="195" t="n">
        <x:v>1</x:v>
      </x:c>
      <x:c r="AR23" s="157" t="str">
        <x:v>lines</x:v>
      </x:c>
      <x:c r="AS23" s="195"/>
      <x:c r="AT23" s="195" t="n">
        <x:v>6</x:v>
      </x:c>
      <x:c r="AU23" s="195" t="n">
        <x:v>0</x:v>
      </x:c>
      <x:c r="AV23" s="195"/>
      <x:c r="AW23" s="195"/>
      <x:c r="AX23" s="157"/>
      <x:c r="AY23" s="157"/>
      <x:c r="AZ23" s="157"/>
      <x:c r="BA23" s="195"/>
      <x:c r="BB23" s="195"/>
      <x:c r="BC23" s="157"/>
      <x:c r="BD23" s="195"/>
      <x:c r="BE23" s="195"/>
      <x:c r="BF23" s="195"/>
      <x:c r="BG23" s="195"/>
      <x:c r="BH23" s="157"/>
      <x:c r="BI23" s="195"/>
      <x:c r="BJ23" s="195"/>
      <x:c r="BK23" s="195"/>
      <x:c r="BL23" s="157"/>
      <x:c r="BM23" s="157"/>
      <x:c r="BN23" s="157"/>
      <x:c r="BO23" s="195"/>
      <x:c r="BP23" s="195"/>
      <x:c r="BQ23" s="157"/>
      <x:c r="BR23" s="157"/>
      <x:c r="BS23" s="157"/>
      <x:c r="BT23" s="157" t="str">
        <x:v>DocumentTitleOrAbstract</x:v>
      </x:c>
      <x:c r="BU23" s="157" t="str">
        <x:v>Văn bản/OOXML: xác định đối tượng trước khi sửa</x:v>
      </x:c>
      <x:c r="BV23" s="196" t="str">
        <x:v>CÓ ĐIỀU KIỆN</x:v>
      </x:c>
      <x:c r="BW23" s="197" t="str">
        <x:v>ĐÃ TÁCH MỘT PHẦN</x:v>
      </x:c>
      <x:c r="BX23" s="157" t="str">
        <x:v>Đối chiếu mô tả gốc ở I–S, Z–AF nếu thuộc tính phụ thuộc mẫu.</x:v>
      </x:c>
      <x:c r="BY23" t="str">
        <x:v>ND30.D.TY.TEN_LOAI</x:v>
      </x:c>
      <x:c r="BZ23" t="str">
        <x:f>IFERROR(INDEX(ND30!$J$7:$J$300,MATCH($B23,ND30!$B$7:$B$300,0)),"UNRESOLVED")</x:f>
        <x:v>13–14</x:v>
      </x:c>
      <x:c r="CA23" t="str">
        <x:v>TEXT</x:v>
      </x:c>
      <x:c r="CB23" t="str">
        <x:v>heading_mode_confirmed AND document_type_confirmed</x:v>
      </x:c>
      <x:c r="CC23" t="str">
        <x:f>IFERROR(INDEX(ND30!$X$7:$X$300,MATCH($B23,ND30!$B$7:$B$300,0)),"UNRESOLVED")</x:f>
        <x:v>READ_ONLY</x:v>
      </x:c>
      <x:c r="CD23" t="str">
        <x:f>IF(OR(ISNUMBER(SEARCH("READ_ONLY",CC23)),ISNUMBER(SEARCH("PROTECTED",CC23)),ISNUMBER(SEARCH("BẢO VỆ",CC23)),ISNUMBER(SEARCH("KHÔNG KÝ",CC23))),"PROTECTED","CHECK_ONLY")</x:f>
        <x:v>PROTECTED</x:v>
      </x:c>
      <x:c r="CE23" t="str">
        <x:f>IF(AND(CD23="FORMAT_APPROVED",CU23="CÓ",CV23="CÓ",CH23="CÓ",CI23="CÓ",CJ23="CÓ"),"CÓ","KHÔNG")</x:f>
        <x:v>KHÔNG</x:v>
      </x:c>
      <x:c r="CF23" t="str">
        <x:v>KHÔNG</x:v>
      </x:c>
      <x:c r="CG23" t="str">
        <x:v>CÓ</x:v>
      </x:c>
      <x:c r="CH23" t="str">
        <x:v>KHÔNG</x:v>
      </x:c>
      <x:c r="CI23" t="str">
        <x:v>KHÔNG</x:v>
      </x:c>
      <x:c r="CJ23" t="str">
        <x:v>KHÔNG</x:v>
      </x:c>
      <x:c r="CK23" t="str">
        <x:f>IF(AND(CE23="CÓ",CF23="KHÔNG",CG23="CÓ",CU23="CÓ",CV23="CÓ",CH23="CÓ",CI23="CÓ",CJ23="CÓ"),"CÓ","KHÔNG")</x:f>
        <x:v>KHÔNG</x:v>
      </x:c>
      <x:c r="CL23" t="str">
        <x:v>PILOT_NORTH_PROFILE_DRAFT; chưa có master DOCX đã duyệt</x:v>
      </x:c>
      <x:c r="CM23" t="str">
        <x:v>v1.5 (nâng từ v1.4)</x:v>
      </x:c>
      <x:c r="CN23" t="str">
        <x:v>CẦN XÁC MINH TÊN/QUY CHẾ</x:v>
      </x:c>
      <x:c r="CO23" t="str">
        <x:v>ND30_D_TY_TEN_LOAI_FIELD_ONLY; chưa tạo trong Word</x:v>
      </x:c>
      <x:c r="CP23" t="str">
        <x:v>Preset là cấu hình Công ty; không thay thế giới hạn của nguồn NĐ30/HD05</x:v>
      </x:c>
      <x:c r="CQ23" t="str">
        <x:f>IF(OR(BH23="CÓ",BH23=TRUE),BI23,"")</x:f>
      </x:c>
      <x:c r="CR23" t="str">
        <x:f>IF(OR(BH23="CÓ",BH23=TRUE),BJ23,"")</x:f>
      </x:c>
      <x:c r="CS23" t="str">
        <x:v>FORMAT_CHECK_ONLY</x:v>
      </x:c>
      <x:c r="CT23" t="str">
        <x:v>PENDING_SOURCE_AND_DOCX_QA</x:v>
      </x:c>
      <x:c r="CU23" t="str">
        <x:v>KHÔNG</x:v>
      </x:c>
      <x:c r="CV23" t="str">
        <x:v>KHÔNG</x:v>
      </x:c>
      <x:c r="CW23" t="str"/>
    </x:row>
    <x:row r="24" ht="29" customHeight="1">
      <x:c r="A24" s="125" t="n">
        <x:v>18</x:v>
      </x:c>
      <x:c r="B24" s="123" t="str">
        <x:v>ND30.D.TY.TRICH_YEU</x:v>
      </x:c>
      <x:c r="C24" s="123" t="str">
        <x:v>Đầu văn bản</x:v>
      </x:c>
      <x:c r="D24" s="123" t="str">
        <x:v>Tên loại và trích yếu</x:v>
      </x:c>
      <x:c r="E24" s="123" t="str">
        <x:v>Trích yếu của văn bản có tên loại</x:v>
      </x:c>
      <x:c r="F24" s="123" t="str">
        <x:v>5a</x:v>
      </x:c>
      <x:c r="G24" s="123" t="str">
        <x:v>Theo loại văn bản: có tên loại / công văn / ngoại lệ; không dùng đồng thời sai vị trí</x:v>
      </x:c>
      <x:c r="H24" s="123" t="str">
        <x:v>Trích yếu ngắn gọn phản ánh nội dung chính, tách với tên loại</x:v>
      </x:c>
      <x:c r="I24" s="123" t="str">
        <x:v>Times New Roman | Unicode | đen</x:v>
      </x:c>
      <x:c r="J24" s="126" t="str">
        <x:v>14</x:v>
      </x:c>
      <x:c r="K24" s="123" t="str">
        <x:v>In thường</x:v>
      </x:c>
      <x:c r="L24" s="123" t="str">
        <x:v>Có</x:v>
      </x:c>
      <x:c r="M24" s="123" t="str">
        <x:v>Không</x:v>
      </x:c>
      <x:c r="N24" s="123" t="str">
        <x:v>Căn giữa vùng nội dung</x:v>
      </x:c>
      <x:c r="O24" s="124" t="str">
        <x:v>Single; sau 6 pt (preset)</x:v>
      </x:c>
      <x:c r="P24" s="124" t="str">
        <x:v>Thụt 0; canh giữa trong vùng nội dung</x:v>
      </x:c>
      <x:c r="Q24" s="123"/>
      <x:c r="R24" s="123" t="str">
        <x:v>Văn bản/OOXML: xác định đối tượng trước khi sửa</x:v>
      </x:c>
      <x:c r="S24" s="123" t="str">
        <x:v>Không có thông số đơn trị; theo rule của thành phần và loại văn bản</x:v>
      </x:c>
      <x:c r="T24" s="123" t="str">
        <x:v>NĐ30, Phụ lục I, Phần I, II.5; V.5</x:v>
      </x:c>
      <x:c r="U24" s="123" t="str">
        <x:v>https://datafiles.chinhphu.vn/cpp/files/vbpq/2020/03/30.signed.pdf</x:v>
      </x:c>
      <x:c r="V24" s="123" t="str">
        <x:v>https://riam.edu.vn/nghi-dinh-ve-cong-tac-van-thu-phu-luc/</x:v>
      </x:c>
      <x:c r="W24" s="123" t="str">
        <x:v>ĐỐI CHIẾU MỘT PHẦN</x:v>
      </x:c>
      <x:c r="X24" s="123" t="str">
        <x:v>FORMAT_AFTER_REVIEW</x:v>
      </x:c>
      <x:c r="Y24" s="123" t="str">
        <x:v>Không tự chèn/sửa khi chưa có chứng cứ về đối tượng và rule.</x:v>
      </x:c>
      <x:c r="Z24" s="124" t="str">
        <x:v>[TRÍCH YẾU] — theo từng loại</x:v>
      </x:c>
      <x:c r="AA24" s="123" t="str">
        <x:v>DocumentTitleOrAbstract</x:v>
      </x:c>
      <x:c r="AB24" s="124" t="str">
        <x:v>CÓ ĐIỀU KIỆN</x:v>
      </x:c>
      <x:c r="AC24" s="123" t="str">
        <x:v>FORMAT_AFTER_REVIEW</x:v>
      </x:c>
      <x:c r="AD24" s="123" t="str">
        <x:v>PLUGIN:hoa-tieu-mien-bac-administrative-v1 | user_approved_visual_reference</x:v>
      </x:c>
      <x:c r="AE24" s="123" t="str">
        <x:v>Đối chiếu mã ND30.D.TY.TRICH_YEU; so cỡ 14 pt và vùng 5a; giữ nguyên nội dung ngoài phạm vi.</x:v>
      </x:c>
      <x:c r="AF24" s="123" t="str">
        <x:v>Công ty: profile trình bày văn bản dự thảo; không mặc định thay cho văn bản pháp quy đặc thù.</x:v>
      </x:c>
      <x:c r="AG24" s="157" t="str">
        <x:v>Times New Roman</x:v>
      </x:c>
      <x:c r="AH24" s="157" t="str">
        <x:v>Unicode</x:v>
      </x:c>
      <x:c r="AI24" s="157" t="str">
        <x:v>#000000</x:v>
      </x:c>
      <x:c r="AJ24" s="195" t="n">
        <x:v>14</x:v>
      </x:c>
      <x:c r="AK24" s="157" t="str">
        <x:v>CÓ</x:v>
      </x:c>
      <x:c r="AL24" s="157" t="str">
        <x:v>KHÔNG</x:v>
      </x:c>
      <x:c r="AM24" s="157" t="str">
        <x:v>In thường</x:v>
      </x:c>
      <x:c r="AN24" s="157" t="str">
        <x:v>CENTER</x:v>
      </x:c>
      <x:c r="AO24" s="157"/>
      <x:c r="AP24" s="157" t="str">
        <x:v>SINGLE</x:v>
      </x:c>
      <x:c r="AQ24" s="195" t="n">
        <x:v>1</x:v>
      </x:c>
      <x:c r="AR24" s="157" t="str">
        <x:v>lines</x:v>
      </x:c>
      <x:c r="AS24" s="195"/>
      <x:c r="AT24" s="195" t="n">
        <x:v>6</x:v>
      </x:c>
      <x:c r="AU24" s="195" t="n">
        <x:v>0</x:v>
      </x:c>
      <x:c r="AV24" s="195"/>
      <x:c r="AW24" s="195"/>
      <x:c r="AX24" s="157"/>
      <x:c r="AY24" s="157"/>
      <x:c r="AZ24" s="157"/>
      <x:c r="BA24" s="195"/>
      <x:c r="BB24" s="195"/>
      <x:c r="BC24" s="157"/>
      <x:c r="BD24" s="195"/>
      <x:c r="BE24" s="195"/>
      <x:c r="BF24" s="195"/>
      <x:c r="BG24" s="195"/>
      <x:c r="BH24" s="157"/>
      <x:c r="BI24" s="195"/>
      <x:c r="BJ24" s="195"/>
      <x:c r="BK24" s="195"/>
      <x:c r="BL24" s="157"/>
      <x:c r="BM24" s="157"/>
      <x:c r="BN24" s="157"/>
      <x:c r="BO24" s="195"/>
      <x:c r="BP24" s="195"/>
      <x:c r="BQ24" s="157"/>
      <x:c r="BR24" s="157"/>
      <x:c r="BS24" s="157"/>
      <x:c r="BT24" s="157" t="str">
        <x:v>DocumentTitleOrAbstract</x:v>
      </x:c>
      <x:c r="BU24" s="157" t="str">
        <x:v>Văn bản/OOXML: xác định đối tượng trước khi sửa</x:v>
      </x:c>
      <x:c r="BV24" s="196" t="str">
        <x:v>CÓ ĐIỀU KIỆN</x:v>
      </x:c>
      <x:c r="BW24" s="197" t="str">
        <x:v>ĐÃ TÁCH MỘT PHẦN</x:v>
      </x:c>
      <x:c r="BX24" s="157" t="str">
        <x:v>Đối chiếu mô tả gốc ở I–S, Z–AF nếu thuộc tính phụ thuộc mẫu.</x:v>
      </x:c>
      <x:c r="BY24" t="str">
        <x:v>ND30.D.TY.TRICH_YEU</x:v>
      </x:c>
      <x:c r="BZ24" t="str">
        <x:f>IFERROR(INDEX(ND30!$J$7:$J$300,MATCH($B24,ND30!$B$7:$B$300,0)),"UNRESOLVED")</x:f>
        <x:v>13–14</x:v>
      </x:c>
      <x:c r="CA24" t="str">
        <x:v>TEXT</x:v>
      </x:c>
      <x:c r="CB24" t="str">
        <x:v>heading_mode_confirmed AND document_type_confirmed</x:v>
      </x:c>
      <x:c r="CC24" t="str">
        <x:f>IFERROR(INDEX(ND30!$X$7:$X$300,MATCH($B24,ND30!$B$7:$B$300,0)),"UNRESOLVED")</x:f>
        <x:v>READ_ONLY</x:v>
      </x:c>
      <x:c r="CD24" t="str">
        <x:f>IF(OR(ISNUMBER(SEARCH("READ_ONLY",CC24)),ISNUMBER(SEARCH("PROTECTED",CC24)),ISNUMBER(SEARCH("BẢO VỆ",CC24)),ISNUMBER(SEARCH("KHÔNG KÝ",CC24))),"PROTECTED","CHECK_ONLY")</x:f>
        <x:v>PROTECTED</x:v>
      </x:c>
      <x:c r="CE24" t="str">
        <x:f>IF(AND(CD24="FORMAT_APPROVED",CU24="CÓ",CV24="CÓ",CH24="CÓ",CI24="CÓ",CJ24="CÓ"),"CÓ","KHÔNG")</x:f>
        <x:v>KHÔNG</x:v>
      </x:c>
      <x:c r="CF24" t="str">
        <x:v>KHÔNG</x:v>
      </x:c>
      <x:c r="CG24" t="str">
        <x:v>CÓ</x:v>
      </x:c>
      <x:c r="CH24" t="str">
        <x:v>KHÔNG</x:v>
      </x:c>
      <x:c r="CI24" t="str">
        <x:v>KHÔNG</x:v>
      </x:c>
      <x:c r="CJ24" t="str">
        <x:v>KHÔNG</x:v>
      </x:c>
      <x:c r="CK24" t="str">
        <x:f>IF(AND(CE24="CÓ",CF24="KHÔNG",CG24="CÓ",CU24="CÓ",CV24="CÓ",CH24="CÓ",CI24="CÓ",CJ24="CÓ"),"CÓ","KHÔNG")</x:f>
        <x:v>KHÔNG</x:v>
      </x:c>
      <x:c r="CL24" t="str">
        <x:v>PILOT_NORTH_PROFILE_DRAFT; chưa có master DOCX đã duyệt</x:v>
      </x:c>
      <x:c r="CM24" t="str">
        <x:v>v1.5 (nâng từ v1.4)</x:v>
      </x:c>
      <x:c r="CN24" t="str">
        <x:v>CẦN XÁC MINH TÊN/QUY CHẾ</x:v>
      </x:c>
      <x:c r="CO24" t="str">
        <x:v>ND30_D_TY_TRICH_YEU_FIELD_ONLY; chưa tạo trong Word</x:v>
      </x:c>
      <x:c r="CP24" t="str">
        <x:v>Preset là cấu hình Công ty; không thay thế giới hạn của nguồn NĐ30/HD05</x:v>
      </x:c>
      <x:c r="CQ24" t="str">
        <x:f>IF(OR(BH24="CÓ",BH24=TRUE),BI24,"")</x:f>
      </x:c>
      <x:c r="CR24" t="str">
        <x:f>IF(OR(BH24="CÓ",BH24=TRUE),BJ24,"")</x:f>
      </x:c>
      <x:c r="CS24" t="str">
        <x:v>FORMAT_CHECK_ONLY</x:v>
      </x:c>
      <x:c r="CT24" t="str">
        <x:v>PENDING_SOURCE_AND_DOCX_QA</x:v>
      </x:c>
      <x:c r="CU24" t="str">
        <x:v>KHÔNG</x:v>
      </x:c>
      <x:c r="CV24" t="str">
        <x:v>KHÔNG</x:v>
      </x:c>
      <x:c r="CW24" t="str"/>
    </x:row>
    <x:row r="25" ht="29" customHeight="1">
      <x:c r="A25" s="125" t="n">
        <x:v>19</x:v>
      </x:c>
      <x:c r="B25" s="123" t="str">
        <x:v>ND30.D.TY.DUONG_KE</x:v>
      </x:c>
      <x:c r="C25" s="123" t="str">
        <x:v>Đầu văn bản</x:v>
      </x:c>
      <x:c r="D25" s="123" t="str">
        <x:v>Tên loại và trích yếu</x:v>
      </x:c>
      <x:c r="E25" s="123" t="str">
        <x:v>Đường kẻ dưới trích yếu (khi mẫu yêu cầu)</x:v>
      </x:c>
      <x:c r="F25" s="123" t="str">
        <x:v>5a</x:v>
      </x:c>
      <x:c r="G25" s="123" t="str">
        <x:v>Theo loại văn bản: có tên loại / công văn / ngoại lệ; không dùng đồng thời sai vị trí</x:v>
      </x:c>
      <x:c r="H25" s="123" t="str">
        <x:v>Đường kẻ nét liền dưới trích yếu văn bản có tên loại (không áp cho công văn dạng 5b)</x:v>
      </x:c>
      <x:c r="I25" s="123" t="str">
        <x:v>Không áp dụng</x:v>
      </x:c>
      <x:c r="J25" s="126" t="str">
        <x:v>—</x:v>
      </x:c>
      <x:c r="K25" s="123" t="str">
        <x:v>Không áp dụng</x:v>
      </x:c>
      <x:c r="L25" s="123" t="str">
        <x:v>Không áp dụng</x:v>
      </x:c>
      <x:c r="M25" s="123" t="str">
        <x:v>Không áp dụng</x:v>
      </x:c>
      <x:c r="N25" s="123" t="str">
        <x:v>Căn giữa vùng nội dung</x:v>
      </x:c>
      <x:c r="O25" s="124" t="str">
        <x:v>Single; sau 6 pt (preset)</x:v>
      </x:c>
      <x:c r="P25" s="124" t="str">
        <x:v>Thụt 0; canh giữa trong vùng nội dung</x:v>
      </x:c>
      <x:c r="Q25" s="123" t="str">
        <x:v>Nét liền; 40% chiều dài dòng trích yếu (preset; vẫn phải đạt 1/3–1/2)</x:v>
      </x:c>
      <x:c r="R25" s="123" t="str">
        <x:v>Văn bản/OOXML: xác định đối tượng trước khi sửa</x:v>
      </x:c>
      <x:c r="S25" s="123" t="str">
        <x:v>Đường kẻ nét liền, dài bằng 1/3–1/2 độ dài dòng chữ trích yếu và cân đối; không lấy độ dài cố định của profile làm luật</x:v>
      </x:c>
      <x:c r="T25" s="123" t="str">
        <x:v>NĐ30, Phụ lục I, Phần I, II.5; V.5</x:v>
      </x:c>
      <x:c r="U25" s="123" t="str">
        <x:v>https://datafiles.chinhphu.vn/cpp/files/vbpq/2020/03/30.signed.pdf</x:v>
      </x:c>
      <x:c r="V25" s="123" t="str">
        <x:v>https://riam.edu.vn/nghi-dinh-ve-cong-tac-van-thu-phu-luc/</x:v>
      </x:c>
      <x:c r="W25" s="123" t="str">
        <x:v>ĐỐI CHIẾU MỘT PHẦN</x:v>
      </x:c>
      <x:c r="X25" s="123" t="str">
        <x:v>FORMAT_AFTER_REVIEW</x:v>
      </x:c>
      <x:c r="Y25" s="123" t="str">
        <x:v>Không tự chèn/sửa khi chưa có chứng cứ về đối tượng và rule.</x:v>
      </x:c>
      <x:c r="Z25" s="124" t="str">
        <x:v>Nét liền; 40% chiều dài dòng trích yếu (preset; vẫn phải đạt 1/3–1/2)</x:v>
      </x:c>
      <x:c r="AA25" s="123" t="str">
        <x:v>DocumentTitleOrAbstract</x:v>
      </x:c>
      <x:c r="AB25" s="124" t="str">
        <x:v>CẦN QA RENDER</x:v>
      </x:c>
      <x:c r="AC25" s="123" t="str">
        <x:v>FORMAT_AFTER_REVIEW</x:v>
      </x:c>
      <x:c r="AD25" s="123" t="str">
        <x:v>PLUGIN:hoa-tieu-mien-bac-administrative-v1 | user_approved_visual_reference</x:v>
      </x:c>
      <x:c r="AE25" s="123" t="str">
        <x:v>Đối chiếu mã ND30.D.TY.DUONG_KE; so cỡ — pt và vùng 5a; giữ nguyên nội dung ngoài phạm vi.</x:v>
      </x:c>
      <x:c r="AF25" s="123" t="str">
        <x:v>Công ty: profile trình bày văn bản dự thảo; không mặc định thay cho văn bản pháp quy đặc thù.</x:v>
      </x:c>
      <x:c r="AG25" s="157"/>
      <x:c r="AH25" s="157"/>
      <x:c r="AI25" s="157"/>
      <x:c r="AJ25" s="195"/>
      <x:c r="AK25" s="157" t="str">
        <x:v>KHÔNG ÁP DỤNG</x:v>
      </x:c>
      <x:c r="AL25" s="157" t="str">
        <x:v>KHÔNG ÁP DỤNG</x:v>
      </x:c>
      <x:c r="AM25" s="157"/>
      <x:c r="AN25" s="157" t="str">
        <x:v>CENTER</x:v>
      </x:c>
      <x:c r="AO25" s="157"/>
      <x:c r="AP25" s="157"/>
      <x:c r="AQ25" s="195"/>
      <x:c r="AR25" s="157"/>
      <x:c r="AS25" s="195"/>
      <x:c r="AT25" s="195"/>
      <x:c r="AU25" s="195"/>
      <x:c r="AV25" s="195"/>
      <x:c r="AW25" s="195"/>
      <x:c r="AX25" s="157"/>
      <x:c r="AY25" s="157"/>
      <x:c r="AZ25" s="157"/>
      <x:c r="BA25" s="195"/>
      <x:c r="BB25" s="195"/>
      <x:c r="BC25" s="157"/>
      <x:c r="BD25" s="195"/>
      <x:c r="BE25" s="195"/>
      <x:c r="BF25" s="195"/>
      <x:c r="BG25" s="195"/>
      <x:c r="BH25" s="157"/>
      <x:c r="BI25" s="195"/>
      <x:c r="BJ25" s="195"/>
      <x:c r="BK25" s="195"/>
      <x:c r="BL25" s="157"/>
      <x:c r="BM25" s="157" t="str">
        <x:v>NÉT LIỀN</x:v>
      </x:c>
      <x:c r="BN25" s="157"/>
      <x:c r="BO25" s="195" t="n">
        <x:v>40</x:v>
      </x:c>
      <x:c r="BP25" s="195"/>
      <x:c r="BQ25" s="157"/>
      <x:c r="BR25" s="157"/>
      <x:c r="BS25" s="157"/>
      <x:c r="BT25" s="157" t="str">
        <x:v>DocumentTitleOrAbstract</x:v>
      </x:c>
      <x:c r="BU25" s="157" t="str">
        <x:v>Văn bản/OOXML: xác định đối tượng trước khi sửa</x:v>
      </x:c>
      <x:c r="BV25" s="196" t="str">
        <x:v>CẦN QA RENDER</x:v>
      </x:c>
      <x:c r="BW25" s="197" t="str">
        <x:v>ĐÃ TÁCH MỘT PHẦN</x:v>
      </x:c>
      <x:c r="BX25" s="157" t="str">
        <x:v>Đối chiếu mô tả gốc ở I–S, Z–AF nếu thuộc tính phụ thuộc mẫu.</x:v>
      </x:c>
      <x:c r="BY25" t="str">
        <x:v>ND30.D.TY.DUONG_KE</x:v>
      </x:c>
      <x:c r="BZ25" t="str">
        <x:f>IFERROR(INDEX(ND30!$J$7:$J$300,MATCH($B25,ND30!$B$7:$B$300,0)),"UNRESOLVED")</x:f>
        <x:v>Không áp dụng</x:v>
      </x:c>
      <x:c r="CA25" t="str">
        <x:v>SEPARATOR</x:v>
      </x:c>
      <x:c r="CB25" t="str">
        <x:v>target_kind_confirmed; ký tự và đối tượng hình học không được hoán đổi</x:v>
      </x:c>
      <x:c r="CC25" t="str">
        <x:f>IFERROR(INDEX(ND30!$X$7:$X$300,MATCH($B25,ND30!$B$7:$B$300,0)),"UNRESOLVED")</x:f>
        <x:v>REVIEW TRƯỚC KHI SỬA</x:v>
      </x:c>
      <x:c r="CD25" t="str">
        <x:f>IF(OR(ISNUMBER(SEARCH("READ_ONLY",CC25)),ISNUMBER(SEARCH("PROTECTED",CC25)),ISNUMBER(SEARCH("BẢO VỆ",CC25)),ISNUMBER(SEARCH("KHÔNG KÝ",CC25))),"PROTECTED","CHECK_ONLY")</x:f>
        <x:v>CHECK_ONLY</x:v>
      </x:c>
      <x:c r="CE25" t="str">
        <x:f>IF(AND(CD25="FORMAT_APPROVED",CU25="CÓ",CV25="CÓ",CH25="CÓ",CI25="CÓ",CJ25="CÓ"),"CÓ","KHÔNG")</x:f>
        <x:v>KHÔNG</x:v>
      </x:c>
      <x:c r="CF25" t="str">
        <x:v>KHÔNG</x:v>
      </x:c>
      <x:c r="CG25" t="str">
        <x:v>CÓ</x:v>
      </x:c>
      <x:c r="CH25" t="str">
        <x:v>KHÔNG</x:v>
      </x:c>
      <x:c r="CI25" t="str">
        <x:v>KHÔNG</x:v>
      </x:c>
      <x:c r="CJ25" t="str">
        <x:v>KHÔNG</x:v>
      </x:c>
      <x:c r="CK25" t="str">
        <x:f>IF(AND(CE25="CÓ",CF25="KHÔNG",CG25="CÓ",CU25="CÓ",CV25="CÓ",CH25="CÓ",CI25="CÓ",CJ25="CÓ"),"CÓ","KHÔNG")</x:f>
        <x:v>KHÔNG</x:v>
      </x:c>
      <x:c r="CL25" t="str">
        <x:v>PILOT_NORTH_PROFILE_DRAFT; chưa có master DOCX đã duyệt</x:v>
      </x:c>
      <x:c r="CM25" t="str">
        <x:v>v1.5 (nâng từ v1.4)</x:v>
      </x:c>
      <x:c r="CN25" t="str">
        <x:v>CẦN XÁC MINH TÊN/QUY CHẾ</x:v>
      </x:c>
      <x:c r="CO25" t="str">
        <x:v>ND30_D_TY_DUONG_KE_FIELD_ONLY; chưa tạo trong Word</x:v>
      </x:c>
      <x:c r="CP25" t="str">
        <x:v>Preset là cấu hình Công ty; không thay thế giới hạn của nguồn NĐ30/HD05</x:v>
      </x:c>
      <x:c r="CQ25" t="str">
        <x:f>IF(OR(BH25="CÓ",BH25=TRUE),BI25,"")</x:f>
      </x:c>
      <x:c r="CR25" t="str">
        <x:f>IF(OR(BH25="CÓ",BH25=TRUE),BJ25,"")</x:f>
      </x:c>
      <x:c r="CS25" t="str">
        <x:v>STRUCTURAL_CHECK_ONLY</x:v>
      </x:c>
      <x:c r="CT25" t="str">
        <x:v>PENDING_SOURCE_AND_DOCX_QA</x:v>
      </x:c>
      <x:c r="CU25" t="str">
        <x:v>KHÔNG</x:v>
      </x:c>
      <x:c r="CV25" t="str">
        <x:v>KHÔNG</x:v>
      </x:c>
      <x:c r="CW25" t="str"/>
    </x:row>
    <x:row r="26" ht="29" customHeight="1">
      <x:c r="A26" s="125" t="n">
        <x:v>20</x:v>
      </x:c>
      <x:c r="B26" s="123" t="str">
        <x:v>ND30.D.TY.NHAN_VV</x:v>
      </x:c>
      <x:c r="C26" s="123" t="str">
        <x:v>Đầu văn bản</x:v>
      </x:c>
      <x:c r="D26" s="123" t="str">
        <x:v>Tên loại và trích yếu</x:v>
      </x:c>
      <x:c r="E26" s="123" t="str">
        <x:v>Cụm V/v đầu trích yếu công văn</x:v>
      </x:c>
      <x:c r="F26" s="123" t="str">
        <x:v>5b</x:v>
      </x:c>
      <x:c r="G26" s="123" t="str">
        <x:v>Theo loại văn bản: có tên loại / công văn / ngoại lệ; không dùng đồng thời sai vị trí</x:v>
      </x:c>
      <x:c r="H26" s="123" t="str">
        <x:v>Cụm V/v đầu trích yếu công văn</x:v>
      </x:c>
      <x:c r="I26" s="123" t="str">
        <x:v>Times New Roman | Unicode | đen</x:v>
      </x:c>
      <x:c r="J26" s="126" t="str">
        <x:v>13</x:v>
      </x:c>
      <x:c r="K26" s="123" t="str">
        <x:v>Theo mẫu</x:v>
      </x:c>
      <x:c r="L26" s="123" t="str">
        <x:v>Không</x:v>
      </x:c>
      <x:c r="M26" s="123" t="str">
        <x:v>Không</x:v>
      </x:c>
      <x:c r="N26" s="123" t="str">
        <x:v>Cân đối dưới số/ký hiệu bên trái</x:v>
      </x:c>
      <x:c r="O26" s="124" t="str">
        <x:v>Single; sau 6 pt (preset)</x:v>
      </x:c>
      <x:c r="P26" s="124" t="str">
        <x:v>Thụt 0; canh dưới số/ký hiệu</x:v>
      </x:c>
      <x:c r="Q26" s="123"/>
      <x:c r="R26" s="123" t="str">
        <x:v>Text run đầu của trích yếu công văn</x:v>
      </x:c>
      <x:c r="S26" s="123" t="str">
        <x:v>V/v; không tự chèn cho mọi văn bản</x:v>
      </x:c>
      <x:c r="T26" s="123" t="str">
        <x:v>NĐ30, Phụ lục I, Phần I, II.5; V.5</x:v>
      </x:c>
      <x:c r="U26" s="123" t="str">
        <x:v>https://datafiles.chinhphu.vn/cpp/files/vbpq/2020/03/30.signed.pdf</x:v>
      </x:c>
      <x:c r="V26" s="123" t="str">
        <x:v>https://riam.edu.vn/nghi-dinh-ve-cong-tac-van-thu-phu-luc/</x:v>
      </x:c>
      <x:c r="W26" s="123" t="str">
        <x:v>ĐỐI CHIẾU MỘT PHẦN</x:v>
      </x:c>
      <x:c r="X26" s="123" t="str">
        <x:v>FORMAT_AFTER_REVIEW</x:v>
      </x:c>
      <x:c r="Y26" s="123" t="str">
        <x:v>Không tự chèn/sửa khi chưa có chứng cứ về đối tượng và rule.</x:v>
      </x:c>
      <x:c r="Z26" s="124" t="str">
        <x:v>V/v</x:v>
      </x:c>
      <x:c r="AA26" s="123" t="str">
        <x:v>DocumentTitleOrAbstract</x:v>
      </x:c>
      <x:c r="AB26" s="124" t="str">
        <x:v>THAM KHẢO</x:v>
      </x:c>
      <x:c r="AC26" s="123" t="str">
        <x:v>FORMAT_AFTER_REVIEW</x:v>
      </x:c>
      <x:c r="AD26" s="123" t="str">
        <x:v>PLUGIN:hoa-tieu-mien-bac-administrative-v1 | user_approved_visual_reference</x:v>
      </x:c>
      <x:c r="AE26" s="123" t="str">
        <x:v>Đối chiếu mã ND30.D.TY.NHAN_VV; so cỡ 13 pt và vùng 5b; giữ nguyên nội dung ngoài phạm vi.</x:v>
      </x:c>
      <x:c r="AF26" s="123" t="str">
        <x:v>Công ty: profile trình bày văn bản dự thảo; không mặc định thay cho văn bản pháp quy đặc thù.</x:v>
      </x:c>
      <x:c r="AG26" s="157" t="str">
        <x:v>Times New Roman</x:v>
      </x:c>
      <x:c r="AH26" s="157" t="str">
        <x:v>Unicode</x:v>
      </x:c>
      <x:c r="AI26" s="157" t="str">
        <x:v>#000000</x:v>
      </x:c>
      <x:c r="AJ26" s="195" t="n">
        <x:v>13</x:v>
      </x:c>
      <x:c r="AK26" s="157" t="str">
        <x:v>KHÔNG</x:v>
      </x:c>
      <x:c r="AL26" s="157" t="str">
        <x:v>KHÔNG</x:v>
      </x:c>
      <x:c r="AM26" s="157" t="str">
        <x:v>Theo mẫu</x:v>
      </x:c>
      <x:c r="AN26" s="157"/>
      <x:c r="AO26" s="157"/>
      <x:c r="AP26" s="157" t="str">
        <x:v>SINGLE</x:v>
      </x:c>
      <x:c r="AQ26" s="195" t="n">
        <x:v>1</x:v>
      </x:c>
      <x:c r="AR26" s="157" t="str">
        <x:v>lines</x:v>
      </x:c>
      <x:c r="AS26" s="195"/>
      <x:c r="AT26" s="195" t="n">
        <x:v>6</x:v>
      </x:c>
      <x:c r="AU26" s="195" t="n">
        <x:v>0</x:v>
      </x:c>
      <x:c r="AV26" s="195"/>
      <x:c r="AW26" s="195"/>
      <x:c r="AX26" s="157"/>
      <x:c r="AY26" s="157"/>
      <x:c r="AZ26" s="157"/>
      <x:c r="BA26" s="195"/>
      <x:c r="BB26" s="195"/>
      <x:c r="BC26" s="157"/>
      <x:c r="BD26" s="195"/>
      <x:c r="BE26" s="195"/>
      <x:c r="BF26" s="195"/>
      <x:c r="BG26" s="195"/>
      <x:c r="BH26" s="157"/>
      <x:c r="BI26" s="195"/>
      <x:c r="BJ26" s="195"/>
      <x:c r="BK26" s="195"/>
      <x:c r="BL26" s="157"/>
      <x:c r="BM26" s="157"/>
      <x:c r="BN26" s="157"/>
      <x:c r="BO26" s="195"/>
      <x:c r="BP26" s="195"/>
      <x:c r="BQ26" s="157"/>
      <x:c r="BR26" s="157"/>
      <x:c r="BS26" s="157"/>
      <x:c r="BT26" s="157" t="str">
        <x:v>DocumentTitleOrAbstract</x:v>
      </x:c>
      <x:c r="BU26" s="157" t="str">
        <x:v>Text run đầu của trích yếu công văn</x:v>
      </x:c>
      <x:c r="BV26" s="196" t="str">
        <x:v>THAM KHẢO</x:v>
      </x:c>
      <x:c r="BW26" s="197" t="str">
        <x:v>ĐÃ TÁCH MỘT PHẦN</x:v>
      </x:c>
      <x:c r="BX26" s="157" t="str">
        <x:v>Đối chiếu mô tả gốc ở I–S, Z–AF nếu thuộc tính phụ thuộc mẫu.</x:v>
      </x:c>
      <x:c r="BY26" t="str">
        <x:v>ND30.D.TY.NHAN_VV</x:v>
      </x:c>
      <x:c r="BZ26" t="str">
        <x:f>IFERROR(INDEX(ND30!$J$7:$J$300,MATCH($B26,ND30!$B$7:$B$300,0)),"UNRESOLVED")</x:f>
        <x:v>12–13</x:v>
      </x:c>
      <x:c r="CA26" t="str">
        <x:v>TEXT</x:v>
      </x:c>
      <x:c r="CB26" t="str">
        <x:v>heading_mode_confirmed AND document_type_confirmed</x:v>
      </x:c>
      <x:c r="CC26" t="str">
        <x:f>IFERROR(INDEX(ND30!$X$7:$X$300,MATCH($B26,ND30!$B$7:$B$300,0)),"UNRESOLVED")</x:f>
        <x:v>READ_ONLY</x:v>
      </x:c>
      <x:c r="CD26" t="str">
        <x:f>IF(OR(ISNUMBER(SEARCH("READ_ONLY",CC26)),ISNUMBER(SEARCH("PROTECTED",CC26)),ISNUMBER(SEARCH("BẢO VỆ",CC26)),ISNUMBER(SEARCH("KHÔNG KÝ",CC26))),"PROTECTED","CHECK_ONLY")</x:f>
        <x:v>PROTECTED</x:v>
      </x:c>
      <x:c r="CE26" t="str">
        <x:f>IF(AND(CD26="FORMAT_APPROVED",CU26="CÓ",CV26="CÓ",CH26="CÓ",CI26="CÓ",CJ26="CÓ"),"CÓ","KHÔNG")</x:f>
        <x:v>KHÔNG</x:v>
      </x:c>
      <x:c r="CF26" t="str">
        <x:v>KHÔNG</x:v>
      </x:c>
      <x:c r="CG26" t="str">
        <x:v>CÓ</x:v>
      </x:c>
      <x:c r="CH26" t="str">
        <x:v>KHÔNG</x:v>
      </x:c>
      <x:c r="CI26" t="str">
        <x:v>KHÔNG</x:v>
      </x:c>
      <x:c r="CJ26" t="str">
        <x:v>KHÔNG</x:v>
      </x:c>
      <x:c r="CK26" t="str">
        <x:f>IF(AND(CE26="CÓ",CF26="KHÔNG",CG26="CÓ",CU26="CÓ",CV26="CÓ",CH26="CÓ",CI26="CÓ",CJ26="CÓ"),"CÓ","KHÔNG")</x:f>
        <x:v>KHÔNG</x:v>
      </x:c>
      <x:c r="CL26" t="str">
        <x:v>PILOT_NORTH_PROFILE_DRAFT; chưa có master DOCX đã duyệt</x:v>
      </x:c>
      <x:c r="CM26" t="str">
        <x:v>v1.5 (nâng từ v1.4)</x:v>
      </x:c>
      <x:c r="CN26" t="str">
        <x:v>CẦN XÁC MINH TÊN/QUY CHẾ</x:v>
      </x:c>
      <x:c r="CO26" t="str">
        <x:v>ND30_D_TY_NHAN_VV_FIELD_ONLY; chưa tạo trong Word</x:v>
      </x:c>
      <x:c r="CP26" t="str">
        <x:v>Preset là cấu hình Công ty; không thay thế giới hạn của nguồn NĐ30/HD05</x:v>
      </x:c>
      <x:c r="CQ26" t="str">
        <x:f>IF(OR(BH26="CÓ",BH26=TRUE),BI26,"")</x:f>
      </x:c>
      <x:c r="CR26" t="str">
        <x:f>IF(OR(BH26="CÓ",BH26=TRUE),BJ26,"")</x:f>
      </x:c>
      <x:c r="CS26" t="str">
        <x:v>FORMAT_CHECK_ONLY</x:v>
      </x:c>
      <x:c r="CT26" t="str">
        <x:v>PENDING_SOURCE_AND_DOCX_QA</x:v>
      </x:c>
      <x:c r="CU26" t="str">
        <x:v>KHÔNG</x:v>
      </x:c>
      <x:c r="CV26" t="str">
        <x:v>KHÔNG</x:v>
      </x:c>
      <x:c r="CW26" t="str"/>
    </x:row>
    <x:row r="27" ht="29" customHeight="1">
      <x:c r="A27" s="125" t="n">
        <x:v>21</x:v>
      </x:c>
      <x:c r="B27" s="123" t="str">
        <x:v>ND30.D.TY.TRICH_YEU_CV</x:v>
      </x:c>
      <x:c r="C27" s="123" t="str">
        <x:v>Đầu văn bản</x:v>
      </x:c>
      <x:c r="D27" s="123" t="str">
        <x:v>Tên loại và trích yếu</x:v>
      </x:c>
      <x:c r="E27" s="123" t="str">
        <x:v>Nội dung trích yếu công văn</x:v>
      </x:c>
      <x:c r="F27" s="123" t="str">
        <x:v>5b</x:v>
      </x:c>
      <x:c r="G27" s="123" t="str">
        <x:v>Theo loại văn bản: có tên loại / công văn / ngoại lệ; không dùng đồng thời sai vị trí</x:v>
      </x:c>
      <x:c r="H27" s="123" t="str">
        <x:v>Nội dung trích yếu công văn</x:v>
      </x:c>
      <x:c r="I27" s="123" t="str">
        <x:v>Times New Roman | Unicode | đen</x:v>
      </x:c>
      <x:c r="J27" s="126" t="str">
        <x:v>13</x:v>
      </x:c>
      <x:c r="K27" s="123" t="str">
        <x:v>In thường</x:v>
      </x:c>
      <x:c r="L27" s="123" t="str">
        <x:v>Không</x:v>
      </x:c>
      <x:c r="M27" s="123" t="str">
        <x:v>Không</x:v>
      </x:c>
      <x:c r="N27" s="123" t="str">
        <x:v>Dưới số/ký hiệu khối trái</x:v>
      </x:c>
      <x:c r="O27" s="124" t="str">
        <x:v>Single; sau 6 pt (preset)</x:v>
      </x:c>
      <x:c r="P27" s="124" t="str">
        <x:v>Thụt 0; canh dưới số/ký hiệu</x:v>
      </x:c>
      <x:c r="Q27" s="123"/>
      <x:c r="R27" s="123" t="str">
        <x:v>Một/một số text run bên dưới số và ký hiệu</x:v>
      </x:c>
      <x:c r="S27" s="123" t="str">
        <x:v>Trích yếu công văn mở bằng “V/v”; trình bày cân đối dưới số/ký hiệu (ô 5b); kiểm tra khoảng cách theo Phụ lục I</x:v>
      </x:c>
      <x:c r="T27" s="123" t="str">
        <x:v>NĐ30, Phụ lục I, Phần I, II.5; V.5</x:v>
      </x:c>
      <x:c r="U27" s="123" t="str">
        <x:v>https://datafiles.chinhphu.vn/cpp/files/vbpq/2020/03/30.signed.pdf</x:v>
      </x:c>
      <x:c r="V27" s="123" t="str">
        <x:v>https://riam.edu.vn/nghi-dinh-ve-cong-tac-van-thu-phu-luc/</x:v>
      </x:c>
      <x:c r="W27" s="123" t="str">
        <x:v>ĐỐI CHIẾU MỘT PHẦN</x:v>
      </x:c>
      <x:c r="X27" s="123" t="str">
        <x:v>FORMAT_AFTER_REVIEW</x:v>
      </x:c>
      <x:c r="Y27" s="123" t="str">
        <x:v>Không tự chèn/sửa khi chưa có chứng cứ về đối tượng và rule.</x:v>
      </x:c>
      <x:c r="Z27" s="124" t="str">
        <x:v>[NỘI DUNG TRÍCH YẾU CÔNG VĂN]</x:v>
      </x:c>
      <x:c r="AA27" s="123" t="str">
        <x:v>DocumentTitleOrAbstract</x:v>
      </x:c>
      <x:c r="AB27" s="124" t="str">
        <x:v>CÓ ĐIỀU KIỆN</x:v>
      </x:c>
      <x:c r="AC27" s="123" t="str">
        <x:v>FORMAT_AFTER_REVIEW</x:v>
      </x:c>
      <x:c r="AD27" s="123" t="str">
        <x:v>PLUGIN:hoa-tieu-mien-bac-administrative-v1 | user_approved_visual_reference</x:v>
      </x:c>
      <x:c r="AE27" s="123" t="str">
        <x:v>Đối chiếu mã ND30.D.TY.TRICH_YEU_CV; so cỡ 13 pt và vùng 5b; giữ nguyên nội dung ngoài phạm vi.</x:v>
      </x:c>
      <x:c r="AF27" s="123" t="str">
        <x:v>ND30: trình bày trích yếu công văn dưới số/ký hiệu. | Công ty: profile trình bày văn bản dự thảo; không mặc định thay cho văn bản pháp quy đặc thù.</x:v>
      </x:c>
      <x:c r="AG27" s="157" t="str">
        <x:v>Times New Roman</x:v>
      </x:c>
      <x:c r="AH27" s="157" t="str">
        <x:v>Unicode</x:v>
      </x:c>
      <x:c r="AI27" s="157" t="str">
        <x:v>#000000</x:v>
      </x:c>
      <x:c r="AJ27" s="195" t="n">
        <x:v>13</x:v>
      </x:c>
      <x:c r="AK27" s="157" t="str">
        <x:v>KHÔNG</x:v>
      </x:c>
      <x:c r="AL27" s="157" t="str">
        <x:v>KHÔNG</x:v>
      </x:c>
      <x:c r="AM27" s="157" t="str">
        <x:v>In thường</x:v>
      </x:c>
      <x:c r="AN27" s="157"/>
      <x:c r="AO27" s="157" t="str">
        <x:v>KHỐI/CỘT TRÁI</x:v>
      </x:c>
      <x:c r="AP27" s="157" t="str">
        <x:v>SINGLE</x:v>
      </x:c>
      <x:c r="AQ27" s="195" t="n">
        <x:v>1</x:v>
      </x:c>
      <x:c r="AR27" s="157" t="str">
        <x:v>lines</x:v>
      </x:c>
      <x:c r="AS27" s="195"/>
      <x:c r="AT27" s="195" t="n">
        <x:v>6</x:v>
      </x:c>
      <x:c r="AU27" s="195" t="n">
        <x:v>0</x:v>
      </x:c>
      <x:c r="AV27" s="195"/>
      <x:c r="AW27" s="195"/>
      <x:c r="AX27" s="157"/>
      <x:c r="AY27" s="157"/>
      <x:c r="AZ27" s="157"/>
      <x:c r="BA27" s="195"/>
      <x:c r="BB27" s="195"/>
      <x:c r="BC27" s="157"/>
      <x:c r="BD27" s="195"/>
      <x:c r="BE27" s="195"/>
      <x:c r="BF27" s="195"/>
      <x:c r="BG27" s="195"/>
      <x:c r="BH27" s="157"/>
      <x:c r="BI27" s="195"/>
      <x:c r="BJ27" s="195"/>
      <x:c r="BK27" s="195"/>
      <x:c r="BL27" s="157"/>
      <x:c r="BM27" s="157"/>
      <x:c r="BN27" s="157"/>
      <x:c r="BO27" s="195"/>
      <x:c r="BP27" s="195"/>
      <x:c r="BQ27" s="157"/>
      <x:c r="BR27" s="157"/>
      <x:c r="BS27" s="157"/>
      <x:c r="BT27" s="157" t="str">
        <x:v>DocumentTitleOrAbstract</x:v>
      </x:c>
      <x:c r="BU27" s="157" t="str">
        <x:v>Một/một số text run bên dưới số và ký hiệu</x:v>
      </x:c>
      <x:c r="BV27" s="196" t="str">
        <x:v>CÓ ĐIỀU KIỆN</x:v>
      </x:c>
      <x:c r="BW27" s="197" t="str">
        <x:v>ĐÃ TÁCH MỘT PHẦN</x:v>
      </x:c>
      <x:c r="BX27" s="157" t="str">
        <x:v>Đối chiếu mô tả gốc ở I–S, Z–AF nếu thuộc tính phụ thuộc mẫu.</x:v>
      </x:c>
      <x:c r="BY27" t="str">
        <x:v>ND30.D.TY.TRICH_YEU_CV</x:v>
      </x:c>
      <x:c r="BZ27" t="str">
        <x:f>IFERROR(INDEX(ND30!$J$7:$J$300,MATCH($B27,ND30!$B$7:$B$300,0)),"UNRESOLVED")</x:f>
        <x:v>12–13</x:v>
      </x:c>
      <x:c r="CA27" t="str">
        <x:v>TEXT</x:v>
      </x:c>
      <x:c r="CB27" t="str">
        <x:v>heading_mode_confirmed AND document_type_confirmed</x:v>
      </x:c>
      <x:c r="CC27" t="str">
        <x:f>IFERROR(INDEX(ND30!$X$7:$X$300,MATCH($B27,ND30!$B$7:$B$300,0)),"UNRESOLVED")</x:f>
        <x:v>READ_ONLY</x:v>
      </x:c>
      <x:c r="CD27" t="str">
        <x:f>IF(OR(ISNUMBER(SEARCH("READ_ONLY",CC27)),ISNUMBER(SEARCH("PROTECTED",CC27)),ISNUMBER(SEARCH("BẢO VỆ",CC27)),ISNUMBER(SEARCH("KHÔNG KÝ",CC27))),"PROTECTED","CHECK_ONLY")</x:f>
        <x:v>PROTECTED</x:v>
      </x:c>
      <x:c r="CE27" t="str">
        <x:f>IF(AND(CD27="FORMAT_APPROVED",CU27="CÓ",CV27="CÓ",CH27="CÓ",CI27="CÓ",CJ27="CÓ"),"CÓ","KHÔNG")</x:f>
        <x:v>KHÔNG</x:v>
      </x:c>
      <x:c r="CF27" t="str">
        <x:v>KHÔNG</x:v>
      </x:c>
      <x:c r="CG27" t="str">
        <x:v>CÓ</x:v>
      </x:c>
      <x:c r="CH27" t="str">
        <x:v>KHÔNG</x:v>
      </x:c>
      <x:c r="CI27" t="str">
        <x:v>KHÔNG</x:v>
      </x:c>
      <x:c r="CJ27" t="str">
        <x:v>KHÔNG</x:v>
      </x:c>
      <x:c r="CK27" t="str">
        <x:f>IF(AND(CE27="CÓ",CF27="KHÔNG",CG27="CÓ",CU27="CÓ",CV27="CÓ",CH27="CÓ",CI27="CÓ",CJ27="CÓ"),"CÓ","KHÔNG")</x:f>
        <x:v>KHÔNG</x:v>
      </x:c>
      <x:c r="CL27" t="str">
        <x:v>PILOT_NORTH_PROFILE_DRAFT; chưa có master DOCX đã duyệt</x:v>
      </x:c>
      <x:c r="CM27" t="str">
        <x:v>v1.5 (nâng từ v1.4)</x:v>
      </x:c>
      <x:c r="CN27" t="str">
        <x:v>CẦN XÁC MINH TÊN/QUY CHẾ</x:v>
      </x:c>
      <x:c r="CO27" t="str">
        <x:v>ND30_D_TY_TRICH_YEU_CV_FIELD_ONLY; chưa tạo trong Word</x:v>
      </x:c>
      <x:c r="CP27" t="str">
        <x:v>Preset là cấu hình Công ty; không thay thế giới hạn của nguồn NĐ30/HD05</x:v>
      </x:c>
      <x:c r="CQ27" t="str">
        <x:f>IF(OR(BH27="CÓ",BH27=TRUE),BI27,"")</x:f>
      </x:c>
      <x:c r="CR27" t="str">
        <x:f>IF(OR(BH27="CÓ",BH27=TRUE),BJ27,"")</x:f>
      </x:c>
      <x:c r="CS27" t="str">
        <x:v>FORMAT_CHECK_ONLY</x:v>
      </x:c>
      <x:c r="CT27" t="str">
        <x:v>PENDING_SOURCE_AND_DOCX_QA</x:v>
      </x:c>
      <x:c r="CU27" t="str">
        <x:v>KHÔNG</x:v>
      </x:c>
      <x:c r="CV27" t="str">
        <x:v>KHÔNG</x:v>
      </x:c>
      <x:c r="CW27" t="str"/>
    </x:row>
    <x:row r="28" ht="29" customHeight="1">
      <x:c r="A28" s="125" t="n">
        <x:v>22</x:v>
      </x:c>
      <x:c r="B28" s="123" t="str">
        <x:v>ND30.D.NHAN.KINH_GUI</x:v>
      </x:c>
      <x:c r="C28" s="123" t="str">
        <x:v>Đầu văn bản</x:v>
      </x:c>
      <x:c r="D28" s="123" t="str">
        <x:v>Người nhận trực tiếp đầu văn bản</x:v>
      </x:c>
      <x:c r="E28" s="123" t="str">
        <x:v>Nhãn Kính gửi:</x:v>
      </x:c>
      <x:c r="F28" s="123" t="str">
        <x:v>9a</x:v>
      </x:c>
      <x:c r="G28" s="123" t="str">
        <x:v>Công văn: Kính gửi; Tờ trình: Kính gửi; nhóm khác theo mẫu quy định</x:v>
      </x:c>
      <x:c r="H28" s="123" t="str">
        <x:v>Nhãn người nhận trực tiếp với dấu hai chấm</x:v>
      </x:c>
      <x:c r="I28" s="123" t="str">
        <x:v>Times New Roman | Unicode | đen</x:v>
      </x:c>
      <x:c r="J28" s="126" t="str">
        <x:v>14</x:v>
      </x:c>
      <x:c r="K28" s="123" t="str">
        <x:v>In thường</x:v>
      </x:c>
      <x:c r="L28" s="123" t="str">
        <x:v>Không</x:v>
      </x:c>
      <x:c r="M28" s="123" t="str">
        <x:v>Không</x:v>
      </x:c>
      <x:c r="N28" s="123" t="str">
        <x:v>Cân đối dưới trích yếu/đầu nội dung theo mẫu loại văn bản</x:v>
      </x:c>
      <x:c r="O28" s="124" t="str">
        <x:v>Single; sau 3 pt</x:v>
      </x:c>
      <x:c r="P28" s="124" t="str">
        <x:v>Thụt 0</x:v>
      </x:c>
      <x:c r="Q28" s="123"/>
      <x:c r="R28" s="123" t="str">
        <x:v>Paragraph/text run; không tự đổi nhãn khác chế độ</x:v>
      </x:c>
      <x:c r="S28" s="123" t="str">
        <x:v>Kính gửi:</x:v>
      </x:c>
      <x:c r="T28" s="123" t="str">
        <x:v>NĐ30, Phụ lục I, Phần I, II.9; V.8.a</x:v>
      </x:c>
      <x:c r="U28" s="123" t="str">
        <x:v>https://datafiles.chinhphu.vn/cpp/files/vbpq/2020/03/30.signed.pdf</x:v>
      </x:c>
      <x:c r="V28" s="123" t="str">
        <x:v>https://riam.edu.vn/nghi-dinh-ve-cong-tac-van-thu-phu-luc/</x:v>
      </x:c>
      <x:c r="W28" s="123" t="str">
        <x:v>ĐỐI CHIẾU MỘT PHẦN</x:v>
      </x:c>
      <x:c r="X28" s="123" t="str">
        <x:v>FORMAT_AFTER_REVIEW</x:v>
      </x:c>
      <x:c r="Y28" s="123" t="str">
        <x:v>Không tự chèn/sửa khi chưa có chứng cứ về đối tượng và rule.</x:v>
      </x:c>
      <x:c r="Z28" s="124" t="str">
        <x:v>Kính gửi:</x:v>
      </x:c>
      <x:c r="AA28" s="123" t="str">
        <x:v>RecipientIntro</x:v>
      </x:c>
      <x:c r="AB28" s="124" t="str">
        <x:v>CÓ ĐIỀU KIỆN</x:v>
      </x:c>
      <x:c r="AC28" s="123" t="str">
        <x:v>FORMAT_AFTER_REVIEW</x:v>
      </x:c>
      <x:c r="AD28" s="123" t="str">
        <x:v>PLUGIN:hoa-tieu-mien-bac-administrative-v1 | user_approved_visual_reference</x:v>
      </x:c>
      <x:c r="AE28" s="123" t="str">
        <x:v>Đối chiếu mã ND30.D.NHAN.KINH_GUI; so cỡ 14 pt và vùng 9a; giữ nguyên nội dung ngoài phạm vi.</x:v>
      </x:c>
      <x:c r="AF28" s="123" t="str">
        <x:v>NĐ30: áp theo loại văn bản, không tự chèn Kính gửi với mọi văn bản. | Công ty: profile trình bày văn bản dự thảo; không mặc định thay cho văn bản pháp quy đặc thù.</x:v>
      </x:c>
      <x:c r="AG28" s="157" t="str">
        <x:v>Times New Roman</x:v>
      </x:c>
      <x:c r="AH28" s="157" t="str">
        <x:v>Unicode</x:v>
      </x:c>
      <x:c r="AI28" s="157" t="str">
        <x:v>#000000</x:v>
      </x:c>
      <x:c r="AJ28" s="195" t="n">
        <x:v>14</x:v>
      </x:c>
      <x:c r="AK28" s="157" t="str">
        <x:v>KHÔNG</x:v>
      </x:c>
      <x:c r="AL28" s="157" t="str">
        <x:v>KHÔNG</x:v>
      </x:c>
      <x:c r="AM28" s="157" t="str">
        <x:v>In thường</x:v>
      </x:c>
      <x:c r="AN28" s="157"/>
      <x:c r="AO28" s="157"/>
      <x:c r="AP28" s="157" t="str">
        <x:v>SINGLE</x:v>
      </x:c>
      <x:c r="AQ28" s="195" t="n">
        <x:v>1</x:v>
      </x:c>
      <x:c r="AR28" s="157" t="str">
        <x:v>lines</x:v>
      </x:c>
      <x:c r="AS28" s="195"/>
      <x:c r="AT28" s="195" t="n">
        <x:v>3</x:v>
      </x:c>
      <x:c r="AU28" s="195" t="n">
        <x:v>0</x:v>
      </x:c>
      <x:c r="AV28" s="195"/>
      <x:c r="AW28" s="195"/>
      <x:c r="AX28" s="157"/>
      <x:c r="AY28" s="157"/>
      <x:c r="AZ28" s="157"/>
      <x:c r="BA28" s="195"/>
      <x:c r="BB28" s="195"/>
      <x:c r="BC28" s="157"/>
      <x:c r="BD28" s="195"/>
      <x:c r="BE28" s="195"/>
      <x:c r="BF28" s="195"/>
      <x:c r="BG28" s="195"/>
      <x:c r="BH28" s="157"/>
      <x:c r="BI28" s="195"/>
      <x:c r="BJ28" s="195"/>
      <x:c r="BK28" s="195"/>
      <x:c r="BL28" s="157"/>
      <x:c r="BM28" s="157"/>
      <x:c r="BN28" s="157"/>
      <x:c r="BO28" s="195"/>
      <x:c r="BP28" s="195"/>
      <x:c r="BQ28" s="157"/>
      <x:c r="BR28" s="157"/>
      <x:c r="BS28" s="157"/>
      <x:c r="BT28" s="157" t="str">
        <x:v>RecipientIntro</x:v>
      </x:c>
      <x:c r="BU28" s="157" t="str">
        <x:v>Paragraph/text run; không tự đổi nhãn khác chế độ</x:v>
      </x:c>
      <x:c r="BV28" s="196" t="str">
        <x:v>CÓ ĐIỀU KIỆN</x:v>
      </x:c>
      <x:c r="BW28" s="197" t="str">
        <x:v>ĐÃ TÁCH MỘT PHẦN</x:v>
      </x:c>
      <x:c r="BX28" s="157" t="str">
        <x:v>Đối chiếu mô tả gốc ở I–S, Z–AF nếu thuộc tính phụ thuộc mẫu.</x:v>
      </x:c>
      <x:c r="BY28" t="str">
        <x:v>ND30.D.NHAN.KINH_GUI</x:v>
      </x:c>
      <x:c r="BZ28" t="str">
        <x:f>IFERROR(INDEX(ND30!$J$7:$J$300,MATCH($B28,ND30!$B$7:$B$300,0)),"UNRESOLVED")</x:f>
        <x:v>13–14</x:v>
      </x:c>
      <x:c r="CA28" t="str">
        <x:v>TEXT</x:v>
      </x:c>
      <x:c r="CB28" t="str">
        <x:v>document_type_confirmed AND recipient_role_confirmed</x:v>
      </x:c>
      <x:c r="CC28" t="str">
        <x:f>IFERROR(INDEX(ND30!$X$7:$X$300,MATCH($B28,ND30!$B$7:$B$300,0)),"UNRESOLVED")</x:f>
        <x:v>READ_ONLY</x:v>
      </x:c>
      <x:c r="CD28" t="str">
        <x:f>IF(OR(ISNUMBER(SEARCH("READ_ONLY",CC28)),ISNUMBER(SEARCH("PROTECTED",CC28)),ISNUMBER(SEARCH("BẢO VỆ",CC28)),ISNUMBER(SEARCH("KHÔNG KÝ",CC28))),"PROTECTED","CHECK_ONLY")</x:f>
        <x:v>PROTECTED</x:v>
      </x:c>
      <x:c r="CE28" t="str">
        <x:f>IF(AND(CD28="FORMAT_APPROVED",CU28="CÓ",CV28="CÓ",CH28="CÓ",CI28="CÓ",CJ28="CÓ"),"CÓ","KHÔNG")</x:f>
        <x:v>KHÔNG</x:v>
      </x:c>
      <x:c r="CF28" t="str">
        <x:v>KHÔNG</x:v>
      </x:c>
      <x:c r="CG28" t="str">
        <x:v>CÓ</x:v>
      </x:c>
      <x:c r="CH28" t="str">
        <x:v>KHÔNG</x:v>
      </x:c>
      <x:c r="CI28" t="str">
        <x:v>KHÔNG</x:v>
      </x:c>
      <x:c r="CJ28" t="str">
        <x:v>KHÔNG</x:v>
      </x:c>
      <x:c r="CK28" t="str">
        <x:f>IF(AND(CE28="CÓ",CF28="KHÔNG",CG28="CÓ",CU28="CÓ",CV28="CÓ",CH28="CÓ",CI28="CÓ",CJ28="CÓ"),"CÓ","KHÔNG")</x:f>
        <x:v>KHÔNG</x:v>
      </x:c>
      <x:c r="CL28" t="str">
        <x:v>PILOT_NORTH_PROFILE_DRAFT; chưa có master DOCX đã duyệt</x:v>
      </x:c>
      <x:c r="CM28" t="str">
        <x:v>v1.5 (nâng từ v1.4)</x:v>
      </x:c>
      <x:c r="CN28" t="str">
        <x:v>CẦN XÁC MINH TÊN/QUY CHẾ</x:v>
      </x:c>
      <x:c r="CO28" t="str">
        <x:v>ND30_D_NHAN_KINH_GUI_FIELD_ONLY; chưa tạo trong Word</x:v>
      </x:c>
      <x:c r="CP28" t="str">
        <x:v>Preset là cấu hình Công ty; không thay thế giới hạn của nguồn NĐ30/HD05</x:v>
      </x:c>
      <x:c r="CQ28" t="str">
        <x:f>IF(OR(BH28="CÓ",BH28=TRUE),BI28,"")</x:f>
      </x:c>
      <x:c r="CR28" t="str">
        <x:f>IF(OR(BH28="CÓ",BH28=TRUE),BJ28,"")</x:f>
      </x:c>
      <x:c r="CS28" t="str">
        <x:v>FORMAT_CHECK_ONLY</x:v>
      </x:c>
      <x:c r="CT28" t="str">
        <x:v>PENDING_SOURCE_AND_DOCX_QA</x:v>
      </x:c>
      <x:c r="CU28" t="str">
        <x:v>KHÔNG</x:v>
      </x:c>
      <x:c r="CV28" t="str">
        <x:v>KHÔNG</x:v>
      </x:c>
      <x:c r="CW28" t="str"/>
    </x:row>
    <x:row r="29" ht="29" customHeight="1">
      <x:c r="A29" s="125" t="n">
        <x:v>23</x:v>
      </x:c>
      <x:c r="B29" s="123" t="str">
        <x:v>ND30.D.NHAN.DS_KINH_GUI</x:v>
      </x:c>
      <x:c r="C29" s="123" t="str">
        <x:v>Đầu văn bản</x:v>
      </x:c>
      <x:c r="D29" s="123" t="str">
        <x:v>Người nhận trực tiếp đầu văn bản</x:v>
      </x:c>
      <x:c r="E29" s="123" t="str">
        <x:v>Danh sách người nhận trực tiếp</x:v>
      </x:c>
      <x:c r="F29" s="123" t="str">
        <x:v>9a</x:v>
      </x:c>
      <x:c r="G29" s="123" t="str">
        <x:v>Công văn: Kính gửi; Tờ trình: Kính gửi; nhóm khác theo mẫu quy định</x:v>
      </x:c>
      <x:c r="H29" s="123" t="str">
        <x:v>Danh sách đối tượng nhận trực tiếp theo chủ thể đã xác minh</x:v>
      </x:c>
      <x:c r="I29" s="123" t="str">
        <x:v>Times New Roman | Unicode | đen</x:v>
      </x:c>
      <x:c r="J29" s="126" t="str">
        <x:v>14</x:v>
      </x:c>
      <x:c r="K29" s="123" t="str">
        <x:v>In thường</x:v>
      </x:c>
      <x:c r="L29" s="123" t="str">
        <x:v>Không</x:v>
      </x:c>
      <x:c r="M29" s="123" t="str">
        <x:v>Không</x:v>
      </x:c>
      <x:c r="N29" s="123" t="str">
        <x:v>Cân đối dưới trích yếu/đầu nội dung theo mẫu loại văn bản</x:v>
      </x:c>
      <x:c r="O29" s="124" t="str">
        <x:v>Single; sau 3 pt</x:v>
      </x:c>
      <x:c r="P29" s="124" t="str">
        <x:v>Thụt 0</x:v>
      </x:c>
      <x:c r="Q29" s="123"/>
      <x:c r="R29" s="123" t="str">
        <x:v>Văn bản/OOXML: xác định đối tượng trước khi sửa</x:v>
      </x:c>
      <x:c r="S29" s="123" t="str">
        <x:v>Nhiều nơi: chấm phẩy giữa các nơi, dấu kết thúc theo mẫu</x:v>
      </x:c>
      <x:c r="T29" s="123" t="str">
        <x:v>NĐ30, Phụ lục I, Phần I, II.9; V.8.a</x:v>
      </x:c>
      <x:c r="U29" s="123" t="str">
        <x:v>https://datafiles.chinhphu.vn/cpp/files/vbpq/2020/03/30.signed.pdf</x:v>
      </x:c>
      <x:c r="V29" s="123" t="str">
        <x:v>https://riam.edu.vn/nghi-dinh-ve-cong-tac-van-thu-phu-luc/</x:v>
      </x:c>
      <x:c r="W29" s="123" t="str">
        <x:v>ĐỐI CHIẾU MỘT PHẦN</x:v>
      </x:c>
      <x:c r="X29" s="123" t="str">
        <x:v>FORMAT_AFTER_REVIEW</x:v>
      </x:c>
      <x:c r="Y29" s="123" t="str">
        <x:v>Không tự chèn/sửa khi chưa có chứng cứ về đối tượng và rule.</x:v>
      </x:c>
      <x:c r="Z29" s="124" t="str">
        <x:v>Kính gửi:</x:v>
      </x:c>
      <x:c r="AA29" s="123" t="str">
        <x:v>RecipientIntro</x:v>
      </x:c>
      <x:c r="AB29" s="124" t="str">
        <x:v>CÓ ĐIỀU KIỆN</x:v>
      </x:c>
      <x:c r="AC29" s="123" t="str">
        <x:v>FORMAT_AFTER_REVIEW</x:v>
      </x:c>
      <x:c r="AD29" s="123" t="str">
        <x:v>PLUGIN:hoa-tieu-mien-bac-administrative-v1 | user_approved_visual_reference</x:v>
      </x:c>
      <x:c r="AE29" s="123" t="str">
        <x:v>Đối chiếu mã ND30.D.NHAN.DS_KINH_GUI; so cỡ 14 pt và vùng 9a; giữ nguyên nội dung ngoài phạm vi.</x:v>
      </x:c>
      <x:c r="AF29" s="123" t="str">
        <x:v>NĐ30: áp theo loại văn bản, không tự chèn Kính gửi với mọi văn bản. | Công ty: profile trình bày văn bản dự thảo; không mặc định thay cho văn bản pháp quy đặc thù.</x:v>
      </x:c>
      <x:c r="AG29" s="157" t="str">
        <x:v>Times New Roman</x:v>
      </x:c>
      <x:c r="AH29" s="157" t="str">
        <x:v>Unicode</x:v>
      </x:c>
      <x:c r="AI29" s="157" t="str">
        <x:v>#000000</x:v>
      </x:c>
      <x:c r="AJ29" s="195" t="n">
        <x:v>14</x:v>
      </x:c>
      <x:c r="AK29" s="157" t="str">
        <x:v>KHÔNG</x:v>
      </x:c>
      <x:c r="AL29" s="157" t="str">
        <x:v>KHÔNG</x:v>
      </x:c>
      <x:c r="AM29" s="157" t="str">
        <x:v>In thường</x:v>
      </x:c>
      <x:c r="AN29" s="157"/>
      <x:c r="AO29" s="157"/>
      <x:c r="AP29" s="157" t="str">
        <x:v>SINGLE</x:v>
      </x:c>
      <x:c r="AQ29" s="195" t="n">
        <x:v>1</x:v>
      </x:c>
      <x:c r="AR29" s="157" t="str">
        <x:v>lines</x:v>
      </x:c>
      <x:c r="AS29" s="195"/>
      <x:c r="AT29" s="195" t="n">
        <x:v>3</x:v>
      </x:c>
      <x:c r="AU29" s="195" t="n">
        <x:v>0</x:v>
      </x:c>
      <x:c r="AV29" s="195"/>
      <x:c r="AW29" s="195"/>
      <x:c r="AX29" s="157"/>
      <x:c r="AY29" s="157"/>
      <x:c r="AZ29" s="157"/>
      <x:c r="BA29" s="195"/>
      <x:c r="BB29" s="195"/>
      <x:c r="BC29" s="157"/>
      <x:c r="BD29" s="195"/>
      <x:c r="BE29" s="195"/>
      <x:c r="BF29" s="195"/>
      <x:c r="BG29" s="195"/>
      <x:c r="BH29" s="157"/>
      <x:c r="BI29" s="195"/>
      <x:c r="BJ29" s="195"/>
      <x:c r="BK29" s="195"/>
      <x:c r="BL29" s="157"/>
      <x:c r="BM29" s="157"/>
      <x:c r="BN29" s="157"/>
      <x:c r="BO29" s="195"/>
      <x:c r="BP29" s="195"/>
      <x:c r="BQ29" s="157"/>
      <x:c r="BR29" s="157"/>
      <x:c r="BS29" s="157"/>
      <x:c r="BT29" s="157" t="str">
        <x:v>RecipientIntro</x:v>
      </x:c>
      <x:c r="BU29" s="157" t="str">
        <x:v>Văn bản/OOXML: xác định đối tượng trước khi sửa</x:v>
      </x:c>
      <x:c r="BV29" s="196" t="str">
        <x:v>CÓ ĐIỀU KIỆN</x:v>
      </x:c>
      <x:c r="BW29" s="197" t="str">
        <x:v>ĐÃ TÁCH MỘT PHẦN</x:v>
      </x:c>
      <x:c r="BX29" s="157" t="str">
        <x:v>Đối chiếu mô tả gốc ở I–S, Z–AF nếu thuộc tính phụ thuộc mẫu.</x:v>
      </x:c>
      <x:c r="BY29" t="str">
        <x:v>ND30.D.NHAN.DS_KINH_GUI</x:v>
      </x:c>
      <x:c r="BZ29" t="str">
        <x:f>IFERROR(INDEX(ND30!$J$7:$J$300,MATCH($B29,ND30!$B$7:$B$300,0)),"UNRESOLVED")</x:f>
        <x:v>13–14</x:v>
      </x:c>
      <x:c r="CA29" t="str">
        <x:v>PROTECTED_TEXT</x:v>
      </x:c>
      <x:c r="CB29" t="str">
        <x:v>document_type_confirmed AND recipient_role_confirmed</x:v>
      </x:c>
      <x:c r="CC29" t="str">
        <x:f>IFERROR(INDEX(ND30!$X$7:$X$300,MATCH($B29,ND30!$B$7:$B$300,0)),"UNRESOLVED")</x:f>
        <x:v>KHÔNG TỰ ĐIỀN NGƯỜI NHẬN</x:v>
      </x:c>
      <x:c r="CD29" t="str">
        <x:f>IF(OR(ISNUMBER(SEARCH("READ_ONLY",CC29)),ISNUMBER(SEARCH("PROTECTED",CC29)),ISNUMBER(SEARCH("BẢO VỆ",CC29)),ISNUMBER(SEARCH("KHÔNG KÝ",CC29))),"PROTECTED","CHECK_ONLY")</x:f>
        <x:v>CHECK_ONLY</x:v>
      </x:c>
      <x:c r="CE29" t="str">
        <x:f>IF(AND(CD29="FORMAT_APPROVED",CU29="CÓ",CV29="CÓ",CH29="CÓ",CI29="CÓ",CJ29="CÓ"),"CÓ","KHÔNG")</x:f>
        <x:v>KHÔNG</x:v>
      </x:c>
      <x:c r="CF29" t="str">
        <x:v>KHÔNG</x:v>
      </x:c>
      <x:c r="CG29" t="str">
        <x:v>CÓ</x:v>
      </x:c>
      <x:c r="CH29" t="str">
        <x:v>KHÔNG</x:v>
      </x:c>
      <x:c r="CI29" t="str">
        <x:v>KHÔNG</x:v>
      </x:c>
      <x:c r="CJ29" t="str">
        <x:v>KHÔNG</x:v>
      </x:c>
      <x:c r="CK29" t="str">
        <x:f>IF(AND(CE29="CÓ",CF29="KHÔNG",CG29="CÓ",CU29="CÓ",CV29="CÓ",CH29="CÓ",CI29="CÓ",CJ29="CÓ"),"CÓ","KHÔNG")</x:f>
        <x:v>KHÔNG</x:v>
      </x:c>
      <x:c r="CL29" t="str">
        <x:v>PILOT_NORTH_PROFILE_DRAFT; chưa có master DOCX đã duyệt</x:v>
      </x:c>
      <x:c r="CM29" t="str">
        <x:v>v1.5 (nâng từ v1.4)</x:v>
      </x:c>
      <x:c r="CN29" t="str">
        <x:v>CẦN XÁC MINH TÊN/QUY CHẾ</x:v>
      </x:c>
      <x:c r="CO29" t="str">
        <x:v>ND30_D_NHAN_DS_KINH_GUI_FIELD_ONLY; chưa tạo trong Word</x:v>
      </x:c>
      <x:c r="CP29" t="str">
        <x:v>Preset là cấu hình Công ty; không thay thế giới hạn của nguồn NĐ30/HD05</x:v>
      </x:c>
      <x:c r="CQ29" t="str">
        <x:f>IF(OR(BH29="CÓ",BH29=TRUE),BI29,"")</x:f>
      </x:c>
      <x:c r="CR29" t="str">
        <x:f>IF(OR(BH29="CÓ",BH29=TRUE),BJ29,"")</x:f>
      </x:c>
      <x:c r="CS29" t="str">
        <x:v>FORMAT_CHECK_ONLY</x:v>
      </x:c>
      <x:c r="CT29" t="str">
        <x:v>PENDING_SOURCE_AND_DOCX_QA</x:v>
      </x:c>
      <x:c r="CU29" t="str">
        <x:v>KHÔNG</x:v>
      </x:c>
      <x:c r="CV29" t="str">
        <x:v>KHÔNG</x:v>
      </x:c>
      <x:c r="CW29" t="str"/>
    </x:row>
    <x:row r="30" ht="29" customHeight="1">
      <x:c r="A30" s="125" t="n">
        <x:v>24</x:v>
      </x:c>
      <x:c r="B30" s="123" t="str">
        <x:v>ND30.N.MD.MO_DAU</x:v>
      </x:c>
      <x:c r="C30" s="123" t="str">
        <x:v>Nội dung</x:v>
      </x:c>
      <x:c r="D30" s="123" t="str">
        <x:v>Mở đầu và căn cứ</x:v>
      </x:c>
      <x:c r="E30" s="123" t="str">
        <x:v>Đoạn dẫn nhập</x:v>
      </x:c>
      <x:c r="F30" s="123" t="str">
        <x:v>6</x:v>
      </x:c>
      <x:c r="G30" s="123" t="str">
        <x:v>Theo loại văn bản và sự hiện diện thực tế; không áp dụng đồng loạt</x:v>
      </x:c>
      <x:c r="H30" s="123" t="str">
        <x:v>Dẫn nhập/câu mở đầu theo loại văn bản và nghĩa vụ nội dung</x:v>
      </x:c>
      <x:c r="I30" s="123" t="str">
        <x:v>Times New Roman | Unicode | đen</x:v>
      </x:c>
      <x:c r="J30" s="126" t="str">
        <x:v>14</x:v>
      </x:c>
      <x:c r="K30" s="123" t="str">
        <x:v>In thường (trừ tiêu đề)</x:v>
      </x:c>
      <x:c r="L30" s="123" t="str">
        <x:v>Không</x:v>
      </x:c>
      <x:c r="M30" s="123" t="str">
        <x:v>Không mặc định</x:v>
      </x:c>
      <x:c r="N30" s="123" t="str">
        <x:v>Căn đều hai lề (justify)</x:v>
      </x:c>
      <x:c r="O30" s="124" t="str">
        <x:v>Exactly 19 pt; after 6 pt; before 0 pt</x:v>
      </x:c>
      <x:c r="P30" s="124" t="str">
        <x:v>First line 12,7 mm (0,5 in = 720 twip)</x:v>
      </x:c>
      <x:c r="Q30" s="123"/>
      <x:c r="R30" s="123" t="str">
        <x:v>Paragraph/Run theo kiểu khối MD; preserve list numbering/table/drawing nếu có</x:v>
      </x:c>
      <x:c r="S30" s="123" t="str">
        <x:v>TNR 14 pt; căn đều; Exactly 19 pt; trước 0/sau 6 pt; thụt dòng đầu 12,7 mm | QA giãn dòng thực tế khi render</x:v>
      </x:c>
      <x:c r="T30" s="123" t="str">
        <x:v>NĐ30, Phụ lục I, Phần I, II.6; V.6</x:v>
      </x:c>
      <x:c r="U30" s="123" t="str">
        <x:v>https://datafiles.chinhphu.vn/cpp/files/vbpq/2020/03/30.signed.pdf</x:v>
      </x:c>
      <x:c r="V30" s="123" t="str">
        <x:v>https://riam.edu.vn/nghi-dinh-ve-cong-tac-van-thu-phu-luc/</x:v>
      </x:c>
      <x:c r="W30" s="123" t="str">
        <x:v>CHƯA ĐỦ BẰNG CHỨNG</x:v>
      </x:c>
      <x:c r="X30" s="123" t="str">
        <x:v>FORMAT_AFTER_REVIEW</x:v>
      </x:c>
      <x:c r="Y30" s="123" t="str">
        <x:v>Không tự chèn/sửa khi chưa có chứng cứ về đối tượng và rule. | Trạng thái v1.0: CÓ ĐIỀU KIỆN</x:v>
      </x:c>
      <x:c r="Z30" s="124" t="str">
        <x:v>TNR 14 pt; căn đều; Exactly 19 pt; trước 0/sau 6 pt; thụt dòng đầu 12,7 mm</x:v>
      </x:c>
      <x:c r="AA30" s="123" t="str">
        <x:v>BodyText-14</x:v>
      </x:c>
      <x:c r="AB30" s="124" t="str">
        <x:v>THAM KHẢO</x:v>
      </x:c>
      <x:c r="AC30" s="123" t="str">
        <x:v>FORMAT_AFTER_REVIEW</x:v>
      </x:c>
      <x:c r="AD30" s="123" t="str">
        <x:v>PLUGIN:hoa-tieu-mien-bac-administrative-v1 | user_approved_visual_reference</x:v>
      </x:c>
      <x:c r="AE30" s="123" t="str">
        <x:v>Render 1–3 trang: so TNR 14 pt, spacing Exactly 19 pt; after 6 pt; before 0 pt, indent First line 12,7 mm (0,5 in = 720 twip); kiểm tra không tràn chữ.</x:v>
      </x:c>
      <x:c r="AF30" s="123" t="str">
        <x:v>NĐ30 chỉ quy định đơn–1,5 lines; Exactly 19 pt là preset từ profile, cần QA phù hợp. | Công ty: profile trình bày văn bản dự thảo; không mặc định thay cho văn bản pháp quy đặc thù.</x:v>
      </x:c>
      <x:c r="AG30" s="157" t="str">
        <x:v>Times New Roman</x:v>
      </x:c>
      <x:c r="AH30" s="157" t="str">
        <x:v>Unicode</x:v>
      </x:c>
      <x:c r="AI30" s="157" t="str">
        <x:v>#000000</x:v>
      </x:c>
      <x:c r="AJ30" s="195" t="n">
        <x:v>14</x:v>
      </x:c>
      <x:c r="AK30" s="157" t="str">
        <x:v>KHÔNG</x:v>
      </x:c>
      <x:c r="AL30" s="157" t="str">
        <x:v>CÓ ĐIỀU KIỆN</x:v>
      </x:c>
      <x:c r="AM30" s="157" t="str">
        <x:v>In thường (trừ tiêu đề)</x:v>
      </x:c>
      <x:c r="AN30" s="157" t="str">
        <x:v>JUSTIFY</x:v>
      </x:c>
      <x:c r="AO30" s="157"/>
      <x:c r="AP30" s="157" t="str">
        <x:v>EXACT</x:v>
      </x:c>
      <x:c r="AQ30" s="195" t="n">
        <x:v>19</x:v>
      </x:c>
      <x:c r="AR30" s="157" t="str">
        <x:v>pt</x:v>
      </x:c>
      <x:c r="AS30" s="195" t="n">
        <x:v>0</x:v>
      </x:c>
      <x:c r="AT30" s="195" t="n">
        <x:v>6</x:v>
      </x:c>
      <x:c r="AU30" s="195" t="n">
        <x:v>12.7</x:v>
      </x:c>
      <x:c r="AV30" s="195"/>
      <x:c r="AW30" s="195"/>
      <x:c r="AX30" s="157"/>
      <x:c r="AY30" s="157"/>
      <x:c r="AZ30" s="157"/>
      <x:c r="BA30" s="195"/>
      <x:c r="BB30" s="195"/>
      <x:c r="BC30" s="157"/>
      <x:c r="BD30" s="195"/>
      <x:c r="BE30" s="195"/>
      <x:c r="BF30" s="195"/>
      <x:c r="BG30" s="195"/>
      <x:c r="BH30" s="157"/>
      <x:c r="BI30" s="195"/>
      <x:c r="BJ30" s="195"/>
      <x:c r="BK30" s="195"/>
      <x:c r="BL30" s="157"/>
      <x:c r="BM30" s="157"/>
      <x:c r="BN30" s="157"/>
      <x:c r="BO30" s="195"/>
      <x:c r="BP30" s="195"/>
      <x:c r="BQ30" s="157"/>
      <x:c r="BR30" s="157"/>
      <x:c r="BS30" s="157"/>
      <x:c r="BT30" s="157" t="str">
        <x:v>BodyText-14</x:v>
      </x:c>
      <x:c r="BU30" s="157" t="str">
        <x:v>Paragraph/Run theo kiểu khối MD; preserve list numbering/table/drawing nếu có</x:v>
      </x:c>
      <x:c r="BV30" s="196" t="str">
        <x:v>THAM KHẢO</x:v>
      </x:c>
      <x:c r="BW30" s="197" t="str">
        <x:v>ĐÃ TÁCH MỘT PHẦN</x:v>
      </x:c>
      <x:c r="BX30" s="157" t="str">
        <x:v>Đối chiếu mô tả gốc ở I–S, Z–AF nếu thuộc tính phụ thuộc mẫu.</x:v>
      </x:c>
      <x:c r="BY30" t="str">
        <x:v>ND30.N.MD.MO_DAU</x:v>
      </x:c>
      <x:c r="BZ30" t="str">
        <x:f>IFERROR(INDEX(ND30!$J$7:$J$300,MATCH($B30,ND30!$B$7:$B$300,0)),"UNRESOLVED")</x:f>
        <x:v>13–14</x:v>
      </x:c>
      <x:c r="CA30" t="str">
        <x:v>TEXT</x:v>
      </x:c>
      <x:c r="CB30" t="str">
        <x:v>issuer_scope_confirmed AND document_type_confirmed AND legal_effective_date_confirmed</x:v>
      </x:c>
      <x:c r="CC30" t="str">
        <x:f>IFERROR(INDEX(ND30!$X$7:$X$300,MATCH($B30,ND30!$B$7:$B$300,0)),"UNRESOLVED")</x:f>
        <x:v>CHỈ SAU REVIEW</x:v>
      </x:c>
      <x:c r="CD30" t="str">
        <x:f>IF(OR(ISNUMBER(SEARCH("READ_ONLY",CC30)),ISNUMBER(SEARCH("PROTECTED",CC30)),ISNUMBER(SEARCH("BẢO VỆ",CC30)),ISNUMBER(SEARCH("KHÔNG KÝ",CC30))),"PROTECTED","CHECK_ONLY")</x:f>
        <x:v>CHECK_ONLY</x:v>
      </x:c>
      <x:c r="CE30" t="str">
        <x:f>IF(AND(CD30="FORMAT_APPROVED",CU30="CÓ",CV30="CÓ",CH30="CÓ",CI30="CÓ",CJ30="CÓ"),"CÓ","KHÔNG")</x:f>
        <x:v>KHÔNG</x:v>
      </x:c>
      <x:c r="CF30" t="str">
        <x:v>KHÔNG</x:v>
      </x:c>
      <x:c r="CG30" t="str">
        <x:v>CÓ</x:v>
      </x:c>
      <x:c r="CH30" t="str">
        <x:v>KHÔNG</x:v>
      </x:c>
      <x:c r="CI30" t="str">
        <x:v>KHÔNG</x:v>
      </x:c>
      <x:c r="CJ30" t="str">
        <x:v>KHÔNG</x:v>
      </x:c>
      <x:c r="CK30" t="str">
        <x:f>IF(AND(CE30="CÓ",CF30="KHÔNG",CG30="CÓ",CU30="CÓ",CV30="CÓ",CH30="CÓ",CI30="CÓ",CJ30="CÓ"),"CÓ","KHÔNG")</x:f>
        <x:v>KHÔNG</x:v>
      </x:c>
      <x:c r="CL30" t="str">
        <x:v>PILOT_NORTH_PROFILE_DRAFT; chưa có master DOCX đã duyệt</x:v>
      </x:c>
      <x:c r="CM30" t="str">
        <x:v>v1.5 (nâng từ v1.4)</x:v>
      </x:c>
      <x:c r="CN30" t="str">
        <x:v>CẦN XÁC MINH TÊN/QUY CHẾ</x:v>
      </x:c>
      <x:c r="CO30" t="str">
        <x:v>ND30_N_MD_MO_DAU_FIELD_ONLY; chưa tạo trong Word</x:v>
      </x:c>
      <x:c r="CP30" t="str">
        <x:v>Preset là cấu hình Công ty; không thay thế giới hạn của nguồn NĐ30/HD05</x:v>
      </x:c>
      <x:c r="CQ30" t="str">
        <x:f>IF(OR(BH30="CÓ",BH30=TRUE),BI30,"")</x:f>
      </x:c>
      <x:c r="CR30" t="str">
        <x:f>IF(OR(BH30="CÓ",BH30=TRUE),BJ30,"")</x:f>
      </x:c>
      <x:c r="CS30" t="str">
        <x:v>FORMAT_CHECK_ONLY</x:v>
      </x:c>
      <x:c r="CT30" t="str">
        <x:v>PENDING_SOURCE_AND_DOCX_QA</x:v>
      </x:c>
      <x:c r="CU30" t="str">
        <x:v>KHÔNG</x:v>
      </x:c>
      <x:c r="CV30" t="str">
        <x:v>KHÔNG</x:v>
      </x:c>
      <x:c r="CW30" t="str"/>
    </x:row>
    <x:row r="31" ht="29" customHeight="1">
      <x:c r="A31" s="125" t="n">
        <x:v>25</x:v>
      </x:c>
      <x:c r="B31" s="123" t="str">
        <x:v>ND30.N.MD.CAN_CU</x:v>
      </x:c>
      <x:c r="C31" s="123" t="str">
        <x:v>Nội dung</x:v>
      </x:c>
      <x:c r="D31" s="123" t="str">
        <x:v>Mở đầu và căn cứ</x:v>
      </x:c>
      <x:c r="E31" s="123" t="str">
        <x:v>Căn cứ ban hành</x:v>
      </x:c>
      <x:c r="F31" s="123" t="str">
        <x:v>6</x:v>
      </x:c>
      <x:c r="G31" s="123" t="str">
        <x:v>Theo loại văn bản và sự hiện diện thực tế; không áp dụng đồng loạt</x:v>
      </x:c>
      <x:c r="H31" s="123" t="str">
        <x:v>Căn cứ theo loại văn bản; không áp dụng một style cho mọi loại</x:v>
      </x:c>
      <x:c r="I31" s="123" t="str">
        <x:v>Times New Roman | Unicode | đen</x:v>
      </x:c>
      <x:c r="J31" s="126" t="str">
        <x:v>14</x:v>
      </x:c>
      <x:c r="K31" s="123" t="str">
        <x:v>In thường (trừ tiêu đề)</x:v>
      </x:c>
      <x:c r="L31" s="123" t="str">
        <x:v>Không mặc định</x:v>
      </x:c>
      <x:c r="M31" s="123" t="str">
        <x:v>Theo loại văn bản</x:v>
      </x:c>
      <x:c r="N31" s="123" t="str">
        <x:v>Căn đều hai lề (justify)</x:v>
      </x:c>
      <x:c r="O31" s="124" t="str">
        <x:v>Exactly 19 pt; after 6 pt; before 0 pt</x:v>
      </x:c>
      <x:c r="P31" s="124" t="str">
        <x:v>First line 12,7 mm (0,5 in = 720 twip)</x:v>
      </x:c>
      <x:c r="Q31" s="123"/>
      <x:c r="R31" s="123" t="str">
        <x:v>Paragraph/Run theo kiểu khối MD; preserve list numbering/table/drawing nếu có</x:v>
      </x:c>
      <x:c r="S31" s="123" t="str">
        <x:v>TNR 14; exactly 19; after 6; dấu câu theo quy định và loại văn bản | QA giãn dòng thực tế khi render</x:v>
      </x:c>
      <x:c r="T31" s="123" t="str">
        <x:v>NĐ30, Phụ lục I, Phần I, mục II.6.a; đối chiếu Phụ lục III theo tên loại</x:v>
      </x:c>
      <x:c r="U31" s="123" t="str">
        <x:v>https://datafiles.chinhphu.vn/cpp/files/vbpq/2020/03/30.signed.pdf</x:v>
      </x:c>
      <x:c r="V31" s="123" t="str">
        <x:v>https://riam.edu.vn/nghi-dinh-ve-cong-tac-van-thu-phu-luc/</x:v>
      </x:c>
      <x:c r="W31" s="123" t="str">
        <x:v>CHƯA ĐỦ BẰNG CHỨNG</x:v>
      </x:c>
      <x:c r="X31" s="123" t="str">
        <x:v>FORMAT_AFTER_REVIEW</x:v>
      </x:c>
      <x:c r="Y31" s="123" t="str">
        <x:v>Không tự chèn/sửa khi chưa có chứng cứ về đối tượng và rule. | Trạng thái v1.0: CÓ ĐIỀU KIỆN</x:v>
      </x:c>
      <x:c r="Z31" s="124" t="str">
        <x:v>TNR 14; exactly 19; after 6; dấu câu theo quy định và loại văn bản</x:v>
      </x:c>
      <x:c r="AA31" s="123" t="str">
        <x:v>LegalBases</x:v>
      </x:c>
      <x:c r="AB31" s="124" t="str">
        <x:v>CÓ ĐIỀU KIỆN</x:v>
      </x:c>
      <x:c r="AC31" s="123" t="str">
        <x:v>FORMAT_AFTER_REVIEW</x:v>
      </x:c>
      <x:c r="AD31" s="123" t="str">
        <x:v>PLUGIN:hoa-tieu-mien-bac-administrative-v1 | user_approved_visual_reference</x:v>
      </x:c>
      <x:c r="AE31" s="123" t="str">
        <x:v>Render 1–3 trang: so TNR 14 pt, spacing Exactly 19 pt; after 6 pt; before 0 pt, indent First line 12,7 mm (0,5 in = 720 twip); kiểm tra không tràn chữ.</x:v>
      </x:c>
      <x:c r="AF31" s="123" t="str">
        <x:v>NĐ30: QĐ/NQ cá biệt có kiểu căn cứ khác KH/BC/TTr; không ép nghiêng chung. | NĐ30 chỉ quy định đơn–1,5 lines; Exactly 19 pt là preset từ profile, cần QA phù hợp. | Công ty: profile trình bày văn bản dự thảo; không mặc định thay cho văn bản pháp quy đặc thù.</x:v>
      </x:c>
      <x:c r="AG31" s="157" t="str">
        <x:v>Times New Roman</x:v>
      </x:c>
      <x:c r="AH31" s="157" t="str">
        <x:v>Unicode</x:v>
      </x:c>
      <x:c r="AI31" s="157" t="str">
        <x:v>#000000</x:v>
      </x:c>
      <x:c r="AJ31" s="195" t="n">
        <x:v>14</x:v>
      </x:c>
      <x:c r="AK31" s="157" t="str">
        <x:v>CÓ ĐIỀU KIỆN</x:v>
      </x:c>
      <x:c r="AL31" s="157" t="str">
        <x:v>CÓ ĐIỀU KIỆN</x:v>
      </x:c>
      <x:c r="AM31" s="157" t="str">
        <x:v>In thường (trừ tiêu đề)</x:v>
      </x:c>
      <x:c r="AN31" s="157" t="str">
        <x:v>JUSTIFY</x:v>
      </x:c>
      <x:c r="AO31" s="157"/>
      <x:c r="AP31" s="157" t="str">
        <x:v>EXACT</x:v>
      </x:c>
      <x:c r="AQ31" s="195" t="n">
        <x:v>19</x:v>
      </x:c>
      <x:c r="AR31" s="157" t="str">
        <x:v>pt</x:v>
      </x:c>
      <x:c r="AS31" s="195" t="n">
        <x:v>0</x:v>
      </x:c>
      <x:c r="AT31" s="195" t="n">
        <x:v>6</x:v>
      </x:c>
      <x:c r="AU31" s="195" t="n">
        <x:v>12.7</x:v>
      </x:c>
      <x:c r="AV31" s="195"/>
      <x:c r="AW31" s="195"/>
      <x:c r="AX31" s="157"/>
      <x:c r="AY31" s="157"/>
      <x:c r="AZ31" s="157"/>
      <x:c r="BA31" s="195"/>
      <x:c r="BB31" s="195"/>
      <x:c r="BC31" s="157"/>
      <x:c r="BD31" s="195"/>
      <x:c r="BE31" s="195"/>
      <x:c r="BF31" s="195"/>
      <x:c r="BG31" s="195"/>
      <x:c r="BH31" s="157"/>
      <x:c r="BI31" s="195"/>
      <x:c r="BJ31" s="195"/>
      <x:c r="BK31" s="195"/>
      <x:c r="BL31" s="157"/>
      <x:c r="BM31" s="157"/>
      <x:c r="BN31" s="157"/>
      <x:c r="BO31" s="195"/>
      <x:c r="BP31" s="195"/>
      <x:c r="BQ31" s="157"/>
      <x:c r="BR31" s="157"/>
      <x:c r="BS31" s="157"/>
      <x:c r="BT31" s="157" t="str">
        <x:v>LegalBases</x:v>
      </x:c>
      <x:c r="BU31" s="157" t="str">
        <x:v>Paragraph/Run theo kiểu khối MD; preserve list numbering/table/drawing nếu có</x:v>
      </x:c>
      <x:c r="BV31" s="196" t="str">
        <x:v>CÓ ĐIỀU KIỆN</x:v>
      </x:c>
      <x:c r="BW31" s="197" t="str">
        <x:v>ĐÃ TÁCH MỘT PHẦN</x:v>
      </x:c>
      <x:c r="BX31" s="157" t="str">
        <x:v>Đối chiếu mô tả gốc ở I–S, Z–AF nếu thuộc tính phụ thuộc mẫu.</x:v>
      </x:c>
      <x:c r="BY31" t="str">
        <x:v>ND30.N.MD.CAN_CU</x:v>
      </x:c>
      <x:c r="BZ31" t="str">
        <x:f>IFERROR(INDEX(ND30!$J$7:$J$300,MATCH($B31,ND30!$B$7:$B$300,0)),"UNRESOLVED")</x:f>
        <x:v>13–14</x:v>
      </x:c>
      <x:c r="CA31" t="str">
        <x:v>TEXT</x:v>
      </x:c>
      <x:c r="CB31" t="str">
        <x:v>issuer_scope_confirmed AND document_type_confirmed AND legal_effective_date_confirmed</x:v>
      </x:c>
      <x:c r="CC31" t="str">
        <x:f>IFERROR(INDEX(ND30!$X$7:$X$300,MATCH($B31,ND30!$B$7:$B$300,0)),"UNRESOLVED")</x:f>
        <x:v>CHỈ SAU REVIEW</x:v>
      </x:c>
      <x:c r="CD31" t="str">
        <x:f>IF(OR(ISNUMBER(SEARCH("READ_ONLY",CC31)),ISNUMBER(SEARCH("PROTECTED",CC31)),ISNUMBER(SEARCH("BẢO VỆ",CC31)),ISNUMBER(SEARCH("KHÔNG KÝ",CC31))),"PROTECTED","CHECK_ONLY")</x:f>
        <x:v>CHECK_ONLY</x:v>
      </x:c>
      <x:c r="CE31" t="str">
        <x:f>IF(AND(CD31="FORMAT_APPROVED",CU31="CÓ",CV31="CÓ",CH31="CÓ",CI31="CÓ",CJ31="CÓ"),"CÓ","KHÔNG")</x:f>
        <x:v>KHÔNG</x:v>
      </x:c>
      <x:c r="CF31" t="str">
        <x:v>KHÔNG</x:v>
      </x:c>
      <x:c r="CG31" t="str">
        <x:v>CÓ</x:v>
      </x:c>
      <x:c r="CH31" t="str">
        <x:v>KHÔNG</x:v>
      </x:c>
      <x:c r="CI31" t="str">
        <x:v>KHÔNG</x:v>
      </x:c>
      <x:c r="CJ31" t="str">
        <x:v>KHÔNG</x:v>
      </x:c>
      <x:c r="CK31" t="str">
        <x:f>IF(AND(CE31="CÓ",CF31="KHÔNG",CG31="CÓ",CU31="CÓ",CV31="CÓ",CH31="CÓ",CI31="CÓ",CJ31="CÓ"),"CÓ","KHÔNG")</x:f>
        <x:v>KHÔNG</x:v>
      </x:c>
      <x:c r="CL31" t="str">
        <x:v>PILOT_NORTH_PROFILE_DRAFT; chưa có master DOCX đã duyệt</x:v>
      </x:c>
      <x:c r="CM31" t="str">
        <x:v>v1.5 (nâng từ v1.4)</x:v>
      </x:c>
      <x:c r="CN31" t="str">
        <x:v>CẦN XÁC MINH TÊN/QUY CHẾ</x:v>
      </x:c>
      <x:c r="CO31" t="str">
        <x:v>ND30_N_MD_CAN_CU_FIELD_ONLY; chưa tạo trong Word</x:v>
      </x:c>
      <x:c r="CP31" t="str">
        <x:v>Preset là cấu hình Công ty; không thay thế giới hạn của nguồn NĐ30/HD05</x:v>
      </x:c>
      <x:c r="CQ31" t="str">
        <x:f>IF(OR(BH31="CÓ",BH31=TRUE),BI31,"")</x:f>
      </x:c>
      <x:c r="CR31" t="str">
        <x:f>IF(OR(BH31="CÓ",BH31=TRUE),BJ31,"")</x:f>
      </x:c>
      <x:c r="CS31" t="str">
        <x:v>FORMAT_CHECK_ONLY</x:v>
      </x:c>
      <x:c r="CT31" t="str">
        <x:v>PENDING_SOURCE_AND_DOCX_QA</x:v>
      </x:c>
      <x:c r="CU31" t="str">
        <x:v>KHÔNG</x:v>
      </x:c>
      <x:c r="CV31" t="str">
        <x:v>KHÔNG</x:v>
      </x:c>
      <x:c r="CW31" t="str"/>
    </x:row>
    <x:row r="32" ht="29" customHeight="1">
      <x:c r="A32" s="125" t="n">
        <x:v>26</x:v>
      </x:c>
      <x:c r="B32" s="123" t="str">
        <x:v>ND30.N.DM.PHAN</x:v>
      </x:c>
      <x:c r="C32" s="123" t="str">
        <x:v>Nội dung</x:v>
      </x:c>
      <x:c r="D32" s="123" t="str">
        <x:v>Đề mục</x:v>
      </x:c>
      <x:c r="E32" s="123" t="str">
        <x:v>Phần</x:v>
      </x:c>
      <x:c r="F32" s="123" t="str">
        <x:v>6</x:v>
      </x:c>
      <x:c r="G32" s="123" t="str">
        <x:v>Theo loại văn bản và sự hiện diện thực tế; không áp dụng đồng loạt</x:v>
      </x:c>
      <x:c r="H32" s="123" t="str">
        <x:v>Nhận diện số thứ tự và tiêu đề; tiêu đề phần/chương in hoa, đậm</x:v>
      </x:c>
      <x:c r="I32" s="123" t="str">
        <x:v>Times New Roman | Unicode | đen</x:v>
      </x:c>
      <x:c r="J32" s="126" t="str">
        <x:v>14</x:v>
      </x:c>
      <x:c r="K32" s="123" t="str">
        <x:v>Nhãn thường; tiêu đề IN HOA</x:v>
      </x:c>
      <x:c r="L32" s="123" t="str">
        <x:v>Có</x:v>
      </x:c>
      <x:c r="M32" s="123" t="str">
        <x:v>Không mặc định</x:v>
      </x:c>
      <x:c r="N32" s="123" t="str">
        <x:v>Căn giữa</x:v>
      </x:c>
      <x:c r="O32" s="124" t="str">
        <x:v>Exactly 19 pt; trước 6 pt; sau 6 pt; keepNext=true (preset)</x:v>
      </x:c>
      <x:c r="P32" s="124" t="str">
        <x:v>Thụt 0; keepNext=true</x:v>
      </x:c>
      <x:c r="Q32" s="123"/>
      <x:c r="R32" s="123" t="str">
        <x:v>Paragraph/Run theo kiểu khối DM; preserve list numbering/table/drawing nếu có</x:v>
      </x:c>
      <x:c r="S32" s="123" t="str">
        <x:v>TNR 14 pt; đậm; các mức viết hoa/đánh số theo loại văn bản | QA giãn dòng thực tế khi render</x:v>
      </x:c>
      <x:c r="T32" s="123" t="str">
        <x:v>NĐ30, Phụ lục I, Phần I, II.6; V.6</x:v>
      </x:c>
      <x:c r="U32" s="123" t="str">
        <x:v>https://datafiles.chinhphu.vn/cpp/files/vbpq/2020/03/30.signed.pdf</x:v>
      </x:c>
      <x:c r="V32" s="123" t="str">
        <x:v>https://riam.edu.vn/nghi-dinh-ve-cong-tac-van-thu-phu-luc/</x:v>
      </x:c>
      <x:c r="W32" s="123" t="str">
        <x:v>CHƯA ĐỦ BẰNG CHỨNG</x:v>
      </x:c>
      <x:c r="X32" s="123" t="str">
        <x:v>FORMAT_AFTER_REVIEW</x:v>
      </x:c>
      <x:c r="Y32" s="123" t="str">
        <x:v>Không tự chèn/sửa khi chưa có chứng cứ về đối tượng và rule. | Trạng thái v1.0: CÓ ĐIỀU KIỆN | So sánh chéo cũ (không dùng làm rule): NĐ30 dùng số La Mã cho Phần/Chương; HD05 theo dạng văn bản</x:v>
      </x:c>
      <x:c r="Z32" s="124" t="str">
        <x:v>TNR 14 pt; đậm; các mức viết hoa/đánh số theo loại văn bản</x:v>
      </x:c>
      <x:c r="AA32" s="123" t="str">
        <x:v>Heading-PHAN</x:v>
      </x:c>
      <x:c r="AB32" s="124" t="str">
        <x:v>CÓ ĐIỀU KIỆN</x:v>
      </x:c>
      <x:c r="AC32" s="123" t="str">
        <x:v>FORMAT_AFTER_REVIEW</x:v>
      </x:c>
      <x:c r="AD32" s="123" t="str">
        <x:v>PLUGIN:hoa-tieu-mien-bac-administrative-v1 | user_approved_visual_reference</x:v>
      </x:c>
      <x:c r="AE32" s="123" t="str">
        <x:v>Render 1–3 trang: so TNR 14 pt, spacing Exactly 19 pt; trước 6 pt; sau 6 pt; keepNext=true (preset), indent Thụt 0; keepNext=true; kiểm tra không tràn chữ.</x:v>
      </x:c>
      <x:c r="AF32" s="123" t="str">
        <x:v>Không áp style lời văn cho nhãn/tên mục; riêng tiểu mục cần kiểm tra mẫu. | NĐ30 chỉ quy định đơn–1,5 lines; Exactly 19 pt là preset từ profile, cần QA phù hợp. | Công ty: profile trình bày văn bản dự thảo; không mặc định thay cho văn bản pháp quy đặc thù.</x:v>
      </x:c>
      <x:c r="AG32" s="157" t="str">
        <x:v>Times New Roman</x:v>
      </x:c>
      <x:c r="AH32" s="157" t="str">
        <x:v>Unicode</x:v>
      </x:c>
      <x:c r="AI32" s="157" t="str">
        <x:v>#000000</x:v>
      </x:c>
      <x:c r="AJ32" s="195" t="n">
        <x:v>14</x:v>
      </x:c>
      <x:c r="AK32" s="157" t="str">
        <x:v>CÓ</x:v>
      </x:c>
      <x:c r="AL32" s="157" t="str">
        <x:v>CÓ ĐIỀU KIỆN</x:v>
      </x:c>
      <x:c r="AM32" s="157" t="str">
        <x:v>Nhãn thường; tiêu đề IN HOA</x:v>
      </x:c>
      <x:c r="AN32" s="157" t="str">
        <x:v>CENTER</x:v>
      </x:c>
      <x:c r="AO32" s="157"/>
      <x:c r="AP32" s="157" t="str">
        <x:v>EXACT</x:v>
      </x:c>
      <x:c r="AQ32" s="195" t="n">
        <x:v>19</x:v>
      </x:c>
      <x:c r="AR32" s="157" t="str">
        <x:v>pt</x:v>
      </x:c>
      <x:c r="AS32" s="195" t="n">
        <x:v>6</x:v>
      </x:c>
      <x:c r="AT32" s="195" t="n">
        <x:v>6</x:v>
      </x:c>
      <x:c r="AU32" s="195" t="n">
        <x:v>0</x:v>
      </x:c>
      <x:c r="AV32" s="195"/>
      <x:c r="AW32" s="195"/>
      <x:c r="AX32" s="157" t="str">
        <x:v>CÓ</x:v>
      </x:c>
      <x:c r="AY32" s="157"/>
      <x:c r="AZ32" s="157"/>
      <x:c r="BA32" s="195"/>
      <x:c r="BB32" s="195"/>
      <x:c r="BC32" s="157"/>
      <x:c r="BD32" s="195"/>
      <x:c r="BE32" s="195"/>
      <x:c r="BF32" s="195"/>
      <x:c r="BG32" s="195"/>
      <x:c r="BH32" s="157"/>
      <x:c r="BI32" s="195"/>
      <x:c r="BJ32" s="195"/>
      <x:c r="BK32" s="195"/>
      <x:c r="BL32" s="157"/>
      <x:c r="BM32" s="157"/>
      <x:c r="BN32" s="157"/>
      <x:c r="BO32" s="195"/>
      <x:c r="BP32" s="195"/>
      <x:c r="BQ32" s="157"/>
      <x:c r="BR32" s="157"/>
      <x:c r="BS32" s="157"/>
      <x:c r="BT32" s="157" t="str">
        <x:v>Heading-PHAN</x:v>
      </x:c>
      <x:c r="BU32" s="157" t="str">
        <x:v>Paragraph/Run theo kiểu khối DM; preserve list numbering/table/drawing nếu có</x:v>
      </x:c>
      <x:c r="BV32" s="196" t="str">
        <x:v>CÓ ĐIỀU KIỆN</x:v>
      </x:c>
      <x:c r="BW32" s="197" t="str">
        <x:v>ĐÃ TÁCH MỘT PHẦN</x:v>
      </x:c>
      <x:c r="BX32" s="157" t="str">
        <x:v>Đối chiếu mô tả gốc ở I–S, Z–AF nếu thuộc tính phụ thuộc mẫu.</x:v>
      </x:c>
      <x:c r="BY32" t="str">
        <x:v>ND30.N.DM.PHAN</x:v>
      </x:c>
      <x:c r="BZ32" t="str">
        <x:f>IFERROR(INDEX(ND30!$J$7:$J$300,MATCH($B32,ND30!$B$7:$B$300,0)),"UNRESOLVED")</x:f>
        <x:v>13–14</x:v>
      </x:c>
      <x:c r="CA32" t="str">
        <x:v>TEXT</x:v>
      </x:c>
      <x:c r="CB32" t="str">
        <x:v>issuer_scope_confirmed AND document_type_confirmed AND legal_effective_date_confirmed</x:v>
      </x:c>
      <x:c r="CC32" t="str">
        <x:f>IFERROR(INDEX(ND30!$X$7:$X$300,MATCH($B32,ND30!$B$7:$B$300,0)),"UNRESOLVED")</x:f>
        <x:v>CHỈ SAU REVIEW</x:v>
      </x:c>
      <x:c r="CD32" t="str">
        <x:f>IF(OR(ISNUMBER(SEARCH("READ_ONLY",CC32)),ISNUMBER(SEARCH("PROTECTED",CC32)),ISNUMBER(SEARCH("BẢO VỆ",CC32)),ISNUMBER(SEARCH("KHÔNG KÝ",CC32))),"PROTECTED","CHECK_ONLY")</x:f>
        <x:v>CHECK_ONLY</x:v>
      </x:c>
      <x:c r="CE32" t="str">
        <x:f>IF(AND(CD32="FORMAT_APPROVED",CU32="CÓ",CV32="CÓ",CH32="CÓ",CI32="CÓ",CJ32="CÓ"),"CÓ","KHÔNG")</x:f>
        <x:v>KHÔNG</x:v>
      </x:c>
      <x:c r="CF32" t="str">
        <x:v>KHÔNG</x:v>
      </x:c>
      <x:c r="CG32" t="str">
        <x:v>CÓ</x:v>
      </x:c>
      <x:c r="CH32" t="str">
        <x:v>KHÔNG</x:v>
      </x:c>
      <x:c r="CI32" t="str">
        <x:v>KHÔNG</x:v>
      </x:c>
      <x:c r="CJ32" t="str">
        <x:v>KHÔNG</x:v>
      </x:c>
      <x:c r="CK32" t="str">
        <x:f>IF(AND(CE32="CÓ",CF32="KHÔNG",CG32="CÓ",CU32="CÓ",CV32="CÓ",CH32="CÓ",CI32="CÓ",CJ32="CÓ"),"CÓ","KHÔNG")</x:f>
        <x:v>KHÔNG</x:v>
      </x:c>
      <x:c r="CL32" t="str">
        <x:v>PILOT_NORTH_PROFILE_DRAFT; chưa có master DOCX đã duyệt</x:v>
      </x:c>
      <x:c r="CM32" t="str">
        <x:v>v1.5 (nâng từ v1.4)</x:v>
      </x:c>
      <x:c r="CN32" t="str">
        <x:v>CẦN XÁC MINH TÊN/QUY CHẾ</x:v>
      </x:c>
      <x:c r="CO32" t="str">
        <x:v>ND30_N_DM_PHAN_FIELD_ONLY; chưa tạo trong Word</x:v>
      </x:c>
      <x:c r="CP32" t="str">
        <x:v>Preset là cấu hình Công ty; không thay thế giới hạn của nguồn NĐ30/HD05</x:v>
      </x:c>
      <x:c r="CQ32" t="str">
        <x:f>IF(OR(BH32="CÓ",BH32=TRUE),BI32,"")</x:f>
      </x:c>
      <x:c r="CR32" t="str">
        <x:f>IF(OR(BH32="CÓ",BH32=TRUE),BJ32,"")</x:f>
      </x:c>
      <x:c r="CS32" t="str">
        <x:v>FORMAT_CHECK_ONLY</x:v>
      </x:c>
      <x:c r="CT32" t="str">
        <x:v>PENDING_SOURCE_AND_DOCX_QA</x:v>
      </x:c>
      <x:c r="CU32" t="str">
        <x:v>KHÔNG</x:v>
      </x:c>
      <x:c r="CV32" t="str">
        <x:v>KHÔNG</x:v>
      </x:c>
      <x:c r="CW32" t="str"/>
    </x:row>
    <x:row r="33" ht="29" customHeight="1">
      <x:c r="A33" s="125" t="n">
        <x:v>27</x:v>
      </x:c>
      <x:c r="B33" s="123" t="str">
        <x:v>ND30.N.DM.CHUONG</x:v>
      </x:c>
      <x:c r="C33" s="123" t="str">
        <x:v>Nội dung</x:v>
      </x:c>
      <x:c r="D33" s="123" t="str">
        <x:v>Đề mục</x:v>
      </x:c>
      <x:c r="E33" s="123" t="str">
        <x:v>Chương</x:v>
      </x:c>
      <x:c r="F33" s="123" t="str">
        <x:v>6</x:v>
      </x:c>
      <x:c r="G33" s="123" t="str">
        <x:v>Theo loại văn bản và sự hiện diện thực tế; không áp dụng đồng loạt</x:v>
      </x:c>
      <x:c r="H33" s="123" t="str">
        <x:v>Nhận diện số thứ tự và tiêu đề; tiêu đề phần/chương in hoa, đậm</x:v>
      </x:c>
      <x:c r="I33" s="123" t="str">
        <x:v>Times New Roman | Unicode | đen</x:v>
      </x:c>
      <x:c r="J33" s="126" t="str">
        <x:v>14</x:v>
      </x:c>
      <x:c r="K33" s="123" t="str">
        <x:v>Nhãn thường; tiêu đề IN HOA</x:v>
      </x:c>
      <x:c r="L33" s="123" t="str">
        <x:v>Có</x:v>
      </x:c>
      <x:c r="M33" s="123" t="str">
        <x:v>Không mặc định</x:v>
      </x:c>
      <x:c r="N33" s="123" t="str">
        <x:v>Căn giữa</x:v>
      </x:c>
      <x:c r="O33" s="124" t="str">
        <x:v>Exactly 19 pt; trước 6 pt; sau 6 pt; keepNext=true (preset)</x:v>
      </x:c>
      <x:c r="P33" s="124" t="str">
        <x:v>Thụt 0; keepNext=true</x:v>
      </x:c>
      <x:c r="Q33" s="123"/>
      <x:c r="R33" s="123" t="str">
        <x:v>Paragraph/Run theo kiểu khối DM; preserve list numbering/table/drawing nếu có</x:v>
      </x:c>
      <x:c r="S33" s="123" t="str">
        <x:v>TNR 14 pt; đậm; các mức viết hoa/đánh số theo loại văn bản | QA giãn dòng thực tế khi render</x:v>
      </x:c>
      <x:c r="T33" s="123" t="str">
        <x:v>NĐ30, Phụ lục I, Phần I, II.6; V.6</x:v>
      </x:c>
      <x:c r="U33" s="123" t="str">
        <x:v>https://datafiles.chinhphu.vn/cpp/files/vbpq/2020/03/30.signed.pdf</x:v>
      </x:c>
      <x:c r="V33" s="123" t="str">
        <x:v>https://riam.edu.vn/nghi-dinh-ve-cong-tac-van-thu-phu-luc/</x:v>
      </x:c>
      <x:c r="W33" s="123" t="str">
        <x:v>CHƯA ĐỦ BẰNG CHỨNG</x:v>
      </x:c>
      <x:c r="X33" s="123" t="str">
        <x:v>FORMAT_AFTER_REVIEW</x:v>
      </x:c>
      <x:c r="Y33" s="123" t="str">
        <x:v>Không tự chèn/sửa khi chưa có chứng cứ về đối tượng và rule. | Trạng thái v1.0: CÓ ĐIỀU KIỆN | So sánh chéo cũ (không dùng làm rule): NĐ30 dùng số La Mã cho Phần/Chương; HD05 theo dạng văn bản</x:v>
      </x:c>
      <x:c r="Z33" s="124" t="str">
        <x:v>TNR 14 pt; đậm; các mức viết hoa/đánh số theo loại văn bản</x:v>
      </x:c>
      <x:c r="AA33" s="123" t="str">
        <x:v>Heading-CHUONG</x:v>
      </x:c>
      <x:c r="AB33" s="124" t="str">
        <x:v>CÓ ĐIỀU KIỆN</x:v>
      </x:c>
      <x:c r="AC33" s="123" t="str">
        <x:v>FORMAT_AFTER_REVIEW</x:v>
      </x:c>
      <x:c r="AD33" s="123" t="str">
        <x:v>PLUGIN:hoa-tieu-mien-bac-administrative-v1 | user_approved_visual_reference</x:v>
      </x:c>
      <x:c r="AE33" s="123" t="str">
        <x:v>Render 1–3 trang: so TNR 14 pt, spacing Exactly 19 pt; trước 6 pt; sau 6 pt; keepNext=true (preset), indent Thụt 0; keepNext=true; kiểm tra không tràn chữ.</x:v>
      </x:c>
      <x:c r="AF33" s="123" t="str">
        <x:v>Không áp style lời văn cho nhãn/tên mục; riêng tiểu mục cần kiểm tra mẫu. | NĐ30 chỉ quy định đơn–1,5 lines; Exactly 19 pt là preset từ profile, cần QA phù hợp. | Công ty: profile trình bày văn bản dự thảo; không mặc định thay cho văn bản pháp quy đặc thù.</x:v>
      </x:c>
      <x:c r="AG33" s="157" t="str">
        <x:v>Times New Roman</x:v>
      </x:c>
      <x:c r="AH33" s="157" t="str">
        <x:v>Unicode</x:v>
      </x:c>
      <x:c r="AI33" s="157" t="str">
        <x:v>#000000</x:v>
      </x:c>
      <x:c r="AJ33" s="195" t="n">
        <x:v>14</x:v>
      </x:c>
      <x:c r="AK33" s="157" t="str">
        <x:v>CÓ</x:v>
      </x:c>
      <x:c r="AL33" s="157" t="str">
        <x:v>CÓ ĐIỀU KIỆN</x:v>
      </x:c>
      <x:c r="AM33" s="157" t="str">
        <x:v>Nhãn thường; tiêu đề IN HOA</x:v>
      </x:c>
      <x:c r="AN33" s="157" t="str">
        <x:v>CENTER</x:v>
      </x:c>
      <x:c r="AO33" s="157"/>
      <x:c r="AP33" s="157" t="str">
        <x:v>EXACT</x:v>
      </x:c>
      <x:c r="AQ33" s="195" t="n">
        <x:v>19</x:v>
      </x:c>
      <x:c r="AR33" s="157" t="str">
        <x:v>pt</x:v>
      </x:c>
      <x:c r="AS33" s="195" t="n">
        <x:v>6</x:v>
      </x:c>
      <x:c r="AT33" s="195" t="n">
        <x:v>6</x:v>
      </x:c>
      <x:c r="AU33" s="195" t="n">
        <x:v>0</x:v>
      </x:c>
      <x:c r="AV33" s="195"/>
      <x:c r="AW33" s="195"/>
      <x:c r="AX33" s="157" t="str">
        <x:v>CÓ</x:v>
      </x:c>
      <x:c r="AY33" s="157"/>
      <x:c r="AZ33" s="157"/>
      <x:c r="BA33" s="195"/>
      <x:c r="BB33" s="195"/>
      <x:c r="BC33" s="157"/>
      <x:c r="BD33" s="195"/>
      <x:c r="BE33" s="195"/>
      <x:c r="BF33" s="195"/>
      <x:c r="BG33" s="195"/>
      <x:c r="BH33" s="157"/>
      <x:c r="BI33" s="195"/>
      <x:c r="BJ33" s="195"/>
      <x:c r="BK33" s="195"/>
      <x:c r="BL33" s="157"/>
      <x:c r="BM33" s="157"/>
      <x:c r="BN33" s="157"/>
      <x:c r="BO33" s="195"/>
      <x:c r="BP33" s="195"/>
      <x:c r="BQ33" s="157"/>
      <x:c r="BR33" s="157"/>
      <x:c r="BS33" s="157"/>
      <x:c r="BT33" s="157" t="str">
        <x:v>Heading-CHUONG</x:v>
      </x:c>
      <x:c r="BU33" s="157" t="str">
        <x:v>Paragraph/Run theo kiểu khối DM; preserve list numbering/table/drawing nếu có</x:v>
      </x:c>
      <x:c r="BV33" s="196" t="str">
        <x:v>CÓ ĐIỀU KIỆN</x:v>
      </x:c>
      <x:c r="BW33" s="197" t="str">
        <x:v>ĐÃ TÁCH MỘT PHẦN</x:v>
      </x:c>
      <x:c r="BX33" s="157" t="str">
        <x:v>Đối chiếu mô tả gốc ở I–S, Z–AF nếu thuộc tính phụ thuộc mẫu.</x:v>
      </x:c>
      <x:c r="BY33" t="str">
        <x:v>ND30.N.DM.CHUONG</x:v>
      </x:c>
      <x:c r="BZ33" t="str">
        <x:f>IFERROR(INDEX(ND30!$J$7:$J$300,MATCH($B33,ND30!$B$7:$B$300,0)),"UNRESOLVED")</x:f>
        <x:v>13–14</x:v>
      </x:c>
      <x:c r="CA33" t="str">
        <x:v>TEXT</x:v>
      </x:c>
      <x:c r="CB33" t="str">
        <x:v>issuer_scope_confirmed AND document_type_confirmed AND legal_effective_date_confirmed</x:v>
      </x:c>
      <x:c r="CC33" t="str">
        <x:f>IFERROR(INDEX(ND30!$X$7:$X$300,MATCH($B33,ND30!$B$7:$B$300,0)),"UNRESOLVED")</x:f>
        <x:v>CHỈ SAU REVIEW</x:v>
      </x:c>
      <x:c r="CD33" t="str">
        <x:f>IF(OR(ISNUMBER(SEARCH("READ_ONLY",CC33)),ISNUMBER(SEARCH("PROTECTED",CC33)),ISNUMBER(SEARCH("BẢO VỆ",CC33)),ISNUMBER(SEARCH("KHÔNG KÝ",CC33))),"PROTECTED","CHECK_ONLY")</x:f>
        <x:v>CHECK_ONLY</x:v>
      </x:c>
      <x:c r="CE33" t="str">
        <x:f>IF(AND(CD33="FORMAT_APPROVED",CU33="CÓ",CV33="CÓ",CH33="CÓ",CI33="CÓ",CJ33="CÓ"),"CÓ","KHÔNG")</x:f>
        <x:v>KHÔNG</x:v>
      </x:c>
      <x:c r="CF33" t="str">
        <x:v>KHÔNG</x:v>
      </x:c>
      <x:c r="CG33" t="str">
        <x:v>CÓ</x:v>
      </x:c>
      <x:c r="CH33" t="str">
        <x:v>KHÔNG</x:v>
      </x:c>
      <x:c r="CI33" t="str">
        <x:v>KHÔNG</x:v>
      </x:c>
      <x:c r="CJ33" t="str">
        <x:v>KHÔNG</x:v>
      </x:c>
      <x:c r="CK33" t="str">
        <x:f>IF(AND(CE33="CÓ",CF33="KHÔNG",CG33="CÓ",CU33="CÓ",CV33="CÓ",CH33="CÓ",CI33="CÓ",CJ33="CÓ"),"CÓ","KHÔNG")</x:f>
        <x:v>KHÔNG</x:v>
      </x:c>
      <x:c r="CL33" t="str">
        <x:v>PILOT_NORTH_PROFILE_DRAFT; chưa có master DOCX đã duyệt</x:v>
      </x:c>
      <x:c r="CM33" t="str">
        <x:v>v1.5 (nâng từ v1.4)</x:v>
      </x:c>
      <x:c r="CN33" t="str">
        <x:v>CẦN XÁC MINH TÊN/QUY CHẾ</x:v>
      </x:c>
      <x:c r="CO33" t="str">
        <x:v>ND30_N_DM_CHUONG_FIELD_ONLY; chưa tạo trong Word</x:v>
      </x:c>
      <x:c r="CP33" t="str">
        <x:v>Preset là cấu hình Công ty; không thay thế giới hạn của nguồn NĐ30/HD05</x:v>
      </x:c>
      <x:c r="CQ33" t="str">
        <x:f>IF(OR(BH33="CÓ",BH33=TRUE),BI33,"")</x:f>
      </x:c>
      <x:c r="CR33" t="str">
        <x:f>IF(OR(BH33="CÓ",BH33=TRUE),BJ33,"")</x:f>
      </x:c>
      <x:c r="CS33" t="str">
        <x:v>FORMAT_CHECK_ONLY</x:v>
      </x:c>
      <x:c r="CT33" t="str">
        <x:v>PENDING_SOURCE_AND_DOCX_QA</x:v>
      </x:c>
      <x:c r="CU33" t="str">
        <x:v>KHÔNG</x:v>
      </x:c>
      <x:c r="CV33" t="str">
        <x:v>KHÔNG</x:v>
      </x:c>
      <x:c r="CW33" t="str"/>
    </x:row>
    <x:row r="34" ht="29" customHeight="1">
      <x:c r="A34" s="125" t="n">
        <x:v>28</x:v>
      </x:c>
      <x:c r="B34" s="123" t="str">
        <x:v>ND30.N.DM.MUC</x:v>
      </x:c>
      <x:c r="C34" s="123" t="str">
        <x:v>Nội dung</x:v>
      </x:c>
      <x:c r="D34" s="123" t="str">
        <x:v>Đề mục</x:v>
      </x:c>
      <x:c r="E34" s="123" t="str">
        <x:v>Mục</x:v>
      </x:c>
      <x:c r="F34" s="123" t="str">
        <x:v>6</x:v>
      </x:c>
      <x:c r="G34" s="123" t="str">
        <x:v>Theo loại văn bản và sự hiện diện thực tế; không áp dụng đồng loạt</x:v>
      </x:c>
      <x:c r="H34" s="123" t="str">
        <x:v>Nhận diện số/tên Mục, Tiểu mục; xác minh biến thể</x:v>
      </x:c>
      <x:c r="I34" s="123" t="str">
        <x:v>Times New Roman | Unicode | đen</x:v>
      </x:c>
      <x:c r="J34" s="126" t="str">
        <x:v>14</x:v>
      </x:c>
      <x:c r="K34" s="123" t="str">
        <x:v>Nhãn thường; tiêu đề IN HOA</x:v>
      </x:c>
      <x:c r="L34" s="123" t="str">
        <x:v>Có</x:v>
      </x:c>
      <x:c r="M34" s="123" t="str">
        <x:v>Không mặc định</x:v>
      </x:c>
      <x:c r="N34" s="123" t="str">
        <x:v>Căn giữa</x:v>
      </x:c>
      <x:c r="O34" s="124" t="str">
        <x:v>Exactly 19 pt; trước 6 pt; sau 6 pt; keepNext=true (preset)</x:v>
      </x:c>
      <x:c r="P34" s="124" t="str">
        <x:v>Thụt 0; keepNext=true</x:v>
      </x:c>
      <x:c r="Q34" s="123"/>
      <x:c r="R34" s="123" t="str">
        <x:v>Paragraph/Run theo kiểu khối DM; preserve list numbering/table/drawing nếu có</x:v>
      </x:c>
      <x:c r="S34" s="123" t="str">
        <x:v>TNR 14 pt; đậm; các mức viết hoa/đánh số theo loại văn bản | QA giãn dòng thực tế khi render</x:v>
      </x:c>
      <x:c r="T34" s="123" t="str">
        <x:v>NĐ30, Phụ lục I, Phần I, II.6; V.6</x:v>
      </x:c>
      <x:c r="U34" s="123" t="str">
        <x:v>https://datafiles.chinhphu.vn/cpp/files/vbpq/2020/03/30.signed.pdf</x:v>
      </x:c>
      <x:c r="V34" s="123" t="str">
        <x:v>https://riam.edu.vn/nghi-dinh-ve-cong-tac-van-thu-phu-luc/</x:v>
      </x:c>
      <x:c r="W34" s="123" t="str">
        <x:v>CHƯA ĐỦ BẰNG CHỨNG</x:v>
      </x:c>
      <x:c r="X34" s="123" t="str">
        <x:v>FORMAT_AFTER_REVIEW</x:v>
      </x:c>
      <x:c r="Y34" s="123" t="str">
        <x:v>Không tự chèn/sửa khi chưa có chứng cứ về đối tượng và rule. | Trạng thái v1.0: CÓ ĐIỀU KIỆN</x:v>
      </x:c>
      <x:c r="Z34" s="124" t="str">
        <x:v>TNR 14 pt; đậm; các mức viết hoa/đánh số theo loại văn bản</x:v>
      </x:c>
      <x:c r="AA34" s="123" t="str">
        <x:v>Heading-MUC</x:v>
      </x:c>
      <x:c r="AB34" s="124" t="str">
        <x:v>CÓ ĐIỀU KIỆN</x:v>
      </x:c>
      <x:c r="AC34" s="123" t="str">
        <x:v>FORMAT_AFTER_REVIEW</x:v>
      </x:c>
      <x:c r="AD34" s="123" t="str">
        <x:v>PLUGIN:hoa-tieu-mien-bac-administrative-v1 | user_approved_visual_reference</x:v>
      </x:c>
      <x:c r="AE34" s="123" t="str">
        <x:v>Render 1–3 trang: so TNR 14 pt, spacing Exactly 19 pt; trước 6 pt; sau 6 pt; keepNext=true (preset), indent Thụt 0; keepNext=true; kiểm tra không tràn chữ.</x:v>
      </x:c>
      <x:c r="AF34" s="123" t="str">
        <x:v>Không áp style lời văn cho nhãn/tên mục; riêng tiểu mục cần kiểm tra mẫu. | NĐ30 chỉ quy định đơn–1,5 lines; Exactly 19 pt là preset từ profile, cần QA phù hợp. | Công ty: profile trình bày văn bản dự thảo; không mặc định thay cho văn bản pháp quy đặc thù.</x:v>
      </x:c>
      <x:c r="AG34" s="157" t="str">
        <x:v>Times New Roman</x:v>
      </x:c>
      <x:c r="AH34" s="157" t="str">
        <x:v>Unicode</x:v>
      </x:c>
      <x:c r="AI34" s="157" t="str">
        <x:v>#000000</x:v>
      </x:c>
      <x:c r="AJ34" s="195" t="n">
        <x:v>14</x:v>
      </x:c>
      <x:c r="AK34" s="157" t="str">
        <x:v>CÓ</x:v>
      </x:c>
      <x:c r="AL34" s="157" t="str">
        <x:v>CÓ ĐIỀU KIỆN</x:v>
      </x:c>
      <x:c r="AM34" s="157" t="str">
        <x:v>Nhãn thường; tiêu đề IN HOA</x:v>
      </x:c>
      <x:c r="AN34" s="157" t="str">
        <x:v>CENTER</x:v>
      </x:c>
      <x:c r="AO34" s="157"/>
      <x:c r="AP34" s="157" t="str">
        <x:v>EXACT</x:v>
      </x:c>
      <x:c r="AQ34" s="195" t="n">
        <x:v>19</x:v>
      </x:c>
      <x:c r="AR34" s="157" t="str">
        <x:v>pt</x:v>
      </x:c>
      <x:c r="AS34" s="195" t="n">
        <x:v>6</x:v>
      </x:c>
      <x:c r="AT34" s="195" t="n">
        <x:v>6</x:v>
      </x:c>
      <x:c r="AU34" s="195" t="n">
        <x:v>0</x:v>
      </x:c>
      <x:c r="AV34" s="195"/>
      <x:c r="AW34" s="195"/>
      <x:c r="AX34" s="157" t="str">
        <x:v>CÓ</x:v>
      </x:c>
      <x:c r="AY34" s="157"/>
      <x:c r="AZ34" s="157"/>
      <x:c r="BA34" s="195"/>
      <x:c r="BB34" s="195"/>
      <x:c r="BC34" s="157"/>
      <x:c r="BD34" s="195"/>
      <x:c r="BE34" s="195"/>
      <x:c r="BF34" s="195"/>
      <x:c r="BG34" s="195"/>
      <x:c r="BH34" s="157"/>
      <x:c r="BI34" s="195"/>
      <x:c r="BJ34" s="195"/>
      <x:c r="BK34" s="195"/>
      <x:c r="BL34" s="157"/>
      <x:c r="BM34" s="157"/>
      <x:c r="BN34" s="157"/>
      <x:c r="BO34" s="195"/>
      <x:c r="BP34" s="195"/>
      <x:c r="BQ34" s="157"/>
      <x:c r="BR34" s="157"/>
      <x:c r="BS34" s="157"/>
      <x:c r="BT34" s="157" t="str">
        <x:v>Heading-MUC</x:v>
      </x:c>
      <x:c r="BU34" s="157" t="str">
        <x:v>Paragraph/Run theo kiểu khối DM; preserve list numbering/table/drawing nếu có</x:v>
      </x:c>
      <x:c r="BV34" s="196" t="str">
        <x:v>CÓ ĐIỀU KIỆN</x:v>
      </x:c>
      <x:c r="BW34" s="197" t="str">
        <x:v>ĐÃ TÁCH MỘT PHẦN</x:v>
      </x:c>
      <x:c r="BX34" s="157" t="str">
        <x:v>Đối chiếu mô tả gốc ở I–S, Z–AF nếu thuộc tính phụ thuộc mẫu.</x:v>
      </x:c>
      <x:c r="BY34" t="str">
        <x:v>ND30.N.DM.MUC</x:v>
      </x:c>
      <x:c r="BZ34" t="str">
        <x:f>IFERROR(INDEX(ND30!$J$7:$J$300,MATCH($B34,ND30!$B$7:$B$300,0)),"UNRESOLVED")</x:f>
        <x:v>13–14</x:v>
      </x:c>
      <x:c r="CA34" t="str">
        <x:v>TEXT</x:v>
      </x:c>
      <x:c r="CB34" t="str">
        <x:v>issuer_scope_confirmed AND document_type_confirmed AND legal_effective_date_confirmed</x:v>
      </x:c>
      <x:c r="CC34" t="str">
        <x:f>IFERROR(INDEX(ND30!$X$7:$X$300,MATCH($B34,ND30!$B$7:$B$300,0)),"UNRESOLVED")</x:f>
        <x:v>CHỈ SAU REVIEW</x:v>
      </x:c>
      <x:c r="CD34" t="str">
        <x:f>IF(OR(ISNUMBER(SEARCH("READ_ONLY",CC34)),ISNUMBER(SEARCH("PROTECTED",CC34)),ISNUMBER(SEARCH("BẢO VỆ",CC34)),ISNUMBER(SEARCH("KHÔNG KÝ",CC34))),"PROTECTED","CHECK_ONLY")</x:f>
        <x:v>CHECK_ONLY</x:v>
      </x:c>
      <x:c r="CE34" t="str">
        <x:f>IF(AND(CD34="FORMAT_APPROVED",CU34="CÓ",CV34="CÓ",CH34="CÓ",CI34="CÓ",CJ34="CÓ"),"CÓ","KHÔNG")</x:f>
        <x:v>KHÔNG</x:v>
      </x:c>
      <x:c r="CF34" t="str">
        <x:v>KHÔNG</x:v>
      </x:c>
      <x:c r="CG34" t="str">
        <x:v>CÓ</x:v>
      </x:c>
      <x:c r="CH34" t="str">
        <x:v>KHÔNG</x:v>
      </x:c>
      <x:c r="CI34" t="str">
        <x:v>KHÔNG</x:v>
      </x:c>
      <x:c r="CJ34" t="str">
        <x:v>KHÔNG</x:v>
      </x:c>
      <x:c r="CK34" t="str">
        <x:f>IF(AND(CE34="CÓ",CF34="KHÔNG",CG34="CÓ",CU34="CÓ",CV34="CÓ",CH34="CÓ",CI34="CÓ",CJ34="CÓ"),"CÓ","KHÔNG")</x:f>
        <x:v>KHÔNG</x:v>
      </x:c>
      <x:c r="CL34" t="str">
        <x:v>PILOT_NORTH_PROFILE_DRAFT; chưa có master DOCX đã duyệt</x:v>
      </x:c>
      <x:c r="CM34" t="str">
        <x:v>v1.5 (nâng từ v1.4)</x:v>
      </x:c>
      <x:c r="CN34" t="str">
        <x:v>CẦN XÁC MINH TÊN/QUY CHẾ</x:v>
      </x:c>
      <x:c r="CO34" t="str">
        <x:v>ND30_N_DM_MUC_FIELD_ONLY; chưa tạo trong Word</x:v>
      </x:c>
      <x:c r="CP34" t="str">
        <x:v>Preset là cấu hình Công ty; không thay thế giới hạn của nguồn NĐ30/HD05</x:v>
      </x:c>
      <x:c r="CQ34" t="str">
        <x:f>IF(OR(BH34="CÓ",BH34=TRUE),BI34,"")</x:f>
      </x:c>
      <x:c r="CR34" t="str">
        <x:f>IF(OR(BH34="CÓ",BH34=TRUE),BJ34,"")</x:f>
      </x:c>
      <x:c r="CS34" t="str">
        <x:v>FORMAT_CHECK_ONLY</x:v>
      </x:c>
      <x:c r="CT34" t="str">
        <x:v>PENDING_SOURCE_AND_DOCX_QA</x:v>
      </x:c>
      <x:c r="CU34" t="str">
        <x:v>KHÔNG</x:v>
      </x:c>
      <x:c r="CV34" t="str">
        <x:v>KHÔNG</x:v>
      </x:c>
      <x:c r="CW34" t="str"/>
    </x:row>
    <x:row r="35" ht="29" customHeight="1">
      <x:c r="A35" s="125" t="n">
        <x:v>29</x:v>
      </x:c>
      <x:c r="B35" s="123" t="str">
        <x:v>ND30.N.DM.TIEU_MUC</x:v>
      </x:c>
      <x:c r="C35" s="123" t="str">
        <x:v>Nội dung</x:v>
      </x:c>
      <x:c r="D35" s="123" t="str">
        <x:v>Đề mục</x:v>
      </x:c>
      <x:c r="E35" s="123" t="str">
        <x:v>Tiểu mục</x:v>
      </x:c>
      <x:c r="F35" s="123" t="str">
        <x:v>6</x:v>
      </x:c>
      <x:c r="G35" s="123" t="str">
        <x:v>Theo loại văn bản và sự hiện diện thực tế; không áp dụng đồng loạt</x:v>
      </x:c>
      <x:c r="H35" s="123" t="str">
        <x:v>Nhận diện số/tên Mục, Tiểu mục; xác minh biến thể</x:v>
      </x:c>
      <x:c r="I35" s="123" t="str">
        <x:v>Times New Roman | Unicode | đen</x:v>
      </x:c>
      <x:c r="J35" s="126" t="str">
        <x:v>14</x:v>
      </x:c>
      <x:c r="K35" s="123" t="str">
        <x:v>Nhãn thường; tiêu đề IN HOA</x:v>
      </x:c>
      <x:c r="L35" s="123" t="str">
        <x:v>Có</x:v>
      </x:c>
      <x:c r="M35" s="123" t="str">
        <x:v>Không mặc định</x:v>
      </x:c>
      <x:c r="N35" s="123" t="str">
        <x:v>Căn giữa</x:v>
      </x:c>
      <x:c r="O35" s="124" t="str">
        <x:v>Exactly 19 pt; trước 6 pt; sau 6 pt; keepNext=true (preset)</x:v>
      </x:c>
      <x:c r="P35" s="124" t="str">
        <x:v>Thụt 0; keepNext=true</x:v>
      </x:c>
      <x:c r="Q35" s="123"/>
      <x:c r="R35" s="123" t="str">
        <x:v>Paragraph/Run theo kiểu khối DM; preserve list numbering/table/drawing nếu có</x:v>
      </x:c>
      <x:c r="S35" s="123" t="str">
        <x:v>TNR 14 pt; đậm; các mức viết hoa/đánh số theo loại văn bản | QA giãn dòng thực tế khi render</x:v>
      </x:c>
      <x:c r="T35" s="123" t="str">
        <x:v>NĐ30, Phụ lục I, Phần I, II.6; V.6</x:v>
      </x:c>
      <x:c r="U35" s="123" t="str">
        <x:v>https://datafiles.chinhphu.vn/cpp/files/vbpq/2020/03/30.signed.pdf</x:v>
      </x:c>
      <x:c r="V35" s="123" t="str">
        <x:v>https://riam.edu.vn/nghi-dinh-ve-cong-tac-van-thu-phu-luc/</x:v>
      </x:c>
      <x:c r="W35" s="123" t="str">
        <x:v>CHƯA ĐỦ BẰNG CHỨNG</x:v>
      </x:c>
      <x:c r="X35" s="123" t="str">
        <x:v>FORMAT_AFTER_REVIEW</x:v>
      </x:c>
      <x:c r="Y35" s="123" t="str">
        <x:v>Không tự chèn/sửa khi chưa có chứng cứ về đối tượng và rule. | Trạng thái v1.0: CÓ ĐIỀU KIỆN</x:v>
      </x:c>
      <x:c r="Z35" s="124" t="str">
        <x:v>TNR 14 pt; đậm; các mức viết hoa/đánh số theo loại văn bản</x:v>
      </x:c>
      <x:c r="AA35" s="123" t="str">
        <x:v>Heading-TIEU_MUC</x:v>
      </x:c>
      <x:c r="AB35" s="124" t="str">
        <x:v>CÓ ĐIỀU KIỆN</x:v>
      </x:c>
      <x:c r="AC35" s="123" t="str">
        <x:v>FORMAT_AFTER_REVIEW</x:v>
      </x:c>
      <x:c r="AD35" s="123" t="str">
        <x:v>PLUGIN:hoa-tieu-mien-bac-administrative-v1 | user_approved_visual_reference</x:v>
      </x:c>
      <x:c r="AE35" s="123" t="str">
        <x:v>Render 1–3 trang: so TNR 14 pt, spacing Exactly 19 pt; trước 6 pt; sau 6 pt; keepNext=true (preset), indent Thụt 0; keepNext=true; kiểm tra không tràn chữ.</x:v>
      </x:c>
      <x:c r="AF35" s="123" t="str">
        <x:v>Không áp style lời văn cho nhãn/tên mục; riêng tiểu mục cần kiểm tra mẫu. | NĐ30 chỉ quy định đơn–1,5 lines; Exactly 19 pt là preset từ profile, cần QA phù hợp. | Công ty: profile trình bày văn bản dự thảo; không mặc định thay cho văn bản pháp quy đặc thù.</x:v>
      </x:c>
      <x:c r="AG35" s="157" t="str">
        <x:v>Times New Roman</x:v>
      </x:c>
      <x:c r="AH35" s="157" t="str">
        <x:v>Unicode</x:v>
      </x:c>
      <x:c r="AI35" s="157" t="str">
        <x:v>#000000</x:v>
      </x:c>
      <x:c r="AJ35" s="195" t="n">
        <x:v>14</x:v>
      </x:c>
      <x:c r="AK35" s="157" t="str">
        <x:v>CÓ</x:v>
      </x:c>
      <x:c r="AL35" s="157" t="str">
        <x:v>CÓ ĐIỀU KIỆN</x:v>
      </x:c>
      <x:c r="AM35" s="157" t="str">
        <x:v>Nhãn thường; tiêu đề IN HOA</x:v>
      </x:c>
      <x:c r="AN35" s="157" t="str">
        <x:v>CENTER</x:v>
      </x:c>
      <x:c r="AO35" s="157"/>
      <x:c r="AP35" s="157" t="str">
        <x:v>EXACT</x:v>
      </x:c>
      <x:c r="AQ35" s="195" t="n">
        <x:v>19</x:v>
      </x:c>
      <x:c r="AR35" s="157" t="str">
        <x:v>pt</x:v>
      </x:c>
      <x:c r="AS35" s="195" t="n">
        <x:v>6</x:v>
      </x:c>
      <x:c r="AT35" s="195" t="n">
        <x:v>6</x:v>
      </x:c>
      <x:c r="AU35" s="195" t="n">
        <x:v>0</x:v>
      </x:c>
      <x:c r="AV35" s="195"/>
      <x:c r="AW35" s="195"/>
      <x:c r="AX35" s="157" t="str">
        <x:v>CÓ</x:v>
      </x:c>
      <x:c r="AY35" s="157"/>
      <x:c r="AZ35" s="157"/>
      <x:c r="BA35" s="195"/>
      <x:c r="BB35" s="195"/>
      <x:c r="BC35" s="157"/>
      <x:c r="BD35" s="195"/>
      <x:c r="BE35" s="195"/>
      <x:c r="BF35" s="195"/>
      <x:c r="BG35" s="195"/>
      <x:c r="BH35" s="157"/>
      <x:c r="BI35" s="195"/>
      <x:c r="BJ35" s="195"/>
      <x:c r="BK35" s="195"/>
      <x:c r="BL35" s="157"/>
      <x:c r="BM35" s="157"/>
      <x:c r="BN35" s="157"/>
      <x:c r="BO35" s="195"/>
      <x:c r="BP35" s="195"/>
      <x:c r="BQ35" s="157"/>
      <x:c r="BR35" s="157"/>
      <x:c r="BS35" s="157"/>
      <x:c r="BT35" s="157" t="str">
        <x:v>Heading-TIEU_MUC</x:v>
      </x:c>
      <x:c r="BU35" s="157" t="str">
        <x:v>Paragraph/Run theo kiểu khối DM; preserve list numbering/table/drawing nếu có</x:v>
      </x:c>
      <x:c r="BV35" s="196" t="str">
        <x:v>CÓ ĐIỀU KIỆN</x:v>
      </x:c>
      <x:c r="BW35" s="197" t="str">
        <x:v>ĐÃ TÁCH MỘT PHẦN</x:v>
      </x:c>
      <x:c r="BX35" s="157" t="str">
        <x:v>Đối chiếu mô tả gốc ở I–S, Z–AF nếu thuộc tính phụ thuộc mẫu.</x:v>
      </x:c>
      <x:c r="BY35" t="str">
        <x:v>ND30.N.DM.TIEU_MUC</x:v>
      </x:c>
      <x:c r="BZ35" t="str">
        <x:f>IFERROR(INDEX(ND30!$J$7:$J$300,MATCH($B35,ND30!$B$7:$B$300,0)),"UNRESOLVED")</x:f>
        <x:v>13–14</x:v>
      </x:c>
      <x:c r="CA35" t="str">
        <x:v>TEXT</x:v>
      </x:c>
      <x:c r="CB35" t="str">
        <x:v>issuer_scope_confirmed AND document_type_confirmed AND legal_effective_date_confirmed</x:v>
      </x:c>
      <x:c r="CC35" t="str">
        <x:f>IFERROR(INDEX(ND30!$X$7:$X$300,MATCH($B35,ND30!$B$7:$B$300,0)),"UNRESOLVED")</x:f>
        <x:v>CHỈ SAU REVIEW</x:v>
      </x:c>
      <x:c r="CD35" t="str">
        <x:f>IF(OR(ISNUMBER(SEARCH("READ_ONLY",CC35)),ISNUMBER(SEARCH("PROTECTED",CC35)),ISNUMBER(SEARCH("BẢO VỆ",CC35)),ISNUMBER(SEARCH("KHÔNG KÝ",CC35))),"PROTECTED","CHECK_ONLY")</x:f>
        <x:v>CHECK_ONLY</x:v>
      </x:c>
      <x:c r="CE35" t="str">
        <x:f>IF(AND(CD35="FORMAT_APPROVED",CU35="CÓ",CV35="CÓ",CH35="CÓ",CI35="CÓ",CJ35="CÓ"),"CÓ","KHÔNG")</x:f>
        <x:v>KHÔNG</x:v>
      </x:c>
      <x:c r="CF35" t="str">
        <x:v>KHÔNG</x:v>
      </x:c>
      <x:c r="CG35" t="str">
        <x:v>CÓ</x:v>
      </x:c>
      <x:c r="CH35" t="str">
        <x:v>KHÔNG</x:v>
      </x:c>
      <x:c r="CI35" t="str">
        <x:v>KHÔNG</x:v>
      </x:c>
      <x:c r="CJ35" t="str">
        <x:v>KHÔNG</x:v>
      </x:c>
      <x:c r="CK35" t="str">
        <x:f>IF(AND(CE35="CÓ",CF35="KHÔNG",CG35="CÓ",CU35="CÓ",CV35="CÓ",CH35="CÓ",CI35="CÓ",CJ35="CÓ"),"CÓ","KHÔNG")</x:f>
        <x:v>KHÔNG</x:v>
      </x:c>
      <x:c r="CL35" t="str">
        <x:v>PILOT_NORTH_PROFILE_DRAFT; chưa có master DOCX đã duyệt</x:v>
      </x:c>
      <x:c r="CM35" t="str">
        <x:v>v1.5 (nâng từ v1.4)</x:v>
      </x:c>
      <x:c r="CN35" t="str">
        <x:v>CẦN XÁC MINH TÊN/QUY CHẾ</x:v>
      </x:c>
      <x:c r="CO35" t="str">
        <x:v>ND30_N_DM_TIEU_MUC_FIELD_ONLY; chưa tạo trong Word</x:v>
      </x:c>
      <x:c r="CP35" t="str">
        <x:v>Preset là cấu hình Công ty; không thay thế giới hạn của nguồn NĐ30/HD05</x:v>
      </x:c>
      <x:c r="CQ35" t="str">
        <x:f>IF(OR(BH35="CÓ",BH35=TRUE),BI35,"")</x:f>
      </x:c>
      <x:c r="CR35" t="str">
        <x:f>IF(OR(BH35="CÓ",BH35=TRUE),BJ35,"")</x:f>
      </x:c>
      <x:c r="CS35" t="str">
        <x:v>FORMAT_CHECK_ONLY</x:v>
      </x:c>
      <x:c r="CT35" t="str">
        <x:v>PENDING_SOURCE_AND_DOCX_QA</x:v>
      </x:c>
      <x:c r="CU35" t="str">
        <x:v>KHÔNG</x:v>
      </x:c>
      <x:c r="CV35" t="str">
        <x:v>KHÔNG</x:v>
      </x:c>
      <x:c r="CW35" t="str"/>
    </x:row>
    <x:row r="36" ht="29" customHeight="1">
      <x:c r="A36" s="125" t="n">
        <x:v>30</x:v>
      </x:c>
      <x:c r="B36" s="123" t="str">
        <x:v>ND30.N.DIEU.SO_DIEU</x:v>
      </x:c>
      <x:c r="C36" s="123" t="str">
        <x:v>Nội dung</x:v>
      </x:c>
      <x:c r="D36" s="123" t="str">
        <x:v>Điều</x:v>
      </x:c>
      <x:c r="E36" s="123" t="str">
        <x:v>Số điều</x:v>
      </x:c>
      <x:c r="F36" s="123" t="str">
        <x:v>6</x:v>
      </x:c>
      <x:c r="G36" s="123" t="str">
        <x:v>Theo loại văn bản và sự hiện diện thực tế; không áp dụng đồng loạt</x:v>
      </x:c>
      <x:c r="H36" s="123" t="str">
        <x:v>Số điều</x:v>
      </x:c>
      <x:c r="I36" s="123" t="str">
        <x:v>Times New Roman | Unicode | đen</x:v>
      </x:c>
      <x:c r="J36" s="126" t="str">
        <x:v>14</x:v>
      </x:c>
      <x:c r="K36" s="123" t="str">
        <x:v>In thường</x:v>
      </x:c>
      <x:c r="L36" s="123" t="str">
        <x:v>Có</x:v>
      </x:c>
      <x:c r="M36" s="123" t="str">
        <x:v>Không mặc định</x:v>
      </x:c>
      <x:c r="N36" s="123" t="str">
        <x:v>Căn đều hai lề (justify)</x:v>
      </x:c>
      <x:c r="O36" s="124" t="str">
        <x:v>Exactly 19 pt; after 6 pt; before 0 pt</x:v>
      </x:c>
      <x:c r="P36" s="124" t="str">
        <x:v>First line 12,7 mm (0,5 in = 720 twip)</x:v>
      </x:c>
      <x:c r="Q36" s="123"/>
      <x:c r="R36" s="123" t="str">
        <x:v>Paragraph/Run theo kiểu khối DIEU; preserve list numbering/table/drawing nếu có</x:v>
      </x:c>
      <x:c r="S36" s="123" t="str">
        <x:v>TNR 14 pt; nội dung 19/6; nhãn/số/tên điều có style riêng | QA giãn dòng thực tế khi render</x:v>
      </x:c>
      <x:c r="T36" s="123" t="str">
        <x:v>NĐ30, Phụ lục I, Phần I, II.6; V.6</x:v>
      </x:c>
      <x:c r="U36" s="123" t="str">
        <x:v>https://datafiles.chinhphu.vn/cpp/files/vbpq/2020/03/30.signed.pdf</x:v>
      </x:c>
      <x:c r="V36" s="123" t="str">
        <x:v>https://riam.edu.vn/nghi-dinh-ve-cong-tac-van-thu-phu-luc/</x:v>
      </x:c>
      <x:c r="W36" s="123" t="str">
        <x:v>CHƯA ĐỦ BẰNG CHỨNG</x:v>
      </x:c>
      <x:c r="X36" s="123" t="str">
        <x:v>FORMAT_AFTER_REVIEW</x:v>
      </x:c>
      <x:c r="Y36" s="123" t="str">
        <x:v>Không tự chèn/sửa khi chưa có chứng cứ về đối tượng và rule. | Trạng thái v1.0: CÓ ĐIỀU KIỆN | So sánh chéo cũ (không dùng làm rule): NĐ30: “Điều 1.”; phần nhãn/tên đậm; HD05 tương ứng Phụ lục 2</x:v>
      </x:c>
      <x:c r="Z36" s="124" t="str">
        <x:v>TNR 14 pt; nội dung 19/6; nhãn/số/tên điều có style riêng</x:v>
      </x:c>
      <x:c r="AA36" s="123" t="str">
        <x:v>LegalArticle</x:v>
      </x:c>
      <x:c r="AB36" s="124" t="str">
        <x:v>CÓ ĐIỀU KIỆN</x:v>
      </x:c>
      <x:c r="AC36" s="123" t="str">
        <x:v>FORMAT_AFTER_REVIEW</x:v>
      </x:c>
      <x:c r="AD36" s="123" t="str">
        <x:v>PLUGIN:hoa-tieu-mien-bac-administrative-v1 | user_approved_visual_reference</x:v>
      </x:c>
      <x:c r="AE36" s="123" t="str">
        <x:v>Render 1–3 trang: so TNR 14 pt, spacing Exactly 19 pt; after 6 pt; before 0 pt, indent First line 12,7 mm (0,5 in = 720 twip); kiểm tra không tràn chữ.</x:v>
      </x:c>
      <x:c r="AF36" s="123" t="str">
        <x:v>NĐ30 chỉ quy định đơn–1,5 lines; Exactly 19 pt là preset từ profile, cần QA phù hợp. | Công ty: profile trình bày văn bản dự thảo; không mặc định thay cho văn bản pháp quy đặc thù.</x:v>
      </x:c>
      <x:c r="AG36" s="157" t="str">
        <x:v>Times New Roman</x:v>
      </x:c>
      <x:c r="AH36" s="157" t="str">
        <x:v>Unicode</x:v>
      </x:c>
      <x:c r="AI36" s="157" t="str">
        <x:v>#000000</x:v>
      </x:c>
      <x:c r="AJ36" s="195" t="n">
        <x:v>14</x:v>
      </x:c>
      <x:c r="AK36" s="157" t="str">
        <x:v>CÓ</x:v>
      </x:c>
      <x:c r="AL36" s="157" t="str">
        <x:v>CÓ ĐIỀU KIỆN</x:v>
      </x:c>
      <x:c r="AM36" s="157" t="str">
        <x:v>In thường</x:v>
      </x:c>
      <x:c r="AN36" s="157" t="str">
        <x:v>JUSTIFY</x:v>
      </x:c>
      <x:c r="AO36" s="157"/>
      <x:c r="AP36" s="157" t="str">
        <x:v>EXACT</x:v>
      </x:c>
      <x:c r="AQ36" s="195" t="n">
        <x:v>19</x:v>
      </x:c>
      <x:c r="AR36" s="157" t="str">
        <x:v>pt</x:v>
      </x:c>
      <x:c r="AS36" s="195" t="n">
        <x:v>0</x:v>
      </x:c>
      <x:c r="AT36" s="195" t="n">
        <x:v>6</x:v>
      </x:c>
      <x:c r="AU36" s="195" t="n">
        <x:v>12.7</x:v>
      </x:c>
      <x:c r="AV36" s="195"/>
      <x:c r="AW36" s="195"/>
      <x:c r="AX36" s="157"/>
      <x:c r="AY36" s="157"/>
      <x:c r="AZ36" s="157"/>
      <x:c r="BA36" s="195"/>
      <x:c r="BB36" s="195"/>
      <x:c r="BC36" s="157"/>
      <x:c r="BD36" s="195"/>
      <x:c r="BE36" s="195"/>
      <x:c r="BF36" s="195"/>
      <x:c r="BG36" s="195"/>
      <x:c r="BH36" s="157"/>
      <x:c r="BI36" s="195"/>
      <x:c r="BJ36" s="195"/>
      <x:c r="BK36" s="195"/>
      <x:c r="BL36" s="157"/>
      <x:c r="BM36" s="157"/>
      <x:c r="BN36" s="157"/>
      <x:c r="BO36" s="195"/>
      <x:c r="BP36" s="195"/>
      <x:c r="BQ36" s="157"/>
      <x:c r="BR36" s="157"/>
      <x:c r="BS36" s="157"/>
      <x:c r="BT36" s="157" t="str">
        <x:v>LegalArticle</x:v>
      </x:c>
      <x:c r="BU36" s="157" t="str">
        <x:v>Paragraph/Run theo kiểu khối DIEU; preserve list numbering/table/drawing nếu có</x:v>
      </x:c>
      <x:c r="BV36" s="196" t="str">
        <x:v>CÓ ĐIỀU KIỆN</x:v>
      </x:c>
      <x:c r="BW36" s="197" t="str">
        <x:v>ĐÃ TÁCH MỘT PHẦN</x:v>
      </x:c>
      <x:c r="BX36" s="157" t="str">
        <x:v>Đối chiếu mô tả gốc ở I–S, Z–AF nếu thuộc tính phụ thuộc mẫu.</x:v>
      </x:c>
      <x:c r="BY36" t="str">
        <x:v>ND30.N.DIEU.SO_DIEU</x:v>
      </x:c>
      <x:c r="BZ36" t="str">
        <x:f>IFERROR(INDEX(ND30!$J$7:$J$300,MATCH($B36,ND30!$B$7:$B$300,0)),"UNRESOLVED")</x:f>
        <x:v>13–14</x:v>
      </x:c>
      <x:c r="CA36" t="str">
        <x:v>TEXT</x:v>
      </x:c>
      <x:c r="CB36" t="str">
        <x:v>issuer_scope_confirmed AND document_type_confirmed AND legal_effective_date_confirmed</x:v>
      </x:c>
      <x:c r="CC36" t="str">
        <x:f>IFERROR(INDEX(ND30!$X$7:$X$300,MATCH($B36,ND30!$B$7:$B$300,0)),"UNRESOLVED")</x:f>
        <x:v>CHỈ SAU REVIEW</x:v>
      </x:c>
      <x:c r="CD36" t="str">
        <x:f>IF(OR(ISNUMBER(SEARCH("READ_ONLY",CC36)),ISNUMBER(SEARCH("PROTECTED",CC36)),ISNUMBER(SEARCH("BẢO VỆ",CC36)),ISNUMBER(SEARCH("KHÔNG KÝ",CC36))),"PROTECTED","CHECK_ONLY")</x:f>
        <x:v>CHECK_ONLY</x:v>
      </x:c>
      <x:c r="CE36" t="str">
        <x:f>IF(AND(CD36="FORMAT_APPROVED",CU36="CÓ",CV36="CÓ",CH36="CÓ",CI36="CÓ",CJ36="CÓ"),"CÓ","KHÔNG")</x:f>
        <x:v>KHÔNG</x:v>
      </x:c>
      <x:c r="CF36" t="str">
        <x:v>KHÔNG</x:v>
      </x:c>
      <x:c r="CG36" t="str">
        <x:v>CÓ</x:v>
      </x:c>
      <x:c r="CH36" t="str">
        <x:v>KHÔNG</x:v>
      </x:c>
      <x:c r="CI36" t="str">
        <x:v>KHÔNG</x:v>
      </x:c>
      <x:c r="CJ36" t="str">
        <x:v>KHÔNG</x:v>
      </x:c>
      <x:c r="CK36" t="str">
        <x:f>IF(AND(CE36="CÓ",CF36="KHÔNG",CG36="CÓ",CU36="CÓ",CV36="CÓ",CH36="CÓ",CI36="CÓ",CJ36="CÓ"),"CÓ","KHÔNG")</x:f>
        <x:v>KHÔNG</x:v>
      </x:c>
      <x:c r="CL36" t="str">
        <x:v>PILOT_NORTH_PROFILE_DRAFT; chưa có master DOCX đã duyệt</x:v>
      </x:c>
      <x:c r="CM36" t="str">
        <x:v>v1.5 (nâng từ v1.4)</x:v>
      </x:c>
      <x:c r="CN36" t="str">
        <x:v>CẦN XÁC MINH TÊN/QUY CHẾ</x:v>
      </x:c>
      <x:c r="CO36" t="str">
        <x:v>ND30_N_DIEU_SO_DIEU_FIELD_ONLY; chưa tạo trong Word</x:v>
      </x:c>
      <x:c r="CP36" t="str">
        <x:v>Preset là cấu hình Công ty; không thay thế giới hạn của nguồn NĐ30/HD05</x:v>
      </x:c>
      <x:c r="CQ36" t="str">
        <x:f>IF(OR(BH36="CÓ",BH36=TRUE),BI36,"")</x:f>
      </x:c>
      <x:c r="CR36" t="str">
        <x:f>IF(OR(BH36="CÓ",BH36=TRUE),BJ36,"")</x:f>
      </x:c>
      <x:c r="CS36" t="str">
        <x:v>FORMAT_CHECK_ONLY</x:v>
      </x:c>
      <x:c r="CT36" t="str">
        <x:v>PENDING_SOURCE_AND_DOCX_QA</x:v>
      </x:c>
      <x:c r="CU36" t="str">
        <x:v>KHÔNG</x:v>
      </x:c>
      <x:c r="CV36" t="str">
        <x:v>KHÔNG</x:v>
      </x:c>
      <x:c r="CW36" t="str"/>
    </x:row>
    <x:row r="37" ht="29" customHeight="1">
      <x:c r="A37" s="125" t="n">
        <x:v>31</x:v>
      </x:c>
      <x:c r="B37" s="123" t="str">
        <x:v>ND30.N.DIEU.TEN_DIEU</x:v>
      </x:c>
      <x:c r="C37" s="123" t="str">
        <x:v>Nội dung</x:v>
      </x:c>
      <x:c r="D37" s="123" t="str">
        <x:v>Điều</x:v>
      </x:c>
      <x:c r="E37" s="123" t="str">
        <x:v>Tên điều</x:v>
      </x:c>
      <x:c r="F37" s="123" t="str">
        <x:v>6</x:v>
      </x:c>
      <x:c r="G37" s="123" t="str">
        <x:v>Theo loại văn bản và sự hiện diện thực tế; không áp dụng đồng loạt</x:v>
      </x:c>
      <x:c r="H37" s="123" t="str">
        <x:v>Tên điều</x:v>
      </x:c>
      <x:c r="I37" s="123" t="str">
        <x:v>Times New Roman | Unicode | đen</x:v>
      </x:c>
      <x:c r="J37" s="126" t="str">
        <x:v>14</x:v>
      </x:c>
      <x:c r="K37" s="123" t="str">
        <x:v>In thường</x:v>
      </x:c>
      <x:c r="L37" s="123" t="str">
        <x:v>Có</x:v>
      </x:c>
      <x:c r="M37" s="123" t="str">
        <x:v>Không mặc định</x:v>
      </x:c>
      <x:c r="N37" s="123" t="str">
        <x:v>Căn đều hai lề (justify)</x:v>
      </x:c>
      <x:c r="O37" s="124" t="str">
        <x:v>Exactly 19 pt; after 6 pt; before 0 pt</x:v>
      </x:c>
      <x:c r="P37" s="124" t="str">
        <x:v>First line 12,7 mm (0,5 in = 720 twip)</x:v>
      </x:c>
      <x:c r="Q37" s="123"/>
      <x:c r="R37" s="123" t="str">
        <x:v>Paragraph/Run theo kiểu khối DIEU; preserve list numbering/table/drawing nếu có</x:v>
      </x:c>
      <x:c r="S37" s="123" t="str">
        <x:v>TNR 14 pt; nội dung 19/6; nhãn/số/tên điều có style riêng | QA giãn dòng thực tế khi render</x:v>
      </x:c>
      <x:c r="T37" s="123" t="str">
        <x:v>NĐ30, Phụ lục I, Phần I, II.6; V.6</x:v>
      </x:c>
      <x:c r="U37" s="123" t="str">
        <x:v>https://datafiles.chinhphu.vn/cpp/files/vbpq/2020/03/30.signed.pdf</x:v>
      </x:c>
      <x:c r="V37" s="123" t="str">
        <x:v>https://riam.edu.vn/nghi-dinh-ve-cong-tac-van-thu-phu-luc/</x:v>
      </x:c>
      <x:c r="W37" s="123" t="str">
        <x:v>CHƯA ĐỦ BẰNG CHỨNG</x:v>
      </x:c>
      <x:c r="X37" s="123" t="str">
        <x:v>FORMAT_AFTER_REVIEW</x:v>
      </x:c>
      <x:c r="Y37" s="123" t="str">
        <x:v>Không tự chèn/sửa khi chưa có chứng cứ về đối tượng và rule. | Trạng thái v1.0: CÓ ĐIỀU KIỆN | So sánh chéo cũ (không dùng làm rule): NĐ30: “Điều 1.”; phần nhãn/tên đậm; HD05 tương ứng Phụ lục 2</x:v>
      </x:c>
      <x:c r="Z37" s="124" t="str">
        <x:v>TNR 14 pt; nội dung 19/6; nhãn/số/tên điều có style riêng</x:v>
      </x:c>
      <x:c r="AA37" s="123" t="str">
        <x:v>LegalArticle</x:v>
      </x:c>
      <x:c r="AB37" s="124" t="str">
        <x:v>CÓ ĐIỀU KIỆN</x:v>
      </x:c>
      <x:c r="AC37" s="123" t="str">
        <x:v>FORMAT_AFTER_REVIEW</x:v>
      </x:c>
      <x:c r="AD37" s="123" t="str">
        <x:v>PLUGIN:hoa-tieu-mien-bac-administrative-v1 | user_approved_visual_reference</x:v>
      </x:c>
      <x:c r="AE37" s="123" t="str">
        <x:v>Render 1–3 trang: so TNR 14 pt, spacing Exactly 19 pt; after 6 pt; before 0 pt, indent First line 12,7 mm (0,5 in = 720 twip); kiểm tra không tràn chữ.</x:v>
      </x:c>
      <x:c r="AF37" s="123" t="str">
        <x:v>NĐ30 chỉ quy định đơn–1,5 lines; Exactly 19 pt là preset từ profile, cần QA phù hợp. | Công ty: profile trình bày văn bản dự thảo; không mặc định thay cho văn bản pháp quy đặc thù.</x:v>
      </x:c>
      <x:c r="AG37" s="157" t="str">
        <x:v>Times New Roman</x:v>
      </x:c>
      <x:c r="AH37" s="157" t="str">
        <x:v>Unicode</x:v>
      </x:c>
      <x:c r="AI37" s="157" t="str">
        <x:v>#000000</x:v>
      </x:c>
      <x:c r="AJ37" s="195" t="n">
        <x:v>14</x:v>
      </x:c>
      <x:c r="AK37" s="157" t="str">
        <x:v>CÓ</x:v>
      </x:c>
      <x:c r="AL37" s="157" t="str">
        <x:v>CÓ ĐIỀU KIỆN</x:v>
      </x:c>
      <x:c r="AM37" s="157" t="str">
        <x:v>In thường</x:v>
      </x:c>
      <x:c r="AN37" s="157" t="str">
        <x:v>JUSTIFY</x:v>
      </x:c>
      <x:c r="AO37" s="157"/>
      <x:c r="AP37" s="157" t="str">
        <x:v>EXACT</x:v>
      </x:c>
      <x:c r="AQ37" s="195" t="n">
        <x:v>19</x:v>
      </x:c>
      <x:c r="AR37" s="157" t="str">
        <x:v>pt</x:v>
      </x:c>
      <x:c r="AS37" s="195" t="n">
        <x:v>0</x:v>
      </x:c>
      <x:c r="AT37" s="195" t="n">
        <x:v>6</x:v>
      </x:c>
      <x:c r="AU37" s="195" t="n">
        <x:v>12.7</x:v>
      </x:c>
      <x:c r="AV37" s="195"/>
      <x:c r="AW37" s="195"/>
      <x:c r="AX37" s="157"/>
      <x:c r="AY37" s="157"/>
      <x:c r="AZ37" s="157"/>
      <x:c r="BA37" s="195"/>
      <x:c r="BB37" s="195"/>
      <x:c r="BC37" s="157"/>
      <x:c r="BD37" s="195"/>
      <x:c r="BE37" s="195"/>
      <x:c r="BF37" s="195"/>
      <x:c r="BG37" s="195"/>
      <x:c r="BH37" s="157"/>
      <x:c r="BI37" s="195"/>
      <x:c r="BJ37" s="195"/>
      <x:c r="BK37" s="195"/>
      <x:c r="BL37" s="157"/>
      <x:c r="BM37" s="157"/>
      <x:c r="BN37" s="157"/>
      <x:c r="BO37" s="195"/>
      <x:c r="BP37" s="195"/>
      <x:c r="BQ37" s="157"/>
      <x:c r="BR37" s="157"/>
      <x:c r="BS37" s="157"/>
      <x:c r="BT37" s="157" t="str">
        <x:v>LegalArticle</x:v>
      </x:c>
      <x:c r="BU37" s="157" t="str">
        <x:v>Paragraph/Run theo kiểu khối DIEU; preserve list numbering/table/drawing nếu có</x:v>
      </x:c>
      <x:c r="BV37" s="196" t="str">
        <x:v>CÓ ĐIỀU KIỆN</x:v>
      </x:c>
      <x:c r="BW37" s="197" t="str">
        <x:v>ĐÃ TÁCH MỘT PHẦN</x:v>
      </x:c>
      <x:c r="BX37" s="157" t="str">
        <x:v>Đối chiếu mô tả gốc ở I–S, Z–AF nếu thuộc tính phụ thuộc mẫu.</x:v>
      </x:c>
      <x:c r="BY37" t="str">
        <x:v>ND30.N.DIEU.TEN_DIEU</x:v>
      </x:c>
      <x:c r="BZ37" t="str">
        <x:f>IFERROR(INDEX(ND30!$J$7:$J$300,MATCH($B37,ND30!$B$7:$B$300,0)),"UNRESOLVED")</x:f>
        <x:v>13–14</x:v>
      </x:c>
      <x:c r="CA37" t="str">
        <x:v>TEXT</x:v>
      </x:c>
      <x:c r="CB37" t="str">
        <x:v>issuer_scope_confirmed AND document_type_confirmed AND legal_effective_date_confirmed</x:v>
      </x:c>
      <x:c r="CC37" t="str">
        <x:f>IFERROR(INDEX(ND30!$X$7:$X$300,MATCH($B37,ND30!$B$7:$B$300,0)),"UNRESOLVED")</x:f>
        <x:v>CHỈ SAU REVIEW</x:v>
      </x:c>
      <x:c r="CD37" t="str">
        <x:f>IF(OR(ISNUMBER(SEARCH("READ_ONLY",CC37)),ISNUMBER(SEARCH("PROTECTED",CC37)),ISNUMBER(SEARCH("BẢO VỆ",CC37)),ISNUMBER(SEARCH("KHÔNG KÝ",CC37))),"PROTECTED","CHECK_ONLY")</x:f>
        <x:v>CHECK_ONLY</x:v>
      </x:c>
      <x:c r="CE37" t="str">
        <x:f>IF(AND(CD37="FORMAT_APPROVED",CU37="CÓ",CV37="CÓ",CH37="CÓ",CI37="CÓ",CJ37="CÓ"),"CÓ","KHÔNG")</x:f>
        <x:v>KHÔNG</x:v>
      </x:c>
      <x:c r="CF37" t="str">
        <x:v>KHÔNG</x:v>
      </x:c>
      <x:c r="CG37" t="str">
        <x:v>CÓ</x:v>
      </x:c>
      <x:c r="CH37" t="str">
        <x:v>KHÔNG</x:v>
      </x:c>
      <x:c r="CI37" t="str">
        <x:v>KHÔNG</x:v>
      </x:c>
      <x:c r="CJ37" t="str">
        <x:v>KHÔNG</x:v>
      </x:c>
      <x:c r="CK37" t="str">
        <x:f>IF(AND(CE37="CÓ",CF37="KHÔNG",CG37="CÓ",CU37="CÓ",CV37="CÓ",CH37="CÓ",CI37="CÓ",CJ37="CÓ"),"CÓ","KHÔNG")</x:f>
        <x:v>KHÔNG</x:v>
      </x:c>
      <x:c r="CL37" t="str">
        <x:v>PILOT_NORTH_PROFILE_DRAFT; chưa có master DOCX đã duyệt</x:v>
      </x:c>
      <x:c r="CM37" t="str">
        <x:v>v1.5 (nâng từ v1.4)</x:v>
      </x:c>
      <x:c r="CN37" t="str">
        <x:v>CẦN XÁC MINH TÊN/QUY CHẾ</x:v>
      </x:c>
      <x:c r="CO37" t="str">
        <x:v>ND30_N_DIEU_TEN_DIEU_FIELD_ONLY; chưa tạo trong Word</x:v>
      </x:c>
      <x:c r="CP37" t="str">
        <x:v>Preset là cấu hình Công ty; không thay thế giới hạn của nguồn NĐ30/HD05</x:v>
      </x:c>
      <x:c r="CQ37" t="str">
        <x:f>IF(OR(BH37="CÓ",BH37=TRUE),BI37,"")</x:f>
      </x:c>
      <x:c r="CR37" t="str">
        <x:f>IF(OR(BH37="CÓ",BH37=TRUE),BJ37,"")</x:f>
      </x:c>
      <x:c r="CS37" t="str">
        <x:v>FORMAT_CHECK_ONLY</x:v>
      </x:c>
      <x:c r="CT37" t="str">
        <x:v>PENDING_SOURCE_AND_DOCX_QA</x:v>
      </x:c>
      <x:c r="CU37" t="str">
        <x:v>KHÔNG</x:v>
      </x:c>
      <x:c r="CV37" t="str">
        <x:v>KHÔNG</x:v>
      </x:c>
      <x:c r="CW37" t="str"/>
    </x:row>
    <x:row r="38" ht="29" customHeight="1">
      <x:c r="A38" s="125" t="n">
        <x:v>32</x:v>
      </x:c>
      <x:c r="B38" s="123" t="str">
        <x:v>ND30.N.DIEU.NOI_DUNG_DIEU</x:v>
      </x:c>
      <x:c r="C38" s="123" t="str">
        <x:v>Nội dung</x:v>
      </x:c>
      <x:c r="D38" s="123" t="str">
        <x:v>Điều</x:v>
      </x:c>
      <x:c r="E38" s="123" t="str">
        <x:v>Nội dung điều</x:v>
      </x:c>
      <x:c r="F38" s="123" t="str">
        <x:v>6</x:v>
      </x:c>
      <x:c r="G38" s="123" t="str">
        <x:v>Theo loại văn bản và sự hiện diện thực tế; không áp dụng đồng loạt</x:v>
      </x:c>
      <x:c r="H38" s="123" t="str">
        <x:v>Lời văn sau tên điều theo style body đã xác minh</x:v>
      </x:c>
      <x:c r="I38" s="123" t="str">
        <x:v>Times New Roman | Unicode | đen</x:v>
      </x:c>
      <x:c r="J38" s="126" t="str">
        <x:v>14</x:v>
      </x:c>
      <x:c r="K38" s="123" t="str">
        <x:v>In thường</x:v>
      </x:c>
      <x:c r="L38" s="123" t="str">
        <x:v>Không</x:v>
      </x:c>
      <x:c r="M38" s="123" t="str">
        <x:v>Không mặc định</x:v>
      </x:c>
      <x:c r="N38" s="123" t="str">
        <x:v>Căn đều hai lề (justify)</x:v>
      </x:c>
      <x:c r="O38" s="124" t="str">
        <x:v>Exactly 19 pt; after 6 pt; before 0 pt</x:v>
      </x:c>
      <x:c r="P38" s="124" t="str">
        <x:v>First line 12,7 mm (0,5 in = 720 twip)</x:v>
      </x:c>
      <x:c r="Q38" s="123"/>
      <x:c r="R38" s="123" t="str">
        <x:v>Paragraph/Run theo kiểu khối DIEU; preserve list numbering/table/drawing nếu có</x:v>
      </x:c>
      <x:c r="S38" s="123" t="str">
        <x:v>TNR 14 pt; nội dung 19/6; nhãn/số/tên điều có style riêng | QA giãn dòng thực tế khi render</x:v>
      </x:c>
      <x:c r="T38" s="123" t="str">
        <x:v>NĐ30, Phụ lục I, Phần I, II.6; V.6</x:v>
      </x:c>
      <x:c r="U38" s="123" t="str">
        <x:v>https://datafiles.chinhphu.vn/cpp/files/vbpq/2020/03/30.signed.pdf</x:v>
      </x:c>
      <x:c r="V38" s="123" t="str">
        <x:v>https://riam.edu.vn/nghi-dinh-ve-cong-tac-van-thu-phu-luc/</x:v>
      </x:c>
      <x:c r="W38" s="123" t="str">
        <x:v>CHƯA ĐỦ BẰNG CHỨNG</x:v>
      </x:c>
      <x:c r="X38" s="123" t="str">
        <x:v>FORMAT_AFTER_REVIEW</x:v>
      </x:c>
      <x:c r="Y38" s="123" t="str">
        <x:v>Không tự chèn/sửa khi chưa có chứng cứ về đối tượng và rule. | Trạng thái v1.0: CÓ ĐIỀU KIỆN | So sánh chéo cũ (không dùng làm rule): NĐ30: “Điều 1.”; phần nhãn/tên đậm; HD05 tương ứng Phụ lục 2</x:v>
      </x:c>
      <x:c r="Z38" s="124" t="str">
        <x:v>TNR 14 pt; nội dung 19/6; nhãn/số/tên điều có style riêng</x:v>
      </x:c>
      <x:c r="AA38" s="123" t="str">
        <x:v>LegalArticle</x:v>
      </x:c>
      <x:c r="AB38" s="124" t="str">
        <x:v>CÓ ĐIỀU KIỆN</x:v>
      </x:c>
      <x:c r="AC38" s="123" t="str">
        <x:v>FORMAT_AFTER_REVIEW</x:v>
      </x:c>
      <x:c r="AD38" s="123" t="str">
        <x:v>PLUGIN:hoa-tieu-mien-bac-administrative-v1 | user_approved_visual_reference</x:v>
      </x:c>
      <x:c r="AE38" s="123" t="str">
        <x:v>Render 1–3 trang: so TNR 14 pt, spacing Exactly 19 pt; after 6 pt; before 0 pt, indent First line 12,7 mm (0,5 in = 720 twip); kiểm tra không tràn chữ.</x:v>
      </x:c>
      <x:c r="AF38" s="123" t="str">
        <x:v>NĐ30 chỉ quy định đơn–1,5 lines; Exactly 19 pt là preset từ profile, cần QA phù hợp. | Công ty: profile trình bày văn bản dự thảo; không mặc định thay cho văn bản pháp quy đặc thù.</x:v>
      </x:c>
      <x:c r="AG38" s="157" t="str">
        <x:v>Times New Roman</x:v>
      </x:c>
      <x:c r="AH38" s="157" t="str">
        <x:v>Unicode</x:v>
      </x:c>
      <x:c r="AI38" s="157" t="str">
        <x:v>#000000</x:v>
      </x:c>
      <x:c r="AJ38" s="195" t="n">
        <x:v>14</x:v>
      </x:c>
      <x:c r="AK38" s="157" t="str">
        <x:v>KHÔNG</x:v>
      </x:c>
      <x:c r="AL38" s="157" t="str">
        <x:v>CÓ ĐIỀU KIỆN</x:v>
      </x:c>
      <x:c r="AM38" s="157" t="str">
        <x:v>In thường</x:v>
      </x:c>
      <x:c r="AN38" s="157" t="str">
        <x:v>JUSTIFY</x:v>
      </x:c>
      <x:c r="AO38" s="157"/>
      <x:c r="AP38" s="157" t="str">
        <x:v>EXACT</x:v>
      </x:c>
      <x:c r="AQ38" s="195" t="n">
        <x:v>19</x:v>
      </x:c>
      <x:c r="AR38" s="157" t="str">
        <x:v>pt</x:v>
      </x:c>
      <x:c r="AS38" s="195" t="n">
        <x:v>0</x:v>
      </x:c>
      <x:c r="AT38" s="195" t="n">
        <x:v>6</x:v>
      </x:c>
      <x:c r="AU38" s="195" t="n">
        <x:v>12.7</x:v>
      </x:c>
      <x:c r="AV38" s="195"/>
      <x:c r="AW38" s="195"/>
      <x:c r="AX38" s="157"/>
      <x:c r="AY38" s="157"/>
      <x:c r="AZ38" s="157"/>
      <x:c r="BA38" s="195"/>
      <x:c r="BB38" s="195"/>
      <x:c r="BC38" s="157"/>
      <x:c r="BD38" s="195"/>
      <x:c r="BE38" s="195"/>
      <x:c r="BF38" s="195"/>
      <x:c r="BG38" s="195"/>
      <x:c r="BH38" s="157"/>
      <x:c r="BI38" s="195"/>
      <x:c r="BJ38" s="195"/>
      <x:c r="BK38" s="195"/>
      <x:c r="BL38" s="157"/>
      <x:c r="BM38" s="157"/>
      <x:c r="BN38" s="157"/>
      <x:c r="BO38" s="195"/>
      <x:c r="BP38" s="195"/>
      <x:c r="BQ38" s="157"/>
      <x:c r="BR38" s="157"/>
      <x:c r="BS38" s="157"/>
      <x:c r="BT38" s="157" t="str">
        <x:v>LegalArticle</x:v>
      </x:c>
      <x:c r="BU38" s="157" t="str">
        <x:v>Paragraph/Run theo kiểu khối DIEU; preserve list numbering/table/drawing nếu có</x:v>
      </x:c>
      <x:c r="BV38" s="196" t="str">
        <x:v>CÓ ĐIỀU KIỆN</x:v>
      </x:c>
      <x:c r="BW38" s="197" t="str">
        <x:v>ĐÃ TÁCH MỘT PHẦN</x:v>
      </x:c>
      <x:c r="BX38" s="157" t="str">
        <x:v>Đối chiếu mô tả gốc ở I–S, Z–AF nếu thuộc tính phụ thuộc mẫu.</x:v>
      </x:c>
      <x:c r="BY38" t="str">
        <x:v>ND30.N.DIEU.NOI_DUNG_DIEU</x:v>
      </x:c>
      <x:c r="BZ38" t="str">
        <x:f>IFERROR(INDEX(ND30!$J$7:$J$300,MATCH($B38,ND30!$B$7:$B$300,0)),"UNRESOLVED")</x:f>
        <x:v>13–14</x:v>
      </x:c>
      <x:c r="CA38" t="str">
        <x:v>TEXT</x:v>
      </x:c>
      <x:c r="CB38" t="str">
        <x:v>issuer_scope_confirmed AND document_type_confirmed AND legal_effective_date_confirmed</x:v>
      </x:c>
      <x:c r="CC38" t="str">
        <x:f>IFERROR(INDEX(ND30!$X$7:$X$300,MATCH($B38,ND30!$B$7:$B$300,0)),"UNRESOLVED")</x:f>
        <x:v>CHỈ SAU REVIEW</x:v>
      </x:c>
      <x:c r="CD38" t="str">
        <x:f>IF(OR(ISNUMBER(SEARCH("READ_ONLY",CC38)),ISNUMBER(SEARCH("PROTECTED",CC38)),ISNUMBER(SEARCH("BẢO VỆ",CC38)),ISNUMBER(SEARCH("KHÔNG KÝ",CC38))),"PROTECTED","CHECK_ONLY")</x:f>
        <x:v>CHECK_ONLY</x:v>
      </x:c>
      <x:c r="CE38" t="str">
        <x:f>IF(AND(CD38="FORMAT_APPROVED",CU38="CÓ",CV38="CÓ",CH38="CÓ",CI38="CÓ",CJ38="CÓ"),"CÓ","KHÔNG")</x:f>
        <x:v>KHÔNG</x:v>
      </x:c>
      <x:c r="CF38" t="str">
        <x:v>KHÔNG</x:v>
      </x:c>
      <x:c r="CG38" t="str">
        <x:v>CÓ</x:v>
      </x:c>
      <x:c r="CH38" t="str">
        <x:v>KHÔNG</x:v>
      </x:c>
      <x:c r="CI38" t="str">
        <x:v>KHÔNG</x:v>
      </x:c>
      <x:c r="CJ38" t="str">
        <x:v>KHÔNG</x:v>
      </x:c>
      <x:c r="CK38" t="str">
        <x:f>IF(AND(CE38="CÓ",CF38="KHÔNG",CG38="CÓ",CU38="CÓ",CV38="CÓ",CH38="CÓ",CI38="CÓ",CJ38="CÓ"),"CÓ","KHÔNG")</x:f>
        <x:v>KHÔNG</x:v>
      </x:c>
      <x:c r="CL38" t="str">
        <x:v>PILOT_NORTH_PROFILE_DRAFT; chưa có master DOCX đã duyệt</x:v>
      </x:c>
      <x:c r="CM38" t="str">
        <x:v>v1.5 (nâng từ v1.4)</x:v>
      </x:c>
      <x:c r="CN38" t="str">
        <x:v>CẦN XÁC MINH TÊN/QUY CHẾ</x:v>
      </x:c>
      <x:c r="CO38" t="str">
        <x:v>ND30_N_DIEU_NOI_DUNG_DIEU_FIELD_ONLY; chưa tạo trong Word</x:v>
      </x:c>
      <x:c r="CP38" t="str">
        <x:v>Preset là cấu hình Công ty; không thay thế giới hạn của nguồn NĐ30/HD05</x:v>
      </x:c>
      <x:c r="CQ38" t="str">
        <x:f>IF(OR(BH38="CÓ",BH38=TRUE),BI38,"")</x:f>
      </x:c>
      <x:c r="CR38" t="str">
        <x:f>IF(OR(BH38="CÓ",BH38=TRUE),BJ38,"")</x:f>
      </x:c>
      <x:c r="CS38" t="str">
        <x:v>FORMAT_CHECK_ONLY</x:v>
      </x:c>
      <x:c r="CT38" t="str">
        <x:v>PENDING_SOURCE_AND_DOCX_QA</x:v>
      </x:c>
      <x:c r="CU38" t="str">
        <x:v>KHÔNG</x:v>
      </x:c>
      <x:c r="CV38" t="str">
        <x:v>KHÔNG</x:v>
      </x:c>
      <x:c r="CW38" t="str"/>
    </x:row>
    <x:row r="39" ht="29" customHeight="1">
      <x:c r="A39" s="125" t="n">
        <x:v>33</x:v>
      </x:c>
      <x:c r="B39" s="123" t="str">
        <x:v>ND30.N.KD.KHOAN</x:v>
      </x:c>
      <x:c r="C39" s="123" t="str">
        <x:v>Nội dung</x:v>
      </x:c>
      <x:c r="D39" s="123" t="str">
        <x:v>Khoản, điểm và liệt kê</x:v>
      </x:c>
      <x:c r="E39" s="123" t="str">
        <x:v>Khoản</x:v>
      </x:c>
      <x:c r="F39" s="123" t="str">
        <x:v>6</x:v>
      </x:c>
      <x:c r="G39" s="123" t="str">
        <x:v>Theo loại văn bản và sự hiện diện thực tế; không áp dụng đồng loạt</x:v>
      </x:c>
      <x:c r="H39" s="123" t="str">
        <x:v>Khoản</x:v>
      </x:c>
      <x:c r="I39" s="123" t="str">
        <x:v>Times New Roman | Unicode | đen</x:v>
      </x:c>
      <x:c r="J39" s="126" t="str">
        <x:v>14</x:v>
      </x:c>
      <x:c r="K39" s="123" t="str">
        <x:v>In thường</x:v>
      </x:c>
      <x:c r="L39" s="123" t="str">
        <x:v>Không; khoản có tiêu đề thì tiêu đề đậm</x:v>
      </x:c>
      <x:c r="M39" s="123" t="str">
        <x:v>Không mặc định</x:v>
      </x:c>
      <x:c r="N39" s="123" t="str">
        <x:v>Căn đều hai lề (justify)</x:v>
      </x:c>
      <x:c r="O39" s="124" t="str">
        <x:v>Exactly 19 pt; after 6 pt; before 0 pt</x:v>
      </x:c>
      <x:c r="P39" s="124" t="str">
        <x:v>Theo numbering/list template; body first-line 12,7/10 mm không ép vào số tự động</x:v>
      </x:c>
      <x:c r="Q39" s="123"/>
      <x:c r="R39" s="123" t="str">
        <x:v>Paragraph/Run theo kiểu khối KD; preserve list numbering/table/drawing nếu có</x:v>
      </x:c>
      <x:c r="S39" s="123" t="str">
        <x:v>TNR 14 pt; exactly 19 pt; sau 6 pt; giữ nguyên cấp số/ký hiệu | QA giãn dòng thực tế khi render</x:v>
      </x:c>
      <x:c r="T39" s="123" t="str">
        <x:v>NĐ30, Phụ lục I, Phần I, II.6; V.6</x:v>
      </x:c>
      <x:c r="U39" s="123" t="str">
        <x:v>https://datafiles.chinhphu.vn/cpp/files/vbpq/2020/03/30.signed.pdf</x:v>
      </x:c>
      <x:c r="V39" s="123" t="str">
        <x:v>https://riam.edu.vn/nghi-dinh-ve-cong-tac-van-thu-phu-luc/</x:v>
      </x:c>
      <x:c r="W39" s="123" t="str">
        <x:v>CHƯA ĐỦ BẰNG CHỨNG</x:v>
      </x:c>
      <x:c r="X39" s="123" t="str">
        <x:v>FORMAT_AFTER_REVIEW</x:v>
      </x:c>
      <x:c r="Y39" s="123" t="str">
        <x:v>Không tự chèn/sửa khi chưa có chứng cứ về đối tượng và rule. | Trạng thái v1.0: CÓ ĐIỀU KIỆN</x:v>
      </x:c>
      <x:c r="Z39" s="124" t="str">
        <x:v>TNR 14 pt; exactly 19 pt; sau 6 pt; giữ nguyên cấp số/ký hiệu</x:v>
      </x:c>
      <x:c r="AA39" s="123" t="str">
        <x:v>NumberedList</x:v>
      </x:c>
      <x:c r="AB39" s="124" t="str">
        <x:v>CÓ ĐIỀU KIỆN</x:v>
      </x:c>
      <x:c r="AC39" s="123" t="str">
        <x:v>FORMAT_AFTER_REVIEW</x:v>
      </x:c>
      <x:c r="AD39" s="123" t="str">
        <x:v>PLUGIN:hoa-tieu-mien-bac-administrative-v1 | user_approved_visual_reference</x:v>
      </x:c>
      <x:c r="AE39" s="123" t="str">
        <x:v>Render 1–3 trang: so TNR 14 pt, spacing Exactly 19 pt; after 6 pt; before 0 pt, indent Theo numbering/list template; body first-line 12,7/10 mm không ép vào số tự động; kiểm tra không tràn chữ.</x:v>
      </x:c>
      <x:c r="AF39" s="123" t="str">
        <x:v>NĐ30 chỉ quy định đơn–1,5 lines; Exactly 19 pt là preset từ profile, cần QA phù hợp. | Công ty: profile trình bày văn bản dự thảo; không mặc định thay cho văn bản pháp quy đặc thù.</x:v>
      </x:c>
      <x:c r="AG39" s="157" t="str">
        <x:v>Times New Roman</x:v>
      </x:c>
      <x:c r="AH39" s="157" t="str">
        <x:v>Unicode</x:v>
      </x:c>
      <x:c r="AI39" s="157" t="str">
        <x:v>#000000</x:v>
      </x:c>
      <x:c r="AJ39" s="195" t="n">
        <x:v>14</x:v>
      </x:c>
      <x:c r="AK39" s="157" t="str">
        <x:v>CÓ ĐIỀU KIỆN</x:v>
      </x:c>
      <x:c r="AL39" s="157" t="str">
        <x:v>CÓ ĐIỀU KIỆN</x:v>
      </x:c>
      <x:c r="AM39" s="157" t="str">
        <x:v>In thường</x:v>
      </x:c>
      <x:c r="AN39" s="157" t="str">
        <x:v>JUSTIFY</x:v>
      </x:c>
      <x:c r="AO39" s="157"/>
      <x:c r="AP39" s="157" t="str">
        <x:v>EXACT</x:v>
      </x:c>
      <x:c r="AQ39" s="195" t="n">
        <x:v>19</x:v>
      </x:c>
      <x:c r="AR39" s="157" t="str">
        <x:v>pt</x:v>
      </x:c>
      <x:c r="AS39" s="195" t="n">
        <x:v>0</x:v>
      </x:c>
      <x:c r="AT39" s="195" t="n">
        <x:v>6</x:v>
      </x:c>
      <x:c r="AU39" s="195"/>
      <x:c r="AV39" s="195"/>
      <x:c r="AW39" s="195"/>
      <x:c r="AX39" s="157"/>
      <x:c r="AY39" s="157"/>
      <x:c r="AZ39" s="157"/>
      <x:c r="BA39" s="195"/>
      <x:c r="BB39" s="195"/>
      <x:c r="BC39" s="157"/>
      <x:c r="BD39" s="195"/>
      <x:c r="BE39" s="195"/>
      <x:c r="BF39" s="195"/>
      <x:c r="BG39" s="195"/>
      <x:c r="BH39" s="157"/>
      <x:c r="BI39" s="195"/>
      <x:c r="BJ39" s="195"/>
      <x:c r="BK39" s="195"/>
      <x:c r="BL39" s="157"/>
      <x:c r="BM39" s="157"/>
      <x:c r="BN39" s="157"/>
      <x:c r="BO39" s="195"/>
      <x:c r="BP39" s="195"/>
      <x:c r="BQ39" s="157"/>
      <x:c r="BR39" s="157"/>
      <x:c r="BS39" s="157"/>
      <x:c r="BT39" s="157" t="str">
        <x:v>NumberedList</x:v>
      </x:c>
      <x:c r="BU39" s="157" t="str">
        <x:v>Paragraph/Run theo kiểu khối KD; preserve list numbering/table/drawing nếu có</x:v>
      </x:c>
      <x:c r="BV39" s="196" t="str">
        <x:v>CÓ ĐIỀU KIỆN</x:v>
      </x:c>
      <x:c r="BW39" s="197" t="str">
        <x:v>ĐÃ TÁCH MỘT PHẦN</x:v>
      </x:c>
      <x:c r="BX39" s="157" t="str">
        <x:v>Đối chiếu mô tả gốc ở I–S, Z–AF nếu thuộc tính phụ thuộc mẫu.</x:v>
      </x:c>
      <x:c r="BY39" t="str">
        <x:v>ND30.N.KD.KHOAN</x:v>
      </x:c>
      <x:c r="BZ39" t="str">
        <x:f>IFERROR(INDEX(ND30!$J$7:$J$300,MATCH($B39,ND30!$B$7:$B$300,0)),"UNRESOLVED")</x:f>
        <x:v>13–14</x:v>
      </x:c>
      <x:c r="CA39" t="str">
        <x:v>TEXT</x:v>
      </x:c>
      <x:c r="CB39" t="str">
        <x:v>issuer_scope_confirmed AND document_type_confirmed AND legal_effective_date_confirmed</x:v>
      </x:c>
      <x:c r="CC39" t="str">
        <x:f>IFERROR(INDEX(ND30!$X$7:$X$300,MATCH($B39,ND30!$B$7:$B$300,0)),"UNRESOLVED")</x:f>
        <x:v>CHỈ SAU REVIEW</x:v>
      </x:c>
      <x:c r="CD39" t="str">
        <x:f>IF(OR(ISNUMBER(SEARCH("READ_ONLY",CC39)),ISNUMBER(SEARCH("PROTECTED",CC39)),ISNUMBER(SEARCH("BẢO VỆ",CC39)),ISNUMBER(SEARCH("KHÔNG KÝ",CC39))),"PROTECTED","CHECK_ONLY")</x:f>
        <x:v>CHECK_ONLY</x:v>
      </x:c>
      <x:c r="CE39" t="str">
        <x:f>IF(AND(CD39="FORMAT_APPROVED",CU39="CÓ",CV39="CÓ",CH39="CÓ",CI39="CÓ",CJ39="CÓ"),"CÓ","KHÔNG")</x:f>
        <x:v>KHÔNG</x:v>
      </x:c>
      <x:c r="CF39" t="str">
        <x:v>KHÔNG</x:v>
      </x:c>
      <x:c r="CG39" t="str">
        <x:v>CÓ</x:v>
      </x:c>
      <x:c r="CH39" t="str">
        <x:v>KHÔNG</x:v>
      </x:c>
      <x:c r="CI39" t="str">
        <x:v>KHÔNG</x:v>
      </x:c>
      <x:c r="CJ39" t="str">
        <x:v>KHÔNG</x:v>
      </x:c>
      <x:c r="CK39" t="str">
        <x:f>IF(AND(CE39="CÓ",CF39="KHÔNG",CG39="CÓ",CU39="CÓ",CV39="CÓ",CH39="CÓ",CI39="CÓ",CJ39="CÓ"),"CÓ","KHÔNG")</x:f>
        <x:v>KHÔNG</x:v>
      </x:c>
      <x:c r="CL39" t="str">
        <x:v>PILOT_NORTH_PROFILE_DRAFT; chưa có master DOCX đã duyệt</x:v>
      </x:c>
      <x:c r="CM39" t="str">
        <x:v>v1.5 (nâng từ v1.4)</x:v>
      </x:c>
      <x:c r="CN39" t="str">
        <x:v>CẦN XÁC MINH TÊN/QUY CHẾ</x:v>
      </x:c>
      <x:c r="CO39" t="str">
        <x:v>ND30_N_KD_KHOAN_FIELD_ONLY; chưa tạo trong Word</x:v>
      </x:c>
      <x:c r="CP39" t="str">
        <x:v>Preset là cấu hình Công ty; không thay thế giới hạn của nguồn NĐ30/HD05</x:v>
      </x:c>
      <x:c r="CQ39" t="str">
        <x:f>IF(OR(BH39="CÓ",BH39=TRUE),BI39,"")</x:f>
      </x:c>
      <x:c r="CR39" t="str">
        <x:f>IF(OR(BH39="CÓ",BH39=TRUE),BJ39,"")</x:f>
      </x:c>
      <x:c r="CS39" t="str">
        <x:v>FORMAT_CHECK_ONLY</x:v>
      </x:c>
      <x:c r="CT39" t="str">
        <x:v>PENDING_SOURCE_AND_DOCX_QA</x:v>
      </x:c>
      <x:c r="CU39" t="str">
        <x:v>KHÔNG</x:v>
      </x:c>
      <x:c r="CV39" t="str">
        <x:v>KHÔNG</x:v>
      </x:c>
      <x:c r="CW39" t="str"/>
    </x:row>
    <x:row r="40" ht="29" customHeight="1">
      <x:c r="A40" s="125" t="n">
        <x:v>34</x:v>
      </x:c>
      <x:c r="B40" s="123" t="str">
        <x:v>ND30.N.KD.DIEM</x:v>
      </x:c>
      <x:c r="C40" s="123" t="str">
        <x:v>Nội dung</x:v>
      </x:c>
      <x:c r="D40" s="123" t="str">
        <x:v>Khoản, điểm và liệt kê</x:v>
      </x:c>
      <x:c r="E40" s="123" t="str">
        <x:v>Điểm</x:v>
      </x:c>
      <x:c r="F40" s="123" t="str">
        <x:v>6</x:v>
      </x:c>
      <x:c r="G40" s="123" t="str">
        <x:v>Theo loại văn bản và sự hiện diện thực tế; không áp dụng đồng loạt</x:v>
      </x:c>
      <x:c r="H40" s="123" t="str">
        <x:v>Điểm</x:v>
      </x:c>
      <x:c r="I40" s="123" t="str">
        <x:v>Times New Roman | Unicode | đen</x:v>
      </x:c>
      <x:c r="J40" s="126" t="str">
        <x:v>14</x:v>
      </x:c>
      <x:c r="K40" s="123" t="str">
        <x:v>In thường</x:v>
      </x:c>
      <x:c r="L40" s="123" t="str">
        <x:v>Không; khoản có tiêu đề thì tiêu đề đậm</x:v>
      </x:c>
      <x:c r="M40" s="123" t="str">
        <x:v>Không mặc định</x:v>
      </x:c>
      <x:c r="N40" s="123" t="str">
        <x:v>Căn đều hai lề (justify)</x:v>
      </x:c>
      <x:c r="O40" s="124" t="str">
        <x:v>Exactly 19 pt; after 6 pt; before 0 pt</x:v>
      </x:c>
      <x:c r="P40" s="124" t="str">
        <x:v>Theo numbering/list template; body first-line 12,7/10 mm không ép vào số tự động</x:v>
      </x:c>
      <x:c r="Q40" s="123"/>
      <x:c r="R40" s="123" t="str">
        <x:v>Paragraph/Run theo kiểu khối KD; preserve list numbering/table/drawing nếu có</x:v>
      </x:c>
      <x:c r="S40" s="123" t="str">
        <x:v>TNR 14 pt; exactly 19 pt; sau 6 pt; giữ nguyên cấp số/ký hiệu | QA giãn dòng thực tế khi render</x:v>
      </x:c>
      <x:c r="T40" s="123" t="str">
        <x:v>NĐ30, Phụ lục I, Phần I, II.6; V.6</x:v>
      </x:c>
      <x:c r="U40" s="123" t="str">
        <x:v>https://datafiles.chinhphu.vn/cpp/files/vbpq/2020/03/30.signed.pdf</x:v>
      </x:c>
      <x:c r="V40" s="123" t="str">
        <x:v>https://riam.edu.vn/nghi-dinh-ve-cong-tac-van-thu-phu-luc/</x:v>
      </x:c>
      <x:c r="W40" s="123" t="str">
        <x:v>CHƯA ĐỦ BẰNG CHỨNG</x:v>
      </x:c>
      <x:c r="X40" s="123" t="str">
        <x:v>FORMAT_AFTER_REVIEW</x:v>
      </x:c>
      <x:c r="Y40" s="123" t="str">
        <x:v>Không tự chèn/sửa khi chưa có chứng cứ về đối tượng và rule. | Trạng thái v1.0: CÓ ĐIỀU KIỆN</x:v>
      </x:c>
      <x:c r="Z40" s="124" t="str">
        <x:v>TNR 14 pt; exactly 19 pt; sau 6 pt; giữ nguyên cấp số/ký hiệu</x:v>
      </x:c>
      <x:c r="AA40" s="123" t="str">
        <x:v>NumberedList</x:v>
      </x:c>
      <x:c r="AB40" s="124" t="str">
        <x:v>CÓ ĐIỀU KIỆN</x:v>
      </x:c>
      <x:c r="AC40" s="123" t="str">
        <x:v>FORMAT_AFTER_REVIEW</x:v>
      </x:c>
      <x:c r="AD40" s="123" t="str">
        <x:v>PLUGIN:hoa-tieu-mien-bac-administrative-v1 | user_approved_visual_reference</x:v>
      </x:c>
      <x:c r="AE40" s="123" t="str">
        <x:v>Render 1–3 trang: so TNR 14 pt, spacing Exactly 19 pt; after 6 pt; before 0 pt, indent Theo numbering/list template; body first-line 12,7/10 mm không ép vào số tự động; kiểm tra không tràn chữ.</x:v>
      </x:c>
      <x:c r="AF40" s="123" t="str">
        <x:v>NĐ30 chỉ quy định đơn–1,5 lines; Exactly 19 pt là preset từ profile, cần QA phù hợp. | Công ty: profile trình bày văn bản dự thảo; không mặc định thay cho văn bản pháp quy đặc thù.</x:v>
      </x:c>
      <x:c r="AG40" s="157" t="str">
        <x:v>Times New Roman</x:v>
      </x:c>
      <x:c r="AH40" s="157" t="str">
        <x:v>Unicode</x:v>
      </x:c>
      <x:c r="AI40" s="157" t="str">
        <x:v>#000000</x:v>
      </x:c>
      <x:c r="AJ40" s="195" t="n">
        <x:v>14</x:v>
      </x:c>
      <x:c r="AK40" s="157" t="str">
        <x:v>CÓ ĐIỀU KIỆN</x:v>
      </x:c>
      <x:c r="AL40" s="157" t="str">
        <x:v>CÓ ĐIỀU KIỆN</x:v>
      </x:c>
      <x:c r="AM40" s="157" t="str">
        <x:v>In thường</x:v>
      </x:c>
      <x:c r="AN40" s="157" t="str">
        <x:v>JUSTIFY</x:v>
      </x:c>
      <x:c r="AO40" s="157"/>
      <x:c r="AP40" s="157" t="str">
        <x:v>EXACT</x:v>
      </x:c>
      <x:c r="AQ40" s="195" t="n">
        <x:v>19</x:v>
      </x:c>
      <x:c r="AR40" s="157" t="str">
        <x:v>pt</x:v>
      </x:c>
      <x:c r="AS40" s="195" t="n">
        <x:v>0</x:v>
      </x:c>
      <x:c r="AT40" s="195" t="n">
        <x:v>6</x:v>
      </x:c>
      <x:c r="AU40" s="195"/>
      <x:c r="AV40" s="195"/>
      <x:c r="AW40" s="195"/>
      <x:c r="AX40" s="157"/>
      <x:c r="AY40" s="157"/>
      <x:c r="AZ40" s="157"/>
      <x:c r="BA40" s="195"/>
      <x:c r="BB40" s="195"/>
      <x:c r="BC40" s="157"/>
      <x:c r="BD40" s="195"/>
      <x:c r="BE40" s="195"/>
      <x:c r="BF40" s="195"/>
      <x:c r="BG40" s="195"/>
      <x:c r="BH40" s="157"/>
      <x:c r="BI40" s="195"/>
      <x:c r="BJ40" s="195"/>
      <x:c r="BK40" s="195"/>
      <x:c r="BL40" s="157"/>
      <x:c r="BM40" s="157"/>
      <x:c r="BN40" s="157"/>
      <x:c r="BO40" s="195"/>
      <x:c r="BP40" s="195"/>
      <x:c r="BQ40" s="157"/>
      <x:c r="BR40" s="157"/>
      <x:c r="BS40" s="157"/>
      <x:c r="BT40" s="157" t="str">
        <x:v>NumberedList</x:v>
      </x:c>
      <x:c r="BU40" s="157" t="str">
        <x:v>Paragraph/Run theo kiểu khối KD; preserve list numbering/table/drawing nếu có</x:v>
      </x:c>
      <x:c r="BV40" s="196" t="str">
        <x:v>CÓ ĐIỀU KIỆN</x:v>
      </x:c>
      <x:c r="BW40" s="197" t="str">
        <x:v>ĐÃ TÁCH MỘT PHẦN</x:v>
      </x:c>
      <x:c r="BX40" s="157" t="str">
        <x:v>Đối chiếu mô tả gốc ở I–S, Z–AF nếu thuộc tính phụ thuộc mẫu.</x:v>
      </x:c>
      <x:c r="BY40" t="str">
        <x:v>ND30.N.KD.DIEM</x:v>
      </x:c>
      <x:c r="BZ40" t="str">
        <x:f>IFERROR(INDEX(ND30!$J$7:$J$300,MATCH($B40,ND30!$B$7:$B$300,0)),"UNRESOLVED")</x:f>
        <x:v>13–14</x:v>
      </x:c>
      <x:c r="CA40" t="str">
        <x:v>TEXT</x:v>
      </x:c>
      <x:c r="CB40" t="str">
        <x:v>issuer_scope_confirmed AND document_type_confirmed AND legal_effective_date_confirmed</x:v>
      </x:c>
      <x:c r="CC40" t="str">
        <x:f>IFERROR(INDEX(ND30!$X$7:$X$300,MATCH($B40,ND30!$B$7:$B$300,0)),"UNRESOLVED")</x:f>
        <x:v>CHỈ SAU REVIEW</x:v>
      </x:c>
      <x:c r="CD40" t="str">
        <x:f>IF(OR(ISNUMBER(SEARCH("READ_ONLY",CC40)),ISNUMBER(SEARCH("PROTECTED",CC40)),ISNUMBER(SEARCH("BẢO VỆ",CC40)),ISNUMBER(SEARCH("KHÔNG KÝ",CC40))),"PROTECTED","CHECK_ONLY")</x:f>
        <x:v>CHECK_ONLY</x:v>
      </x:c>
      <x:c r="CE40" t="str">
        <x:f>IF(AND(CD40="FORMAT_APPROVED",CU40="CÓ",CV40="CÓ",CH40="CÓ",CI40="CÓ",CJ40="CÓ"),"CÓ","KHÔNG")</x:f>
        <x:v>KHÔNG</x:v>
      </x:c>
      <x:c r="CF40" t="str">
        <x:v>KHÔNG</x:v>
      </x:c>
      <x:c r="CG40" t="str">
        <x:v>CÓ</x:v>
      </x:c>
      <x:c r="CH40" t="str">
        <x:v>KHÔNG</x:v>
      </x:c>
      <x:c r="CI40" t="str">
        <x:v>KHÔNG</x:v>
      </x:c>
      <x:c r="CJ40" t="str">
        <x:v>KHÔNG</x:v>
      </x:c>
      <x:c r="CK40" t="str">
        <x:f>IF(AND(CE40="CÓ",CF40="KHÔNG",CG40="CÓ",CU40="CÓ",CV40="CÓ",CH40="CÓ",CI40="CÓ",CJ40="CÓ"),"CÓ","KHÔNG")</x:f>
        <x:v>KHÔNG</x:v>
      </x:c>
      <x:c r="CL40" t="str">
        <x:v>PILOT_NORTH_PROFILE_DRAFT; chưa có master DOCX đã duyệt</x:v>
      </x:c>
      <x:c r="CM40" t="str">
        <x:v>v1.5 (nâng từ v1.4)</x:v>
      </x:c>
      <x:c r="CN40" t="str">
        <x:v>CẦN XÁC MINH TÊN/QUY CHẾ</x:v>
      </x:c>
      <x:c r="CO40" t="str">
        <x:v>ND30_N_KD_DIEM_FIELD_ONLY; chưa tạo trong Word</x:v>
      </x:c>
      <x:c r="CP40" t="str">
        <x:v>Preset là cấu hình Công ty; không thay thế giới hạn của nguồn NĐ30/HD05</x:v>
      </x:c>
      <x:c r="CQ40" t="str">
        <x:f>IF(OR(BH40="CÓ",BH40=TRUE),BI40,"")</x:f>
      </x:c>
      <x:c r="CR40" t="str">
        <x:f>IF(OR(BH40="CÓ",BH40=TRUE),BJ40,"")</x:f>
      </x:c>
      <x:c r="CS40" t="str">
        <x:v>FORMAT_CHECK_ONLY</x:v>
      </x:c>
      <x:c r="CT40" t="str">
        <x:v>PENDING_SOURCE_AND_DOCX_QA</x:v>
      </x:c>
      <x:c r="CU40" t="str">
        <x:v>KHÔNG</x:v>
      </x:c>
      <x:c r="CV40" t="str">
        <x:v>KHÔNG</x:v>
      </x:c>
      <x:c r="CW40" t="str"/>
    </x:row>
    <x:row r="41" ht="29" customHeight="1">
      <x:c r="A41" s="125" t="n">
        <x:v>35</x:v>
      </x:c>
      <x:c r="B41" s="123" t="str">
        <x:v>ND30.N.KD.DANH_SACH</x:v>
      </x:c>
      <x:c r="C41" s="123" t="str">
        <x:v>Nội dung</x:v>
      </x:c>
      <x:c r="D41" s="123" t="str">
        <x:v>Khoản, điểm và liệt kê</x:v>
      </x:c>
      <x:c r="E41" s="123" t="str">
        <x:v>Danh sách liệt kê</x:v>
      </x:c>
      <x:c r="F41" s="123" t="str">
        <x:v>6</x:v>
      </x:c>
      <x:c r="G41" s="123" t="str">
        <x:v>Theo loại văn bản và sự hiện diện thực tế; không áp dụng đồng loạt</x:v>
      </x:c>
      <x:c r="H41" s="123" t="str">
        <x:v>Danh sách nghiệp vụ; phải xác định numbering/list contract trước khi sửa</x:v>
      </x:c>
      <x:c r="I41" s="123" t="str">
        <x:v>Times New Roman | Unicode | đen</x:v>
      </x:c>
      <x:c r="J41" s="126" t="str">
        <x:v>14</x:v>
      </x:c>
      <x:c r="K41" s="123" t="str">
        <x:v>In thường</x:v>
      </x:c>
      <x:c r="L41" s="123" t="str">
        <x:v>Không; khoản có tiêu đề thì tiêu đề đậm</x:v>
      </x:c>
      <x:c r="M41" s="123" t="str">
        <x:v>Không mặc định</x:v>
      </x:c>
      <x:c r="N41" s="123" t="str">
        <x:v>Căn đều hai lề (justify)</x:v>
      </x:c>
      <x:c r="O41" s="124" t="str">
        <x:v>Exactly 19 pt; after 6 pt; before 0 pt</x:v>
      </x:c>
      <x:c r="P41" s="124" t="str">
        <x:v>Theo numbering/list template; body first-line 12,7/10 mm không ép vào số tự động</x:v>
      </x:c>
      <x:c r="Q41" s="123"/>
      <x:c r="R41" s="123" t="str">
        <x:v>Paragraph/Run theo kiểu khối KD; preserve list numbering/table/drawing nếu có</x:v>
      </x:c>
      <x:c r="S41" s="123" t="str">
        <x:v>TNR 14 pt; exactly 19 pt; sau 6 pt; giữ nguyên cấp số/ký hiệu | QA giãn dòng thực tế khi render</x:v>
      </x:c>
      <x:c r="T41" s="123" t="str">
        <x:v>NĐ30, Phụ lục I, Phần I, II.6; V.6</x:v>
      </x:c>
      <x:c r="U41" s="123" t="str">
        <x:v>https://datafiles.chinhphu.vn/cpp/files/vbpq/2020/03/30.signed.pdf</x:v>
      </x:c>
      <x:c r="V41" s="123" t="str">
        <x:v>https://riam.edu.vn/nghi-dinh-ve-cong-tac-van-thu-phu-luc/</x:v>
      </x:c>
      <x:c r="W41" s="123" t="str">
        <x:v>CẦN RÀ SOÁT</x:v>
      </x:c>
      <x:c r="X41" s="123" t="str">
        <x:v>FORMAT_AFTER_REVIEW</x:v>
      </x:c>
      <x:c r="Y41" s="123" t="str">
        <x:v>Không tự chèn/sửa khi chưa có chứng cứ về đối tượng và rule.</x:v>
      </x:c>
      <x:c r="Z41" s="124" t="str">
        <x:v>TNR 14 pt; exactly 19 pt; sau 6 pt; giữ nguyên cấp số/ký hiệu</x:v>
      </x:c>
      <x:c r="AA41" s="123" t="str">
        <x:v>NumberedList</x:v>
      </x:c>
      <x:c r="AB41" s="124" t="str">
        <x:v>CÓ ĐIỀU KIỆN</x:v>
      </x:c>
      <x:c r="AC41" s="123" t="str">
        <x:v>FORMAT_AFTER_REVIEW</x:v>
      </x:c>
      <x:c r="AD41" s="123" t="str">
        <x:v>PLUGIN:hoa-tieu-mien-bac-administrative-v1 | user_approved_visual_reference</x:v>
      </x:c>
      <x:c r="AE41" s="123" t="str">
        <x:v>Render 1–3 trang: so TNR 14 pt, spacing Exactly 19 pt; after 6 pt; before 0 pt, indent Theo numbering/list template; body first-line 12,7/10 mm không ép vào số tự động; kiểm tra không tràn chữ.</x:v>
      </x:c>
      <x:c r="AF41" s="123" t="str">
        <x:v>NĐ30 chỉ quy định đơn–1,5 lines; Exactly 19 pt là preset từ profile, cần QA phù hợp. | Công ty: profile trình bày văn bản dự thảo; không mặc định thay cho văn bản pháp quy đặc thù.</x:v>
      </x:c>
      <x:c r="AG41" s="157" t="str">
        <x:v>Times New Roman</x:v>
      </x:c>
      <x:c r="AH41" s="157" t="str">
        <x:v>Unicode</x:v>
      </x:c>
      <x:c r="AI41" s="157" t="str">
        <x:v>#000000</x:v>
      </x:c>
      <x:c r="AJ41" s="195" t="n">
        <x:v>14</x:v>
      </x:c>
      <x:c r="AK41" s="157" t="str">
        <x:v>CÓ ĐIỀU KIỆN</x:v>
      </x:c>
      <x:c r="AL41" s="157" t="str">
        <x:v>CÓ ĐIỀU KIỆN</x:v>
      </x:c>
      <x:c r="AM41" s="157" t="str">
        <x:v>In thường</x:v>
      </x:c>
      <x:c r="AN41" s="157" t="str">
        <x:v>JUSTIFY</x:v>
      </x:c>
      <x:c r="AO41" s="157"/>
      <x:c r="AP41" s="157" t="str">
        <x:v>EXACT</x:v>
      </x:c>
      <x:c r="AQ41" s="195" t="n">
        <x:v>19</x:v>
      </x:c>
      <x:c r="AR41" s="157" t="str">
        <x:v>pt</x:v>
      </x:c>
      <x:c r="AS41" s="195" t="n">
        <x:v>0</x:v>
      </x:c>
      <x:c r="AT41" s="195" t="n">
        <x:v>6</x:v>
      </x:c>
      <x:c r="AU41" s="195"/>
      <x:c r="AV41" s="195"/>
      <x:c r="AW41" s="195"/>
      <x:c r="AX41" s="157"/>
      <x:c r="AY41" s="157"/>
      <x:c r="AZ41" s="157"/>
      <x:c r="BA41" s="195"/>
      <x:c r="BB41" s="195"/>
      <x:c r="BC41" s="157"/>
      <x:c r="BD41" s="195"/>
      <x:c r="BE41" s="195"/>
      <x:c r="BF41" s="195"/>
      <x:c r="BG41" s="195"/>
      <x:c r="BH41" s="157"/>
      <x:c r="BI41" s="195"/>
      <x:c r="BJ41" s="195"/>
      <x:c r="BK41" s="195"/>
      <x:c r="BL41" s="157"/>
      <x:c r="BM41" s="157"/>
      <x:c r="BN41" s="157"/>
      <x:c r="BO41" s="195"/>
      <x:c r="BP41" s="195"/>
      <x:c r="BQ41" s="157"/>
      <x:c r="BR41" s="157"/>
      <x:c r="BS41" s="157"/>
      <x:c r="BT41" s="157" t="str">
        <x:v>NumberedList</x:v>
      </x:c>
      <x:c r="BU41" s="157" t="str">
        <x:v>Paragraph/Run theo kiểu khối KD; preserve list numbering/table/drawing nếu có</x:v>
      </x:c>
      <x:c r="BV41" s="196" t="str">
        <x:v>CÓ ĐIỀU KIỆN</x:v>
      </x:c>
      <x:c r="BW41" s="197" t="str">
        <x:v>ĐÃ TÁCH MỘT PHẦN</x:v>
      </x:c>
      <x:c r="BX41" s="157" t="str">
        <x:v>Đối chiếu mô tả gốc ở I–S, Z–AF nếu thuộc tính phụ thuộc mẫu.</x:v>
      </x:c>
      <x:c r="BY41" t="str">
        <x:v>ND30.N.KD.DANH_SACH</x:v>
      </x:c>
      <x:c r="BZ41" t="str">
        <x:f>IFERROR(INDEX(ND30!$J$7:$J$300,MATCH($B41,ND30!$B$7:$B$300,0)),"UNRESOLVED")</x:f>
        <x:v>13–14</x:v>
      </x:c>
      <x:c r="CA41" t="str">
        <x:v>TEXT</x:v>
      </x:c>
      <x:c r="CB41" t="str">
        <x:v>issuer_scope_confirmed AND document_type_confirmed AND legal_effective_date_confirmed</x:v>
      </x:c>
      <x:c r="CC41" t="str">
        <x:f>IFERROR(INDEX(ND30!$X$7:$X$300,MATCH($B41,ND30!$B$7:$B$300,0)),"UNRESOLVED")</x:f>
        <x:v>CHỈ SAU REVIEW</x:v>
      </x:c>
      <x:c r="CD41" t="str">
        <x:f>IF(OR(ISNUMBER(SEARCH("READ_ONLY",CC41)),ISNUMBER(SEARCH("PROTECTED",CC41)),ISNUMBER(SEARCH("BẢO VỆ",CC41)),ISNUMBER(SEARCH("KHÔNG KÝ",CC41))),"PROTECTED","CHECK_ONLY")</x:f>
        <x:v>CHECK_ONLY</x:v>
      </x:c>
      <x:c r="CE41" t="str">
        <x:f>IF(AND(CD41="FORMAT_APPROVED",CU41="CÓ",CV41="CÓ",CH41="CÓ",CI41="CÓ",CJ41="CÓ"),"CÓ","KHÔNG")</x:f>
        <x:v>KHÔNG</x:v>
      </x:c>
      <x:c r="CF41" t="str">
        <x:v>KHÔNG</x:v>
      </x:c>
      <x:c r="CG41" t="str">
        <x:v>CÓ</x:v>
      </x:c>
      <x:c r="CH41" t="str">
        <x:v>KHÔNG</x:v>
      </x:c>
      <x:c r="CI41" t="str">
        <x:v>KHÔNG</x:v>
      </x:c>
      <x:c r="CJ41" t="str">
        <x:v>KHÔNG</x:v>
      </x:c>
      <x:c r="CK41" t="str">
        <x:f>IF(AND(CE41="CÓ",CF41="KHÔNG",CG41="CÓ",CU41="CÓ",CV41="CÓ",CH41="CÓ",CI41="CÓ",CJ41="CÓ"),"CÓ","KHÔNG")</x:f>
        <x:v>KHÔNG</x:v>
      </x:c>
      <x:c r="CL41" t="str">
        <x:v>PILOT_NORTH_PROFILE_DRAFT; chưa có master DOCX đã duyệt</x:v>
      </x:c>
      <x:c r="CM41" t="str">
        <x:v>v1.5 (nâng từ v1.4)</x:v>
      </x:c>
      <x:c r="CN41" t="str">
        <x:v>CẦN XÁC MINH TÊN/QUY CHẾ</x:v>
      </x:c>
      <x:c r="CO41" t="str">
        <x:v>ND30_N_KD_DANH_SACH_FIELD_ONLY; chưa tạo trong Word</x:v>
      </x:c>
      <x:c r="CP41" t="str">
        <x:v>Preset là cấu hình Công ty; không thay thế giới hạn của nguồn NĐ30/HD05</x:v>
      </x:c>
      <x:c r="CQ41" t="str">
        <x:f>IF(OR(BH41="CÓ",BH41=TRUE),BI41,"")</x:f>
      </x:c>
      <x:c r="CR41" t="str">
        <x:f>IF(OR(BH41="CÓ",BH41=TRUE),BJ41,"")</x:f>
      </x:c>
      <x:c r="CS41" t="str">
        <x:v>FORMAT_CHECK_ONLY</x:v>
      </x:c>
      <x:c r="CT41" t="str">
        <x:v>PENDING_SOURCE_AND_DOCX_QA</x:v>
      </x:c>
      <x:c r="CU41" t="str">
        <x:v>KHÔNG</x:v>
      </x:c>
      <x:c r="CV41" t="str">
        <x:v>KHÔNG</x:v>
      </x:c>
      <x:c r="CW41" t="str"/>
    </x:row>
    <x:row r="42" ht="29" customHeight="1">
      <x:c r="A42" s="125" t="n">
        <x:v>36</x:v>
      </x:c>
      <x:c r="B42" s="123" t="str">
        <x:v>ND30.N.DOAN.VAN_BAN</x:v>
      </x:c>
      <x:c r="C42" s="123" t="str">
        <x:v>Nội dung</x:v>
      </x:c>
      <x:c r="D42" s="123" t="str">
        <x:v>Đoạn văn</x:v>
      </x:c>
      <x:c r="E42" s="123" t="str">
        <x:v>Nội dung đoạn văn thông thường</x:v>
      </x:c>
      <x:c r="F42" s="123" t="str">
        <x:v>6</x:v>
      </x:c>
      <x:c r="G42" s="123" t="str">
        <x:v>Theo loại văn bản và sự hiện diện thực tế; không áp dụng đồng loạt</x:v>
      </x:c>
      <x:c r="H42" s="123" t="str">
        <x:v>Đoạn văn thông thường: chữ đứng, căn đều 2 lề</x:v>
      </x:c>
      <x:c r="I42" s="123" t="str">
        <x:v>Times New Roman | Unicode | đen</x:v>
      </x:c>
      <x:c r="J42" s="126" t="str">
        <x:v>14</x:v>
      </x:c>
      <x:c r="K42" s="123" t="str">
        <x:v>In thường (trừ tiêu đề)</x:v>
      </x:c>
      <x:c r="L42" s="123" t="str">
        <x:v>Không</x:v>
      </x:c>
      <x:c r="M42" s="123" t="str">
        <x:v>Không mặc định</x:v>
      </x:c>
      <x:c r="N42" s="123" t="str">
        <x:v>Căn đều hai lề (justify)</x:v>
      </x:c>
      <x:c r="O42" s="124" t="str">
        <x:v>Exactly 19 pt; after 6 pt; before 0 pt</x:v>
      </x:c>
      <x:c r="P42" s="124" t="str">
        <x:v>First line 12,7 mm (0,5 in = 720 twip)</x:v>
      </x:c>
      <x:c r="Q42" s="123"/>
      <x:c r="R42" s="123" t="str">
        <x:v>Paragraph/Run theo kiểu khối DOAN; preserve list numbering/table/drawing nếu có</x:v>
      </x:c>
      <x:c r="S42" s="123" t="str">
        <x:v>TNR 14 pt; căn đều; Exactly 19 pt; trước 0/sau 6 pt; thụt dòng đầu 12,7 mm | QA giãn dòng thực tế khi render</x:v>
      </x:c>
      <x:c r="T42" s="123" t="str">
        <x:v>NĐ30, Phụ lục I, Phần I, II.6; V.6</x:v>
      </x:c>
      <x:c r="U42" s="123" t="str">
        <x:v>https://datafiles.chinhphu.vn/cpp/files/vbpq/2020/03/30.signed.pdf</x:v>
      </x:c>
      <x:c r="V42" s="123" t="str">
        <x:v>https://riam.edu.vn/nghi-dinh-ve-cong-tac-van-thu-phu-luc/</x:v>
      </x:c>
      <x:c r="W42" s="123" t="str">
        <x:v>ĐỐI CHIẾU MỘT PHẦN</x:v>
      </x:c>
      <x:c r="X42" s="123" t="str">
        <x:v>FORMAT_AFTER_REVIEW</x:v>
      </x:c>
      <x:c r="Y42" s="123" t="str">
        <x:v>Không tự chèn/sửa khi chưa có chứng cứ về đối tượng và rule.</x:v>
      </x:c>
      <x:c r="Z42" s="124" t="str">
        <x:v>TNR 14 pt; căn đều; Exactly 19 pt; trước 0/sau 6 pt; thụt dòng đầu 12,7 mm</x:v>
      </x:c>
      <x:c r="AA42" s="123" t="str">
        <x:v>BodyText-14</x:v>
      </x:c>
      <x:c r="AB42" s="124" t="str">
        <x:v>THAM KHẢO</x:v>
      </x:c>
      <x:c r="AC42" s="123" t="str">
        <x:v>FORMAT_AFTER_REVIEW</x:v>
      </x:c>
      <x:c r="AD42" s="123" t="str">
        <x:v>PLUGIN:hoa-tieu-mien-bac-administrative-v1 | user_approved_visual_reference</x:v>
      </x:c>
      <x:c r="AE42" s="123" t="str">
        <x:v>Render 1–3 trang: so TNR 14 pt, spacing Exactly 19 pt; after 6 pt; before 0 pt, indent First line 12,7 mm (0,5 in = 720 twip); kiểm tra không tràn chữ.</x:v>
      </x:c>
      <x:c r="AF42" s="123" t="str">
        <x:v>NĐ30 chỉ quy định đơn–1,5 lines; Exactly 19 pt là preset từ profile, cần QA phù hợp. | Công ty: profile trình bày văn bản dự thảo; không mặc định thay cho văn bản pháp quy đặc thù.</x:v>
      </x:c>
      <x:c r="AG42" s="157" t="str">
        <x:v>Times New Roman</x:v>
      </x:c>
      <x:c r="AH42" s="157" t="str">
        <x:v>Unicode</x:v>
      </x:c>
      <x:c r="AI42" s="157" t="str">
        <x:v>#000000</x:v>
      </x:c>
      <x:c r="AJ42" s="195" t="n">
        <x:v>14</x:v>
      </x:c>
      <x:c r="AK42" s="157" t="str">
        <x:v>KHÔNG</x:v>
      </x:c>
      <x:c r="AL42" s="157" t="str">
        <x:v>CÓ ĐIỀU KIỆN</x:v>
      </x:c>
      <x:c r="AM42" s="157" t="str">
        <x:v>In thường (trừ tiêu đề)</x:v>
      </x:c>
      <x:c r="AN42" s="157" t="str">
        <x:v>JUSTIFY</x:v>
      </x:c>
      <x:c r="AO42" s="157"/>
      <x:c r="AP42" s="157" t="str">
        <x:v>EXACT</x:v>
      </x:c>
      <x:c r="AQ42" s="195" t="n">
        <x:v>19</x:v>
      </x:c>
      <x:c r="AR42" s="157" t="str">
        <x:v>pt</x:v>
      </x:c>
      <x:c r="AS42" s="195" t="n">
        <x:v>0</x:v>
      </x:c>
      <x:c r="AT42" s="195" t="n">
        <x:v>6</x:v>
      </x:c>
      <x:c r="AU42" s="195" t="n">
        <x:v>12.7</x:v>
      </x:c>
      <x:c r="AV42" s="195"/>
      <x:c r="AW42" s="195"/>
      <x:c r="AX42" s="157"/>
      <x:c r="AY42" s="157"/>
      <x:c r="AZ42" s="157"/>
      <x:c r="BA42" s="195"/>
      <x:c r="BB42" s="195"/>
      <x:c r="BC42" s="157"/>
      <x:c r="BD42" s="195"/>
      <x:c r="BE42" s="195"/>
      <x:c r="BF42" s="195"/>
      <x:c r="BG42" s="195"/>
      <x:c r="BH42" s="157"/>
      <x:c r="BI42" s="195"/>
      <x:c r="BJ42" s="195"/>
      <x:c r="BK42" s="195"/>
      <x:c r="BL42" s="157"/>
      <x:c r="BM42" s="157"/>
      <x:c r="BN42" s="157"/>
      <x:c r="BO42" s="195"/>
      <x:c r="BP42" s="195"/>
      <x:c r="BQ42" s="157"/>
      <x:c r="BR42" s="157"/>
      <x:c r="BS42" s="157"/>
      <x:c r="BT42" s="157" t="str">
        <x:v>BodyText-14</x:v>
      </x:c>
      <x:c r="BU42" s="157" t="str">
        <x:v>Paragraph/Run theo kiểu khối DOAN; preserve list numbering/table/drawing nếu có</x:v>
      </x:c>
      <x:c r="BV42" s="196" t="str">
        <x:v>THAM KHẢO</x:v>
      </x:c>
      <x:c r="BW42" s="197" t="str">
        <x:v>ĐÃ TÁCH MỘT PHẦN</x:v>
      </x:c>
      <x:c r="BX42" s="157" t="str">
        <x:v>Đối chiếu mô tả gốc ở I–S, Z–AF nếu thuộc tính phụ thuộc mẫu.</x:v>
      </x:c>
      <x:c r="BY42" t="str">
        <x:v>ND30.N.DOAN.VAN_BAN</x:v>
      </x:c>
      <x:c r="BZ42" t="str">
        <x:f>IFERROR(INDEX(ND30!$J$7:$J$300,MATCH($B42,ND30!$B$7:$B$300,0)),"UNRESOLVED")</x:f>
        <x:v>13–14</x:v>
      </x:c>
      <x:c r="CA42" t="str">
        <x:v>TEXT</x:v>
      </x:c>
      <x:c r="CB42" t="str">
        <x:v>issuer_scope_confirmed AND document_type_confirmed AND legal_effective_date_confirmed</x:v>
      </x:c>
      <x:c r="CC42" t="str">
        <x:f>IFERROR(INDEX(ND30!$X$7:$X$300,MATCH($B42,ND30!$B$7:$B$300,0)),"UNRESOLVED")</x:f>
        <x:v>CHỈ SAU REVIEW</x:v>
      </x:c>
      <x:c r="CD42" t="str">
        <x:f>IF(OR(ISNUMBER(SEARCH("READ_ONLY",CC42)),ISNUMBER(SEARCH("PROTECTED",CC42)),ISNUMBER(SEARCH("BẢO VỆ",CC42)),ISNUMBER(SEARCH("KHÔNG KÝ",CC42))),"PROTECTED","CHECK_ONLY")</x:f>
        <x:v>CHECK_ONLY</x:v>
      </x:c>
      <x:c r="CE42" t="str">
        <x:f>IF(AND(CD42="FORMAT_APPROVED",CU42="CÓ",CV42="CÓ",CH42="CÓ",CI42="CÓ",CJ42="CÓ"),"CÓ","KHÔNG")</x:f>
        <x:v>KHÔNG</x:v>
      </x:c>
      <x:c r="CF42" t="str">
        <x:v>KHÔNG</x:v>
      </x:c>
      <x:c r="CG42" t="str">
        <x:v>CÓ</x:v>
      </x:c>
      <x:c r="CH42" t="str">
        <x:v>KHÔNG</x:v>
      </x:c>
      <x:c r="CI42" t="str">
        <x:v>KHÔNG</x:v>
      </x:c>
      <x:c r="CJ42" t="str">
        <x:v>KHÔNG</x:v>
      </x:c>
      <x:c r="CK42" t="str">
        <x:f>IF(AND(CE42="CÓ",CF42="KHÔNG",CG42="CÓ",CU42="CÓ",CV42="CÓ",CH42="CÓ",CI42="CÓ",CJ42="CÓ"),"CÓ","KHÔNG")</x:f>
        <x:v>KHÔNG</x:v>
      </x:c>
      <x:c r="CL42" t="str">
        <x:v>PILOT_NORTH_PROFILE_DRAFT; chưa có master DOCX đã duyệt</x:v>
      </x:c>
      <x:c r="CM42" t="str">
        <x:v>v1.5 (nâng từ v1.4)</x:v>
      </x:c>
      <x:c r="CN42" t="str">
        <x:v>CẦN XÁC MINH TÊN/QUY CHẾ</x:v>
      </x:c>
      <x:c r="CO42" t="str">
        <x:v>ND30_N_DOAN_VAN_BAN_FIELD_ONLY; chưa tạo trong Word</x:v>
      </x:c>
      <x:c r="CP42" t="str">
        <x:v>Preset là cấu hình Công ty; không thay thế giới hạn của nguồn NĐ30/HD05</x:v>
      </x:c>
      <x:c r="CQ42" t="str">
        <x:f>IF(OR(BH42="CÓ",BH42=TRUE),BI42,"")</x:f>
      </x:c>
      <x:c r="CR42" t="str">
        <x:f>IF(OR(BH42="CÓ",BH42=TRUE),BJ42,"")</x:f>
      </x:c>
      <x:c r="CS42" t="str">
        <x:v>FORMAT_CHECK_ONLY</x:v>
      </x:c>
      <x:c r="CT42" t="str">
        <x:v>PENDING_SOURCE_AND_DOCX_QA</x:v>
      </x:c>
      <x:c r="CU42" t="str">
        <x:v>KHÔNG</x:v>
      </x:c>
      <x:c r="CV42" t="str">
        <x:v>KHÔNG</x:v>
      </x:c>
      <x:c r="CW42" t="str"/>
    </x:row>
    <x:row r="43" ht="29" customHeight="1">
      <x:c r="A43" s="125" t="n">
        <x:v>37</x:v>
      </x:c>
      <x:c r="B43" s="123" t="str">
        <x:v>ND30.N.BANG.TIEU_DE</x:v>
      </x:c>
      <x:c r="C43" s="123" t="str">
        <x:v>Nội dung</x:v>
      </x:c>
      <x:c r="D43" s="123" t="str">
        <x:v>Bảng trong nội dung</x:v>
      </x:c>
      <x:c r="E43" s="123" t="str">
        <x:v>Tiêu đề bảng</x:v>
      </x:c>
      <x:c r="F43" s="123" t="str">
        <x:v>6</x:v>
      </x:c>
      <x:c r="G43" s="123" t="str">
        <x:v>Khi tài liệu có bảng dữ liệu thực tế; không dùng cho bảng bố cục header</x:v>
      </x:c>
      <x:c r="H43" s="123" t="str">
        <x:v>Bảng trong nội dung: giữ dữ liệu, tiêu đề, đường viền, ô gộp, chiều cao hàng, ngắt trang</x:v>
      </x:c>
      <x:c r="I43" s="123" t="str">
        <x:v>Times New Roman | Unicode | đen</x:v>
      </x:c>
      <x:c r="J43" s="126" t="str">
        <x:v>13</x:v>
      </x:c>
      <x:c r="K43" s="123" t="str">
        <x:v>Theo nội dung</x:v>
      </x:c>
      <x:c r="L43" s="123" t="str">
        <x:v>Có</x:v>
      </x:c>
      <x:c r="M43" s="123" t="str">
        <x:v>Không</x:v>
      </x:c>
      <x:c r="N43" s="123" t="str">
        <x:v>Trái với ô chữ; giữa với ô số và tiêu đề (theo kiểu cột)</x:v>
      </x:c>
      <x:c r="O43" s="124" t="str">
        <x:v>Multiple 1,0; before 0 / after 0 pt (preset bảng)</x:v>
      </x:c>
      <x:c r="P43" s="124" t="str">
        <x:v>First line 0; padding ô 1,5 mm (preset)</x:v>
      </x:c>
      <x:c r="Q43" s="123"/>
      <x:c r="R43" s="123" t="str">
        <x:v>w:tbl/w:tr/w:tc; không dùng AI để tự gộp hoặc tái bố cục</x:v>
      </x:c>
      <x:c r="S43" s="123" t="str">
        <x:v>TNR 13 pt; ô tiêu đề đậm, căn giữa; hàng dữ liệu 13 pt | QA giãn dòng thực tế khi render</x:v>
      </x:c>
      <x:c r="T43" s="123" t="str">
        <x:v>NĐ30, Phụ lục I, Phần I, II.6; V.6</x:v>
      </x:c>
      <x:c r="U43" s="123" t="str">
        <x:v>https://datafiles.chinhphu.vn/cpp/files/vbpq/2020/03/30.signed.pdf</x:v>
      </x:c>
      <x:c r="V43" s="123" t="str">
        <x:v>https://riam.edu.vn/nghi-dinh-ve-cong-tac-van-thu-phu-luc/</x:v>
      </x:c>
      <x:c r="W43" s="123" t="str">
        <x:v>CẦN RÀ SOÁT</x:v>
      </x:c>
      <x:c r="X43" s="123" t="str">
        <x:v>FORMAT_AFTER_REVIEW</x:v>
      </x:c>
      <x:c r="Y43" s="123" t="str">
        <x:v>Kỹ thuật tự động fit bảng chỉ là workflow của dự án; không suy thành thông số bắt buộc của NĐ30/HD05.</x:v>
      </x:c>
      <x:c r="Z43" s="124" t="str">
        <x:v>TNR 13 pt; ô tiêu đề đậm, căn giữa; hàng dữ liệu 13 pt</x:v>
      </x:c>
      <x:c r="AA43" s="123" t="str">
        <x:v>TableBody-13</x:v>
      </x:c>
      <x:c r="AB43" s="124" t="str">
        <x:v>CẦN QA RENDER</x:v>
      </x:c>
      <x:c r="AC43" s="123" t="str">
        <x:v>FORMAT_AFTER_REVIEW</x:v>
      </x:c>
      <x:c r="AD43" s="123" t="str">
        <x:v>PLUGIN:hoa-tieu-mien-bac-administrative-v1 | user_approved_visual_reference</x:v>
      </x:c>
      <x:c r="AE43" s="123" t="str">
        <x:v>Render 1–3 trang: so TNR 13 pt, spacing Multiple 1,0; before 0 / after 0 pt (preset bảng), indent First line 0; padding ô 1,5 mm (preset); kiểm tra không tràn chữ.</x:v>
      </x:c>
      <x:c r="AF43" s="123" t="str">
        <x:v>AutoFit Window → AutoFit Contents → chỉnh tay nếu cần; preset kỹ thuật, không phải luật. | Công ty: profile trình bày văn bản dự thảo; không mặc định thay cho văn bản pháp quy đặc thù.</x:v>
      </x:c>
      <x:c r="AG43" s="157" t="str">
        <x:v>Times New Roman</x:v>
      </x:c>
      <x:c r="AH43" s="157" t="str">
        <x:v>Unicode</x:v>
      </x:c>
      <x:c r="AI43" s="157" t="str">
        <x:v>#000000</x:v>
      </x:c>
      <x:c r="AJ43" s="195" t="n">
        <x:v>13</x:v>
      </x:c>
      <x:c r="AK43" s="157" t="str">
        <x:v>CÓ</x:v>
      </x:c>
      <x:c r="AL43" s="157" t="str">
        <x:v>KHÔNG</x:v>
      </x:c>
      <x:c r="AM43" s="157" t="str">
        <x:v>Theo nội dung</x:v>
      </x:c>
      <x:c r="AN43" s="157" t="str">
        <x:v>THEO TỪNG Ô</x:v>
      </x:c>
      <x:c r="AO43" s="157"/>
      <x:c r="AP43" s="157" t="str">
        <x:v>MULTIPLE</x:v>
      </x:c>
      <x:c r="AQ43" s="195" t="n">
        <x:v>1</x:v>
      </x:c>
      <x:c r="AR43" s="157" t="str">
        <x:v>lines</x:v>
      </x:c>
      <x:c r="AS43" s="195" t="n">
        <x:v>0</x:v>
      </x:c>
      <x:c r="AT43" s="195" t="n">
        <x:v>0</x:v>
      </x:c>
      <x:c r="AU43" s="195" t="n">
        <x:v>0</x:v>
      </x:c>
      <x:c r="AV43" s="195"/>
      <x:c r="AW43" s="195"/>
      <x:c r="AX43" s="157"/>
      <x:c r="AY43" s="157"/>
      <x:c r="AZ43" s="157"/>
      <x:c r="BA43" s="195"/>
      <x:c r="BB43" s="195"/>
      <x:c r="BC43" s="157"/>
      <x:c r="BD43" s="195"/>
      <x:c r="BE43" s="195"/>
      <x:c r="BF43" s="195"/>
      <x:c r="BG43" s="195"/>
      <x:c r="BH43" s="157"/>
      <x:c r="BI43" s="195"/>
      <x:c r="BJ43" s="195"/>
      <x:c r="BK43" s="195" t="n">
        <x:v>1.5</x:v>
      </x:c>
      <x:c r="BL43" s="157"/>
      <x:c r="BM43" s="157"/>
      <x:c r="BN43" s="157"/>
      <x:c r="BO43" s="195"/>
      <x:c r="BP43" s="195"/>
      <x:c r="BQ43" s="157"/>
      <x:c r="BR43" s="157"/>
      <x:c r="BS43" s="157"/>
      <x:c r="BT43" s="157" t="str">
        <x:v>TableBody-13</x:v>
      </x:c>
      <x:c r="BU43" s="157" t="str">
        <x:v>w:tbl/w:tr/w:tc; không dùng AI để tự gộp hoặc tái bố cục</x:v>
      </x:c>
      <x:c r="BV43" s="196" t="str">
        <x:v>CẦN QA RENDER</x:v>
      </x:c>
      <x:c r="BW43" s="197" t="str">
        <x:v>ĐÃ TÁCH MỘT PHẦN</x:v>
      </x:c>
      <x:c r="BX43" s="157" t="str">
        <x:v>Đối chiếu mô tả gốc ở I–S, Z–AF nếu thuộc tính phụ thuộc mẫu.</x:v>
      </x:c>
      <x:c r="BY43" t="str">
        <x:v>ND30.N.BANG.TIEU_DE</x:v>
      </x:c>
      <x:c r="BZ43" t="str">
        <x:f>IFERROR(INDEX(ND30!$J$7:$J$300,MATCH($B43,ND30!$B$7:$B$300,0)),"UNRESOLVED")</x:f>
        <x:v>Theo khối/bảng đã xác minh</x:v>
      </x:c>
      <x:c r="CA43" t="str">
        <x:v>TABLE</x:v>
      </x:c>
      <x:c r="CB43" t="str">
        <x:v>target_is_actual_table AND table_structure_confirmed</x:v>
      </x:c>
      <x:c r="CC43" t="str">
        <x:f>IFERROR(INDEX(ND30!$X$7:$X$300,MATCH($B43,ND30!$B$7:$B$300,0)),"UNRESOLVED")</x:f>
        <x:v>READ_ONLY</x:v>
      </x:c>
      <x:c r="CD43" t="str">
        <x:f>IF(OR(ISNUMBER(SEARCH("READ_ONLY",CC43)),ISNUMBER(SEARCH("PROTECTED",CC43)),ISNUMBER(SEARCH("BẢO VỆ",CC43)),ISNUMBER(SEARCH("KHÔNG KÝ",CC43))),"PROTECTED","CHECK_ONLY")</x:f>
        <x:v>PROTECTED</x:v>
      </x:c>
      <x:c r="CE43" t="str">
        <x:f>IF(AND(CD43="FORMAT_APPROVED",CU43="CÓ",CV43="CÓ",CH43="CÓ",CI43="CÓ",CJ43="CÓ"),"CÓ","KHÔNG")</x:f>
        <x:v>KHÔNG</x:v>
      </x:c>
      <x:c r="CF43" t="str">
        <x:v>KHÔNG</x:v>
      </x:c>
      <x:c r="CG43" t="str">
        <x:v>CÓ</x:v>
      </x:c>
      <x:c r="CH43" t="str">
        <x:v>KHÔNG</x:v>
      </x:c>
      <x:c r="CI43" t="str">
        <x:v>KHÔNG</x:v>
      </x:c>
      <x:c r="CJ43" t="str">
        <x:v>KHÔNG</x:v>
      </x:c>
      <x:c r="CK43" t="str">
        <x:f>IF(AND(CE43="CÓ",CF43="KHÔNG",CG43="CÓ",CU43="CÓ",CV43="CÓ",CH43="CÓ",CI43="CÓ",CJ43="CÓ"),"CÓ","KHÔNG")</x:f>
        <x:v>KHÔNG</x:v>
      </x:c>
      <x:c r="CL43" t="str">
        <x:v>PILOT_NORTH_PROFILE_DRAFT; chưa có master DOCX đã duyệt</x:v>
      </x:c>
      <x:c r="CM43" t="str">
        <x:v>v1.5 (nâng từ v1.4)</x:v>
      </x:c>
      <x:c r="CN43" t="str">
        <x:v>CẦN XÁC MINH TÊN/QUY CHẾ</x:v>
      </x:c>
      <x:c r="CO43" t="str">
        <x:v>ND30_N_BANG_TIEU_DE_FIELD_ONLY; chưa tạo trong Word</x:v>
      </x:c>
      <x:c r="CP43" t="str">
        <x:v>Preset là cấu hình Công ty; không thay thế giới hạn của nguồn NĐ30/HD05</x:v>
      </x:c>
      <x:c r="CQ43" t="str">
        <x:f>IF(OR(BH43="CÓ",BH43=TRUE),BI43,"")</x:f>
      </x:c>
      <x:c r="CR43" t="str">
        <x:f>IF(OR(BH43="CÓ",BH43=TRUE),BJ43,"")</x:f>
      </x:c>
      <x:c r="CS43" t="str">
        <x:v>FORMAT_CHECK_ONLY</x:v>
      </x:c>
      <x:c r="CT43" t="str">
        <x:v>PENDING_SOURCE_AND_DOCX_QA</x:v>
      </x:c>
      <x:c r="CU43" t="str">
        <x:v>KHÔNG</x:v>
      </x:c>
      <x:c r="CV43" t="str">
        <x:v>KHÔNG</x:v>
      </x:c>
      <x:c r="CW43" t="str"/>
    </x:row>
    <x:row r="44" ht="29" customHeight="1">
      <x:c r="A44" s="125" t="n">
        <x:v>38</x:v>
      </x:c>
      <x:c r="B44" s="123" t="str">
        <x:v>ND30.N.BANG.DAU_BANG</x:v>
      </x:c>
      <x:c r="C44" s="123" t="str">
        <x:v>Nội dung</x:v>
      </x:c>
      <x:c r="D44" s="123" t="str">
        <x:v>Bảng trong nội dung</x:v>
      </x:c>
      <x:c r="E44" s="123" t="str">
        <x:v>Hàng đầu bảng</x:v>
      </x:c>
      <x:c r="F44" s="123" t="str">
        <x:v>6</x:v>
      </x:c>
      <x:c r="G44" s="123" t="str">
        <x:v>Khi tài liệu có bảng dữ liệu thực tế; không dùng cho bảng bố cục header</x:v>
      </x:c>
      <x:c r="H44" s="123" t="str">
        <x:v>Bảng trong nội dung: giữ dữ liệu, tiêu đề, đường viền, ô gộp, chiều cao hàng, ngắt trang</x:v>
      </x:c>
      <x:c r="I44" s="123" t="str">
        <x:v>Times New Roman | Unicode | đen</x:v>
      </x:c>
      <x:c r="J44" s="126" t="str">
        <x:v>13</x:v>
      </x:c>
      <x:c r="K44" s="123" t="str">
        <x:v>Theo nội dung</x:v>
      </x:c>
      <x:c r="L44" s="123" t="str">
        <x:v>Có</x:v>
      </x:c>
      <x:c r="M44" s="123" t="str">
        <x:v>Không</x:v>
      </x:c>
      <x:c r="N44" s="123" t="str">
        <x:v>Trái với ô chữ; giữa với ô số và tiêu đề (theo kiểu cột)</x:v>
      </x:c>
      <x:c r="O44" s="124" t="str">
        <x:v>Multiple 1,0; before 0 / after 0 pt (preset bảng)</x:v>
      </x:c>
      <x:c r="P44" s="124" t="str">
        <x:v>First line 0; padding ô 1,5 mm (preset)</x:v>
      </x:c>
      <x:c r="Q44" s="123"/>
      <x:c r="R44" s="123" t="str">
        <x:v>w:tbl/w:tr/w:tc; không dùng AI để tự gộp hoặc tái bố cục</x:v>
      </x:c>
      <x:c r="S44" s="123" t="str">
        <x:v>Hàng đầu: đậm, căn giữa; repeat header; keep row together | QA giãn dòng thực tế khi render</x:v>
      </x:c>
      <x:c r="T44" s="123" t="str">
        <x:v>NĐ30, Phụ lục I, Phần I, II.6; V.6</x:v>
      </x:c>
      <x:c r="U44" s="123" t="str">
        <x:v>https://datafiles.chinhphu.vn/cpp/files/vbpq/2020/03/30.signed.pdf</x:v>
      </x:c>
      <x:c r="V44" s="123" t="str">
        <x:v>https://riam.edu.vn/nghi-dinh-ve-cong-tac-van-thu-phu-luc/</x:v>
      </x:c>
      <x:c r="W44" s="123" t="str">
        <x:v>CẦN RÀ SOÁT</x:v>
      </x:c>
      <x:c r="X44" s="123" t="str">
        <x:v>FORMAT_AFTER_REVIEW</x:v>
      </x:c>
      <x:c r="Y44" s="123" t="str">
        <x:v>Kỹ thuật tự động fit bảng chỉ là workflow của dự án; không suy thành thông số bắt buộc của NĐ30/HD05.</x:v>
      </x:c>
      <x:c r="Z44" s="124" t="str">
        <x:v>Hàng đầu: đậm, căn giữa; repeat header; keep row together</x:v>
      </x:c>
      <x:c r="AA44" s="123" t="str">
        <x:v>TableBody-13</x:v>
      </x:c>
      <x:c r="AB44" s="124" t="str">
        <x:v>CẦN QA RENDER</x:v>
      </x:c>
      <x:c r="AC44" s="123" t="str">
        <x:v>FORMAT_AFTER_REVIEW</x:v>
      </x:c>
      <x:c r="AD44" s="123" t="str">
        <x:v>PLUGIN:hoa-tieu-mien-bac-administrative-v1 | user_approved_visual_reference</x:v>
      </x:c>
      <x:c r="AE44" s="123" t="str">
        <x:v>Render 1–3 trang: so TNR 13 pt, spacing Multiple 1,0; before 0 / after 0 pt (preset bảng), indent First line 0; padding ô 1,5 mm (preset); kiểm tra không tràn chữ.</x:v>
      </x:c>
      <x:c r="AF44" s="123" t="str">
        <x:v>AutoFit Window → AutoFit Contents → chỉnh tay nếu cần; preset kỹ thuật, không phải luật. | Công ty: profile trình bày văn bản dự thảo; không mặc định thay cho văn bản pháp quy đặc thù.</x:v>
      </x:c>
      <x:c r="AG44" s="157" t="str">
        <x:v>Times New Roman</x:v>
      </x:c>
      <x:c r="AH44" s="157" t="str">
        <x:v>Unicode</x:v>
      </x:c>
      <x:c r="AI44" s="157" t="str">
        <x:v>#000000</x:v>
      </x:c>
      <x:c r="AJ44" s="195" t="n">
        <x:v>13</x:v>
      </x:c>
      <x:c r="AK44" s="157" t="str">
        <x:v>CÓ</x:v>
      </x:c>
      <x:c r="AL44" s="157" t="str">
        <x:v>KHÔNG</x:v>
      </x:c>
      <x:c r="AM44" s="157" t="str">
        <x:v>Theo nội dung</x:v>
      </x:c>
      <x:c r="AN44" s="157" t="str">
        <x:v>THEO TỪNG Ô</x:v>
      </x:c>
      <x:c r="AO44" s="157"/>
      <x:c r="AP44" s="157" t="str">
        <x:v>MULTIPLE</x:v>
      </x:c>
      <x:c r="AQ44" s="195" t="n">
        <x:v>1</x:v>
      </x:c>
      <x:c r="AR44" s="157" t="str">
        <x:v>lines</x:v>
      </x:c>
      <x:c r="AS44" s="195" t="n">
        <x:v>0</x:v>
      </x:c>
      <x:c r="AT44" s="195" t="n">
        <x:v>0</x:v>
      </x:c>
      <x:c r="AU44" s="195" t="n">
        <x:v>0</x:v>
      </x:c>
      <x:c r="AV44" s="195"/>
      <x:c r="AW44" s="195"/>
      <x:c r="AX44" s="157"/>
      <x:c r="AY44" s="157"/>
      <x:c r="AZ44" s="157"/>
      <x:c r="BA44" s="195"/>
      <x:c r="BB44" s="195"/>
      <x:c r="BC44" s="157"/>
      <x:c r="BD44" s="195"/>
      <x:c r="BE44" s="195"/>
      <x:c r="BF44" s="195"/>
      <x:c r="BG44" s="195"/>
      <x:c r="BH44" s="157"/>
      <x:c r="BI44" s="195"/>
      <x:c r="BJ44" s="195"/>
      <x:c r="BK44" s="195" t="n">
        <x:v>1.5</x:v>
      </x:c>
      <x:c r="BL44" s="157"/>
      <x:c r="BM44" s="157"/>
      <x:c r="BN44" s="157"/>
      <x:c r="BO44" s="195"/>
      <x:c r="BP44" s="195"/>
      <x:c r="BQ44" s="157"/>
      <x:c r="BR44" s="157"/>
      <x:c r="BS44" s="157"/>
      <x:c r="BT44" s="157" t="str">
        <x:v>TableBody-13</x:v>
      </x:c>
      <x:c r="BU44" s="157" t="str">
        <x:v>w:tbl/w:tr/w:tc; không dùng AI để tự gộp hoặc tái bố cục</x:v>
      </x:c>
      <x:c r="BV44" s="196" t="str">
        <x:v>CẦN QA RENDER</x:v>
      </x:c>
      <x:c r="BW44" s="197" t="str">
        <x:v>ĐÃ TÁCH MỘT PHẦN</x:v>
      </x:c>
      <x:c r="BX44" s="157" t="str">
        <x:v>Đối chiếu mô tả gốc ở I–S, Z–AF nếu thuộc tính phụ thuộc mẫu.</x:v>
      </x:c>
      <x:c r="BY44" t="str">
        <x:v>ND30.N.BANG.DAU_BANG</x:v>
      </x:c>
      <x:c r="BZ44" t="str">
        <x:f>IFERROR(INDEX(ND30!$J$7:$J$300,MATCH($B44,ND30!$B$7:$B$300,0)),"UNRESOLVED")</x:f>
        <x:v>Theo khối/bảng đã xác minh</x:v>
      </x:c>
      <x:c r="CA44" t="str">
        <x:v>TABLE</x:v>
      </x:c>
      <x:c r="CB44" t="str">
        <x:v>target_is_actual_table AND table_structure_confirmed</x:v>
      </x:c>
      <x:c r="CC44" t="str">
        <x:f>IFERROR(INDEX(ND30!$X$7:$X$300,MATCH($B44,ND30!$B$7:$B$300,0)),"UNRESOLVED")</x:f>
        <x:v>READ_ONLY</x:v>
      </x:c>
      <x:c r="CD44" t="str">
        <x:f>IF(OR(ISNUMBER(SEARCH("READ_ONLY",CC44)),ISNUMBER(SEARCH("PROTECTED",CC44)),ISNUMBER(SEARCH("BẢO VỆ",CC44)),ISNUMBER(SEARCH("KHÔNG KÝ",CC44))),"PROTECTED","CHECK_ONLY")</x:f>
        <x:v>PROTECTED</x:v>
      </x:c>
      <x:c r="CE44" t="str">
        <x:f>IF(AND(CD44="FORMAT_APPROVED",CU44="CÓ",CV44="CÓ",CH44="CÓ",CI44="CÓ",CJ44="CÓ"),"CÓ","KHÔNG")</x:f>
        <x:v>KHÔNG</x:v>
      </x:c>
      <x:c r="CF44" t="str">
        <x:v>KHÔNG</x:v>
      </x:c>
      <x:c r="CG44" t="str">
        <x:v>CÓ</x:v>
      </x:c>
      <x:c r="CH44" t="str">
        <x:v>KHÔNG</x:v>
      </x:c>
      <x:c r="CI44" t="str">
        <x:v>KHÔNG</x:v>
      </x:c>
      <x:c r="CJ44" t="str">
        <x:v>KHÔNG</x:v>
      </x:c>
      <x:c r="CK44" t="str">
        <x:f>IF(AND(CE44="CÓ",CF44="KHÔNG",CG44="CÓ",CU44="CÓ",CV44="CÓ",CH44="CÓ",CI44="CÓ",CJ44="CÓ"),"CÓ","KHÔNG")</x:f>
        <x:v>KHÔNG</x:v>
      </x:c>
      <x:c r="CL44" t="str">
        <x:v>PILOT_NORTH_PROFILE_DRAFT; chưa có master DOCX đã duyệt</x:v>
      </x:c>
      <x:c r="CM44" t="str">
        <x:v>v1.5 (nâng từ v1.4)</x:v>
      </x:c>
      <x:c r="CN44" t="str">
        <x:v>CẦN XÁC MINH TÊN/QUY CHẾ</x:v>
      </x:c>
      <x:c r="CO44" t="str">
        <x:v>ND30_N_BANG_DAU_BANG_FIELD_ONLY; chưa tạo trong Word</x:v>
      </x:c>
      <x:c r="CP44" t="str">
        <x:v>Preset là cấu hình Công ty; không thay thế giới hạn của nguồn NĐ30/HD05</x:v>
      </x:c>
      <x:c r="CQ44" t="str">
        <x:f>IF(OR(BH44="CÓ",BH44=TRUE),BI44,"")</x:f>
      </x:c>
      <x:c r="CR44" t="str">
        <x:f>IF(OR(BH44="CÓ",BH44=TRUE),BJ44,"")</x:f>
      </x:c>
      <x:c r="CS44" t="str">
        <x:v>FORMAT_CHECK_ONLY</x:v>
      </x:c>
      <x:c r="CT44" t="str">
        <x:v>PENDING_SOURCE_AND_DOCX_QA</x:v>
      </x:c>
      <x:c r="CU44" t="str">
        <x:v>KHÔNG</x:v>
      </x:c>
      <x:c r="CV44" t="str">
        <x:v>KHÔNG</x:v>
      </x:c>
      <x:c r="CW44" t="str"/>
    </x:row>
    <x:row r="45" ht="29" customHeight="1">
      <x:c r="A45" s="125" t="n">
        <x:v>39</x:v>
      </x:c>
      <x:c r="B45" s="123" t="str">
        <x:v>ND30.N.BANG.HANG</x:v>
      </x:c>
      <x:c r="C45" s="123" t="str">
        <x:v>Nội dung</x:v>
      </x:c>
      <x:c r="D45" s="123" t="str">
        <x:v>Bảng trong nội dung</x:v>
      </x:c>
      <x:c r="E45" s="123" t="str">
        <x:v>Hàng</x:v>
      </x:c>
      <x:c r="F45" s="123" t="str">
        <x:v>6</x:v>
      </x:c>
      <x:c r="G45" s="123" t="str">
        <x:v>Khi tài liệu có bảng dữ liệu thực tế; không dùng cho bảng bố cục header</x:v>
      </x:c>
      <x:c r="H45" s="123" t="str">
        <x:v>Bảng trong nội dung: giữ dữ liệu, tiêu đề, đường viền, ô gộp, chiều cao hàng, ngắt trang</x:v>
      </x:c>
      <x:c r="I45" s="123" t="str">
        <x:v>Times New Roman | Unicode | đen</x:v>
      </x:c>
      <x:c r="J45" s="126" t="str">
        <x:v>13</x:v>
      </x:c>
      <x:c r="K45" s="123" t="str">
        <x:v>Theo nội dung</x:v>
      </x:c>
      <x:c r="L45" s="123" t="str">
        <x:v>Không</x:v>
      </x:c>
      <x:c r="M45" s="123" t="str">
        <x:v>Không</x:v>
      </x:c>
      <x:c r="N45" s="123" t="str">
        <x:v>Trái với ô chữ; giữa với ô số và tiêu đề (theo kiểu cột)</x:v>
      </x:c>
      <x:c r="O45" s="124" t="str">
        <x:v>Multiple 1,0; before 0 / after 0 pt (preset bảng)</x:v>
      </x:c>
      <x:c r="P45" s="124" t="str">
        <x:v>First line 0; padding ô 1,5 mm (preset)</x:v>
      </x:c>
      <x:c r="Q45" s="123"/>
      <x:c r="R45" s="123" t="str">
        <x:v>w:tbl/w:tr/w:tc; không dùng AI để tự gộp hoặc tái bố cục</x:v>
      </x:c>
      <x:c r="S45" s="123" t="str">
        <x:v>Không chia hàng qua trang (cantSplit); chiều cao auto | QA giãn dòng thực tế khi render</x:v>
      </x:c>
      <x:c r="T45" s="123" t="str">
        <x:v>NĐ30, Phụ lục I, Phần I, II.6; V.6</x:v>
      </x:c>
      <x:c r="U45" s="123" t="str">
        <x:v>https://datafiles.chinhphu.vn/cpp/files/vbpq/2020/03/30.signed.pdf</x:v>
      </x:c>
      <x:c r="V45" s="123" t="str">
        <x:v>https://riam.edu.vn/nghi-dinh-ve-cong-tac-van-thu-phu-luc/</x:v>
      </x:c>
      <x:c r="W45" s="123" t="str">
        <x:v>CẦN RÀ SOÁT</x:v>
      </x:c>
      <x:c r="X45" s="123" t="str">
        <x:v>FORMAT_AFTER_REVIEW</x:v>
      </x:c>
      <x:c r="Y45" s="123" t="str">
        <x:v>Kỹ thuật tự động fit bảng chỉ là workflow của dự án; không suy thành thông số bắt buộc của NĐ30/HD05.</x:v>
      </x:c>
      <x:c r="Z45" s="124" t="str">
        <x:v>Không chia hàng qua trang (cantSplit); chiều cao auto</x:v>
      </x:c>
      <x:c r="AA45" s="123" t="str">
        <x:v>TableBody-13</x:v>
      </x:c>
      <x:c r="AB45" s="124" t="str">
        <x:v>CẦN QA RENDER</x:v>
      </x:c>
      <x:c r="AC45" s="123" t="str">
        <x:v>FORMAT_AFTER_REVIEW</x:v>
      </x:c>
      <x:c r="AD45" s="123" t="str">
        <x:v>PLUGIN:hoa-tieu-mien-bac-administrative-v1 | user_approved_visual_reference</x:v>
      </x:c>
      <x:c r="AE45" s="123" t="str">
        <x:v>Render 1–3 trang: so TNR 13 pt, spacing Multiple 1,0; before 0 / after 0 pt (preset bảng), indent First line 0; padding ô 1,5 mm (preset); kiểm tra không tràn chữ.</x:v>
      </x:c>
      <x:c r="AF45" s="123" t="str">
        <x:v>AutoFit Window → AutoFit Contents → chỉnh tay nếu cần; preset kỹ thuật, không phải luật. | Công ty: profile trình bày văn bản dự thảo; không mặc định thay cho văn bản pháp quy đặc thù.</x:v>
      </x:c>
      <x:c r="AG45" s="157" t="str">
        <x:v>Times New Roman</x:v>
      </x:c>
      <x:c r="AH45" s="157" t="str">
        <x:v>Unicode</x:v>
      </x:c>
      <x:c r="AI45" s="157" t="str">
        <x:v>#000000</x:v>
      </x:c>
      <x:c r="AJ45" s="195" t="n">
        <x:v>13</x:v>
      </x:c>
      <x:c r="AK45" s="157" t="str">
        <x:v>KHÔNG</x:v>
      </x:c>
      <x:c r="AL45" s="157" t="str">
        <x:v>KHÔNG</x:v>
      </x:c>
      <x:c r="AM45" s="157" t="str">
        <x:v>Theo nội dung</x:v>
      </x:c>
      <x:c r="AN45" s="157" t="str">
        <x:v>THEO TỪNG Ô</x:v>
      </x:c>
      <x:c r="AO45" s="157"/>
      <x:c r="AP45" s="157" t="str">
        <x:v>MULTIPLE</x:v>
      </x:c>
      <x:c r="AQ45" s="195" t="n">
        <x:v>1</x:v>
      </x:c>
      <x:c r="AR45" s="157" t="str">
        <x:v>lines</x:v>
      </x:c>
      <x:c r="AS45" s="195" t="n">
        <x:v>0</x:v>
      </x:c>
      <x:c r="AT45" s="195" t="n">
        <x:v>0</x:v>
      </x:c>
      <x:c r="AU45" s="195" t="n">
        <x:v>0</x:v>
      </x:c>
      <x:c r="AV45" s="195"/>
      <x:c r="AW45" s="195"/>
      <x:c r="AX45" s="157"/>
      <x:c r="AY45" s="157"/>
      <x:c r="AZ45" s="157"/>
      <x:c r="BA45" s="195"/>
      <x:c r="BB45" s="195"/>
      <x:c r="BC45" s="157"/>
      <x:c r="BD45" s="195"/>
      <x:c r="BE45" s="195"/>
      <x:c r="BF45" s="195"/>
      <x:c r="BG45" s="195"/>
      <x:c r="BH45" s="157"/>
      <x:c r="BI45" s="195"/>
      <x:c r="BJ45" s="195"/>
      <x:c r="BK45" s="195" t="n">
        <x:v>1.5</x:v>
      </x:c>
      <x:c r="BL45" s="157"/>
      <x:c r="BM45" s="157"/>
      <x:c r="BN45" s="157"/>
      <x:c r="BO45" s="195"/>
      <x:c r="BP45" s="195"/>
      <x:c r="BQ45" s="157"/>
      <x:c r="BR45" s="157"/>
      <x:c r="BS45" s="157"/>
      <x:c r="BT45" s="157" t="str">
        <x:v>TableBody-13</x:v>
      </x:c>
      <x:c r="BU45" s="157" t="str">
        <x:v>w:tbl/w:tr/w:tc; không dùng AI để tự gộp hoặc tái bố cục</x:v>
      </x:c>
      <x:c r="BV45" s="196" t="str">
        <x:v>CẦN QA RENDER</x:v>
      </x:c>
      <x:c r="BW45" s="197" t="str">
        <x:v>ĐÃ TÁCH MỘT PHẦN</x:v>
      </x:c>
      <x:c r="BX45" s="157" t="str">
        <x:v>Đối chiếu mô tả gốc ở I–S, Z–AF nếu thuộc tính phụ thuộc mẫu.</x:v>
      </x:c>
      <x:c r="BY45" t="str">
        <x:v>ND30.N.BANG.HANG</x:v>
      </x:c>
      <x:c r="BZ45" t="str">
        <x:f>IFERROR(INDEX(ND30!$J$7:$J$300,MATCH($B45,ND30!$B$7:$B$300,0)),"UNRESOLVED")</x:f>
        <x:v>Theo khối/bảng đã xác minh</x:v>
      </x:c>
      <x:c r="CA45" t="str">
        <x:v>TABLE</x:v>
      </x:c>
      <x:c r="CB45" t="str">
        <x:v>target_is_actual_table AND table_structure_confirmed</x:v>
      </x:c>
      <x:c r="CC45" t="str">
        <x:f>IFERROR(INDEX(ND30!$X$7:$X$300,MATCH($B45,ND30!$B$7:$B$300,0)),"UNRESOLVED")</x:f>
        <x:v>READ_ONLY</x:v>
      </x:c>
      <x:c r="CD45" t="str">
        <x:f>IF(OR(ISNUMBER(SEARCH("READ_ONLY",CC45)),ISNUMBER(SEARCH("PROTECTED",CC45)),ISNUMBER(SEARCH("BẢO VỆ",CC45)),ISNUMBER(SEARCH("KHÔNG KÝ",CC45))),"PROTECTED","CHECK_ONLY")</x:f>
        <x:v>PROTECTED</x:v>
      </x:c>
      <x:c r="CE45" t="str">
        <x:f>IF(AND(CD45="FORMAT_APPROVED",CU45="CÓ",CV45="CÓ",CH45="CÓ",CI45="CÓ",CJ45="CÓ"),"CÓ","KHÔNG")</x:f>
        <x:v>KHÔNG</x:v>
      </x:c>
      <x:c r="CF45" t="str">
        <x:v>KHÔNG</x:v>
      </x:c>
      <x:c r="CG45" t="str">
        <x:v>CÓ</x:v>
      </x:c>
      <x:c r="CH45" t="str">
        <x:v>KHÔNG</x:v>
      </x:c>
      <x:c r="CI45" t="str">
        <x:v>KHÔNG</x:v>
      </x:c>
      <x:c r="CJ45" t="str">
        <x:v>KHÔNG</x:v>
      </x:c>
      <x:c r="CK45" t="str">
        <x:f>IF(AND(CE45="CÓ",CF45="KHÔNG",CG45="CÓ",CU45="CÓ",CV45="CÓ",CH45="CÓ",CI45="CÓ",CJ45="CÓ"),"CÓ","KHÔNG")</x:f>
        <x:v>KHÔNG</x:v>
      </x:c>
      <x:c r="CL45" t="str">
        <x:v>PILOT_NORTH_PROFILE_DRAFT; chưa có master DOCX đã duyệt</x:v>
      </x:c>
      <x:c r="CM45" t="str">
        <x:v>v1.5 (nâng từ v1.4)</x:v>
      </x:c>
      <x:c r="CN45" t="str">
        <x:v>CẦN XÁC MINH TÊN/QUY CHẾ</x:v>
      </x:c>
      <x:c r="CO45" t="str">
        <x:v>ND30_N_BANG_HANG_FIELD_ONLY; chưa tạo trong Word</x:v>
      </x:c>
      <x:c r="CP45" t="str">
        <x:v>Preset là cấu hình Công ty; không thay thế giới hạn của nguồn NĐ30/HD05</x:v>
      </x:c>
      <x:c r="CQ45" t="str">
        <x:f>IF(OR(BH45="CÓ",BH45=TRUE),BI45,"")</x:f>
      </x:c>
      <x:c r="CR45" t="str">
        <x:f>IF(OR(BH45="CÓ",BH45=TRUE),BJ45,"")</x:f>
      </x:c>
      <x:c r="CS45" t="str">
        <x:v>FORMAT_CHECK_ONLY</x:v>
      </x:c>
      <x:c r="CT45" t="str">
        <x:v>PENDING_SOURCE_AND_DOCX_QA</x:v>
      </x:c>
      <x:c r="CU45" t="str">
        <x:v>KHÔNG</x:v>
      </x:c>
      <x:c r="CV45" t="str">
        <x:v>KHÔNG</x:v>
      </x:c>
      <x:c r="CW45" t="str"/>
    </x:row>
    <x:row r="46" ht="29" customHeight="1">
      <x:c r="A46" s="125" t="n">
        <x:v>40</x:v>
      </x:c>
      <x:c r="B46" s="123" t="str">
        <x:v>ND30.N.BANG.O</x:v>
      </x:c>
      <x:c r="C46" s="123" t="str">
        <x:v>Nội dung</x:v>
      </x:c>
      <x:c r="D46" s="123" t="str">
        <x:v>Bảng trong nội dung</x:v>
      </x:c>
      <x:c r="E46" s="123" t="str">
        <x:v>Ô</x:v>
      </x:c>
      <x:c r="F46" s="123" t="str">
        <x:v>6</x:v>
      </x:c>
      <x:c r="G46" s="123" t="str">
        <x:v>Khi tài liệu có bảng dữ liệu thực tế; không dùng cho bảng bố cục header</x:v>
      </x:c>
      <x:c r="H46" s="123" t="str">
        <x:v>Bảng trong nội dung: giữ dữ liệu, tiêu đề, đường viền, ô gộp, chiều cao hàng, ngắt trang</x:v>
      </x:c>
      <x:c r="I46" s="123" t="str">
        <x:v>Times New Roman | Unicode | đen</x:v>
      </x:c>
      <x:c r="J46" s="126" t="str">
        <x:v>13</x:v>
      </x:c>
      <x:c r="K46" s="123" t="str">
        <x:v>Theo nội dung</x:v>
      </x:c>
      <x:c r="L46" s="123" t="str">
        <x:v>Không</x:v>
      </x:c>
      <x:c r="M46" s="123" t="str">
        <x:v>Không</x:v>
      </x:c>
      <x:c r="N46" s="123" t="str">
        <x:v>Trái với ô chữ; giữa với ô số và tiêu đề (theo kiểu cột)</x:v>
      </x:c>
      <x:c r="O46" s="124" t="str">
        <x:v>Multiple 1,0; before 0 / after 0 pt (preset bảng)</x:v>
      </x:c>
      <x:c r="P46" s="124" t="str">
        <x:v>First line 0; padding ô 1,5 mm (preset)</x:v>
      </x:c>
      <x:c r="Q46" s="123"/>
      <x:c r="R46" s="123" t="str">
        <x:v>w:tbl/w:tr/w:tc; không dùng AI để tự gộp hoặc tái bố cục</x:v>
      </x:c>
      <x:c r="S46" s="123" t="str">
        <x:v>Lề ô 1,5 mm; không ép thụt dòng đầu; căn chỉnh theo kiểu dữ liệu | QA giãn dòng thực tế khi render</x:v>
      </x:c>
      <x:c r="T46" s="123" t="str">
        <x:v>NĐ30, Phụ lục I, Phần I, II.6; V.6</x:v>
      </x:c>
      <x:c r="U46" s="123" t="str">
        <x:v>https://datafiles.chinhphu.vn/cpp/files/vbpq/2020/03/30.signed.pdf</x:v>
      </x:c>
      <x:c r="V46" s="123" t="str">
        <x:v>https://riam.edu.vn/nghi-dinh-ve-cong-tac-van-thu-phu-luc/</x:v>
      </x:c>
      <x:c r="W46" s="123" t="str">
        <x:v>CẦN RÀ SOÁT</x:v>
      </x:c>
      <x:c r="X46" s="123" t="str">
        <x:v>FORMAT_AFTER_REVIEW</x:v>
      </x:c>
      <x:c r="Y46" s="123" t="str">
        <x:v>Kỹ thuật tự động fit bảng chỉ là workflow của dự án; không suy thành thông số bắt buộc của NĐ30/HD05.</x:v>
      </x:c>
      <x:c r="Z46" s="124" t="str">
        <x:v>Lề ô 1,5 mm; không ép thụt dòng đầu; căn chỉnh theo kiểu dữ liệu</x:v>
      </x:c>
      <x:c r="AA46" s="123" t="str">
        <x:v>TableBody-13</x:v>
      </x:c>
      <x:c r="AB46" s="124" t="str">
        <x:v>CẦN QA RENDER</x:v>
      </x:c>
      <x:c r="AC46" s="123" t="str">
        <x:v>FORMAT_AFTER_REVIEW</x:v>
      </x:c>
      <x:c r="AD46" s="123" t="str">
        <x:v>PLUGIN:hoa-tieu-mien-bac-administrative-v1 | user_approved_visual_reference</x:v>
      </x:c>
      <x:c r="AE46" s="123" t="str">
        <x:v>Render 1–3 trang: so TNR 13 pt, spacing Multiple 1,0; before 0 / after 0 pt (preset bảng), indent First line 0; padding ô 1,5 mm (preset); kiểm tra không tràn chữ.</x:v>
      </x:c>
      <x:c r="AF46" s="123" t="str">
        <x:v>AutoFit Window → AutoFit Contents → chỉnh tay nếu cần; preset kỹ thuật, không phải luật. | Công ty: profile trình bày văn bản dự thảo; không mặc định thay cho văn bản pháp quy đặc thù.</x:v>
      </x:c>
      <x:c r="AG46" s="157" t="str">
        <x:v>Times New Roman</x:v>
      </x:c>
      <x:c r="AH46" s="157" t="str">
        <x:v>Unicode</x:v>
      </x:c>
      <x:c r="AI46" s="157" t="str">
        <x:v>#000000</x:v>
      </x:c>
      <x:c r="AJ46" s="195" t="n">
        <x:v>13</x:v>
      </x:c>
      <x:c r="AK46" s="157" t="str">
        <x:v>KHÔNG</x:v>
      </x:c>
      <x:c r="AL46" s="157" t="str">
        <x:v>KHÔNG</x:v>
      </x:c>
      <x:c r="AM46" s="157" t="str">
        <x:v>Theo nội dung</x:v>
      </x:c>
      <x:c r="AN46" s="157" t="str">
        <x:v>THEO TỪNG Ô</x:v>
      </x:c>
      <x:c r="AO46" s="157"/>
      <x:c r="AP46" s="157" t="str">
        <x:v>MULTIPLE</x:v>
      </x:c>
      <x:c r="AQ46" s="195" t="n">
        <x:v>1</x:v>
      </x:c>
      <x:c r="AR46" s="157" t="str">
        <x:v>lines</x:v>
      </x:c>
      <x:c r="AS46" s="195" t="n">
        <x:v>0</x:v>
      </x:c>
      <x:c r="AT46" s="195" t="n">
        <x:v>0</x:v>
      </x:c>
      <x:c r="AU46" s="195" t="n">
        <x:v>0</x:v>
      </x:c>
      <x:c r="AV46" s="195"/>
      <x:c r="AW46" s="195"/>
      <x:c r="AX46" s="157"/>
      <x:c r="AY46" s="157"/>
      <x:c r="AZ46" s="157"/>
      <x:c r="BA46" s="195"/>
      <x:c r="BB46" s="195"/>
      <x:c r="BC46" s="157"/>
      <x:c r="BD46" s="195"/>
      <x:c r="BE46" s="195"/>
      <x:c r="BF46" s="195"/>
      <x:c r="BG46" s="195"/>
      <x:c r="BH46" s="157"/>
      <x:c r="BI46" s="195"/>
      <x:c r="BJ46" s="195"/>
      <x:c r="BK46" s="195" t="n">
        <x:v>1.5</x:v>
      </x:c>
      <x:c r="BL46" s="157"/>
      <x:c r="BM46" s="157"/>
      <x:c r="BN46" s="157"/>
      <x:c r="BO46" s="195"/>
      <x:c r="BP46" s="195"/>
      <x:c r="BQ46" s="157"/>
      <x:c r="BR46" s="157"/>
      <x:c r="BS46" s="157"/>
      <x:c r="BT46" s="157" t="str">
        <x:v>TableBody-13</x:v>
      </x:c>
      <x:c r="BU46" s="157" t="str">
        <x:v>w:tbl/w:tr/w:tc; không dùng AI để tự gộp hoặc tái bố cục</x:v>
      </x:c>
      <x:c r="BV46" s="196" t="str">
        <x:v>CẦN QA RENDER</x:v>
      </x:c>
      <x:c r="BW46" s="197" t="str">
        <x:v>ĐÃ TÁCH MỘT PHẦN</x:v>
      </x:c>
      <x:c r="BX46" s="157" t="str">
        <x:v>Đối chiếu mô tả gốc ở I–S, Z–AF nếu thuộc tính phụ thuộc mẫu.</x:v>
      </x:c>
      <x:c r="BY46" t="str">
        <x:v>ND30.N.BANG.O</x:v>
      </x:c>
      <x:c r="BZ46" t="str">
        <x:f>IFERROR(INDEX(ND30!$J$7:$J$300,MATCH($B46,ND30!$B$7:$B$300,0)),"UNRESOLVED")</x:f>
        <x:v>Theo khối/bảng đã xác minh</x:v>
      </x:c>
      <x:c r="CA46" t="str">
        <x:v>TABLE</x:v>
      </x:c>
      <x:c r="CB46" t="str">
        <x:v>target_is_actual_table AND table_structure_confirmed</x:v>
      </x:c>
      <x:c r="CC46" t="str">
        <x:f>IFERROR(INDEX(ND30!$X$7:$X$300,MATCH($B46,ND30!$B$7:$B$300,0)),"UNRESOLVED")</x:f>
        <x:v>READ_ONLY</x:v>
      </x:c>
      <x:c r="CD46" t="str">
        <x:f>IF(OR(ISNUMBER(SEARCH("READ_ONLY",CC46)),ISNUMBER(SEARCH("PROTECTED",CC46)),ISNUMBER(SEARCH("BẢO VỆ",CC46)),ISNUMBER(SEARCH("KHÔNG KÝ",CC46))),"PROTECTED","CHECK_ONLY")</x:f>
        <x:v>PROTECTED</x:v>
      </x:c>
      <x:c r="CE46" t="str">
        <x:f>IF(AND(CD46="FORMAT_APPROVED",CU46="CÓ",CV46="CÓ",CH46="CÓ",CI46="CÓ",CJ46="CÓ"),"CÓ","KHÔNG")</x:f>
        <x:v>KHÔNG</x:v>
      </x:c>
      <x:c r="CF46" t="str">
        <x:v>KHÔNG</x:v>
      </x:c>
      <x:c r="CG46" t="str">
        <x:v>CÓ</x:v>
      </x:c>
      <x:c r="CH46" t="str">
        <x:v>KHÔNG</x:v>
      </x:c>
      <x:c r="CI46" t="str">
        <x:v>KHÔNG</x:v>
      </x:c>
      <x:c r="CJ46" t="str">
        <x:v>KHÔNG</x:v>
      </x:c>
      <x:c r="CK46" t="str">
        <x:f>IF(AND(CE46="CÓ",CF46="KHÔNG",CG46="CÓ",CU46="CÓ",CV46="CÓ",CH46="CÓ",CI46="CÓ",CJ46="CÓ"),"CÓ","KHÔNG")</x:f>
        <x:v>KHÔNG</x:v>
      </x:c>
      <x:c r="CL46" t="str">
        <x:v>PILOT_NORTH_PROFILE_DRAFT; chưa có master DOCX đã duyệt</x:v>
      </x:c>
      <x:c r="CM46" t="str">
        <x:v>v1.5 (nâng từ v1.4)</x:v>
      </x:c>
      <x:c r="CN46" t="str">
        <x:v>CẦN XÁC MINH TÊN/QUY CHẾ</x:v>
      </x:c>
      <x:c r="CO46" t="str">
        <x:v>ND30_N_BANG_O_FIELD_ONLY; chưa tạo trong Word</x:v>
      </x:c>
      <x:c r="CP46" t="str">
        <x:v>Preset là cấu hình Công ty; không thay thế giới hạn của nguồn NĐ30/HD05</x:v>
      </x:c>
      <x:c r="CQ46" t="str">
        <x:f>IF(OR(BH46="CÓ",BH46=TRUE),BI46,"")</x:f>
      </x:c>
      <x:c r="CR46" t="str">
        <x:f>IF(OR(BH46="CÓ",BH46=TRUE),BJ46,"")</x:f>
      </x:c>
      <x:c r="CS46" t="str">
        <x:v>FORMAT_CHECK_ONLY</x:v>
      </x:c>
      <x:c r="CT46" t="str">
        <x:v>PENDING_SOURCE_AND_DOCX_QA</x:v>
      </x:c>
      <x:c r="CU46" t="str">
        <x:v>KHÔNG</x:v>
      </x:c>
      <x:c r="CV46" t="str">
        <x:v>KHÔNG</x:v>
      </x:c>
      <x:c r="CW46" t="str"/>
    </x:row>
    <x:row r="47" ht="29" customHeight="1">
      <x:c r="A47" s="125" t="n">
        <x:v>41</x:v>
      </x:c>
      <x:c r="B47" s="123" t="str">
        <x:v>ND30.N.BANG.GOP_O</x:v>
      </x:c>
      <x:c r="C47" s="123" t="str">
        <x:v>Nội dung</x:v>
      </x:c>
      <x:c r="D47" s="123" t="str">
        <x:v>Bảng trong nội dung</x:v>
      </x:c>
      <x:c r="E47" s="123" t="str">
        <x:v>Ô gộp</x:v>
      </x:c>
      <x:c r="F47" s="123" t="str">
        <x:v>6</x:v>
      </x:c>
      <x:c r="G47" s="123" t="str">
        <x:v>Khi tài liệu có bảng dữ liệu thực tế; không dùng cho bảng bố cục header</x:v>
      </x:c>
      <x:c r="H47" s="123" t="str">
        <x:v>Bảng trong nội dung: giữ dữ liệu, tiêu đề, đường viền, ô gộp, chiều cao hàng, ngắt trang</x:v>
      </x:c>
      <x:c r="I47" s="123" t="str">
        <x:v>Times New Roman | Unicode | đen</x:v>
      </x:c>
      <x:c r="J47" s="126" t="str">
        <x:v>13</x:v>
      </x:c>
      <x:c r="K47" s="123" t="str">
        <x:v>Theo nội dung</x:v>
      </x:c>
      <x:c r="L47" s="123" t="str">
        <x:v>Không</x:v>
      </x:c>
      <x:c r="M47" s="123" t="str">
        <x:v>Không</x:v>
      </x:c>
      <x:c r="N47" s="123" t="str">
        <x:v>Trái với ô chữ; giữa với ô số và tiêu đề (theo kiểu cột)</x:v>
      </x:c>
      <x:c r="O47" s="124" t="str">
        <x:v>Multiple 1,0; before 0 / after 0 pt (preset bảng)</x:v>
      </x:c>
      <x:c r="P47" s="124" t="str">
        <x:v>First line 0; padding ô 1,5 mm (preset)</x:v>
      </x:c>
      <x:c r="Q47" s="123"/>
      <x:c r="R47" s="123" t="str">
        <x:v>w:tbl/w:tr/w:tc; không dùng AI để tự gộp hoặc tái bố cục</x:v>
      </x:c>
      <x:c r="S47" s="123" t="str">
        <x:v>Chỉ giữ gộp ô gốc; không tự gộp hay tách ô | QA giãn dòng thực tế khi render</x:v>
      </x:c>
      <x:c r="T47" s="123" t="str">
        <x:v>NĐ30, Phụ lục I, Phần I, II.6; V.6</x:v>
      </x:c>
      <x:c r="U47" s="123" t="str">
        <x:v>https://datafiles.chinhphu.vn/cpp/files/vbpq/2020/03/30.signed.pdf</x:v>
      </x:c>
      <x:c r="V47" s="123" t="str">
        <x:v>https://riam.edu.vn/nghi-dinh-ve-cong-tac-van-thu-phu-luc/</x:v>
      </x:c>
      <x:c r="W47" s="123" t="str">
        <x:v>CẦN RÀ SOÁT</x:v>
      </x:c>
      <x:c r="X47" s="123" t="str">
        <x:v>FORMAT_AFTER_REVIEW</x:v>
      </x:c>
      <x:c r="Y47" s="123" t="str">
        <x:v>Kỹ thuật tự động fit bảng chỉ là workflow của dự án; không suy thành thông số bắt buộc của NĐ30/HD05.</x:v>
      </x:c>
      <x:c r="Z47" s="124" t="str">
        <x:v>Chỉ giữ gộp ô gốc; không tự gộp hay tách ô</x:v>
      </x:c>
      <x:c r="AA47" s="123" t="str">
        <x:v>TableBody-13</x:v>
      </x:c>
      <x:c r="AB47" s="124" t="str">
        <x:v>CẦN QA RENDER</x:v>
      </x:c>
      <x:c r="AC47" s="123" t="str">
        <x:v>FORMAT_AFTER_REVIEW</x:v>
      </x:c>
      <x:c r="AD47" s="123" t="str">
        <x:v>PLUGIN:hoa-tieu-mien-bac-administrative-v1 | user_approved_visual_reference</x:v>
      </x:c>
      <x:c r="AE47" s="123" t="str">
        <x:v>Render 1–3 trang: so TNR 13 pt, spacing Multiple 1,0; before 0 / after 0 pt (preset bảng), indent First line 0; padding ô 1,5 mm (preset); kiểm tra không tràn chữ.</x:v>
      </x:c>
      <x:c r="AF47" s="123" t="str">
        <x:v>AutoFit Window → AutoFit Contents → chỉnh tay nếu cần; preset kỹ thuật, không phải luật. | Công ty: profile trình bày văn bản dự thảo; không mặc định thay cho văn bản pháp quy đặc thù.</x:v>
      </x:c>
      <x:c r="AG47" s="157" t="str">
        <x:v>Times New Roman</x:v>
      </x:c>
      <x:c r="AH47" s="157" t="str">
        <x:v>Unicode</x:v>
      </x:c>
      <x:c r="AI47" s="157" t="str">
        <x:v>#000000</x:v>
      </x:c>
      <x:c r="AJ47" s="195" t="n">
        <x:v>13</x:v>
      </x:c>
      <x:c r="AK47" s="157" t="str">
        <x:v>KHÔNG</x:v>
      </x:c>
      <x:c r="AL47" s="157" t="str">
        <x:v>KHÔNG</x:v>
      </x:c>
      <x:c r="AM47" s="157" t="str">
        <x:v>Theo nội dung</x:v>
      </x:c>
      <x:c r="AN47" s="157" t="str">
        <x:v>THEO TỪNG Ô</x:v>
      </x:c>
      <x:c r="AO47" s="157"/>
      <x:c r="AP47" s="157" t="str">
        <x:v>MULTIPLE</x:v>
      </x:c>
      <x:c r="AQ47" s="195" t="n">
        <x:v>1</x:v>
      </x:c>
      <x:c r="AR47" s="157" t="str">
        <x:v>lines</x:v>
      </x:c>
      <x:c r="AS47" s="195" t="n">
        <x:v>0</x:v>
      </x:c>
      <x:c r="AT47" s="195" t="n">
        <x:v>0</x:v>
      </x:c>
      <x:c r="AU47" s="195" t="n">
        <x:v>0</x:v>
      </x:c>
      <x:c r="AV47" s="195"/>
      <x:c r="AW47" s="195"/>
      <x:c r="AX47" s="157"/>
      <x:c r="AY47" s="157"/>
      <x:c r="AZ47" s="157"/>
      <x:c r="BA47" s="195"/>
      <x:c r="BB47" s="195"/>
      <x:c r="BC47" s="157"/>
      <x:c r="BD47" s="195"/>
      <x:c r="BE47" s="195"/>
      <x:c r="BF47" s="195"/>
      <x:c r="BG47" s="195"/>
      <x:c r="BH47" s="157"/>
      <x:c r="BI47" s="195"/>
      <x:c r="BJ47" s="195"/>
      <x:c r="BK47" s="195" t="n">
        <x:v>1.5</x:v>
      </x:c>
      <x:c r="BL47" s="157"/>
      <x:c r="BM47" s="157"/>
      <x:c r="BN47" s="157"/>
      <x:c r="BO47" s="195"/>
      <x:c r="BP47" s="195"/>
      <x:c r="BQ47" s="157"/>
      <x:c r="BR47" s="157"/>
      <x:c r="BS47" s="157"/>
      <x:c r="BT47" s="157" t="str">
        <x:v>TableBody-13</x:v>
      </x:c>
      <x:c r="BU47" s="157" t="str">
        <x:v>w:tbl/w:tr/w:tc; không dùng AI để tự gộp hoặc tái bố cục</x:v>
      </x:c>
      <x:c r="BV47" s="196" t="str">
        <x:v>CẦN QA RENDER</x:v>
      </x:c>
      <x:c r="BW47" s="197" t="str">
        <x:v>ĐÃ TÁCH MỘT PHẦN</x:v>
      </x:c>
      <x:c r="BX47" s="157" t="str">
        <x:v>Đối chiếu mô tả gốc ở I–S, Z–AF nếu thuộc tính phụ thuộc mẫu.</x:v>
      </x:c>
      <x:c r="BY47" t="str">
        <x:v>ND30.N.BANG.GOP_O</x:v>
      </x:c>
      <x:c r="BZ47" t="str">
        <x:f>IFERROR(INDEX(ND30!$J$7:$J$300,MATCH($B47,ND30!$B$7:$B$300,0)),"UNRESOLVED")</x:f>
        <x:v>Theo khối/bảng đã xác minh</x:v>
      </x:c>
      <x:c r="CA47" t="str">
        <x:v>STRUCTURAL_TABLE</x:v>
      </x:c>
      <x:c r="CB47" t="str">
        <x:v>target_is_actual_table AND table_structure_confirmed</x:v>
      </x:c>
      <x:c r="CC47" t="str">
        <x:f>IFERROR(INDEX(ND30!$X$7:$X$300,MATCH($B47,ND30!$B$7:$B$300,0)),"UNRESOLVED")</x:f>
        <x:v>READ_ONLY</x:v>
      </x:c>
      <x:c r="CD47" t="str">
        <x:f>IF(OR(ISNUMBER(SEARCH("READ_ONLY",CC47)),ISNUMBER(SEARCH("PROTECTED",CC47)),ISNUMBER(SEARCH("BẢO VỆ",CC47)),ISNUMBER(SEARCH("KHÔNG KÝ",CC47))),"PROTECTED","CHECK_ONLY")</x:f>
        <x:v>PROTECTED</x:v>
      </x:c>
      <x:c r="CE47" t="str">
        <x:f>IF(AND(CD47="FORMAT_APPROVED",CU47="CÓ",CV47="CÓ",CH47="CÓ",CI47="CÓ",CJ47="CÓ"),"CÓ","KHÔNG")</x:f>
        <x:v>KHÔNG</x:v>
      </x:c>
      <x:c r="CF47" t="str">
        <x:v>KHÔNG</x:v>
      </x:c>
      <x:c r="CG47" t="str">
        <x:v>CÓ</x:v>
      </x:c>
      <x:c r="CH47" t="str">
        <x:v>KHÔNG</x:v>
      </x:c>
      <x:c r="CI47" t="str">
        <x:v>KHÔNG</x:v>
      </x:c>
      <x:c r="CJ47" t="str">
        <x:v>KHÔNG</x:v>
      </x:c>
      <x:c r="CK47" t="str">
        <x:f>IF(AND(CE47="CÓ",CF47="KHÔNG",CG47="CÓ",CU47="CÓ",CV47="CÓ",CH47="CÓ",CI47="CÓ",CJ47="CÓ"),"CÓ","KHÔNG")</x:f>
        <x:v>KHÔNG</x:v>
      </x:c>
      <x:c r="CL47" t="str">
        <x:v>PILOT_NORTH_PROFILE_DRAFT; chưa có master DOCX đã duyệt</x:v>
      </x:c>
      <x:c r="CM47" t="str">
        <x:v>v1.5 (nâng từ v1.4)</x:v>
      </x:c>
      <x:c r="CN47" t="str">
        <x:v>CẦN XÁC MINH TÊN/QUY CHẾ</x:v>
      </x:c>
      <x:c r="CO47" t="str">
        <x:v>ND30_N_BANG_GOP_O_FIELD_ONLY; chưa tạo trong Word</x:v>
      </x:c>
      <x:c r="CP47" t="str">
        <x:v>Preset là cấu hình Công ty; không thay thế giới hạn của nguồn NĐ30/HD05</x:v>
      </x:c>
      <x:c r="CQ47" t="str">
        <x:f>IF(OR(BH47="CÓ",BH47=TRUE),BI47,"")</x:f>
      </x:c>
      <x:c r="CR47" t="str">
        <x:f>IF(OR(BH47="CÓ",BH47=TRUE),BJ47,"")</x:f>
      </x:c>
      <x:c r="CS47" t="str">
        <x:v>STRUCTURAL_CHECK_ONLY</x:v>
      </x:c>
      <x:c r="CT47" t="str">
        <x:v>PENDING_SOURCE_AND_DOCX_QA</x:v>
      </x:c>
      <x:c r="CU47" t="str">
        <x:v>KHÔNG</x:v>
      </x:c>
      <x:c r="CV47" t="str">
        <x:v>KHÔNG</x:v>
      </x:c>
      <x:c r="CW47" t="str"/>
    </x:row>
    <x:row r="48" ht="29" customHeight="1">
      <x:c r="A48" s="125" t="n">
        <x:v>42</x:v>
      </x:c>
      <x:c r="B48" s="123" t="str">
        <x:v>ND30.N.HINH.DOI_TUONG</x:v>
      </x:c>
      <x:c r="C48" s="123" t="str">
        <x:v>Nội dung</x:v>
      </x:c>
      <x:c r="D48" s="123" t="str">
        <x:v>Hình, sơ đồ</x:v>
      </x:c>
      <x:c r="E48" s="123" t="str">
        <x:v>Hình/sơ đồ</x:v>
      </x:c>
      <x:c r="F48" s="123" t="str">
        <x:v>6</x:v>
      </x:c>
      <x:c r="G48" s="123" t="str">
        <x:v>Khi tài liệu có hình/đồ họa thực tế; không dùng cho bảng bố cục header</x:v>
      </x:c>
      <x:c r="H48" s="123" t="str">
        <x:v>Giữ nguyên hình, sơ đồ và neo vị trí; không tái tạo ảnh</x:v>
      </x:c>
      <x:c r="I48" s="123" t="str">
        <x:v>Times New Roman | Unicode | đen</x:v>
      </x:c>
      <x:c r="J48" s="126" t="str">
        <x:v>—</x:v>
      </x:c>
      <x:c r="K48" s="123" t="str">
        <x:v>Không áp dụng</x:v>
      </x:c>
      <x:c r="L48" s="123" t="str">
        <x:v>Không áp dụng</x:v>
      </x:c>
      <x:c r="M48" s="123" t="str">
        <x:v>Không áp dụng</x:v>
      </x:c>
      <x:c r="N48" s="123" t="str">
        <x:v>Theo ngữ cảnh</x:v>
      </x:c>
      <x:c r="O48" s="124" t="str">
        <x:v>Theo đoạn neo ảnh; không kế thừa Exactly 19 một cách máy móc</x:v>
      </x:c>
      <x:c r="P48" s="124" t="str">
        <x:v>First line 0</x:v>
      </x:c>
      <x:c r="Q48" s="123"/>
      <x:c r="R48" s="123" t="str">
        <x:v>Drawing/inline/anchor; kiểm tra sau render</x:v>
      </x:c>
      <x:c r="S48" s="123" t="str">
        <x:v>Giữ nguyên ảnh/neo; không dịch hoặc thay ảnh | QA giãn dòng thực tế khi render</x:v>
      </x:c>
      <x:c r="T48" s="123" t="str">
        <x:v>NĐ30, Phụ lục I, Phần I, II.6; V.6</x:v>
      </x:c>
      <x:c r="U48" s="123" t="str">
        <x:v>https://datafiles.chinhphu.vn/cpp/files/vbpq/2020/03/30.signed.pdf</x:v>
      </x:c>
      <x:c r="V48" s="123" t="str">
        <x:v>https://riam.edu.vn/nghi-dinh-ve-cong-tac-van-thu-phu-luc/</x:v>
      </x:c>
      <x:c r="W48" s="123" t="str">
        <x:v>CẦN RÀ SOÁT</x:v>
      </x:c>
      <x:c r="X48" s="123" t="str">
        <x:v>CHECK_ONLY</x:v>
      </x:c>
      <x:c r="Y48" s="123" t="str">
        <x:v>Không tự chèn/sửa khi chưa có chứng cứ về đối tượng và rule.</x:v>
      </x:c>
      <x:c r="Z48" s="124" t="str">
        <x:v>Giữ nguyên ảnh/neo; không dịch hoặc thay ảnh</x:v>
      </x:c>
      <x:c r="AA48" s="123" t="str">
        <x:v>BodyText-14</x:v>
      </x:c>
      <x:c r="AB48" s="124" t="str">
        <x:v>CẦN QA RENDER</x:v>
      </x:c>
      <x:c r="AC48" s="123" t="str">
        <x:v>CHECK_ONLY</x:v>
      </x:c>
      <x:c r="AD48" s="123" t="str">
        <x:v>PLUGIN:hoa-tieu-mien-bac-administrative-v1 | user_approved_visual_reference</x:v>
      </x:c>
      <x:c r="AE48" s="123" t="str">
        <x:v>Render 1–3 trang: so TNR — pt, spacing Theo đoạn neo ảnh; không kế thừa Exactly 19 một cách máy móc, indent First line 0; kiểm tra không tràn chữ.</x:v>
      </x:c>
      <x:c r="AF48" s="123" t="str">
        <x:v>Công ty: profile trình bày văn bản dự thảo; không mặc định thay cho văn bản pháp quy đặc thù.</x:v>
      </x:c>
      <x:c r="AG48" s="157" t="str">
        <x:v>Times New Roman</x:v>
      </x:c>
      <x:c r="AH48" s="157" t="str">
        <x:v>Unicode</x:v>
      </x:c>
      <x:c r="AI48" s="157" t="str">
        <x:v>#000000</x:v>
      </x:c>
      <x:c r="AJ48" s="195"/>
      <x:c r="AK48" s="157" t="str">
        <x:v>KHÔNG ÁP DỤNG</x:v>
      </x:c>
      <x:c r="AL48" s="157" t="str">
        <x:v>KHÔNG ÁP DỤNG</x:v>
      </x:c>
      <x:c r="AM48" s="157"/>
      <x:c r="AN48" s="157"/>
      <x:c r="AO48" s="157"/>
      <x:c r="AP48" s="157"/>
      <x:c r="AQ48" s="195"/>
      <x:c r="AR48" s="157"/>
      <x:c r="AS48" s="195"/>
      <x:c r="AT48" s="195"/>
      <x:c r="AU48" s="195"/>
      <x:c r="AV48" s="195"/>
      <x:c r="AW48" s="195"/>
      <x:c r="AX48" s="157"/>
      <x:c r="AY48" s="157"/>
      <x:c r="AZ48" s="157"/>
      <x:c r="BA48" s="195"/>
      <x:c r="BB48" s="195"/>
      <x:c r="BC48" s="157"/>
      <x:c r="BD48" s="195"/>
      <x:c r="BE48" s="195"/>
      <x:c r="BF48" s="195"/>
      <x:c r="BG48" s="195"/>
      <x:c r="BH48" s="157"/>
      <x:c r="BI48" s="195"/>
      <x:c r="BJ48" s="195"/>
      <x:c r="BK48" s="195"/>
      <x:c r="BL48" s="157"/>
      <x:c r="BM48" s="157"/>
      <x:c r="BN48" s="157"/>
      <x:c r="BO48" s="195"/>
      <x:c r="BP48" s="195"/>
      <x:c r="BQ48" s="157"/>
      <x:c r="BR48" s="157"/>
      <x:c r="BS48" s="157"/>
      <x:c r="BT48" s="157" t="str">
        <x:v>BodyText-14</x:v>
      </x:c>
      <x:c r="BU48" s="157" t="str">
        <x:v>Drawing/inline/anchor; kiểm tra sau render</x:v>
      </x:c>
      <x:c r="BV48" s="196" t="str">
        <x:v>CẦN QA RENDER</x:v>
      </x:c>
      <x:c r="BW48" s="197" t="str">
        <x:v>ĐÃ TÁCH MỘT PHẦN</x:v>
      </x:c>
      <x:c r="BX48" s="157" t="str">
        <x:v>Giãn dòng không cố định: Theo đoạn neo ảnh; không kế thừa Exactly 19 một cách máy móc</x:v>
      </x:c>
      <x:c r="BY48" t="str">
        <x:v>ND30.N.HINH.DOI_TUONG</x:v>
      </x:c>
      <x:c r="BZ48" t="str">
        <x:f>IFERROR(INDEX(ND30!$J$7:$J$300,MATCH($B48,ND30!$B$7:$B$300,0)),"UNRESOLVED")</x:f>
        <x:v>Theo đối tượng/mẫu</x:v>
      </x:c>
      <x:c r="CA48" t="str">
        <x:v>IMAGE</x:v>
      </x:c>
      <x:c r="CB48" t="str">
        <x:v>target_is_image_or_caption AND existing_media_preserved</x:v>
      </x:c>
      <x:c r="CC48" t="str">
        <x:f>IFERROR(INDEX(ND30!$X$7:$X$300,MATCH($B48,ND30!$B$7:$B$300,0)),"UNRESOLVED")</x:f>
        <x:v>READ_ONLY</x:v>
      </x:c>
      <x:c r="CD48" t="str">
        <x:f>IF(OR(ISNUMBER(SEARCH("READ_ONLY",CC48)),ISNUMBER(SEARCH("PROTECTED",CC48)),ISNUMBER(SEARCH("BẢO VỆ",CC48)),ISNUMBER(SEARCH("KHÔNG KÝ",CC48))),"PROTECTED","CHECK_ONLY")</x:f>
        <x:v>PROTECTED</x:v>
      </x:c>
      <x:c r="CE48" t="str">
        <x:f>IF(AND(CD48="FORMAT_APPROVED",CU48="CÓ",CV48="CÓ",CH48="CÓ",CI48="CÓ",CJ48="CÓ"),"CÓ","KHÔNG")</x:f>
        <x:v>KHÔNG</x:v>
      </x:c>
      <x:c r="CF48" t="str">
        <x:v>KHÔNG</x:v>
      </x:c>
      <x:c r="CG48" t="str">
        <x:v>CÓ</x:v>
      </x:c>
      <x:c r="CH48" t="str">
        <x:v>KHÔNG</x:v>
      </x:c>
      <x:c r="CI48" t="str">
        <x:v>KHÔNG</x:v>
      </x:c>
      <x:c r="CJ48" t="str">
        <x:v>KHÔNG</x:v>
      </x:c>
      <x:c r="CK48" t="str">
        <x:f>IF(AND(CE48="CÓ",CF48="KHÔNG",CG48="CÓ",CU48="CÓ",CV48="CÓ",CH48="CÓ",CI48="CÓ",CJ48="CÓ"),"CÓ","KHÔNG")</x:f>
        <x:v>KHÔNG</x:v>
      </x:c>
      <x:c r="CL48" t="str">
        <x:v>PILOT_NORTH_PROFILE_DRAFT; chưa có master DOCX đã duyệt</x:v>
      </x:c>
      <x:c r="CM48" t="str">
        <x:v>v1.5 (nâng từ v1.4)</x:v>
      </x:c>
      <x:c r="CN48" t="str">
        <x:v>CẦN XÁC MINH TÊN/QUY CHẾ</x:v>
      </x:c>
      <x:c r="CO48" t="str">
        <x:v>ND30_N_HINH_DOI_TUONG_FIELD_ONLY; chưa tạo trong Word</x:v>
      </x:c>
      <x:c r="CP48" t="str">
        <x:v>Preset là cấu hình Công ty; không thay thế giới hạn của nguồn NĐ30/HD05</x:v>
      </x:c>
      <x:c r="CQ48" t="str">
        <x:f>IF(OR(BH48="CÓ",BH48=TRUE),BI48,"")</x:f>
      </x:c>
      <x:c r="CR48" t="str">
        <x:f>IF(OR(BH48="CÓ",BH48=TRUE),BJ48,"")</x:f>
      </x:c>
      <x:c r="CS48" t="str">
        <x:v>STRUCTURAL_CHECK_ONLY</x:v>
      </x:c>
      <x:c r="CT48" t="str">
        <x:v>PENDING_SOURCE_AND_DOCX_QA</x:v>
      </x:c>
      <x:c r="CU48" t="str">
        <x:v>KHÔNG</x:v>
      </x:c>
      <x:c r="CV48" t="str">
        <x:v>KHÔNG</x:v>
      </x:c>
      <x:c r="CW48" t="str"/>
    </x:row>
    <x:row r="49" ht="29" customHeight="1">
      <x:c r="A49" s="125" t="n">
        <x:v>43</x:v>
      </x:c>
      <x:c r="B49" s="123" t="str">
        <x:v>ND30.N.HINH.CHU_THICH</x:v>
      </x:c>
      <x:c r="C49" s="123" t="str">
        <x:v>Nội dung</x:v>
      </x:c>
      <x:c r="D49" s="123" t="str">
        <x:v>Hình, sơ đồ</x:v>
      </x:c>
      <x:c r="E49" s="123" t="str">
        <x:v>Chú thích hình/sơ đồ</x:v>
      </x:c>
      <x:c r="F49" s="123" t="str">
        <x:v>6</x:v>
      </x:c>
      <x:c r="G49" s="123" t="str">
        <x:v>Khi tài liệu có hình/đồ họa thực tế; không dùng cho bảng bố cục header</x:v>
      </x:c>
      <x:c r="H49" s="123" t="str">
        <x:v>Giữ nguyên hình, sơ đồ và neo vị trí; không tái tạo ảnh</x:v>
      </x:c>
      <x:c r="I49" s="123" t="str">
        <x:v>Times New Roman | Unicode | đen</x:v>
      </x:c>
      <x:c r="J49" s="126" t="str">
        <x:v>12</x:v>
      </x:c>
      <x:c r="K49" s="123" t="str">
        <x:v>In thường (trừ tiêu đề)</x:v>
      </x:c>
      <x:c r="L49" s="123" t="str">
        <x:v>Theo chú thích nếu có</x:v>
      </x:c>
      <x:c r="M49" s="123" t="str">
        <x:v>Không mặc định</x:v>
      </x:c>
      <x:c r="N49" s="123" t="str">
        <x:v>Căn giữa</x:v>
      </x:c>
      <x:c r="O49" s="124" t="str">
        <x:v>Theo đoạn neo ảnh; không kế thừa Exactly 19 một cách máy móc</x:v>
      </x:c>
      <x:c r="P49" s="124" t="str">
        <x:v>First line 0</x:v>
      </x:c>
      <x:c r="Q49" s="123"/>
      <x:c r="R49" s="123" t="str">
        <x:v>Drawing/inline/anchor; kiểm tra sau render</x:v>
      </x:c>
      <x:c r="S49" s="123" t="str">
        <x:v>Chú thích: TNR 12 pt, căn giữa, sau 3 pt (preset, cần duyệt) | QA giãn dòng thực tế khi render</x:v>
      </x:c>
      <x:c r="T49" s="123" t="str">
        <x:v>NĐ30, Phụ lục I, Phần I, II.6; V.6</x:v>
      </x:c>
      <x:c r="U49" s="123" t="str">
        <x:v>https://datafiles.chinhphu.vn/cpp/files/vbpq/2020/03/30.signed.pdf</x:v>
      </x:c>
      <x:c r="V49" s="123" t="str">
        <x:v>https://riam.edu.vn/nghi-dinh-ve-cong-tac-van-thu-phu-luc/</x:v>
      </x:c>
      <x:c r="W49" s="123" t="str">
        <x:v>CẦN RÀ SOÁT</x:v>
      </x:c>
      <x:c r="X49" s="123" t="str">
        <x:v>FORMAT_AFTER_REVIEW</x:v>
      </x:c>
      <x:c r="Y49" s="123" t="str">
        <x:v>Không tự chèn/sửa khi chưa có chứng cứ về đối tượng và rule.</x:v>
      </x:c>
      <x:c r="Z49" s="124" t="str">
        <x:v>Chú thích: TNR 12 pt, căn giữa, sau 3 pt (preset, cần duyệt)</x:v>
      </x:c>
      <x:c r="AA49" s="123" t="str">
        <x:v>BodyText-14</x:v>
      </x:c>
      <x:c r="AB49" s="124" t="str">
        <x:v>CẦN QA RENDER</x:v>
      </x:c>
      <x:c r="AC49" s="123" t="str">
        <x:v>FORMAT_AFTER_REVIEW</x:v>
      </x:c>
      <x:c r="AD49" s="123" t="str">
        <x:v>PLUGIN:hoa-tieu-mien-bac-administrative-v1 | user_approved_visual_reference</x:v>
      </x:c>
      <x:c r="AE49" s="123" t="str">
        <x:v>Render 1–3 trang: so TNR 12 pt, spacing Theo đoạn neo ảnh; không kế thừa Exactly 19 một cách máy móc, indent First line 0; kiểm tra không tràn chữ.</x:v>
      </x:c>
      <x:c r="AF49" s="123" t="str">
        <x:v>Công ty: profile trình bày văn bản dự thảo; không mặc định thay cho văn bản pháp quy đặc thù.</x:v>
      </x:c>
      <x:c r="AG49" s="157" t="str">
        <x:v>Times New Roman</x:v>
      </x:c>
      <x:c r="AH49" s="157" t="str">
        <x:v>Unicode</x:v>
      </x:c>
      <x:c r="AI49" s="157" t="str">
        <x:v>#000000</x:v>
      </x:c>
      <x:c r="AJ49" s="195" t="n">
        <x:v>12</x:v>
      </x:c>
      <x:c r="AK49" s="157" t="str">
        <x:v>CÓ ĐIỀU KIỆN</x:v>
      </x:c>
      <x:c r="AL49" s="157" t="str">
        <x:v>CÓ ĐIỀU KIỆN</x:v>
      </x:c>
      <x:c r="AM49" s="157" t="str">
        <x:v>In thường (trừ tiêu đề)</x:v>
      </x:c>
      <x:c r="AN49" s="157" t="str">
        <x:v>CENTER</x:v>
      </x:c>
      <x:c r="AO49" s="157"/>
      <x:c r="AP49" s="157"/>
      <x:c r="AQ49" s="195"/>
      <x:c r="AR49" s="157"/>
      <x:c r="AS49" s="195"/>
      <x:c r="AT49" s="195"/>
      <x:c r="AU49" s="195" t="n">
        <x:v>0</x:v>
      </x:c>
      <x:c r="AV49" s="195"/>
      <x:c r="AW49" s="195"/>
      <x:c r="AX49" s="157"/>
      <x:c r="AY49" s="157"/>
      <x:c r="AZ49" s="157"/>
      <x:c r="BA49" s="195"/>
      <x:c r="BB49" s="195"/>
      <x:c r="BC49" s="157"/>
      <x:c r="BD49" s="195"/>
      <x:c r="BE49" s="195"/>
      <x:c r="BF49" s="195"/>
      <x:c r="BG49" s="195"/>
      <x:c r="BH49" s="157"/>
      <x:c r="BI49" s="195"/>
      <x:c r="BJ49" s="195"/>
      <x:c r="BK49" s="195"/>
      <x:c r="BL49" s="157"/>
      <x:c r="BM49" s="157"/>
      <x:c r="BN49" s="157"/>
      <x:c r="BO49" s="195"/>
      <x:c r="BP49" s="195"/>
      <x:c r="BQ49" s="157"/>
      <x:c r="BR49" s="157"/>
      <x:c r="BS49" s="157"/>
      <x:c r="BT49" s="157" t="str">
        <x:v>BodyText-14</x:v>
      </x:c>
      <x:c r="BU49" s="157" t="str">
        <x:v>Drawing/inline/anchor; kiểm tra sau render</x:v>
      </x:c>
      <x:c r="BV49" s="196" t="str">
        <x:v>CẦN QA RENDER</x:v>
      </x:c>
      <x:c r="BW49" s="197" t="str">
        <x:v>ĐÃ TÁCH MỘT PHẦN</x:v>
      </x:c>
      <x:c r="BX49" s="157" t="str">
        <x:v>Giãn dòng không cố định: Theo đoạn neo ảnh; không kế thừa Exactly 19 một cách máy móc</x:v>
      </x:c>
      <x:c r="BY49" t="str">
        <x:v>ND30.N.HINH.CHU_THICH</x:v>
      </x:c>
      <x:c r="BZ49" t="str">
        <x:f>IFERROR(INDEX(ND30!$J$7:$J$300,MATCH($B49,ND30!$B$7:$B$300,0)),"UNRESOLVED")</x:f>
        <x:v>Theo đối tượng/mẫu</x:v>
      </x:c>
      <x:c r="CA49" t="str">
        <x:v>TEXT</x:v>
      </x:c>
      <x:c r="CB49" t="str">
        <x:v>target_is_image_or_caption AND existing_media_preserved</x:v>
      </x:c>
      <x:c r="CC49" t="str">
        <x:f>IFERROR(INDEX(ND30!$X$7:$X$300,MATCH($B49,ND30!$B$7:$B$300,0)),"UNRESOLVED")</x:f>
        <x:v>READ_ONLY</x:v>
      </x:c>
      <x:c r="CD49" t="str">
        <x:f>IF(OR(ISNUMBER(SEARCH("READ_ONLY",CC49)),ISNUMBER(SEARCH("PROTECTED",CC49)),ISNUMBER(SEARCH("BẢO VỆ",CC49)),ISNUMBER(SEARCH("KHÔNG KÝ",CC49))),"PROTECTED","CHECK_ONLY")</x:f>
        <x:v>PROTECTED</x:v>
      </x:c>
      <x:c r="CE49" t="str">
        <x:f>IF(AND(CD49="FORMAT_APPROVED",CU49="CÓ",CV49="CÓ",CH49="CÓ",CI49="CÓ",CJ49="CÓ"),"CÓ","KHÔNG")</x:f>
        <x:v>KHÔNG</x:v>
      </x:c>
      <x:c r="CF49" t="str">
        <x:v>KHÔNG</x:v>
      </x:c>
      <x:c r="CG49" t="str">
        <x:v>CÓ</x:v>
      </x:c>
      <x:c r="CH49" t="str">
        <x:v>KHÔNG</x:v>
      </x:c>
      <x:c r="CI49" t="str">
        <x:v>KHÔNG</x:v>
      </x:c>
      <x:c r="CJ49" t="str">
        <x:v>KHÔNG</x:v>
      </x:c>
      <x:c r="CK49" t="str">
        <x:f>IF(AND(CE49="CÓ",CF49="KHÔNG",CG49="CÓ",CU49="CÓ",CV49="CÓ",CH49="CÓ",CI49="CÓ",CJ49="CÓ"),"CÓ","KHÔNG")</x:f>
        <x:v>KHÔNG</x:v>
      </x:c>
      <x:c r="CL49" t="str">
        <x:v>PILOT_NORTH_PROFILE_DRAFT; chưa có master DOCX đã duyệt</x:v>
      </x:c>
      <x:c r="CM49" t="str">
        <x:v>v1.5 (nâng từ v1.4)</x:v>
      </x:c>
      <x:c r="CN49" t="str">
        <x:v>CẦN XÁC MINH TÊN/QUY CHẾ</x:v>
      </x:c>
      <x:c r="CO49" t="str">
        <x:v>ND30_N_HINH_CHU_THICH_FIELD_ONLY; chưa tạo trong Word</x:v>
      </x:c>
      <x:c r="CP49" t="str">
        <x:v>Preset là cấu hình Công ty; không thay thế giới hạn của nguồn NĐ30/HD05</x:v>
      </x:c>
      <x:c r="CQ49" t="str">
        <x:f>IF(OR(BH49="CÓ",BH49=TRUE),BI49,"")</x:f>
      </x:c>
      <x:c r="CR49" t="str">
        <x:f>IF(OR(BH49="CÓ",BH49=TRUE),BJ49,"")</x:f>
      </x:c>
      <x:c r="CS49" t="str">
        <x:v>FORMAT_CHECK_ONLY</x:v>
      </x:c>
      <x:c r="CT49" t="str">
        <x:v>PENDING_SOURCE_AND_DOCX_QA</x:v>
      </x:c>
      <x:c r="CU49" t="str">
        <x:v>KHÔNG</x:v>
      </x:c>
      <x:c r="CV49" t="str">
        <x:v>KHÔNG</x:v>
      </x:c>
      <x:c r="CW49" t="str"/>
    </x:row>
    <x:row r="50" ht="29" customHeight="1">
      <x:c r="A50" s="125" t="n">
        <x:v>44</x:v>
      </x:c>
      <x:c r="B50" s="123" t="str">
        <x:v>ND30.N.KET.DOAN_KET</x:v>
      </x:c>
      <x:c r="C50" s="123" t="str">
        <x:v>Nội dung</x:v>
      </x:c>
      <x:c r="D50" s="123" t="str">
        <x:v>Kết thúc nội dung</x:v>
      </x:c>
      <x:c r="E50" s="123" t="str">
        <x:v>Đoạn kết nếu có</x:v>
      </x:c>
      <x:c r="F50" s="123" t="str">
        <x:v>6</x:v>
      </x:c>
      <x:c r="G50" s="123" t="str">
        <x:v>Theo loại văn bản và sự hiện diện thực tế; không áp dụng đồng loạt</x:v>
      </x:c>
      <x:c r="H50" s="123" t="str">
        <x:v>Đoạn kết nội dung nếu có; áp body style trừ mẫu có quy định riêng</x:v>
      </x:c>
      <x:c r="I50" s="123" t="str">
        <x:v>Times New Roman | Unicode | đen</x:v>
      </x:c>
      <x:c r="J50" s="126" t="str">
        <x:v>14</x:v>
      </x:c>
      <x:c r="K50" s="123" t="str">
        <x:v>In thường (trừ tiêu đề)</x:v>
      </x:c>
      <x:c r="L50" s="123" t="str">
        <x:v>Không</x:v>
      </x:c>
      <x:c r="M50" s="123" t="str">
        <x:v>Không mặc định</x:v>
      </x:c>
      <x:c r="N50" s="123" t="str">
        <x:v>Căn đều hai lề (justify)</x:v>
      </x:c>
      <x:c r="O50" s="124" t="str">
        <x:v>Exactly 19 pt; after 6 pt; before 0 pt</x:v>
      </x:c>
      <x:c r="P50" s="124" t="str">
        <x:v>First line 12,7 mm (0,5 in = 720 twip)</x:v>
      </x:c>
      <x:c r="Q50" s="123"/>
      <x:c r="R50" s="123" t="str">
        <x:v>Paragraph/Run theo kiểu khối KET; preserve list numbering/table/drawing nếu có</x:v>
      </x:c>
      <x:c r="S50" s="123" t="str">
        <x:v>TNR 14 pt; căn đều; Exactly 19 pt; trước 0/sau 6 pt; thụt dòng đầu 12,7 mm | QA giãn dòng thực tế khi render</x:v>
      </x:c>
      <x:c r="T50" s="123" t="str">
        <x:v>NĐ30, Phụ lục I, Phần I, II.6; V.6</x:v>
      </x:c>
      <x:c r="U50" s="123" t="str">
        <x:v>https://datafiles.chinhphu.vn/cpp/files/vbpq/2020/03/30.signed.pdf</x:v>
      </x:c>
      <x:c r="V50" s="123" t="str">
        <x:v>https://riam.edu.vn/nghi-dinh-ve-cong-tac-van-thu-phu-luc/</x:v>
      </x:c>
      <x:c r="W50" s="123" t="str">
        <x:v>CHƯA ĐỦ BẰNG CHỨNG</x:v>
      </x:c>
      <x:c r="X50" s="123" t="str">
        <x:v>FORMAT_AFTER_REVIEW</x:v>
      </x:c>
      <x:c r="Y50" s="123" t="str">
        <x:v>Không tự chèn/sửa khi chưa có chứng cứ về đối tượng và rule. | Trạng thái v1.0: CÓ ĐIỀU KIỆN</x:v>
      </x:c>
      <x:c r="Z50" s="124" t="str">
        <x:v>TNR 14 pt; căn đều; Exactly 19 pt; trước 0/sau 6 pt; thụt dòng đầu 12,7 mm</x:v>
      </x:c>
      <x:c r="AA50" s="123" t="str">
        <x:v>BodyText-14</x:v>
      </x:c>
      <x:c r="AB50" s="124" t="str">
        <x:v>THAM KHẢO</x:v>
      </x:c>
      <x:c r="AC50" s="123" t="str">
        <x:v>FORMAT_AFTER_REVIEW</x:v>
      </x:c>
      <x:c r="AD50" s="123" t="str">
        <x:v>PLUGIN:hoa-tieu-mien-bac-administrative-v1 | user_approved_visual_reference</x:v>
      </x:c>
      <x:c r="AE50" s="123" t="str">
        <x:v>Render 1–3 trang: so TNR 14 pt, spacing Exactly 19 pt; after 6 pt; before 0 pt, indent First line 12,7 mm (0,5 in = 720 twip); kiểm tra không tràn chữ.</x:v>
      </x:c>
      <x:c r="AF50" s="123" t="str">
        <x:v>NĐ30 chỉ quy định đơn–1,5 lines; Exactly 19 pt là preset từ profile, cần QA phù hợp. | Công ty: profile trình bày văn bản dự thảo; không mặc định thay cho văn bản pháp quy đặc thù.</x:v>
      </x:c>
      <x:c r="AG50" s="157" t="str">
        <x:v>Times New Roman</x:v>
      </x:c>
      <x:c r="AH50" s="157" t="str">
        <x:v>Unicode</x:v>
      </x:c>
      <x:c r="AI50" s="157" t="str">
        <x:v>#000000</x:v>
      </x:c>
      <x:c r="AJ50" s="195" t="n">
        <x:v>14</x:v>
      </x:c>
      <x:c r="AK50" s="157" t="str">
        <x:v>KHÔNG</x:v>
      </x:c>
      <x:c r="AL50" s="157" t="str">
        <x:v>CÓ ĐIỀU KIỆN</x:v>
      </x:c>
      <x:c r="AM50" s="157" t="str">
        <x:v>In thường (trừ tiêu đề)</x:v>
      </x:c>
      <x:c r="AN50" s="157" t="str">
        <x:v>JUSTIFY</x:v>
      </x:c>
      <x:c r="AO50" s="157"/>
      <x:c r="AP50" s="157" t="str">
        <x:v>EXACT</x:v>
      </x:c>
      <x:c r="AQ50" s="195" t="n">
        <x:v>19</x:v>
      </x:c>
      <x:c r="AR50" s="157" t="str">
        <x:v>pt</x:v>
      </x:c>
      <x:c r="AS50" s="195" t="n">
        <x:v>0</x:v>
      </x:c>
      <x:c r="AT50" s="195" t="n">
        <x:v>6</x:v>
      </x:c>
      <x:c r="AU50" s="195" t="n">
        <x:v>12.7</x:v>
      </x:c>
      <x:c r="AV50" s="195"/>
      <x:c r="AW50" s="195"/>
      <x:c r="AX50" s="157"/>
      <x:c r="AY50" s="157"/>
      <x:c r="AZ50" s="157"/>
      <x:c r="BA50" s="195"/>
      <x:c r="BB50" s="195"/>
      <x:c r="BC50" s="157"/>
      <x:c r="BD50" s="195"/>
      <x:c r="BE50" s="195"/>
      <x:c r="BF50" s="195"/>
      <x:c r="BG50" s="195"/>
      <x:c r="BH50" s="157"/>
      <x:c r="BI50" s="195"/>
      <x:c r="BJ50" s="195"/>
      <x:c r="BK50" s="195"/>
      <x:c r="BL50" s="157"/>
      <x:c r="BM50" s="157"/>
      <x:c r="BN50" s="157"/>
      <x:c r="BO50" s="195"/>
      <x:c r="BP50" s="195"/>
      <x:c r="BQ50" s="157"/>
      <x:c r="BR50" s="157"/>
      <x:c r="BS50" s="157"/>
      <x:c r="BT50" s="157" t="str">
        <x:v>BodyText-14</x:v>
      </x:c>
      <x:c r="BU50" s="157" t="str">
        <x:v>Paragraph/Run theo kiểu khối KET; preserve list numbering/table/drawing nếu có</x:v>
      </x:c>
      <x:c r="BV50" s="196" t="str">
        <x:v>THAM KHẢO</x:v>
      </x:c>
      <x:c r="BW50" s="197" t="str">
        <x:v>ĐÃ TÁCH MỘT PHẦN</x:v>
      </x:c>
      <x:c r="BX50" s="157" t="str">
        <x:v>Đối chiếu mô tả gốc ở I–S, Z–AF nếu thuộc tính phụ thuộc mẫu.</x:v>
      </x:c>
      <x:c r="BY50" t="str">
        <x:v>ND30.N.KET.DOAN_KET</x:v>
      </x:c>
      <x:c r="BZ50" t="str">
        <x:f>IFERROR(INDEX(ND30!$J$7:$J$300,MATCH($B50,ND30!$B$7:$B$300,0)),"UNRESOLVED")</x:f>
        <x:v>13–14</x:v>
      </x:c>
      <x:c r="CA50" t="str">
        <x:v>TEXT</x:v>
      </x:c>
      <x:c r="CB50" t="str">
        <x:v>issuer_scope_confirmed AND document_type_confirmed AND legal_effective_date_confirmed</x:v>
      </x:c>
      <x:c r="CC50" t="str">
        <x:f>IFERROR(INDEX(ND30!$X$7:$X$300,MATCH($B50,ND30!$B$7:$B$300,0)),"UNRESOLVED")</x:f>
        <x:v>CHỈ SAU REVIEW</x:v>
      </x:c>
      <x:c r="CD50" t="str">
        <x:f>IF(OR(ISNUMBER(SEARCH("READ_ONLY",CC50)),ISNUMBER(SEARCH("PROTECTED",CC50)),ISNUMBER(SEARCH("BẢO VỆ",CC50)),ISNUMBER(SEARCH("KHÔNG KÝ",CC50))),"PROTECTED","CHECK_ONLY")</x:f>
        <x:v>CHECK_ONLY</x:v>
      </x:c>
      <x:c r="CE50" t="str">
        <x:f>IF(AND(CD50="FORMAT_APPROVED",CU50="CÓ",CV50="CÓ",CH50="CÓ",CI50="CÓ",CJ50="CÓ"),"CÓ","KHÔNG")</x:f>
        <x:v>KHÔNG</x:v>
      </x:c>
      <x:c r="CF50" t="str">
        <x:v>KHÔNG</x:v>
      </x:c>
      <x:c r="CG50" t="str">
        <x:v>CÓ</x:v>
      </x:c>
      <x:c r="CH50" t="str">
        <x:v>KHÔNG</x:v>
      </x:c>
      <x:c r="CI50" t="str">
        <x:v>KHÔNG</x:v>
      </x:c>
      <x:c r="CJ50" t="str">
        <x:v>KHÔNG</x:v>
      </x:c>
      <x:c r="CK50" t="str">
        <x:f>IF(AND(CE50="CÓ",CF50="KHÔNG",CG50="CÓ",CU50="CÓ",CV50="CÓ",CH50="CÓ",CI50="CÓ",CJ50="CÓ"),"CÓ","KHÔNG")</x:f>
        <x:v>KHÔNG</x:v>
      </x:c>
      <x:c r="CL50" t="str">
        <x:v>PILOT_NORTH_PROFILE_DRAFT; chưa có master DOCX đã duyệt</x:v>
      </x:c>
      <x:c r="CM50" t="str">
        <x:v>v1.5 (nâng từ v1.4)</x:v>
      </x:c>
      <x:c r="CN50" t="str">
        <x:v>CẦN XÁC MINH TÊN/QUY CHẾ</x:v>
      </x:c>
      <x:c r="CO50" t="str">
        <x:v>ND30_N_KET_DOAN_KET_FIELD_ONLY; chưa tạo trong Word</x:v>
      </x:c>
      <x:c r="CP50" t="str">
        <x:v>Preset là cấu hình Công ty; không thay thế giới hạn của nguồn NĐ30/HD05</x:v>
      </x:c>
      <x:c r="CQ50" t="str">
        <x:f>IF(OR(BH50="CÓ",BH50=TRUE),BI50,"")</x:f>
      </x:c>
      <x:c r="CR50" t="str">
        <x:f>IF(OR(BH50="CÓ",BH50=TRUE),BJ50,"")</x:f>
      </x:c>
      <x:c r="CS50" t="str">
        <x:v>FORMAT_CHECK_ONLY</x:v>
      </x:c>
      <x:c r="CT50" t="str">
        <x:v>PENDING_SOURCE_AND_DOCX_QA</x:v>
      </x:c>
      <x:c r="CU50" t="str">
        <x:v>KHÔNG</x:v>
      </x:c>
      <x:c r="CV50" t="str">
        <x:v>KHÔNG</x:v>
      </x:c>
      <x:c r="CW50" t="str"/>
    </x:row>
    <x:row r="51" ht="29" customHeight="1">
      <x:c r="A51" s="125" t="n">
        <x:v>45</x:v>
      </x:c>
      <x:c r="B51" s="123" t="str">
        <x:v>ND30.C.NN.NHAN_NOI_NHAN</x:v>
      </x:c>
      <x:c r="C51" s="123" t="str">
        <x:v>Cuối văn bản</x:v>
      </x:c>
      <x:c r="D51" s="123" t="str">
        <x:v>Nơi nhận cuối văn bản</x:v>
      </x:c>
      <x:c r="E51" s="123" t="str">
        <x:v>Nhãn Nơi nhận:</x:v>
      </x:c>
      <x:c r="F51" s="123" t="str">
        <x:v>9b</x:v>
      </x:c>
      <x:c r="G51" s="123" t="str">
        <x:v>Cần có nơi nhận theo loại/đối tượng</x:v>
      </x:c>
      <x:c r="H51" s="123" t="str">
        <x:v>Nhãn Nơi nhận:</x:v>
      </x:c>
      <x:c r="I51" s="123" t="str">
        <x:v>Times New Roman | Unicode | đen</x:v>
      </x:c>
      <x:c r="J51" s="126" t="str">
        <x:v>12</x:v>
      </x:c>
      <x:c r="K51" s="123" t="str">
        <x:v>Theo mẫu</x:v>
      </x:c>
      <x:c r="L51" s="123" t="str">
        <x:v>Có</x:v>
      </x:c>
      <x:c r="M51" s="123" t="str">
        <x:v>Có</x:v>
      </x:c>
      <x:c r="N51" s="123" t="str">
        <x:v>Khối trái cuối văn bản; theo ô pháp lý 9b</x:v>
      </x:c>
      <x:c r="O51" s="124" t="str">
        <x:v>Single; before 0 / after 0 pt</x:v>
      </x:c>
      <x:c r="P51" s="124" t="str">
        <x:v>First line 0; gạch đầu dòng cách chữ 0,5 cm (preset)</x:v>
      </x:c>
      <x:c r="Q51" s="123"/>
      <x:c r="R51" s="123" t="str">
        <x:v>Text run trên dòng riêng</x:v>
      </x:c>
      <x:c r="S51" s="123" t="str">
        <x:v>Nhãn “Nơi nhận:” trình bày theo NĐ30, Phụ lục I, mục II.9</x:v>
      </x:c>
      <x:c r="T51" s="123" t="str">
        <x:v>NĐ30, Phụ lục I, Phần I, II.9; V.8</x:v>
      </x:c>
      <x:c r="U51" s="123" t="str">
        <x:v>https://datafiles.chinhphu.vn/cpp/files/vbpq/2020/03/30.signed.pdf</x:v>
      </x:c>
      <x:c r="V51" s="123" t="str">
        <x:v>https://riam.edu.vn/nghi-dinh-ve-cong-tac-van-thu-phu-luc/</x:v>
      </x:c>
      <x:c r="W51" s="123" t="str">
        <x:v>CẦN RÀ SOÁT</x:v>
      </x:c>
      <x:c r="X51" s="123" t="str">
        <x:v>FORMAT_AFTER_REVIEW</x:v>
      </x:c>
      <x:c r="Y51" s="123" t="str">
        <x:v>Không tự chèn/sửa khi chưa có chứng cứ về đối tượng và rule. | So sánh chéo cũ (không dùng làm rule): Nơi nhận:; HD05 có gạch ngang bên dưới</x:v>
      </x:c>
      <x:c r="Z51" s="124" t="str">
        <x:v>Nơi nhận:</x:v>
      </x:c>
      <x:c r="AA51" s="123" t="str">
        <x:v>DistributionList</x:v>
      </x:c>
      <x:c r="AB51" s="124" t="str">
        <x:v>CÓ ĐIỀU KIỆN</x:v>
      </x:c>
      <x:c r="AC51" s="123" t="str">
        <x:v>FORMAT_AFTER_REVIEW</x:v>
      </x:c>
      <x:c r="AD51" s="123" t="str">
        <x:v>PLUGIN:hoa-tieu-mien-bac-administrative-v1 | user_approved_visual_reference</x:v>
      </x:c>
      <x:c r="AE51" s="123" t="str">
        <x:v>Đối chiếu đúng vị trí; không điền dữ liệu; không chạm dấu/chữ ký hoặc trường được bảo vệ.</x:v>
      </x:c>
      <x:c r="AF51" s="123" t="str">
        <x:v>Công ty: profile trình bày văn bản dự thảo; không mặc định thay cho văn bản pháp quy đặc thù.</x:v>
      </x:c>
      <x:c r="AG51" s="157" t="str">
        <x:v>Times New Roman</x:v>
      </x:c>
      <x:c r="AH51" s="157" t="str">
        <x:v>Unicode</x:v>
      </x:c>
      <x:c r="AI51" s="157" t="str">
        <x:v>#000000</x:v>
      </x:c>
      <x:c r="AJ51" s="195" t="n">
        <x:v>12</x:v>
      </x:c>
      <x:c r="AK51" s="157" t="str">
        <x:v>CÓ</x:v>
      </x:c>
      <x:c r="AL51" s="157" t="str">
        <x:v>CÓ</x:v>
      </x:c>
      <x:c r="AM51" s="157" t="str">
        <x:v>Theo mẫu</x:v>
      </x:c>
      <x:c r="AN51" s="157" t="str">
        <x:v>LEFT</x:v>
      </x:c>
      <x:c r="AO51" s="157" t="str">
        <x:v>KHỐI/CỘT TRÁI</x:v>
      </x:c>
      <x:c r="AP51" s="157" t="str">
        <x:v>SINGLE</x:v>
      </x:c>
      <x:c r="AQ51" s="195" t="n">
        <x:v>1</x:v>
      </x:c>
      <x:c r="AR51" s="157" t="str">
        <x:v>lines</x:v>
      </x:c>
      <x:c r="AS51" s="195" t="n">
        <x:v>0</x:v>
      </x:c>
      <x:c r="AT51" s="195" t="n">
        <x:v>0</x:v>
      </x:c>
      <x:c r="AU51" s="195" t="n">
        <x:v>0</x:v>
      </x:c>
      <x:c r="AV51" s="195"/>
      <x:c r="AW51" s="195"/>
      <x:c r="AX51" s="157"/>
      <x:c r="AY51" s="157"/>
      <x:c r="AZ51" s="157"/>
      <x:c r="BA51" s="195"/>
      <x:c r="BB51" s="195"/>
      <x:c r="BC51" s="157"/>
      <x:c r="BD51" s="195"/>
      <x:c r="BE51" s="195"/>
      <x:c r="BF51" s="195"/>
      <x:c r="BG51" s="195"/>
      <x:c r="BH51" s="157"/>
      <x:c r="BI51" s="195"/>
      <x:c r="BJ51" s="195"/>
      <x:c r="BK51" s="195"/>
      <x:c r="BL51" s="157"/>
      <x:c r="BM51" s="157"/>
      <x:c r="BN51" s="157"/>
      <x:c r="BO51" s="195"/>
      <x:c r="BP51" s="195"/>
      <x:c r="BQ51" s="157"/>
      <x:c r="BR51" s="157"/>
      <x:c r="BS51" s="157"/>
      <x:c r="BT51" s="157" t="str">
        <x:v>DistributionList</x:v>
      </x:c>
      <x:c r="BU51" s="157" t="str">
        <x:v>Text run trên dòng riêng</x:v>
      </x:c>
      <x:c r="BV51" s="196" t="str">
        <x:v>CÓ ĐIỀU KIỆN</x:v>
      </x:c>
      <x:c r="BW51" s="197" t="str">
        <x:v>ĐÃ TÁCH MỘT PHẦN</x:v>
      </x:c>
      <x:c r="BX51" s="157" t="str">
        <x:v>Đối chiếu mô tả gốc ở I–S, Z–AF nếu thuộc tính phụ thuộc mẫu.</x:v>
      </x:c>
      <x:c r="BY51" t="str">
        <x:v>ND30.C.NN.NHAN_NOI_NHAN</x:v>
      </x:c>
      <x:c r="BZ51" t="n">
        <x:f>IFERROR(INDEX(ND30!$J$7:$J$300,MATCH($B51,ND30!$B$7:$B$300,0)),"UNRESOLVED")</x:f>
        <x:v>12</x:v>
      </x:c>
      <x:c r="CA51" t="str">
        <x:v>TEXT</x:v>
      </x:c>
      <x:c r="CB51" t="str">
        <x:v>document_type_confirmed AND recipient_role_confirmed</x:v>
      </x:c>
      <x:c r="CC51" t="str">
        <x:f>IFERROR(INDEX(ND30!$X$7:$X$300,MATCH($B51,ND30!$B$7:$B$300,0)),"UNRESOLVED")</x:f>
        <x:v>READ_ONLY</x:v>
      </x:c>
      <x:c r="CD51" t="str">
        <x:f>IF(OR(ISNUMBER(SEARCH("READ_ONLY",CC51)),ISNUMBER(SEARCH("PROTECTED",CC51)),ISNUMBER(SEARCH("BẢO VỆ",CC51)),ISNUMBER(SEARCH("KHÔNG KÝ",CC51))),"PROTECTED","CHECK_ONLY")</x:f>
        <x:v>PROTECTED</x:v>
      </x:c>
      <x:c r="CE51" t="str">
        <x:f>IF(AND(CD51="FORMAT_APPROVED",CU51="CÓ",CV51="CÓ",CH51="CÓ",CI51="CÓ",CJ51="CÓ"),"CÓ","KHÔNG")</x:f>
        <x:v>KHÔNG</x:v>
      </x:c>
      <x:c r="CF51" t="str">
        <x:v>KHÔNG</x:v>
      </x:c>
      <x:c r="CG51" t="str">
        <x:v>CÓ</x:v>
      </x:c>
      <x:c r="CH51" t="str">
        <x:v>KHÔNG</x:v>
      </x:c>
      <x:c r="CI51" t="str">
        <x:v>KHÔNG</x:v>
      </x:c>
      <x:c r="CJ51" t="str">
        <x:v>KHÔNG</x:v>
      </x:c>
      <x:c r="CK51" t="str">
        <x:f>IF(AND(CE51="CÓ",CF51="KHÔNG",CG51="CÓ",CU51="CÓ",CV51="CÓ",CH51="CÓ",CI51="CÓ",CJ51="CÓ"),"CÓ","KHÔNG")</x:f>
        <x:v>KHÔNG</x:v>
      </x:c>
      <x:c r="CL51" t="str">
        <x:v>PILOT_NORTH_PROFILE_DRAFT; chưa có master DOCX đã duyệt</x:v>
      </x:c>
      <x:c r="CM51" t="str">
        <x:v>v1.5 (nâng từ v1.4)</x:v>
      </x:c>
      <x:c r="CN51" t="str">
        <x:v>CẦN XÁC MINH TÊN/QUY CHẾ</x:v>
      </x:c>
      <x:c r="CO51" t="str">
        <x:v>ND30_C_NN_NHAN_NOI_NHAN_FIELD_ONLY; chưa tạo trong Word</x:v>
      </x:c>
      <x:c r="CP51" t="str">
        <x:v>Preset là cấu hình Công ty; không thay thế giới hạn của nguồn NĐ30/HD05</x:v>
      </x:c>
      <x:c r="CQ51" t="str">
        <x:f>IF(OR(BH51="CÓ",BH51=TRUE),BI51,"")</x:f>
      </x:c>
      <x:c r="CR51" t="str">
        <x:f>IF(OR(BH51="CÓ",BH51=TRUE),BJ51,"")</x:f>
      </x:c>
      <x:c r="CS51" t="str">
        <x:v>FORMAT_CHECK_ONLY</x:v>
      </x:c>
      <x:c r="CT51" t="str">
        <x:v>PENDING_SOURCE_AND_DOCX_QA</x:v>
      </x:c>
      <x:c r="CU51" t="str">
        <x:v>KHÔNG</x:v>
      </x:c>
      <x:c r="CV51" t="str">
        <x:v>KHÔNG</x:v>
      </x:c>
      <x:c r="CW51" t="str"/>
    </x:row>
    <x:row r="52" ht="29" customHeight="1">
      <x:c r="A52" s="125" t="n">
        <x:v>46</x:v>
      </x:c>
      <x:c r="B52" s="123" t="str">
        <x:v>ND30.C.NN.DANH_SACH</x:v>
      </x:c>
      <x:c r="C52" s="123" t="str">
        <x:v>Cuối văn bản</x:v>
      </x:c>
      <x:c r="D52" s="123" t="str">
        <x:v>Nơi nhận cuối văn bản</x:v>
      </x:c>
      <x:c r="E52" s="123" t="str">
        <x:v>Danh sách người/cơ quan nhận</x:v>
      </x:c>
      <x:c r="F52" s="123" t="str">
        <x:v>9b</x:v>
      </x:c>
      <x:c r="G52" s="123" t="str">
        <x:v>Cần có nơi nhận theo loại/đối tượng</x:v>
      </x:c>
      <x:c r="H52" s="123" t="str">
        <x:v>Danh sách nơi nhận và nơi lưu theo đúng đối tượng đã xác minh</x:v>
      </x:c>
      <x:c r="I52" s="123" t="str">
        <x:v>Times New Roman | Unicode | đen</x:v>
      </x:c>
      <x:c r="J52" s="126" t="str">
        <x:v>11</x:v>
      </x:c>
      <x:c r="K52" s="123" t="str">
        <x:v>In thường</x:v>
      </x:c>
      <x:c r="L52" s="123" t="str">
        <x:v>Không</x:v>
      </x:c>
      <x:c r="M52" s="123" t="str">
        <x:v>Không</x:v>
      </x:c>
      <x:c r="N52" s="123" t="str">
        <x:v>Khối trái cuối văn bản; theo ô pháp lý 9b</x:v>
      </x:c>
      <x:c r="O52" s="124" t="str">
        <x:v>Single; before 0 / after 0 pt</x:v>
      </x:c>
      <x:c r="P52" s="124" t="str">
        <x:v>First line 0; gạch đầu dòng cách chữ 0,5 cm (preset)</x:v>
      </x:c>
      <x:c r="Q52" s="123"/>
      <x:c r="R52" s="123" t="str">
        <x:v>Văn bản/OOXML: xác định đối tượng trước khi sửa</x:v>
      </x:c>
      <x:c r="S52" s="123" t="str">
        <x:v>Đúng dấu câu theo NĐ30; Như trên chỉ khi có Kính gửi</x:v>
      </x:c>
      <x:c r="T52" s="123" t="str">
        <x:v>NĐ30, Phụ lục I, Phần I, II.9; V.8</x:v>
      </x:c>
      <x:c r="U52" s="123" t="str">
        <x:v>https://datafiles.chinhphu.vn/cpp/files/vbpq/2020/03/30.signed.pdf</x:v>
      </x:c>
      <x:c r="V52" s="123" t="str">
        <x:v>https://riam.edu.vn/nghi-dinh-ve-cong-tac-van-thu-phu-luc/</x:v>
      </x:c>
      <x:c r="W52" s="123" t="str">
        <x:v>ĐỐI CHIẾU MỘT PHẦN</x:v>
      </x:c>
      <x:c r="X52" s="123" t="str">
        <x:v>PROTECT_CONTENT</x:v>
      </x:c>
      <x:c r="Y52" s="123" t="str">
        <x:v>Không tự chèn/sửa khi chưa có chứng cứ về đối tượng và rule.</x:v>
      </x:c>
      <x:c r="Z52" s="124" t="str">
        <x:v>[DANH SÁCH/NƠI LƯU CHỈ NHẬP THEO THỰC TẾ]</x:v>
      </x:c>
      <x:c r="AA52" s="123" t="str">
        <x:v>DistributionList</x:v>
      </x:c>
      <x:c r="AB52" s="124" t="str">
        <x:v>CÓ ĐIỀU KIỆN</x:v>
      </x:c>
      <x:c r="AC52" s="123" t="str">
        <x:v>PROTECT_CONTENT</x:v>
      </x:c>
      <x:c r="AD52" s="123" t="str">
        <x:v>PLUGIN:hoa-tieu-mien-bac-administrative-v1 | user_approved_visual_reference</x:v>
      </x:c>
      <x:c r="AE52" s="123" t="str">
        <x:v>Đối chiếu đúng vị trí; không điền dữ liệu; không chạm dấu/chữ ký hoặc trường được bảo vệ.</x:v>
      </x:c>
      <x:c r="AF52" s="123" t="str">
        <x:v>Công ty: profile trình bày văn bản dự thảo; không mặc định thay cho văn bản pháp quy đặc thù.</x:v>
      </x:c>
      <x:c r="AG52" s="157" t="str">
        <x:v>Times New Roman</x:v>
      </x:c>
      <x:c r="AH52" s="157" t="str">
        <x:v>Unicode</x:v>
      </x:c>
      <x:c r="AI52" s="157" t="str">
        <x:v>#000000</x:v>
      </x:c>
      <x:c r="AJ52" s="195" t="n">
        <x:v>11</x:v>
      </x:c>
      <x:c r="AK52" s="157" t="str">
        <x:v>KHÔNG</x:v>
      </x:c>
      <x:c r="AL52" s="157" t="str">
        <x:v>KHÔNG</x:v>
      </x:c>
      <x:c r="AM52" s="157" t="str">
        <x:v>In thường</x:v>
      </x:c>
      <x:c r="AN52" s="157" t="str">
        <x:v>LEFT</x:v>
      </x:c>
      <x:c r="AO52" s="157" t="str">
        <x:v>KHỐI/CỘT TRÁI</x:v>
      </x:c>
      <x:c r="AP52" s="157" t="str">
        <x:v>SINGLE</x:v>
      </x:c>
      <x:c r="AQ52" s="195" t="n">
        <x:v>1</x:v>
      </x:c>
      <x:c r="AR52" s="157" t="str">
        <x:v>lines</x:v>
      </x:c>
      <x:c r="AS52" s="195" t="n">
        <x:v>0</x:v>
      </x:c>
      <x:c r="AT52" s="195" t="n">
        <x:v>0</x:v>
      </x:c>
      <x:c r="AU52" s="195" t="n">
        <x:v>0</x:v>
      </x:c>
      <x:c r="AV52" s="195"/>
      <x:c r="AW52" s="195"/>
      <x:c r="AX52" s="157"/>
      <x:c r="AY52" s="157"/>
      <x:c r="AZ52" s="157"/>
      <x:c r="BA52" s="195"/>
      <x:c r="BB52" s="195"/>
      <x:c r="BC52" s="157"/>
      <x:c r="BD52" s="195"/>
      <x:c r="BE52" s="195"/>
      <x:c r="BF52" s="195"/>
      <x:c r="BG52" s="195"/>
      <x:c r="BH52" s="157"/>
      <x:c r="BI52" s="195"/>
      <x:c r="BJ52" s="195"/>
      <x:c r="BK52" s="195"/>
      <x:c r="BL52" s="157"/>
      <x:c r="BM52" s="157"/>
      <x:c r="BN52" s="157"/>
      <x:c r="BO52" s="195"/>
      <x:c r="BP52" s="195"/>
      <x:c r="BQ52" s="157"/>
      <x:c r="BR52" s="157"/>
      <x:c r="BS52" s="157"/>
      <x:c r="BT52" s="157" t="str">
        <x:v>DistributionList</x:v>
      </x:c>
      <x:c r="BU52" s="157" t="str">
        <x:v>Văn bản/OOXML: xác định đối tượng trước khi sửa</x:v>
      </x:c>
      <x:c r="BV52" s="196" t="str">
        <x:v>CÓ ĐIỀU KIỆN</x:v>
      </x:c>
      <x:c r="BW52" s="197" t="str">
        <x:v>ĐÃ TÁCH MỘT PHẦN</x:v>
      </x:c>
      <x:c r="BX52" s="157" t="str">
        <x:v>Đối chiếu mô tả gốc ở I–S, Z–AF nếu thuộc tính phụ thuộc mẫu.</x:v>
      </x:c>
      <x:c r="BY52" t="str">
        <x:v>ND30.C.NN.DANH_SACH</x:v>
      </x:c>
      <x:c r="BZ52" t="n">
        <x:f>IFERROR(INDEX(ND30!$J$7:$J$300,MATCH($B52,ND30!$B$7:$B$300,0)),"UNRESOLVED")</x:f>
        <x:v>11</x:v>
      </x:c>
      <x:c r="CA52" t="str">
        <x:v>TEXT</x:v>
      </x:c>
      <x:c r="CB52" t="str">
        <x:v>document_type_confirmed AND recipient_role_confirmed</x:v>
      </x:c>
      <x:c r="CC52" t="str">
        <x:f>IFERROR(INDEX(ND30!$X$7:$X$300,MATCH($B52,ND30!$B$7:$B$300,0)),"UNRESOLVED")</x:f>
        <x:v>KHÔNG TỰ ĐIỀN ĐƠN VỊ NHẬN</x:v>
      </x:c>
      <x:c r="CD52" t="str">
        <x:f>IF(OR(ISNUMBER(SEARCH("READ_ONLY",CC52)),ISNUMBER(SEARCH("PROTECTED",CC52)),ISNUMBER(SEARCH("BẢO VỆ",CC52)),ISNUMBER(SEARCH("KHÔNG KÝ",CC52))),"PROTECTED","CHECK_ONLY")</x:f>
        <x:v>CHECK_ONLY</x:v>
      </x:c>
      <x:c r="CE52" t="str">
        <x:f>IF(AND(CD52="FORMAT_APPROVED",CU52="CÓ",CV52="CÓ",CH52="CÓ",CI52="CÓ",CJ52="CÓ"),"CÓ","KHÔNG")</x:f>
        <x:v>KHÔNG</x:v>
      </x:c>
      <x:c r="CF52" t="str">
        <x:v>KHÔNG</x:v>
      </x:c>
      <x:c r="CG52" t="str">
        <x:v>CÓ</x:v>
      </x:c>
      <x:c r="CH52" t="str">
        <x:v>KHÔNG</x:v>
      </x:c>
      <x:c r="CI52" t="str">
        <x:v>KHÔNG</x:v>
      </x:c>
      <x:c r="CJ52" t="str">
        <x:v>KHÔNG</x:v>
      </x:c>
      <x:c r="CK52" t="str">
        <x:f>IF(AND(CE52="CÓ",CF52="KHÔNG",CG52="CÓ",CU52="CÓ",CV52="CÓ",CH52="CÓ",CI52="CÓ",CJ52="CÓ"),"CÓ","KHÔNG")</x:f>
        <x:v>KHÔNG</x:v>
      </x:c>
      <x:c r="CL52" t="str">
        <x:v>PILOT_NORTH_PROFILE_DRAFT; chưa có master DOCX đã duyệt</x:v>
      </x:c>
      <x:c r="CM52" t="str">
        <x:v>v1.5 (nâng từ v1.4)</x:v>
      </x:c>
      <x:c r="CN52" t="str">
        <x:v>CẦN XÁC MINH TÊN/QUY CHẾ</x:v>
      </x:c>
      <x:c r="CO52" t="str">
        <x:v>ND30_C_NN_DANH_SACH_FIELD_ONLY; chưa tạo trong Word</x:v>
      </x:c>
      <x:c r="CP52" t="str">
        <x:v>Preset là cấu hình Công ty; không thay thế giới hạn của nguồn NĐ30/HD05</x:v>
      </x:c>
      <x:c r="CQ52" t="str">
        <x:f>IF(OR(BH52="CÓ",BH52=TRUE),BI52,"")</x:f>
      </x:c>
      <x:c r="CR52" t="str">
        <x:f>IF(OR(BH52="CÓ",BH52=TRUE),BJ52,"")</x:f>
      </x:c>
      <x:c r="CS52" t="str">
        <x:v>FORMAT_CHECK_ONLY</x:v>
      </x:c>
      <x:c r="CT52" t="str">
        <x:v>PENDING_SOURCE_AND_DOCX_QA</x:v>
      </x:c>
      <x:c r="CU52" t="str">
        <x:v>KHÔNG</x:v>
      </x:c>
      <x:c r="CV52" t="str">
        <x:v>KHÔNG</x:v>
      </x:c>
      <x:c r="CW52" t="str"/>
    </x:row>
    <x:row r="53" ht="29" customHeight="1">
      <x:c r="A53" s="125" t="n">
        <x:v>47</x:v>
      </x:c>
      <x:c r="B53" s="123" t="str">
        <x:v>ND30.C.NN.NHU_TREN</x:v>
      </x:c>
      <x:c r="C53" s="123" t="str">
        <x:v>Cuối văn bản</x:v>
      </x:c>
      <x:c r="D53" s="123" t="str">
        <x:v>Nơi nhận cuối văn bản</x:v>
      </x:c>
      <x:c r="E53" s="123" t="str">
        <x:v>Dòng Như trên theo điều kiện</x:v>
      </x:c>
      <x:c r="F53" s="123" t="str">
        <x:v>9b</x:v>
      </x:c>
      <x:c r="G53" s="123" t="str">
        <x:v>Cần có nơi nhận theo loại/đối tượng</x:v>
      </x:c>
      <x:c r="H53" s="123" t="str">
        <x:v>Danh sách nơi nhận và nơi lưu theo đúng đối tượng đã xác minh</x:v>
      </x:c>
      <x:c r="I53" s="123" t="str">
        <x:v>Times New Roman | Unicode | đen</x:v>
      </x:c>
      <x:c r="J53" s="126" t="str">
        <x:v>11</x:v>
      </x:c>
      <x:c r="K53" s="123" t="str">
        <x:v>In thường</x:v>
      </x:c>
      <x:c r="L53" s="123" t="str">
        <x:v>Không</x:v>
      </x:c>
      <x:c r="M53" s="123" t="str">
        <x:v>Không</x:v>
      </x:c>
      <x:c r="N53" s="123" t="str">
        <x:v>Khối trái cuối văn bản; theo ô pháp lý 9b</x:v>
      </x:c>
      <x:c r="O53" s="124" t="str">
        <x:v>Single; before 0 / after 0 pt</x:v>
      </x:c>
      <x:c r="P53" s="124" t="str">
        <x:v>First line 0; gạch đầu dòng cách chữ 0,5 cm (preset)</x:v>
      </x:c>
      <x:c r="Q53" s="123"/>
      <x:c r="R53" s="123" t="str">
        <x:v>Văn bản/OOXML: xác định đối tượng trước khi sửa</x:v>
      </x:c>
      <x:c r="S53" s="123" t="str">
        <x:v>Đúng dấu câu theo NĐ30; Như trên chỉ khi có Kính gửi</x:v>
      </x:c>
      <x:c r="T53" s="123" t="str">
        <x:v>NĐ30, Phụ lục I, Phần I, II.9; V.8</x:v>
      </x:c>
      <x:c r="U53" s="123" t="str">
        <x:v>https://datafiles.chinhphu.vn/cpp/files/vbpq/2020/03/30.signed.pdf</x:v>
      </x:c>
      <x:c r="V53" s="123" t="str">
        <x:v>https://riam.edu.vn/nghi-dinh-ve-cong-tac-van-thu-phu-luc/</x:v>
      </x:c>
      <x:c r="W53" s="123" t="str">
        <x:v>ĐỐI CHIẾU MỘT PHẦN</x:v>
      </x:c>
      <x:c r="X53" s="123" t="str">
        <x:v>PROTECT_CONTENT</x:v>
      </x:c>
      <x:c r="Y53" s="123" t="str">
        <x:v>Không tự chèn/sửa khi chưa có chứng cứ về đối tượng và rule.</x:v>
      </x:c>
      <x:c r="Z53" s="124" t="str">
        <x:v>[DANH SÁCH/NƠI LƯU CHỈ NHẬP THEO THỰC TẾ]</x:v>
      </x:c>
      <x:c r="AA53" s="123" t="str">
        <x:v>DistributionList</x:v>
      </x:c>
      <x:c r="AB53" s="124" t="str">
        <x:v>CÓ ĐIỀU KIỆN</x:v>
      </x:c>
      <x:c r="AC53" s="123" t="str">
        <x:v>PROTECT_CONTENT</x:v>
      </x:c>
      <x:c r="AD53" s="123" t="str">
        <x:v>PLUGIN:hoa-tieu-mien-bac-administrative-v1 | user_approved_visual_reference</x:v>
      </x:c>
      <x:c r="AE53" s="123" t="str">
        <x:v>Đối chiếu đúng vị trí; không điền dữ liệu; không chạm dấu/chữ ký hoặc trường được bảo vệ.</x:v>
      </x:c>
      <x:c r="AF53" s="123" t="str">
        <x:v>Công ty: profile trình bày văn bản dự thảo; không mặc định thay cho văn bản pháp quy đặc thù.</x:v>
      </x:c>
      <x:c r="AG53" s="157" t="str">
        <x:v>Times New Roman</x:v>
      </x:c>
      <x:c r="AH53" s="157" t="str">
        <x:v>Unicode</x:v>
      </x:c>
      <x:c r="AI53" s="157" t="str">
        <x:v>#000000</x:v>
      </x:c>
      <x:c r="AJ53" s="195" t="n">
        <x:v>11</x:v>
      </x:c>
      <x:c r="AK53" s="157" t="str">
        <x:v>KHÔNG</x:v>
      </x:c>
      <x:c r="AL53" s="157" t="str">
        <x:v>KHÔNG</x:v>
      </x:c>
      <x:c r="AM53" s="157" t="str">
        <x:v>In thường</x:v>
      </x:c>
      <x:c r="AN53" s="157" t="str">
        <x:v>LEFT</x:v>
      </x:c>
      <x:c r="AO53" s="157" t="str">
        <x:v>KHỐI/CỘT TRÁI</x:v>
      </x:c>
      <x:c r="AP53" s="157" t="str">
        <x:v>SINGLE</x:v>
      </x:c>
      <x:c r="AQ53" s="195" t="n">
        <x:v>1</x:v>
      </x:c>
      <x:c r="AR53" s="157" t="str">
        <x:v>lines</x:v>
      </x:c>
      <x:c r="AS53" s="195" t="n">
        <x:v>0</x:v>
      </x:c>
      <x:c r="AT53" s="195" t="n">
        <x:v>0</x:v>
      </x:c>
      <x:c r="AU53" s="195" t="n">
        <x:v>0</x:v>
      </x:c>
      <x:c r="AV53" s="195"/>
      <x:c r="AW53" s="195"/>
      <x:c r="AX53" s="157"/>
      <x:c r="AY53" s="157"/>
      <x:c r="AZ53" s="157"/>
      <x:c r="BA53" s="195"/>
      <x:c r="BB53" s="195"/>
      <x:c r="BC53" s="157"/>
      <x:c r="BD53" s="195"/>
      <x:c r="BE53" s="195"/>
      <x:c r="BF53" s="195"/>
      <x:c r="BG53" s="195"/>
      <x:c r="BH53" s="157"/>
      <x:c r="BI53" s="195"/>
      <x:c r="BJ53" s="195"/>
      <x:c r="BK53" s="195"/>
      <x:c r="BL53" s="157"/>
      <x:c r="BM53" s="157"/>
      <x:c r="BN53" s="157"/>
      <x:c r="BO53" s="195"/>
      <x:c r="BP53" s="195"/>
      <x:c r="BQ53" s="157"/>
      <x:c r="BR53" s="157"/>
      <x:c r="BS53" s="157"/>
      <x:c r="BT53" s="157" t="str">
        <x:v>DistributionList</x:v>
      </x:c>
      <x:c r="BU53" s="157" t="str">
        <x:v>Văn bản/OOXML: xác định đối tượng trước khi sửa</x:v>
      </x:c>
      <x:c r="BV53" s="196" t="str">
        <x:v>CÓ ĐIỀU KIỆN</x:v>
      </x:c>
      <x:c r="BW53" s="197" t="str">
        <x:v>ĐÃ TÁCH MỘT PHẦN</x:v>
      </x:c>
      <x:c r="BX53" s="157" t="str">
        <x:v>Đối chiếu mô tả gốc ở I–S, Z–AF nếu thuộc tính phụ thuộc mẫu.</x:v>
      </x:c>
      <x:c r="BY53" t="str">
        <x:v>ND30.C.NN.NHU_TREN</x:v>
      </x:c>
      <x:c r="BZ53" t="n">
        <x:f>IFERROR(INDEX(ND30!$J$7:$J$300,MATCH($B53,ND30!$B$7:$B$300,0)),"UNRESOLVED")</x:f>
        <x:v>11</x:v>
      </x:c>
      <x:c r="CA53" t="str">
        <x:v>TEXT</x:v>
      </x:c>
      <x:c r="CB53" t="str">
        <x:v>document_type_confirmed AND recipient_role_confirmed</x:v>
      </x:c>
      <x:c r="CC53" t="str">
        <x:f>IFERROR(INDEX(ND30!$X$7:$X$300,MATCH($B53,ND30!$B$7:$B$300,0)),"UNRESOLVED")</x:f>
        <x:v>KHÔNG TỰ ĐIỀN ĐƠN VỊ NHẬN</x:v>
      </x:c>
      <x:c r="CD53" t="str">
        <x:f>IF(OR(ISNUMBER(SEARCH("READ_ONLY",CC53)),ISNUMBER(SEARCH("PROTECTED",CC53)),ISNUMBER(SEARCH("BẢO VỆ",CC53)),ISNUMBER(SEARCH("KHÔNG KÝ",CC53))),"PROTECTED","CHECK_ONLY")</x:f>
        <x:v>CHECK_ONLY</x:v>
      </x:c>
      <x:c r="CE53" t="str">
        <x:f>IF(AND(CD53="FORMAT_APPROVED",CU53="CÓ",CV53="CÓ",CH53="CÓ",CI53="CÓ",CJ53="CÓ"),"CÓ","KHÔNG")</x:f>
        <x:v>KHÔNG</x:v>
      </x:c>
      <x:c r="CF53" t="str">
        <x:v>KHÔNG</x:v>
      </x:c>
      <x:c r="CG53" t="str">
        <x:v>CÓ</x:v>
      </x:c>
      <x:c r="CH53" t="str">
        <x:v>KHÔNG</x:v>
      </x:c>
      <x:c r="CI53" t="str">
        <x:v>KHÔNG</x:v>
      </x:c>
      <x:c r="CJ53" t="str">
        <x:v>KHÔNG</x:v>
      </x:c>
      <x:c r="CK53" t="str">
        <x:f>IF(AND(CE53="CÓ",CF53="KHÔNG",CG53="CÓ",CU53="CÓ",CV53="CÓ",CH53="CÓ",CI53="CÓ",CJ53="CÓ"),"CÓ","KHÔNG")</x:f>
        <x:v>KHÔNG</x:v>
      </x:c>
      <x:c r="CL53" t="str">
        <x:v>PILOT_NORTH_PROFILE_DRAFT; chưa có master DOCX đã duyệt</x:v>
      </x:c>
      <x:c r="CM53" t="str">
        <x:v>v1.5 (nâng từ v1.4)</x:v>
      </x:c>
      <x:c r="CN53" t="str">
        <x:v>CẦN XÁC MINH TÊN/QUY CHẾ</x:v>
      </x:c>
      <x:c r="CO53" t="str">
        <x:v>ND30_C_NN_NHU_TREN_FIELD_ONLY; chưa tạo trong Word</x:v>
      </x:c>
      <x:c r="CP53" t="str">
        <x:v>Preset là cấu hình Công ty; không thay thế giới hạn của nguồn NĐ30/HD05</x:v>
      </x:c>
      <x:c r="CQ53" t="str">
        <x:f>IF(OR(BH53="CÓ",BH53=TRUE),BI53,"")</x:f>
      </x:c>
      <x:c r="CR53" t="str">
        <x:f>IF(OR(BH53="CÓ",BH53=TRUE),BJ53,"")</x:f>
      </x:c>
      <x:c r="CS53" t="str">
        <x:v>FORMAT_CHECK_ONLY</x:v>
      </x:c>
      <x:c r="CT53" t="str">
        <x:v>PENDING_SOURCE_AND_DOCX_QA</x:v>
      </x:c>
      <x:c r="CU53" t="str">
        <x:v>KHÔNG</x:v>
      </x:c>
      <x:c r="CV53" t="str">
        <x:v>KHÔNG</x:v>
      </x:c>
      <x:c r="CW53" t="str"/>
    </x:row>
    <x:row r="54" ht="29" customHeight="1">
      <x:c r="A54" s="125" t="n">
        <x:v>48</x:v>
      </x:c>
      <x:c r="B54" s="123" t="str">
        <x:v>ND30.C.NN.NOI_LUU</x:v>
      </x:c>
      <x:c r="C54" s="123" t="str">
        <x:v>Cuối văn bản</x:v>
      </x:c>
      <x:c r="D54" s="123" t="str">
        <x:v>Nơi nhận cuối văn bản</x:v>
      </x:c>
      <x:c r="E54" s="123" t="str">
        <x:v>Dòng lưu hồ sơ</x:v>
      </x:c>
      <x:c r="F54" s="123" t="str">
        <x:v>9b</x:v>
      </x:c>
      <x:c r="G54" s="123" t="str">
        <x:v>Cần có nơi nhận theo loại/đối tượng</x:v>
      </x:c>
      <x:c r="H54" s="123" t="str">
        <x:v>Danh sách nơi nhận và nơi lưu theo đúng đối tượng đã xác minh</x:v>
      </x:c>
      <x:c r="I54" s="123" t="str">
        <x:v>Times New Roman | Unicode | đen</x:v>
      </x:c>
      <x:c r="J54" s="126" t="str">
        <x:v>11</x:v>
      </x:c>
      <x:c r="K54" s="123" t="str">
        <x:v>In thường</x:v>
      </x:c>
      <x:c r="L54" s="123" t="str">
        <x:v>Không</x:v>
      </x:c>
      <x:c r="M54" s="123" t="str">
        <x:v>Không</x:v>
      </x:c>
      <x:c r="N54" s="123" t="str">
        <x:v>Khối trái cuối văn bản; theo ô pháp lý 9b</x:v>
      </x:c>
      <x:c r="O54" s="124" t="str">
        <x:v>Single; before 0 / after 0 pt</x:v>
      </x:c>
      <x:c r="P54" s="124" t="str">
        <x:v>First line 0; gạch đầu dòng cách chữ 0,5 cm (preset)</x:v>
      </x:c>
      <x:c r="Q54" s="123"/>
      <x:c r="R54" s="123" t="str">
        <x:v>Văn bản/OOXML: xác định đối tượng trước khi sửa</x:v>
      </x:c>
      <x:c r="S54" s="123" t="str">
        <x:v>Đúng dấu câu theo NĐ30; Như trên chỉ khi có Kính gửi</x:v>
      </x:c>
      <x:c r="T54" s="123" t="str">
        <x:v>NĐ30, Phụ lục I, Phần I, II.9; V.8</x:v>
      </x:c>
      <x:c r="U54" s="123" t="str">
        <x:v>https://datafiles.chinhphu.vn/cpp/files/vbpq/2020/03/30.signed.pdf</x:v>
      </x:c>
      <x:c r="V54" s="123" t="str">
        <x:v>https://riam.edu.vn/nghi-dinh-ve-cong-tac-van-thu-phu-luc/</x:v>
      </x:c>
      <x:c r="W54" s="123" t="str">
        <x:v>ĐỐI CHIẾU MỘT PHẦN</x:v>
      </x:c>
      <x:c r="X54" s="123" t="str">
        <x:v>PROTECT_CONTENT</x:v>
      </x:c>
      <x:c r="Y54" s="123" t="str">
        <x:v>Không tự chèn/sửa khi chưa có chứng cứ về đối tượng và rule.</x:v>
      </x:c>
      <x:c r="Z54" s="124" t="str">
        <x:v>[DANH SÁCH/NƠI LƯU CHỈ NHẬP THEO THỰC TẾ]</x:v>
      </x:c>
      <x:c r="AA54" s="123" t="str">
        <x:v>DistributionList</x:v>
      </x:c>
      <x:c r="AB54" s="124" t="str">
        <x:v>CÓ ĐIỀU KIỆN</x:v>
      </x:c>
      <x:c r="AC54" s="123" t="str">
        <x:v>PROTECT_CONTENT</x:v>
      </x:c>
      <x:c r="AD54" s="123" t="str">
        <x:v>PLUGIN:hoa-tieu-mien-bac-administrative-v1 | user_approved_visual_reference</x:v>
      </x:c>
      <x:c r="AE54" s="123" t="str">
        <x:v>Đối chiếu đúng vị trí; không điền dữ liệu; không chạm dấu/chữ ký hoặc trường được bảo vệ.</x:v>
      </x:c>
      <x:c r="AF54" s="123" t="str">
        <x:v>Công ty: profile trình bày văn bản dự thảo; không mặc định thay cho văn bản pháp quy đặc thù.</x:v>
      </x:c>
      <x:c r="AG54" s="157" t="str">
        <x:v>Times New Roman</x:v>
      </x:c>
      <x:c r="AH54" s="157" t="str">
        <x:v>Unicode</x:v>
      </x:c>
      <x:c r="AI54" s="157" t="str">
        <x:v>#000000</x:v>
      </x:c>
      <x:c r="AJ54" s="195" t="n">
        <x:v>11</x:v>
      </x:c>
      <x:c r="AK54" s="157" t="str">
        <x:v>KHÔNG</x:v>
      </x:c>
      <x:c r="AL54" s="157" t="str">
        <x:v>KHÔNG</x:v>
      </x:c>
      <x:c r="AM54" s="157" t="str">
        <x:v>In thường</x:v>
      </x:c>
      <x:c r="AN54" s="157" t="str">
        <x:v>LEFT</x:v>
      </x:c>
      <x:c r="AO54" s="157" t="str">
        <x:v>KHỐI/CỘT TRÁI</x:v>
      </x:c>
      <x:c r="AP54" s="157" t="str">
        <x:v>SINGLE</x:v>
      </x:c>
      <x:c r="AQ54" s="195" t="n">
        <x:v>1</x:v>
      </x:c>
      <x:c r="AR54" s="157" t="str">
        <x:v>lines</x:v>
      </x:c>
      <x:c r="AS54" s="195" t="n">
        <x:v>0</x:v>
      </x:c>
      <x:c r="AT54" s="195" t="n">
        <x:v>0</x:v>
      </x:c>
      <x:c r="AU54" s="195" t="n">
        <x:v>0</x:v>
      </x:c>
      <x:c r="AV54" s="195"/>
      <x:c r="AW54" s="195"/>
      <x:c r="AX54" s="157"/>
      <x:c r="AY54" s="157"/>
      <x:c r="AZ54" s="157"/>
      <x:c r="BA54" s="195"/>
      <x:c r="BB54" s="195"/>
      <x:c r="BC54" s="157"/>
      <x:c r="BD54" s="195"/>
      <x:c r="BE54" s="195"/>
      <x:c r="BF54" s="195"/>
      <x:c r="BG54" s="195"/>
      <x:c r="BH54" s="157"/>
      <x:c r="BI54" s="195"/>
      <x:c r="BJ54" s="195"/>
      <x:c r="BK54" s="195"/>
      <x:c r="BL54" s="157"/>
      <x:c r="BM54" s="157"/>
      <x:c r="BN54" s="157"/>
      <x:c r="BO54" s="195"/>
      <x:c r="BP54" s="195"/>
      <x:c r="BQ54" s="157"/>
      <x:c r="BR54" s="157"/>
      <x:c r="BS54" s="157"/>
      <x:c r="BT54" s="157" t="str">
        <x:v>DistributionList</x:v>
      </x:c>
      <x:c r="BU54" s="157" t="str">
        <x:v>Văn bản/OOXML: xác định đối tượng trước khi sửa</x:v>
      </x:c>
      <x:c r="BV54" s="196" t="str">
        <x:v>CÓ ĐIỀU KIỆN</x:v>
      </x:c>
      <x:c r="BW54" s="197" t="str">
        <x:v>ĐÃ TÁCH MỘT PHẦN</x:v>
      </x:c>
      <x:c r="BX54" s="157" t="str">
        <x:v>Đối chiếu mô tả gốc ở I–S, Z–AF nếu thuộc tính phụ thuộc mẫu.</x:v>
      </x:c>
      <x:c r="BY54" t="str">
        <x:v>ND30.C.NN.NOI_LUU</x:v>
      </x:c>
      <x:c r="BZ54" t="n">
        <x:f>IFERROR(INDEX(ND30!$J$7:$J$300,MATCH($B54,ND30!$B$7:$B$300,0)),"UNRESOLVED")</x:f>
        <x:v>11</x:v>
      </x:c>
      <x:c r="CA54" t="str">
        <x:v>TEXT</x:v>
      </x:c>
      <x:c r="CB54" t="str">
        <x:v>document_type_confirmed AND recipient_role_confirmed</x:v>
      </x:c>
      <x:c r="CC54" t="str">
        <x:f>IFERROR(INDEX(ND30!$X$7:$X$300,MATCH($B54,ND30!$B$7:$B$300,0)),"UNRESOLVED")</x:f>
        <x:v>KHÔNG TỰ ĐIỀN ĐƠN VỊ NHẬN</x:v>
      </x:c>
      <x:c r="CD54" t="str">
        <x:f>IF(OR(ISNUMBER(SEARCH("READ_ONLY",CC54)),ISNUMBER(SEARCH("PROTECTED",CC54)),ISNUMBER(SEARCH("BẢO VỆ",CC54)),ISNUMBER(SEARCH("KHÔNG KÝ",CC54))),"PROTECTED","CHECK_ONLY")</x:f>
        <x:v>CHECK_ONLY</x:v>
      </x:c>
      <x:c r="CE54" t="str">
        <x:f>IF(AND(CD54="FORMAT_APPROVED",CU54="CÓ",CV54="CÓ",CH54="CÓ",CI54="CÓ",CJ54="CÓ"),"CÓ","KHÔNG")</x:f>
        <x:v>KHÔNG</x:v>
      </x:c>
      <x:c r="CF54" t="str">
        <x:v>KHÔNG</x:v>
      </x:c>
      <x:c r="CG54" t="str">
        <x:v>CÓ</x:v>
      </x:c>
      <x:c r="CH54" t="str">
        <x:v>KHÔNG</x:v>
      </x:c>
      <x:c r="CI54" t="str">
        <x:v>KHÔNG</x:v>
      </x:c>
      <x:c r="CJ54" t="str">
        <x:v>KHÔNG</x:v>
      </x:c>
      <x:c r="CK54" t="str">
        <x:f>IF(AND(CE54="CÓ",CF54="KHÔNG",CG54="CÓ",CU54="CÓ",CV54="CÓ",CH54="CÓ",CI54="CÓ",CJ54="CÓ"),"CÓ","KHÔNG")</x:f>
        <x:v>KHÔNG</x:v>
      </x:c>
      <x:c r="CL54" t="str">
        <x:v>PILOT_NORTH_PROFILE_DRAFT; chưa có master DOCX đã duyệt</x:v>
      </x:c>
      <x:c r="CM54" t="str">
        <x:v>v1.5 (nâng từ v1.4)</x:v>
      </x:c>
      <x:c r="CN54" t="str">
        <x:v>CẦN XÁC MINH TÊN/QUY CHẾ</x:v>
      </x:c>
      <x:c r="CO54" t="str">
        <x:v>ND30_C_NN_NOI_LUU_FIELD_ONLY; chưa tạo trong Word</x:v>
      </x:c>
      <x:c r="CP54" t="str">
        <x:v>Preset là cấu hình Công ty; không thay thế giới hạn của nguồn NĐ30/HD05</x:v>
      </x:c>
      <x:c r="CQ54" t="str">
        <x:f>IF(OR(BH54="CÓ",BH54=TRUE),BI54,"")</x:f>
      </x:c>
      <x:c r="CR54" t="str">
        <x:f>IF(OR(BH54="CÓ",BH54=TRUE),BJ54,"")</x:f>
      </x:c>
      <x:c r="CS54" t="str">
        <x:v>FORMAT_CHECK_ONLY</x:v>
      </x:c>
      <x:c r="CT54" t="str">
        <x:v>PENDING_SOURCE_AND_DOCX_QA</x:v>
      </x:c>
      <x:c r="CU54" t="str">
        <x:v>KHÔNG</x:v>
      </x:c>
      <x:c r="CV54" t="str">
        <x:v>KHÔNG</x:v>
      </x:c>
      <x:c r="CW54" t="str"/>
    </x:row>
    <x:row r="55" ht="29" customHeight="1">
      <x:c r="A55" s="125" t="n">
        <x:v>49</x:v>
      </x:c>
      <x:c r="B55" s="123" t="str">
        <x:v>ND30.C.KY.QUYEN_HAN</x:v>
      </x:c>
      <x:c r="C55" s="123" t="str">
        <x:v>Cuối văn bản</x:v>
      </x:c>
      <x:c r="D55" s="123" t="str">
        <x:v>Khối ký</x:v>
      </x:c>
      <x:c r="E55" s="123" t="str">
        <x:v>Quyền hạn ký</x:v>
      </x:c>
      <x:c r="F55" s="123" t="str">
        <x:v>7a</x:v>
      </x:c>
      <x:c r="G55" s="123" t="str">
        <x:v>Khối ký tùy thẩm quyền/loại văn bản</x:v>
      </x:c>
      <x:c r="H55" s="123" t="str">
        <x:v>Quyền hạn ký</x:v>
      </x:c>
      <x:c r="I55" s="123" t="str">
        <x:v>Times New Roman | Unicode | đen</x:v>
      </x:c>
      <x:c r="J55" s="126" t="str">
        <x:v>14</x:v>
      </x:c>
      <x:c r="K55" s="123" t="str">
        <x:v>IN HOA</x:v>
      </x:c>
      <x:c r="L55" s="123" t="str">
        <x:v>Có</x:v>
      </x:c>
      <x:c r="M55" s="123" t="str">
        <x:v>Không</x:v>
      </x:c>
      <x:c r="N55" s="123" t="str">
        <x:v>Khối phải; nội dung căn giữa</x:v>
      </x:c>
      <x:c r="O55" s="124" t="str">
        <x:v>Single; before 0 / after 0 pt</x:v>
      </x:c>
      <x:c r="P55" s="124" t="str">
        <x:v>Thụt 0; chừa khoảng chữ ký theo mẫu</x:v>
      </x:c>
      <x:c r="Q55" s="123"/>
      <x:c r="R55" s="123" t="str">
        <x:v>Văn bản/OOXML: xác định đối tượng trước khi sửa</x:v>
      </x:c>
      <x:c r="S55" s="123" t="str">
        <x:v>Theo thẩm quyền thực tế: TM., KT., TL., TUQ., Q. (khi phù hợp); không tự chọn người/chức danh</x:v>
      </x:c>
      <x:c r="T55" s="123" t="str">
        <x:v>NĐ30, Phụ lục I, Phần I, II.7; V.7</x:v>
      </x:c>
      <x:c r="U55" s="123" t="str">
        <x:v>https://datafiles.chinhphu.vn/cpp/files/vbpq/2020/03/30.signed.pdf</x:v>
      </x:c>
      <x:c r="V55" s="123" t="str">
        <x:v>https://riam.edu.vn/nghi-dinh-ve-cong-tac-van-thu-phu-luc/</x:v>
      </x:c>
      <x:c r="W55" s="123" t="str">
        <x:v>ĐỐI CHIẾU MỘT PHẦN</x:v>
      </x:c>
      <x:c r="X55" s="123" t="str">
        <x:v>PROTECT_CONTENT</x:v>
      </x:c>
      <x:c r="Y55" s="123" t="str">
        <x:v>Không tự chèn/sửa khi chưa có chứng cứ về đối tượng và rule.</x:v>
      </x:c>
      <x:c r="Z55" s="124" t="str">
        <x:v>[QUYỀN HẠN KÝ: TM./KT./... hoặc T/M, K/T theo chế độ]</x:v>
      </x:c>
      <x:c r="AA55" s="123" t="str">
        <x:v>SignatureBlock</x:v>
      </x:c>
      <x:c r="AB55" s="124" t="str">
        <x:v>BẢO VỆ NỘI DUNG</x:v>
      </x:c>
      <x:c r="AC55" s="123" t="str">
        <x:v>PROTECT_CONTENT</x:v>
      </x:c>
      <x:c r="AD55" s="123" t="str">
        <x:v>PLUGIN:hoa-tieu-mien-bac-administrative-v1 | user_approved_visual_reference</x:v>
      </x:c>
      <x:c r="AE55" s="123" t="str">
        <x:v>Đối chiếu đúng vị trí; không điền dữ liệu; không chạm dấu/chữ ký hoặc trường được bảo vệ.</x:v>
      </x:c>
      <x:c r="AF55" s="123" t="str">
        <x:v>Công ty: profile trình bày văn bản dự thảo; không mặc định thay cho văn bản pháp quy đặc thù.</x:v>
      </x:c>
      <x:c r="AG55" s="157" t="str">
        <x:v>Times New Roman</x:v>
      </x:c>
      <x:c r="AH55" s="157" t="str">
        <x:v>Unicode</x:v>
      </x:c>
      <x:c r="AI55" s="157" t="str">
        <x:v>#000000</x:v>
      </x:c>
      <x:c r="AJ55" s="195" t="n">
        <x:v>14</x:v>
      </x:c>
      <x:c r="AK55" s="157" t="str">
        <x:v>CÓ</x:v>
      </x:c>
      <x:c r="AL55" s="157" t="str">
        <x:v>KHÔNG</x:v>
      </x:c>
      <x:c r="AM55" s="157" t="str">
        <x:v>IN HOA</x:v>
      </x:c>
      <x:c r="AN55" s="157" t="str">
        <x:v>CENTER</x:v>
      </x:c>
      <x:c r="AO55" s="157" t="str">
        <x:v>KHỐI PHẢI</x:v>
      </x:c>
      <x:c r="AP55" s="157" t="str">
        <x:v>SINGLE</x:v>
      </x:c>
      <x:c r="AQ55" s="195" t="n">
        <x:v>1</x:v>
      </x:c>
      <x:c r="AR55" s="157" t="str">
        <x:v>lines</x:v>
      </x:c>
      <x:c r="AS55" s="195" t="n">
        <x:v>0</x:v>
      </x:c>
      <x:c r="AT55" s="195" t="n">
        <x:v>0</x:v>
      </x:c>
      <x:c r="AU55" s="195" t="n">
        <x:v>0</x:v>
      </x:c>
      <x:c r="AV55" s="195"/>
      <x:c r="AW55" s="195"/>
      <x:c r="AX55" s="157"/>
      <x:c r="AY55" s="157"/>
      <x:c r="AZ55" s="157"/>
      <x:c r="BA55" s="195"/>
      <x:c r="BB55" s="195"/>
      <x:c r="BC55" s="157"/>
      <x:c r="BD55" s="195"/>
      <x:c r="BE55" s="195"/>
      <x:c r="BF55" s="195"/>
      <x:c r="BG55" s="195"/>
      <x:c r="BH55" s="157"/>
      <x:c r="BI55" s="195"/>
      <x:c r="BJ55" s="195"/>
      <x:c r="BK55" s="195"/>
      <x:c r="BL55" s="157"/>
      <x:c r="BM55" s="157"/>
      <x:c r="BN55" s="157"/>
      <x:c r="BO55" s="195"/>
      <x:c r="BP55" s="195"/>
      <x:c r="BQ55" s="157"/>
      <x:c r="BR55" s="157"/>
      <x:c r="BS55" s="157"/>
      <x:c r="BT55" s="157" t="str">
        <x:v>SignatureBlock</x:v>
      </x:c>
      <x:c r="BU55" s="157" t="str">
        <x:v>Văn bản/OOXML: xác định đối tượng trước khi sửa</x:v>
      </x:c>
      <x:c r="BV55" s="196" t="str">
        <x:v>BẢO VỆ NỘI DUNG</x:v>
      </x:c>
      <x:c r="BW55" s="197" t="str">
        <x:v>ĐÃ TÁCH MỘT PHẦN</x:v>
      </x:c>
      <x:c r="BX55" s="157" t="str">
        <x:v>Đối chiếu mô tả gốc ở I–S, Z–AF nếu thuộc tính phụ thuộc mẫu.</x:v>
      </x:c>
      <x:c r="BY55" t="str">
        <x:v>ND30.C.KY.QUYEN_HAN</x:v>
      </x:c>
      <x:c r="BZ55" t="str">
        <x:f>IFERROR(INDEX(ND30!$J$7:$J$300,MATCH($B55,ND30!$B$7:$B$300,0)),"UNRESOLVED")</x:f>
        <x:v>13–14</x:v>
      </x:c>
      <x:c r="CA55" t="str">
        <x:v>TEXT</x:v>
      </x:c>
      <x:c r="CB55" t="str">
        <x:v>issuer_confirmed AND signer_block_recognized</x:v>
      </x:c>
      <x:c r="CC55" t="str">
        <x:f>IFERROR(INDEX(ND30!$X$7:$X$300,MATCH($B55,ND30!$B$7:$B$300,0)),"UNRESOLVED")</x:f>
        <x:v>KHÔNG TỰ XÁC NHẬN THẨM QUYỀN</x:v>
      </x:c>
      <x:c r="CD55" t="str">
        <x:f>IF(OR(ISNUMBER(SEARCH("READ_ONLY",CC55)),ISNUMBER(SEARCH("PROTECTED",CC55)),ISNUMBER(SEARCH("BẢO VỆ",CC55)),ISNUMBER(SEARCH("KHÔNG KÝ",CC55))),"PROTECTED","CHECK_ONLY")</x:f>
        <x:v>CHECK_ONLY</x:v>
      </x:c>
      <x:c r="CE55" t="str">
        <x:f>IF(AND(CD55="FORMAT_APPROVED",CU55="CÓ",CV55="CÓ",CH55="CÓ",CI55="CÓ",CJ55="CÓ"),"CÓ","KHÔNG")</x:f>
        <x:v>KHÔNG</x:v>
      </x:c>
      <x:c r="CF55" t="str">
        <x:v>KHÔNG</x:v>
      </x:c>
      <x:c r="CG55" t="str">
        <x:v>CÓ</x:v>
      </x:c>
      <x:c r="CH55" t="str">
        <x:v>KHÔNG</x:v>
      </x:c>
      <x:c r="CI55" t="str">
        <x:v>KHÔNG</x:v>
      </x:c>
      <x:c r="CJ55" t="str">
        <x:v>KHÔNG</x:v>
      </x:c>
      <x:c r="CK55" t="str">
        <x:f>IF(AND(CE55="CÓ",CF55="KHÔNG",CG55="CÓ",CU55="CÓ",CV55="CÓ",CH55="CÓ",CI55="CÓ",CJ55="CÓ"),"CÓ","KHÔNG")</x:f>
        <x:v>KHÔNG</x:v>
      </x:c>
      <x:c r="CL55" t="str">
        <x:v>PILOT_NORTH_PROFILE_DRAFT; chưa có master DOCX đã duyệt</x:v>
      </x:c>
      <x:c r="CM55" t="str">
        <x:v>v1.5 (nâng từ v1.4)</x:v>
      </x:c>
      <x:c r="CN55" t="str">
        <x:v>CẦN XÁC MINH TÊN/QUY CHẾ</x:v>
      </x:c>
      <x:c r="CO55" t="str">
        <x:v>ND30_C_KY_QUYEN_HAN_FIELD_ONLY; chưa tạo trong Word</x:v>
      </x:c>
      <x:c r="CP55" t="str">
        <x:v>Preset là cấu hình Công ty; không thay thế giới hạn của nguồn NĐ30/HD05</x:v>
      </x:c>
      <x:c r="CQ55" t="str">
        <x:f>IF(OR(BH55="CÓ",BH55=TRUE),BI55,"")</x:f>
      </x:c>
      <x:c r="CR55" t="str">
        <x:f>IF(OR(BH55="CÓ",BH55=TRUE),BJ55,"")</x:f>
      </x:c>
      <x:c r="CS55" t="str">
        <x:v>FORMAT_CHECK_ONLY</x:v>
      </x:c>
      <x:c r="CT55" t="str">
        <x:v>PENDING_SOURCE_AND_DOCX_QA</x:v>
      </x:c>
      <x:c r="CU55" t="str">
        <x:v>KHÔNG</x:v>
      </x:c>
      <x:c r="CV55" t="str">
        <x:v>KHÔNG</x:v>
      </x:c>
      <x:c r="CW55" t="str"/>
    </x:row>
    <x:row r="56" ht="29" customHeight="1">
      <x:c r="A56" s="125" t="n">
        <x:v>50</x:v>
      </x:c>
      <x:c r="B56" s="123" t="str">
        <x:v>ND30.C.KY.CHUC_VU</x:v>
      </x:c>
      <x:c r="C56" s="123" t="str">
        <x:v>Cuối văn bản</x:v>
      </x:c>
      <x:c r="D56" s="123" t="str">
        <x:v>Khối ký</x:v>
      </x:c>
      <x:c r="E56" s="123" t="str">
        <x:v>Chức vụ/chức danh người ký</x:v>
      </x:c>
      <x:c r="F56" s="123" t="str">
        <x:v>7a</x:v>
      </x:c>
      <x:c r="G56" s="123" t="str">
        <x:v>Khối ký tùy thẩm quyền/loại văn bản</x:v>
      </x:c>
      <x:c r="H56" s="123" t="str">
        <x:v>Chức vụ/chức danh người ký</x:v>
      </x:c>
      <x:c r="I56" s="123" t="str">
        <x:v>Times New Roman | Unicode | đen</x:v>
      </x:c>
      <x:c r="J56" s="126" t="str">
        <x:v>14</x:v>
      </x:c>
      <x:c r="K56" s="123" t="str">
        <x:v>IN HOA</x:v>
      </x:c>
      <x:c r="L56" s="123" t="str">
        <x:v>Có</x:v>
      </x:c>
      <x:c r="M56" s="123" t="str">
        <x:v>Không</x:v>
      </x:c>
      <x:c r="N56" s="123" t="str">
        <x:v>Khối phải; nội dung căn giữa</x:v>
      </x:c>
      <x:c r="O56" s="124" t="str">
        <x:v>Single; before 0 / after 0 pt</x:v>
      </x:c>
      <x:c r="P56" s="124" t="str">
        <x:v>Thụt 0; chừa khoảng chữ ký theo mẫu</x:v>
      </x:c>
      <x:c r="Q56" s="123"/>
      <x:c r="R56" s="123" t="str">
        <x:v>Văn bản/OOXML: xác định đối tượng trước khi sửa</x:v>
      </x:c>
      <x:c r="S56" s="123" t="str">
        <x:v>Chức vụ theo dữ liệu người ký, không tự điền</x:v>
      </x:c>
      <x:c r="T56" s="123" t="str">
        <x:v>NĐ30, Phụ lục I, Phần I, II.7; V.7</x:v>
      </x:c>
      <x:c r="U56" s="123" t="str">
        <x:v>https://datafiles.chinhphu.vn/cpp/files/vbpq/2020/03/30.signed.pdf</x:v>
      </x:c>
      <x:c r="V56" s="123" t="str">
        <x:v>https://riam.edu.vn/nghi-dinh-ve-cong-tac-van-thu-phu-luc/</x:v>
      </x:c>
      <x:c r="W56" s="123" t="str">
        <x:v>ĐỐI CHIẾU MỘT PHẦN</x:v>
      </x:c>
      <x:c r="X56" s="123" t="str">
        <x:v>PROTECT_CONTENT</x:v>
      </x:c>
      <x:c r="Y56" s="123" t="str">
        <x:v>Không tự chèn/sửa khi chưa có chứng cứ về đối tượng và rule.</x:v>
      </x:c>
      <x:c r="Z56" s="124" t="str">
        <x:v>[CHỨC DANH CHƯA NHẬP]</x:v>
      </x:c>
      <x:c r="AA56" s="123" t="str">
        <x:v>SignatureBlock</x:v>
      </x:c>
      <x:c r="AB56" s="124" t="str">
        <x:v>BẢO VỆ NỘI DUNG</x:v>
      </x:c>
      <x:c r="AC56" s="123" t="str">
        <x:v>PROTECT_CONTENT</x:v>
      </x:c>
      <x:c r="AD56" s="123" t="str">
        <x:v>PLUGIN:hoa-tieu-mien-bac-administrative-v1 | user_approved_visual_reference</x:v>
      </x:c>
      <x:c r="AE56" s="123" t="str">
        <x:v>Đối chiếu đúng vị trí; không điền dữ liệu; không chạm dấu/chữ ký hoặc trường được bảo vệ.</x:v>
      </x:c>
      <x:c r="AF56" s="123" t="str">
        <x:v>Công ty: profile trình bày văn bản dự thảo; không mặc định thay cho văn bản pháp quy đặc thù.</x:v>
      </x:c>
      <x:c r="AG56" s="157" t="str">
        <x:v>Times New Roman</x:v>
      </x:c>
      <x:c r="AH56" s="157" t="str">
        <x:v>Unicode</x:v>
      </x:c>
      <x:c r="AI56" s="157" t="str">
        <x:v>#000000</x:v>
      </x:c>
      <x:c r="AJ56" s="195" t="n">
        <x:v>14</x:v>
      </x:c>
      <x:c r="AK56" s="157" t="str">
        <x:v>CÓ</x:v>
      </x:c>
      <x:c r="AL56" s="157" t="str">
        <x:v>KHÔNG</x:v>
      </x:c>
      <x:c r="AM56" s="157" t="str">
        <x:v>IN HOA</x:v>
      </x:c>
      <x:c r="AN56" s="157" t="str">
        <x:v>CENTER</x:v>
      </x:c>
      <x:c r="AO56" s="157" t="str">
        <x:v>KHỐI PHẢI</x:v>
      </x:c>
      <x:c r="AP56" s="157" t="str">
        <x:v>SINGLE</x:v>
      </x:c>
      <x:c r="AQ56" s="195" t="n">
        <x:v>1</x:v>
      </x:c>
      <x:c r="AR56" s="157" t="str">
        <x:v>lines</x:v>
      </x:c>
      <x:c r="AS56" s="195" t="n">
        <x:v>0</x:v>
      </x:c>
      <x:c r="AT56" s="195" t="n">
        <x:v>0</x:v>
      </x:c>
      <x:c r="AU56" s="195" t="n">
        <x:v>0</x:v>
      </x:c>
      <x:c r="AV56" s="195"/>
      <x:c r="AW56" s="195"/>
      <x:c r="AX56" s="157"/>
      <x:c r="AY56" s="157"/>
      <x:c r="AZ56" s="157"/>
      <x:c r="BA56" s="195"/>
      <x:c r="BB56" s="195"/>
      <x:c r="BC56" s="157"/>
      <x:c r="BD56" s="195"/>
      <x:c r="BE56" s="195"/>
      <x:c r="BF56" s="195"/>
      <x:c r="BG56" s="195"/>
      <x:c r="BH56" s="157"/>
      <x:c r="BI56" s="195"/>
      <x:c r="BJ56" s="195"/>
      <x:c r="BK56" s="195"/>
      <x:c r="BL56" s="157"/>
      <x:c r="BM56" s="157"/>
      <x:c r="BN56" s="157"/>
      <x:c r="BO56" s="195"/>
      <x:c r="BP56" s="195"/>
      <x:c r="BQ56" s="157"/>
      <x:c r="BR56" s="157"/>
      <x:c r="BS56" s="157"/>
      <x:c r="BT56" s="157" t="str">
        <x:v>SignatureBlock</x:v>
      </x:c>
      <x:c r="BU56" s="157" t="str">
        <x:v>Văn bản/OOXML: xác định đối tượng trước khi sửa</x:v>
      </x:c>
      <x:c r="BV56" s="196" t="str">
        <x:v>BẢO VỆ NỘI DUNG</x:v>
      </x:c>
      <x:c r="BW56" s="197" t="str">
        <x:v>ĐÃ TÁCH MỘT PHẦN</x:v>
      </x:c>
      <x:c r="BX56" s="157" t="str">
        <x:v>Đối chiếu mô tả gốc ở I–S, Z–AF nếu thuộc tính phụ thuộc mẫu.</x:v>
      </x:c>
      <x:c r="BY56" t="str">
        <x:v>ND30.C.KY.CHUC_VU</x:v>
      </x:c>
      <x:c r="BZ56" t="str">
        <x:f>IFERROR(INDEX(ND30!$J$7:$J$300,MATCH($B56,ND30!$B$7:$B$300,0)),"UNRESOLVED")</x:f>
        <x:v>13–14</x:v>
      </x:c>
      <x:c r="CA56" t="str">
        <x:v>TEXT</x:v>
      </x:c>
      <x:c r="CB56" t="str">
        <x:v>issuer_confirmed AND signer_block_recognized</x:v>
      </x:c>
      <x:c r="CC56" t="str">
        <x:f>IFERROR(INDEX(ND30!$X$7:$X$300,MATCH($B56,ND30!$B$7:$B$300,0)),"UNRESOLVED")</x:f>
        <x:v>READ_ONLY</x:v>
      </x:c>
      <x:c r="CD56" t="str">
        <x:f>IF(OR(ISNUMBER(SEARCH("READ_ONLY",CC56)),ISNUMBER(SEARCH("PROTECTED",CC56)),ISNUMBER(SEARCH("BẢO VỆ",CC56)),ISNUMBER(SEARCH("KHÔNG KÝ",CC56))),"PROTECTED","CHECK_ONLY")</x:f>
        <x:v>PROTECTED</x:v>
      </x:c>
      <x:c r="CE56" t="str">
        <x:f>IF(AND(CD56="FORMAT_APPROVED",CU56="CÓ",CV56="CÓ",CH56="CÓ",CI56="CÓ",CJ56="CÓ"),"CÓ","KHÔNG")</x:f>
        <x:v>KHÔNG</x:v>
      </x:c>
      <x:c r="CF56" t="str">
        <x:v>KHÔNG</x:v>
      </x:c>
      <x:c r="CG56" t="str">
        <x:v>CÓ</x:v>
      </x:c>
      <x:c r="CH56" t="str">
        <x:v>KHÔNG</x:v>
      </x:c>
      <x:c r="CI56" t="str">
        <x:v>KHÔNG</x:v>
      </x:c>
      <x:c r="CJ56" t="str">
        <x:v>KHÔNG</x:v>
      </x:c>
      <x:c r="CK56" t="str">
        <x:f>IF(AND(CE56="CÓ",CF56="KHÔNG",CG56="CÓ",CU56="CÓ",CV56="CÓ",CH56="CÓ",CI56="CÓ",CJ56="CÓ"),"CÓ","KHÔNG")</x:f>
        <x:v>KHÔNG</x:v>
      </x:c>
      <x:c r="CL56" t="str">
        <x:v>PILOT_NORTH_PROFILE_DRAFT; chưa có master DOCX đã duyệt</x:v>
      </x:c>
      <x:c r="CM56" t="str">
        <x:v>v1.5 (nâng từ v1.4)</x:v>
      </x:c>
      <x:c r="CN56" t="str">
        <x:v>CẦN XÁC MINH TÊN/QUY CHẾ</x:v>
      </x:c>
      <x:c r="CO56" t="str">
        <x:v>ND30_C_KY_CHUC_VU_FIELD_ONLY; chưa tạo trong Word</x:v>
      </x:c>
      <x:c r="CP56" t="str">
        <x:v>Preset là cấu hình Công ty; không thay thế giới hạn của nguồn NĐ30/HD05</x:v>
      </x:c>
      <x:c r="CQ56" t="str">
        <x:f>IF(OR(BH56="CÓ",BH56=TRUE),BI56,"")</x:f>
      </x:c>
      <x:c r="CR56" t="str">
        <x:f>IF(OR(BH56="CÓ",BH56=TRUE),BJ56,"")</x:f>
      </x:c>
      <x:c r="CS56" t="str">
        <x:v>FORMAT_CHECK_ONLY</x:v>
      </x:c>
      <x:c r="CT56" t="str">
        <x:v>PENDING_SOURCE_AND_DOCX_QA</x:v>
      </x:c>
      <x:c r="CU56" t="str">
        <x:v>KHÔNG</x:v>
      </x:c>
      <x:c r="CV56" t="str">
        <x:v>KHÔNG</x:v>
      </x:c>
      <x:c r="CW56" t="str"/>
    </x:row>
    <x:row r="57" ht="29" customHeight="1">
      <x:c r="A57" s="125" t="n">
        <x:v>51</x:v>
      </x:c>
      <x:c r="B57" s="123" t="str">
        <x:v>ND30.C.KY.CHU_KY</x:v>
      </x:c>
      <x:c r="C57" s="123" t="str">
        <x:v>Cuối văn bản</x:v>
      </x:c>
      <x:c r="D57" s="123" t="str">
        <x:v>Khối ký</x:v>
      </x:c>
      <x:c r="E57" s="123" t="str">
        <x:v>Vị trí chữ ký của người có thẩm quyền</x:v>
      </x:c>
      <x:c r="F57" s="123" t="str">
        <x:v>7c</x:v>
      </x:c>
      <x:c r="G57" s="123" t="str">
        <x:v>Khối ký tùy thẩm quyền/loại văn bản</x:v>
      </x:c>
      <x:c r="H57" s="123" t="str">
        <x:v>Vị trí chữ ký của người có thẩm quyền</x:v>
      </x:c>
      <x:c r="I57" s="123" t="str">
        <x:v>Không áp dụng</x:v>
      </x:c>
      <x:c r="J57" s="126" t="str">
        <x:v>—</x:v>
      </x:c>
      <x:c r="K57" s="123" t="str">
        <x:v>Theo tên người ký</x:v>
      </x:c>
      <x:c r="L57" s="123" t="str">
        <x:v>Không áp dụng</x:v>
      </x:c>
      <x:c r="M57" s="123" t="str">
        <x:v>Không áp dụng</x:v>
      </x:c>
      <x:c r="N57" s="123" t="str">
        <x:v>Khối phải; nội dung căn giữa</x:v>
      </x:c>
      <x:c r="O57" s="124" t="str">
        <x:v>Single; before 0 / after 0 pt</x:v>
      </x:c>
      <x:c r="P57" s="124" t="str">
        <x:v>Thụt 0; chừa khoảng chữ ký theo mẫu</x:v>
      </x:c>
      <x:c r="Q57" s="123"/>
      <x:c r="R57" s="123" t="str">
        <x:v>Văn bản/OOXML: xác định đối tượng trước khi sửa</x:v>
      </x:c>
      <x:c r="S57" s="123" t="str">
        <x:v>Chỉ xác định vùng trống/protected cho chữ ký</x:v>
      </x:c>
      <x:c r="T57" s="123" t="str">
        <x:v>NĐ30, Phụ lục I, Phần I, II.7; V.7</x:v>
      </x:c>
      <x:c r="U57" s="123" t="str">
        <x:v>https://datafiles.chinhphu.vn/cpp/files/vbpq/2020/03/30.signed.pdf</x:v>
      </x:c>
      <x:c r="V57" s="123" t="str">
        <x:v>https://riam.edu.vn/nghi-dinh-ve-cong-tac-van-thu-phu-luc/</x:v>
      </x:c>
      <x:c r="W57" s="123" t="str">
        <x:v>CHƯA ĐỦ BẰNG CHỨNG</x:v>
      </x:c>
      <x:c r="X57" s="123" t="str">
        <x:v>PROTECTED</x:v>
      </x:c>
      <x:c r="Y57" s="123" t="str">
        <x:v>Không tự chèn/sửa khi chưa có chứng cứ về đối tượng và rule. | Trạng thái v1.0: CÓ ĐIỀU KIỆN</x:v>
      </x:c>
      <x:c r="Z57" s="124" t="str">
        <x:v>VÙNG TRỐNG CHỮ KÝ — KHÔNG TẠO CHỮ KÝ</x:v>
      </x:c>
      <x:c r="AA57" s="123" t="str">
        <x:v>SignatureBlock</x:v>
      </x:c>
      <x:c r="AB57" s="124" t="str">
        <x:v>BẢO VỆ NỘI DUNG</x:v>
      </x:c>
      <x:c r="AC57" s="123" t="str">
        <x:v>PROTECTED</x:v>
      </x:c>
      <x:c r="AD57" s="123" t="str">
        <x:v>PLUGIN:hoa-tieu-mien-bac-administrative-v1 | user_approved_visual_reference</x:v>
      </x:c>
      <x:c r="AE57" s="123" t="str">
        <x:v>Đối chiếu đúng vị trí; không điền dữ liệu; không chạm dấu/chữ ký hoặc trường được bảo vệ.</x:v>
      </x:c>
      <x:c r="AF57" s="123" t="str">
        <x:v>Công ty: profile trình bày văn bản dự thảo; không mặc định thay cho văn bản pháp quy đặc thù.</x:v>
      </x:c>
      <x:c r="AG57" s="157"/>
      <x:c r="AH57" s="157"/>
      <x:c r="AI57" s="157"/>
      <x:c r="AJ57" s="195"/>
      <x:c r="AK57" s="157" t="str">
        <x:v>KHÔNG ÁP DỤNG</x:v>
      </x:c>
      <x:c r="AL57" s="157" t="str">
        <x:v>KHÔNG ÁP DỤNG</x:v>
      </x:c>
      <x:c r="AM57" s="157" t="str">
        <x:v>Theo tên người ký</x:v>
      </x:c>
      <x:c r="AN57" s="157" t="str">
        <x:v>CENTER</x:v>
      </x:c>
      <x:c r="AO57" s="157" t="str">
        <x:v>KHỐI PHẢI</x:v>
      </x:c>
      <x:c r="AP57" s="157"/>
      <x:c r="AQ57" s="195"/>
      <x:c r="AR57" s="157"/>
      <x:c r="AS57" s="195"/>
      <x:c r="AT57" s="195"/>
      <x:c r="AU57" s="195"/>
      <x:c r="AV57" s="195"/>
      <x:c r="AW57" s="195"/>
      <x:c r="AX57" s="157"/>
      <x:c r="AY57" s="157"/>
      <x:c r="AZ57" s="157"/>
      <x:c r="BA57" s="195"/>
      <x:c r="BB57" s="195"/>
      <x:c r="BC57" s="157"/>
      <x:c r="BD57" s="195"/>
      <x:c r="BE57" s="195"/>
      <x:c r="BF57" s="195"/>
      <x:c r="BG57" s="195"/>
      <x:c r="BH57" s="157"/>
      <x:c r="BI57" s="195"/>
      <x:c r="BJ57" s="195"/>
      <x:c r="BK57" s="195"/>
      <x:c r="BL57" s="157"/>
      <x:c r="BM57" s="157"/>
      <x:c r="BN57" s="157"/>
      <x:c r="BO57" s="195"/>
      <x:c r="BP57" s="195"/>
      <x:c r="BQ57" s="157"/>
      <x:c r="BR57" s="157"/>
      <x:c r="BS57" s="157"/>
      <x:c r="BT57" s="157" t="str">
        <x:v>SignatureBlock</x:v>
      </x:c>
      <x:c r="BU57" s="157" t="str">
        <x:v>Văn bản/OOXML: xác định đối tượng trước khi sửa</x:v>
      </x:c>
      <x:c r="BV57" s="196" t="str">
        <x:v>BẢO VỆ NỘI DUNG</x:v>
      </x:c>
      <x:c r="BW57" s="197" t="str">
        <x:v>ĐÃ TÁCH MỘT PHẦN</x:v>
      </x:c>
      <x:c r="BX57" s="157" t="str">
        <x:v>Đối chiếu mô tả gốc ở I–S, Z–AF nếu thuộc tính phụ thuộc mẫu.</x:v>
      </x:c>
      <x:c r="BY57" t="str">
        <x:v>ND30.C.KY.CHU_KY</x:v>
      </x:c>
      <x:c r="BZ57" t="str">
        <x:f>IFERROR(INDEX(ND30!$J$7:$J$300,MATCH($B57,ND30!$B$7:$B$300,0)),"UNRESOLVED")</x:f>
        <x:v>Không áp dụng</x:v>
      </x:c>
      <x:c r="CA57" t="str">
        <x:v>SIGNATURE_OR_SEAL</x:v>
      </x:c>
      <x:c r="CB57" t="str">
        <x:v>issuer_confirmed AND signer_block_recognized</x:v>
      </x:c>
      <x:c r="CC57" t="str">
        <x:f>IFERROR(INDEX(ND30!$X$7:$X$300,MATCH($B57,ND30!$B$7:$B$300,0)),"UNRESOLVED")</x:f>
        <x:v>PROTECTED; KHÔNG KÝ</x:v>
      </x:c>
      <x:c r="CD57" t="str">
        <x:f>IF(OR(ISNUMBER(SEARCH("READ_ONLY",CC57)),ISNUMBER(SEARCH("PROTECTED",CC57)),ISNUMBER(SEARCH("BẢO VỆ",CC57)),ISNUMBER(SEARCH("KHÔNG KÝ",CC57))),"PROTECTED","CHECK_ONLY")</x:f>
        <x:v>PROTECTED</x:v>
      </x:c>
      <x:c r="CE57" t="str">
        <x:f>IF(AND(CD57="FORMAT_APPROVED",CU57="CÓ",CV57="CÓ",CH57="CÓ",CI57="CÓ",CJ57="CÓ"),"CÓ","KHÔNG")</x:f>
        <x:v>KHÔNG</x:v>
      </x:c>
      <x:c r="CF57" t="str">
        <x:v>KHÔNG</x:v>
      </x:c>
      <x:c r="CG57" t="str">
        <x:v>CÓ</x:v>
      </x:c>
      <x:c r="CH57" t="str">
        <x:v>KHÔNG</x:v>
      </x:c>
      <x:c r="CI57" t="str">
        <x:v>KHÔNG</x:v>
      </x:c>
      <x:c r="CJ57" t="str">
        <x:v>KHÔNG</x:v>
      </x:c>
      <x:c r="CK57" t="str">
        <x:f>IF(AND(CE57="CÓ",CF57="KHÔNG",CG57="CÓ",CU57="CÓ",CV57="CÓ",CH57="CÓ",CI57="CÓ",CJ57="CÓ"),"CÓ","KHÔNG")</x:f>
        <x:v>KHÔNG</x:v>
      </x:c>
      <x:c r="CL57" t="str">
        <x:v>PILOT_NORTH_PROFILE_DRAFT; chưa có master DOCX đã duyệt</x:v>
      </x:c>
      <x:c r="CM57" t="str">
        <x:v>v1.5 (nâng từ v1.4)</x:v>
      </x:c>
      <x:c r="CN57" t="str">
        <x:v>CẦN XÁC MINH TÊN/QUY CHẾ</x:v>
      </x:c>
      <x:c r="CO57" t="str">
        <x:v>ND30_C_KY_CHU_KY_FIELD_ONLY; chưa tạo trong Word</x:v>
      </x:c>
      <x:c r="CP57" t="str">
        <x:v>Preset là cấu hình Công ty; không thay thế giới hạn của nguồn NĐ30/HD05</x:v>
      </x:c>
      <x:c r="CQ57" t="str">
        <x:f>IF(OR(BH57="CÓ",BH57=TRUE),BI57,"")</x:f>
      </x:c>
      <x:c r="CR57" t="str">
        <x:f>IF(OR(BH57="CÓ",BH57=TRUE),BJ57,"")</x:f>
      </x:c>
      <x:c r="CS57" t="str">
        <x:v>STRUCTURAL_CHECK_ONLY</x:v>
      </x:c>
      <x:c r="CT57" t="str">
        <x:v>PENDING_SOURCE_AND_DOCX_QA</x:v>
      </x:c>
      <x:c r="CU57" t="str">
        <x:v>KHÔNG</x:v>
      </x:c>
      <x:c r="CV57" t="str">
        <x:v>KHÔNG</x:v>
      </x:c>
      <x:c r="CW57" t="str"/>
    </x:row>
    <x:row r="58" ht="29" customHeight="1">
      <x:c r="A58" s="125" t="n">
        <x:v>52</x:v>
      </x:c>
      <x:c r="B58" s="123" t="str">
        <x:v>ND30.C.KY.HO_TEN</x:v>
      </x:c>
      <x:c r="C58" s="123" t="str">
        <x:v>Cuối văn bản</x:v>
      </x:c>
      <x:c r="D58" s="123" t="str">
        <x:v>Khối ký</x:v>
      </x:c>
      <x:c r="E58" s="123" t="str">
        <x:v>Họ tên người ký</x:v>
      </x:c>
      <x:c r="F58" s="123" t="str">
        <x:v>7b</x:v>
      </x:c>
      <x:c r="G58" s="123" t="str">
        <x:v>Khối ký tùy thẩm quyền/loại văn bản</x:v>
      </x:c>
      <x:c r="H58" s="123" t="str">
        <x:v>Họ tên người ký</x:v>
      </x:c>
      <x:c r="I58" s="123" t="str">
        <x:v>Times New Roman | Unicode | đen</x:v>
      </x:c>
      <x:c r="J58" s="126" t="str">
        <x:v>14</x:v>
      </x:c>
      <x:c r="K58" s="123" t="str">
        <x:v>Theo tên người ký</x:v>
      </x:c>
      <x:c r="L58" s="123" t="str">
        <x:v>Có</x:v>
      </x:c>
      <x:c r="M58" s="123" t="str">
        <x:v>Không</x:v>
      </x:c>
      <x:c r="N58" s="123" t="str">
        <x:v>Khối phải; nội dung căn giữa</x:v>
      </x:c>
      <x:c r="O58" s="124" t="str">
        <x:v>Single; before 0 / after 0 pt</x:v>
      </x:c>
      <x:c r="P58" s="124" t="str">
        <x:v>Thụt 0; chừa khoảng chữ ký theo mẫu</x:v>
      </x:c>
      <x:c r="Q58" s="123"/>
      <x:c r="R58" s="123" t="str">
        <x:v>Văn bản/OOXML: xác định đối tượng trước khi sửa</x:v>
      </x:c>
      <x:c r="S58" s="123" t="str">
        <x:v>Chỉ dùng họ tên được cung cấp; không tự điền</x:v>
      </x:c>
      <x:c r="T58" s="123" t="str">
        <x:v>NĐ30, Phụ lục I, Phần I, II.7; V.7</x:v>
      </x:c>
      <x:c r="U58" s="123" t="str">
        <x:v>https://datafiles.chinhphu.vn/cpp/files/vbpq/2020/03/30.signed.pdf</x:v>
      </x:c>
      <x:c r="V58" s="123" t="str">
        <x:v>https://riam.edu.vn/nghi-dinh-ve-cong-tac-van-thu-phu-luc/</x:v>
      </x:c>
      <x:c r="W58" s="123" t="str">
        <x:v>ĐỐI CHIẾU MỘT PHẦN</x:v>
      </x:c>
      <x:c r="X58" s="123" t="str">
        <x:v>PROTECT_CONTENT</x:v>
      </x:c>
      <x:c r="Y58" s="123" t="str">
        <x:v>Không tự chèn/sửa khi chưa có chứng cứ về đối tượng và rule.</x:v>
      </x:c>
      <x:c r="Z58" s="124" t="str">
        <x:v>[HỌ TÊN CHƯA NHẬP]</x:v>
      </x:c>
      <x:c r="AA58" s="123" t="str">
        <x:v>SignatureBlock</x:v>
      </x:c>
      <x:c r="AB58" s="124" t="str">
        <x:v>BẢO VỆ NỘI DUNG</x:v>
      </x:c>
      <x:c r="AC58" s="123" t="str">
        <x:v>PROTECT_CONTENT</x:v>
      </x:c>
      <x:c r="AD58" s="123" t="str">
        <x:v>PLUGIN:hoa-tieu-mien-bac-administrative-v1 | user_approved_visual_reference</x:v>
      </x:c>
      <x:c r="AE58" s="123" t="str">
        <x:v>Đối chiếu đúng vị trí; không điền dữ liệu; không chạm dấu/chữ ký hoặc trường được bảo vệ.</x:v>
      </x:c>
      <x:c r="AF58" s="123" t="str">
        <x:v>Công ty: profile trình bày văn bản dự thảo; không mặc định thay cho văn bản pháp quy đặc thù.</x:v>
      </x:c>
      <x:c r="AG58" s="157" t="str">
        <x:v>Times New Roman</x:v>
      </x:c>
      <x:c r="AH58" s="157" t="str">
        <x:v>Unicode</x:v>
      </x:c>
      <x:c r="AI58" s="157" t="str">
        <x:v>#000000</x:v>
      </x:c>
      <x:c r="AJ58" s="195" t="n">
        <x:v>14</x:v>
      </x:c>
      <x:c r="AK58" s="157" t="str">
        <x:v>CÓ</x:v>
      </x:c>
      <x:c r="AL58" s="157" t="str">
        <x:v>KHÔNG</x:v>
      </x:c>
      <x:c r="AM58" s="157" t="str">
        <x:v>Theo tên người ký</x:v>
      </x:c>
      <x:c r="AN58" s="157" t="str">
        <x:v>CENTER</x:v>
      </x:c>
      <x:c r="AO58" s="157" t="str">
        <x:v>KHỐI PHẢI</x:v>
      </x:c>
      <x:c r="AP58" s="157" t="str">
        <x:v>SINGLE</x:v>
      </x:c>
      <x:c r="AQ58" s="195" t="n">
        <x:v>1</x:v>
      </x:c>
      <x:c r="AR58" s="157" t="str">
        <x:v>lines</x:v>
      </x:c>
      <x:c r="AS58" s="195" t="n">
        <x:v>0</x:v>
      </x:c>
      <x:c r="AT58" s="195" t="n">
        <x:v>0</x:v>
      </x:c>
      <x:c r="AU58" s="195" t="n">
        <x:v>0</x:v>
      </x:c>
      <x:c r="AV58" s="195"/>
      <x:c r="AW58" s="195"/>
      <x:c r="AX58" s="157"/>
      <x:c r="AY58" s="157"/>
      <x:c r="AZ58" s="157"/>
      <x:c r="BA58" s="195"/>
      <x:c r="BB58" s="195"/>
      <x:c r="BC58" s="157"/>
      <x:c r="BD58" s="195"/>
      <x:c r="BE58" s="195"/>
      <x:c r="BF58" s="195"/>
      <x:c r="BG58" s="195"/>
      <x:c r="BH58" s="157"/>
      <x:c r="BI58" s="195"/>
      <x:c r="BJ58" s="195"/>
      <x:c r="BK58" s="195"/>
      <x:c r="BL58" s="157"/>
      <x:c r="BM58" s="157"/>
      <x:c r="BN58" s="157"/>
      <x:c r="BO58" s="195"/>
      <x:c r="BP58" s="195"/>
      <x:c r="BQ58" s="157"/>
      <x:c r="BR58" s="157"/>
      <x:c r="BS58" s="157"/>
      <x:c r="BT58" s="157" t="str">
        <x:v>SignatureBlock</x:v>
      </x:c>
      <x:c r="BU58" s="157" t="str">
        <x:v>Văn bản/OOXML: xác định đối tượng trước khi sửa</x:v>
      </x:c>
      <x:c r="BV58" s="196" t="str">
        <x:v>BẢO VỆ NỘI DUNG</x:v>
      </x:c>
      <x:c r="BW58" s="197" t="str">
        <x:v>ĐÃ TÁCH MỘT PHẦN</x:v>
      </x:c>
      <x:c r="BX58" s="157" t="str">
        <x:v>Đối chiếu mô tả gốc ở I–S, Z–AF nếu thuộc tính phụ thuộc mẫu.</x:v>
      </x:c>
      <x:c r="BY58" t="str">
        <x:v>ND30.C.KY.HO_TEN</x:v>
      </x:c>
      <x:c r="BZ58" t="str">
        <x:f>IFERROR(INDEX(ND30!$J$7:$J$300,MATCH($B58,ND30!$B$7:$B$300,0)),"UNRESOLVED")</x:f>
        <x:v>13–14</x:v>
      </x:c>
      <x:c r="CA58" t="str">
        <x:v>PROTECTED_TEXT</x:v>
      </x:c>
      <x:c r="CB58" t="str">
        <x:v>issuer_confirmed AND signer_block_recognized</x:v>
      </x:c>
      <x:c r="CC58" t="str">
        <x:f>IFERROR(INDEX(ND30!$X$7:$X$300,MATCH($B58,ND30!$B$7:$B$300,0)),"UNRESOLVED")</x:f>
        <x:v>READ_ONLY</x:v>
      </x:c>
      <x:c r="CD58" t="str">
        <x:f>IF(OR(ISNUMBER(SEARCH("READ_ONLY",CC58)),ISNUMBER(SEARCH("PROTECTED",CC58)),ISNUMBER(SEARCH("BẢO VỆ",CC58)),ISNUMBER(SEARCH("KHÔNG KÝ",CC58))),"PROTECTED","CHECK_ONLY")</x:f>
        <x:v>PROTECTED</x:v>
      </x:c>
      <x:c r="CE58" t="str">
        <x:f>IF(AND(CD58="FORMAT_APPROVED",CU58="CÓ",CV58="CÓ",CH58="CÓ",CI58="CÓ",CJ58="CÓ"),"CÓ","KHÔNG")</x:f>
        <x:v>KHÔNG</x:v>
      </x:c>
      <x:c r="CF58" t="str">
        <x:v>KHÔNG</x:v>
      </x:c>
      <x:c r="CG58" t="str">
        <x:v>CÓ</x:v>
      </x:c>
      <x:c r="CH58" t="str">
        <x:v>KHÔNG</x:v>
      </x:c>
      <x:c r="CI58" t="str">
        <x:v>KHÔNG</x:v>
      </x:c>
      <x:c r="CJ58" t="str">
        <x:v>KHÔNG</x:v>
      </x:c>
      <x:c r="CK58" t="str">
        <x:f>IF(AND(CE58="CÓ",CF58="KHÔNG",CG58="CÓ",CU58="CÓ",CV58="CÓ",CH58="CÓ",CI58="CÓ",CJ58="CÓ"),"CÓ","KHÔNG")</x:f>
        <x:v>KHÔNG</x:v>
      </x:c>
      <x:c r="CL58" t="str">
        <x:v>PILOT_NORTH_PROFILE_DRAFT; chưa có master DOCX đã duyệt</x:v>
      </x:c>
      <x:c r="CM58" t="str">
        <x:v>v1.5 (nâng từ v1.4)</x:v>
      </x:c>
      <x:c r="CN58" t="str">
        <x:v>CẦN XÁC MINH TÊN/QUY CHẾ</x:v>
      </x:c>
      <x:c r="CO58" t="str">
        <x:v>ND30_C_KY_HO_TEN_FIELD_ONLY; chưa tạo trong Word</x:v>
      </x:c>
      <x:c r="CP58" t="str">
        <x:v>Preset là cấu hình Công ty; không thay thế giới hạn của nguồn NĐ30/HD05</x:v>
      </x:c>
      <x:c r="CQ58" t="str">
        <x:f>IF(OR(BH58="CÓ",BH58=TRUE),BI58,"")</x:f>
      </x:c>
      <x:c r="CR58" t="str">
        <x:f>IF(OR(BH58="CÓ",BH58=TRUE),BJ58,"")</x:f>
      </x:c>
      <x:c r="CS58" t="str">
        <x:v>FORMAT_CHECK_ONLY</x:v>
      </x:c>
      <x:c r="CT58" t="str">
        <x:v>PENDING_SOURCE_AND_DOCX_QA</x:v>
      </x:c>
      <x:c r="CU58" t="str">
        <x:v>KHÔNG</x:v>
      </x:c>
      <x:c r="CV58" t="str">
        <x:v>KHÔNG</x:v>
      </x:c>
      <x:c r="CW58" t="str"/>
    </x:row>
    <x:row r="59" ht="29" customHeight="1">
      <x:c r="A59" s="125" t="n">
        <x:v>53</x:v>
      </x:c>
      <x:c r="B59" s="123" t="str">
        <x:v>ND30.C.KY.KHOI_KY</x:v>
      </x:c>
      <x:c r="C59" s="123" t="str">
        <x:v>Cuối văn bản</x:v>
      </x:c>
      <x:c r="D59" s="123" t="str">
        <x:v>Khối ký</x:v>
      </x:c>
      <x:c r="E59" s="123" t="str">
        <x:v>Một khối ký có thể lặp nhiều instance</x:v>
      </x:c>
      <x:c r="F59" s="123" t="str">
        <x:v>7a/7b/7c</x:v>
      </x:c>
      <x:c r="G59" s="123" t="str">
        <x:v>Khối ký tùy thẩm quyền/loại văn bản</x:v>
      </x:c>
      <x:c r="H59" s="123" t="str">
        <x:v>Cụm signer lặp được; bố cục nhiều người ký/biên bản theo mẫu riêng</x:v>
      </x:c>
      <x:c r="I59" s="123" t="str">
        <x:v>Times New Roman | Unicode | đen</x:v>
      </x:c>
      <x:c r="J59" s="126" t="str">
        <x:v>Theo khối ký</x:v>
      </x:c>
      <x:c r="K59" s="123" t="str">
        <x:v>Theo tên người ký</x:v>
      </x:c>
      <x:c r="L59" s="123" t="str">
        <x:v>Theo trường con</x:v>
      </x:c>
      <x:c r="M59" s="123" t="str">
        <x:v>Không</x:v>
      </x:c>
      <x:c r="N59" s="123" t="str">
        <x:v>Khối phải; nội dung căn giữa</x:v>
      </x:c>
      <x:c r="O59" s="124" t="str">
        <x:v>Single; before 0 / after 0 pt</x:v>
      </x:c>
      <x:c r="P59" s="124" t="str">
        <x:v>Thụt 0; chừa khoảng chữ ký theo mẫu</x:v>
      </x:c>
      <x:c r="Q59" s="123"/>
      <x:c r="R59" s="123" t="str">
        <x:v>Văn bản/OOXML: xác định đối tượng trước khi sửa</x:v>
      </x:c>
      <x:c r="S59" s="123" t="str">
        <x:v>Không gộp ND30.C.KY.* thành một style duy nhất</x:v>
      </x:c>
      <x:c r="T59" s="123" t="str">
        <x:v>NĐ30, Phụ lục I, Phần I, II.7; V.7</x:v>
      </x:c>
      <x:c r="U59" s="123" t="str">
        <x:v>https://datafiles.chinhphu.vn/cpp/files/vbpq/2020/03/30.signed.pdf</x:v>
      </x:c>
      <x:c r="V59" s="123" t="str">
        <x:v>https://riam.edu.vn/nghi-dinh-ve-cong-tac-van-thu-phu-luc/</x:v>
      </x:c>
      <x:c r="W59" s="123" t="str">
        <x:v>CHƯA ĐỦ BẰNG CHỨNG</x:v>
      </x:c>
      <x:c r="X59" s="123" t="str">
        <x:v>CHECK_ONLY</x:v>
      </x:c>
      <x:c r="Y59" s="123" t="str">
        <x:v>Không tự chèn/sửa khi chưa có chứng cứ về đối tượng và rule. | Trạng thái v1.0: CÓ ĐIỀU KIỆN</x:v>
      </x:c>
      <x:c r="Z59" s="124" t="str">
        <x:v>Bố cục 1/multiple signatures; không gộp style, không tự suy luận người ký</x:v>
      </x:c>
      <x:c r="AA59" s="123" t="str">
        <x:v>SignatureBlock</x:v>
      </x:c>
      <x:c r="AB59" s="124" t="str">
        <x:v>CÓ ĐIỀU KIỆN</x:v>
      </x:c>
      <x:c r="AC59" s="123" t="str">
        <x:v>CHECK_ONLY</x:v>
      </x:c>
      <x:c r="AD59" s="123" t="str">
        <x:v>PLUGIN:hoa-tieu-mien-bac-administrative-v1 | user_approved_visual_reference</x:v>
      </x:c>
      <x:c r="AE59" s="123" t="str">
        <x:v>Đối chiếu đúng vị trí; không điền dữ liệu; không chạm dấu/chữ ký hoặc trường được bảo vệ.</x:v>
      </x:c>
      <x:c r="AF59" s="123" t="str">
        <x:v>Công ty: profile trình bày văn bản dự thảo; không mặc định thay cho văn bản pháp quy đặc thù.</x:v>
      </x:c>
      <x:c r="AG59" s="157" t="str">
        <x:v>Times New Roman</x:v>
      </x:c>
      <x:c r="AH59" s="157" t="str">
        <x:v>Unicode</x:v>
      </x:c>
      <x:c r="AI59" s="157" t="str">
        <x:v>#000000</x:v>
      </x:c>
      <x:c r="AJ59" s="195"/>
      <x:c r="AK59" s="157" t="str">
        <x:v>CÓ ĐIỀU KIỆN</x:v>
      </x:c>
      <x:c r="AL59" s="157" t="str">
        <x:v>KHÔNG</x:v>
      </x:c>
      <x:c r="AM59" s="157" t="str">
        <x:v>Theo tên người ký</x:v>
      </x:c>
      <x:c r="AN59" s="157" t="str">
        <x:v>CENTER</x:v>
      </x:c>
      <x:c r="AO59" s="157" t="str">
        <x:v>KHỐI PHẢI</x:v>
      </x:c>
      <x:c r="AP59" s="157" t="str">
        <x:v>SINGLE</x:v>
      </x:c>
      <x:c r="AQ59" s="195" t="n">
        <x:v>1</x:v>
      </x:c>
      <x:c r="AR59" s="157" t="str">
        <x:v>lines</x:v>
      </x:c>
      <x:c r="AS59" s="195" t="n">
        <x:v>0</x:v>
      </x:c>
      <x:c r="AT59" s="195" t="n">
        <x:v>0</x:v>
      </x:c>
      <x:c r="AU59" s="195" t="n">
        <x:v>0</x:v>
      </x:c>
      <x:c r="AV59" s="195"/>
      <x:c r="AW59" s="195"/>
      <x:c r="AX59" s="157"/>
      <x:c r="AY59" s="157"/>
      <x:c r="AZ59" s="157"/>
      <x:c r="BA59" s="195"/>
      <x:c r="BB59" s="195"/>
      <x:c r="BC59" s="157"/>
      <x:c r="BD59" s="195"/>
      <x:c r="BE59" s="195"/>
      <x:c r="BF59" s="195"/>
      <x:c r="BG59" s="195"/>
      <x:c r="BH59" s="157"/>
      <x:c r="BI59" s="195"/>
      <x:c r="BJ59" s="195"/>
      <x:c r="BK59" s="195"/>
      <x:c r="BL59" s="157"/>
      <x:c r="BM59" s="157"/>
      <x:c r="BN59" s="157"/>
      <x:c r="BO59" s="195"/>
      <x:c r="BP59" s="195"/>
      <x:c r="BQ59" s="157"/>
      <x:c r="BR59" s="157"/>
      <x:c r="BS59" s="157"/>
      <x:c r="BT59" s="157" t="str">
        <x:v>SignatureBlock</x:v>
      </x:c>
      <x:c r="BU59" s="157" t="str">
        <x:v>Văn bản/OOXML: xác định đối tượng trước khi sửa</x:v>
      </x:c>
      <x:c r="BV59" s="196" t="str">
        <x:v>CÓ ĐIỀU KIỆN</x:v>
      </x:c>
      <x:c r="BW59" s="197" t="str">
        <x:v>ĐÃ TÁCH MỘT PHẦN</x:v>
      </x:c>
      <x:c r="BX59" s="157" t="str">
        <x:v>Cỡ chữ phụ thuộc khối hoặc điều kiện; không ép thành giá trị số: Theo khối ký</x:v>
      </x:c>
      <x:c r="BY59" t="str">
        <x:v>ND30.C.KY.KHOI_KY</x:v>
      </x:c>
      <x:c r="BZ59" t="str">
        <x:f>IFERROR(INDEX(ND30!$J$7:$J$300,MATCH($B59,ND30!$B$7:$B$300,0)),"UNRESOLVED")</x:f>
        <x:v>Theo trường con</x:v>
      </x:c>
      <x:c r="CA59" t="str">
        <x:v>TEXT</x:v>
      </x:c>
      <x:c r="CB59" t="str">
        <x:v>issuer_confirmed AND signer_block_recognized</x:v>
      </x:c>
      <x:c r="CC59" t="str">
        <x:f>IFERROR(INDEX(ND30!$X$7:$X$300,MATCH($B59,ND30!$B$7:$B$300,0)),"UNRESOLVED")</x:f>
        <x:v>READ_ONLY</x:v>
      </x:c>
      <x:c r="CD59" t="str">
        <x:f>IF(OR(ISNUMBER(SEARCH("READ_ONLY",CC59)),ISNUMBER(SEARCH("PROTECTED",CC59)),ISNUMBER(SEARCH("BẢO VỆ",CC59)),ISNUMBER(SEARCH("KHÔNG KÝ",CC59))),"PROTECTED","CHECK_ONLY")</x:f>
        <x:v>PROTECTED</x:v>
      </x:c>
      <x:c r="CE59" t="str">
        <x:f>IF(AND(CD59="FORMAT_APPROVED",CU59="CÓ",CV59="CÓ",CH59="CÓ",CI59="CÓ",CJ59="CÓ"),"CÓ","KHÔNG")</x:f>
        <x:v>KHÔNG</x:v>
      </x:c>
      <x:c r="CF59" t="str">
        <x:v>KHÔNG</x:v>
      </x:c>
      <x:c r="CG59" t="str">
        <x:v>CÓ</x:v>
      </x:c>
      <x:c r="CH59" t="str">
        <x:v>KHÔNG</x:v>
      </x:c>
      <x:c r="CI59" t="str">
        <x:v>KHÔNG</x:v>
      </x:c>
      <x:c r="CJ59" t="str">
        <x:v>KHÔNG</x:v>
      </x:c>
      <x:c r="CK59" t="str">
        <x:f>IF(AND(CE59="CÓ",CF59="KHÔNG",CG59="CÓ",CU59="CÓ",CV59="CÓ",CH59="CÓ",CI59="CÓ",CJ59="CÓ"),"CÓ","KHÔNG")</x:f>
        <x:v>KHÔNG</x:v>
      </x:c>
      <x:c r="CL59" t="str">
        <x:v>PILOT_NORTH_PROFILE_DRAFT; chưa có master DOCX đã duyệt</x:v>
      </x:c>
      <x:c r="CM59" t="str">
        <x:v>v1.5 (nâng từ v1.4)</x:v>
      </x:c>
      <x:c r="CN59" t="str">
        <x:v>CẦN XÁC MINH TÊN/QUY CHẾ</x:v>
      </x:c>
      <x:c r="CO59" t="str">
        <x:v>ND30_C_KY_KHOI_KY_FIELD_ONLY; chưa tạo trong Word</x:v>
      </x:c>
      <x:c r="CP59" t="str">
        <x:v>Preset là cấu hình Công ty; không thay thế giới hạn của nguồn NĐ30/HD05</x:v>
      </x:c>
      <x:c r="CQ59" t="str">
        <x:f>IF(OR(BH59="CÓ",BH59=TRUE),BI59,"")</x:f>
      </x:c>
      <x:c r="CR59" t="str">
        <x:f>IF(OR(BH59="CÓ",BH59=TRUE),BJ59,"")</x:f>
      </x:c>
      <x:c r="CS59" t="str">
        <x:v>FORMAT_CHECK_ONLY</x:v>
      </x:c>
      <x:c r="CT59" t="str">
        <x:v>PENDING_SOURCE_AND_DOCX_QA</x:v>
      </x:c>
      <x:c r="CU59" t="str">
        <x:v>KHÔNG</x:v>
      </x:c>
      <x:c r="CV59" t="str">
        <x:v>KHÔNG</x:v>
      </x:c>
      <x:c r="CW59" t="str"/>
    </x:row>
    <x:row r="60" ht="29" customHeight="1">
      <x:c r="A60" s="125" t="n">
        <x:v>54</x:v>
      </x:c>
      <x:c r="B60" s="123" t="str">
        <x:v>ND30.C.DAU.DAU_CO_QUAN</x:v>
      </x:c>
      <x:c r="C60" s="123" t="str">
        <x:v>Cuối văn bản</x:v>
      </x:c>
      <x:c r="D60" s="123" t="str">
        <x:v>Dấu và chữ ký số</x:v>
      </x:c>
      <x:c r="E60" s="123" t="str">
        <x:v>Vị trí dấu của cơ quan ban hành</x:v>
      </x:c>
      <x:c r="F60" s="123" t="str">
        <x:v>8</x:v>
      </x:c>
      <x:c r="G60" s="123" t="str">
        <x:v>Khi có khối ký/dấu trong văn bản gốc; không tự bổ sung</x:v>
      </x:c>
      <x:c r="H60" s="123" t="str">
        <x:v>Vùng dấu hoặc chữ ký số của cơ quan trong bản chính; không phải thao tác soạn thảo</x:v>
      </x:c>
      <x:c r="I60" s="123" t="str">
        <x:v>Không áp dụng</x:v>
      </x:c>
      <x:c r="J60" s="126" t="str">
        <x:v>—</x:v>
      </x:c>
      <x:c r="K60" s="123" t="str">
        <x:v>Không áp dụng</x:v>
      </x:c>
      <x:c r="L60" s="123" t="str">
        <x:v>Không áp dụng</x:v>
      </x:c>
      <x:c r="M60" s="123" t="str">
        <x:v>Không áp dụng</x:v>
      </x:c>
      <x:c r="N60" s="123" t="str">
        <x:v>Theo vùng có dấu/chữ ký thật</x:v>
      </x:c>
      <x:c r="O60" s="124"/>
      <x:c r="P60" s="124"/>
      <x:c r="Q60" s="123"/>
      <x:c r="R60" s="123" t="str">
        <x:v>Protected visual/signature anchor; không chèn hoặc xóa</x:v>
      </x:c>
      <x:c r="S60" s="123" t="str">
        <x:v>Không kiểm tra hiệu lực ký số nếu chưa có dịch vụ/xác thực</x:v>
      </x:c>
      <x:c r="T60" s="123" t="str">
        <x:v>NĐ30, Phụ lục I, Phần I, II.8</x:v>
      </x:c>
      <x:c r="U60" s="123" t="str">
        <x:v>https://datafiles.chinhphu.vn/cpp/files/vbpq/2020/03/30.signed.pdf</x:v>
      </x:c>
      <x:c r="V60" s="123" t="str">
        <x:v>https://riam.edu.vn/nghi-dinh-ve-cong-tac-van-thu-phu-luc/</x:v>
      </x:c>
      <x:c r="W60" s="123" t="str">
        <x:v>CHƯA ĐỦ BẰNG CHỨNG</x:v>
      </x:c>
      <x:c r="X60" s="123" t="str">
        <x:v>PROTECTED</x:v>
      </x:c>
      <x:c r="Y60" s="123" t="str">
        <x:v>Ngoài phạm vi can thiệp khi soạn thảo; không tự tạo chữ ký số/dấu hay xác nhận pháp lý. | Trạng thái v1.0: BẢO VỆ</x:v>
      </x:c>
      <x:c r="Z60" s="124" t="str">
        <x:v>Chỉ xác định vùng bảo vệ; không ký/đóng dấu/chèn ảnh hay sửa dấu</x:v>
      </x:c>
      <x:c r="AA60" s="123" t="str">
        <x:v>ProtectedSealOrSignature</x:v>
      </x:c>
      <x:c r="AB60" s="124" t="str">
        <x:v>BẢO VỆ</x:v>
      </x:c>
      <x:c r="AC60" s="123" t="str">
        <x:v>PROTECTED</x:v>
      </x:c>
      <x:c r="AD60" s="123" t="str">
        <x:v>PLUGIN:hoa-tieu-mien-bac-administrative-v1 | user_approved_visual_reference</x:v>
      </x:c>
      <x:c r="AE60" s="123" t="str">
        <x:v>Đối chiếu đúng vị trí; không điền dữ liệu; không chạm dấu/chữ ký hoặc trường được bảo vệ.</x:v>
      </x:c>
      <x:c r="AF60" s="123" t="str">
        <x:v>Công ty: profile trình bày văn bản dự thảo; không mặc định thay cho văn bản pháp quy đặc thù.</x:v>
      </x:c>
      <x:c r="AG60" s="157"/>
      <x:c r="AH60" s="157"/>
      <x:c r="AI60" s="157"/>
      <x:c r="AJ60" s="195"/>
      <x:c r="AK60" s="157" t="str">
        <x:v>KHÔNG ÁP DỤNG</x:v>
      </x:c>
      <x:c r="AL60" s="157" t="str">
        <x:v>KHÔNG ÁP DỤNG</x:v>
      </x:c>
      <x:c r="AM60" s="157"/>
      <x:c r="AN60" s="157"/>
      <x:c r="AO60" s="157"/>
      <x:c r="AP60" s="157"/>
      <x:c r="AQ60" s="195"/>
      <x:c r="AR60" s="157"/>
      <x:c r="AS60" s="195"/>
      <x:c r="AT60" s="195"/>
      <x:c r="AU60" s="195"/>
      <x:c r="AV60" s="195"/>
      <x:c r="AW60" s="195"/>
      <x:c r="AX60" s="157"/>
      <x:c r="AY60" s="157"/>
      <x:c r="AZ60" s="157"/>
      <x:c r="BA60" s="195"/>
      <x:c r="BB60" s="195"/>
      <x:c r="BC60" s="157"/>
      <x:c r="BD60" s="195"/>
      <x:c r="BE60" s="195"/>
      <x:c r="BF60" s="195"/>
      <x:c r="BG60" s="195"/>
      <x:c r="BH60" s="157"/>
      <x:c r="BI60" s="195"/>
      <x:c r="BJ60" s="195"/>
      <x:c r="BK60" s="195"/>
      <x:c r="BL60" s="157"/>
      <x:c r="BM60" s="157"/>
      <x:c r="BN60" s="157"/>
      <x:c r="BO60" s="195"/>
      <x:c r="BP60" s="195"/>
      <x:c r="BQ60" s="157"/>
      <x:c r="BR60" s="157"/>
      <x:c r="BS60" s="157"/>
      <x:c r="BT60" s="157" t="str">
        <x:v>ProtectedSealOrSignature</x:v>
      </x:c>
      <x:c r="BU60" s="157" t="str">
        <x:v>Protected visual/signature anchor; không chèn hoặc xóa</x:v>
      </x:c>
      <x:c r="BV60" s="196" t="str">
        <x:v>BẢO VỆ</x:v>
      </x:c>
      <x:c r="BW60" s="197" t="str">
        <x:v>CHƯA CÓ THÔNG SỐ ĐỊNH LƯỢNG</x:v>
      </x:c>
      <x:c r="BX60" s="157" t="str">
        <x:v>Đối chiếu mô tả gốc ở I–S, Z–AF nếu thuộc tính phụ thuộc mẫu.</x:v>
      </x:c>
      <x:c r="BY60" t="str">
        <x:v>ND30.C.DAU.DAU_CO_QUAN</x:v>
      </x:c>
      <x:c r="BZ60" t="str">
        <x:f>IFERROR(INDEX(ND30!$J$7:$J$300,MATCH($B60,ND30!$B$7:$B$300,0)),"UNRESOLVED")</x:f>
        <x:v>Không áp dụng</x:v>
      </x:c>
      <x:c r="CA60" t="str">
        <x:v>SIGNATURE_OR_SEAL</x:v>
      </x:c>
      <x:c r="CB60" t="str">
        <x:v>issuer_scope_confirmed AND document_type_confirmed AND legal_effective_date_confirmed</x:v>
      </x:c>
      <x:c r="CC60" t="str">
        <x:f>IFERROR(INDEX(ND30!$X$7:$X$300,MATCH($B60,ND30!$B$7:$B$300,0)),"UNRESOLVED")</x:f>
        <x:v>BẢO VỆ / KHÔNG TỰ SỬA</x:v>
      </x:c>
      <x:c r="CD60" t="str">
        <x:f>IF(OR(ISNUMBER(SEARCH("READ_ONLY",CC60)),ISNUMBER(SEARCH("PROTECTED",CC60)),ISNUMBER(SEARCH("BẢO VỆ",CC60)),ISNUMBER(SEARCH("KHÔNG KÝ",CC60))),"PROTECTED","CHECK_ONLY")</x:f>
        <x:v>PROTECTED</x:v>
      </x:c>
      <x:c r="CE60" t="str">
        <x:f>IF(AND(CD60="FORMAT_APPROVED",CU60="CÓ",CV60="CÓ",CH60="CÓ",CI60="CÓ",CJ60="CÓ"),"CÓ","KHÔNG")</x:f>
        <x:v>KHÔNG</x:v>
      </x:c>
      <x:c r="CF60" t="str">
        <x:v>KHÔNG</x:v>
      </x:c>
      <x:c r="CG60" t="str">
        <x:v>CÓ</x:v>
      </x:c>
      <x:c r="CH60" t="str">
        <x:v>KHÔNG</x:v>
      </x:c>
      <x:c r="CI60" t="str">
        <x:v>KHÔNG</x:v>
      </x:c>
      <x:c r="CJ60" t="str">
        <x:v>KHÔNG</x:v>
      </x:c>
      <x:c r="CK60" t="str">
        <x:f>IF(AND(CE60="CÓ",CF60="KHÔNG",CG60="CÓ",CU60="CÓ",CV60="CÓ",CH60="CÓ",CI60="CÓ",CJ60="CÓ"),"CÓ","KHÔNG")</x:f>
        <x:v>KHÔNG</x:v>
      </x:c>
      <x:c r="CL60" t="str">
        <x:v>PILOT_NORTH_PROFILE_DRAFT; chưa có master DOCX đã duyệt</x:v>
      </x:c>
      <x:c r="CM60" t="str">
        <x:v>v1.5 (nâng từ v1.4)</x:v>
      </x:c>
      <x:c r="CN60" t="str">
        <x:v>CẦN XÁC MINH TÊN/QUY CHẾ</x:v>
      </x:c>
      <x:c r="CO60" t="str">
        <x:v>ND30_C_DAU_DAU_CO_QUAN_FIELD_ONLY; chưa tạo trong Word</x:v>
      </x:c>
      <x:c r="CP60" t="str">
        <x:v>Preset là cấu hình Công ty; không thay thế giới hạn của nguồn NĐ30/HD05</x:v>
      </x:c>
      <x:c r="CQ60" t="str">
        <x:f>IF(OR(BH60="CÓ",BH60=TRUE),BI60,"")</x:f>
      </x:c>
      <x:c r="CR60" t="str">
        <x:f>IF(OR(BH60="CÓ",BH60=TRUE),BJ60,"")</x:f>
      </x:c>
      <x:c r="CS60" t="str">
        <x:v>STRUCTURAL_CHECK_ONLY</x:v>
      </x:c>
      <x:c r="CT60" t="str">
        <x:v>PENDING_SOURCE_AND_DOCX_QA</x:v>
      </x:c>
      <x:c r="CU60" t="str">
        <x:v>KHÔNG</x:v>
      </x:c>
      <x:c r="CV60" t="str">
        <x:v>KHÔNG</x:v>
      </x:c>
      <x:c r="CW60" t="str"/>
    </x:row>
    <x:row r="61" ht="29" customHeight="1">
      <x:c r="A61" s="125" t="n">
        <x:v>55</x:v>
      </x:c>
      <x:c r="B61" s="123" t="str">
        <x:v>ND30.C.DAU.CHU_KY_SO</x:v>
      </x:c>
      <x:c r="C61" s="123" t="str">
        <x:v>Cuối văn bản</x:v>
      </x:c>
      <x:c r="D61" s="123" t="str">
        <x:v>Dấu và chữ ký số</x:v>
      </x:c>
      <x:c r="E61" s="123" t="str">
        <x:v>Chữ ký số cơ quan trên bản văn bản điện tử</x:v>
      </x:c>
      <x:c r="F61" s="123" t="str">
        <x:v>8</x:v>
      </x:c>
      <x:c r="G61" s="123" t="str">
        <x:v>Khi có khối ký/dấu trong văn bản gốc; không tự bổ sung</x:v>
      </x:c>
      <x:c r="H61" s="123" t="str">
        <x:v>Vùng dấu hoặc chữ ký số của cơ quan trong bản chính; không phải thao tác soạn thảo</x:v>
      </x:c>
      <x:c r="I61" s="123" t="str">
        <x:v>Không áp dụng</x:v>
      </x:c>
      <x:c r="J61" s="126" t="str">
        <x:v>—</x:v>
      </x:c>
      <x:c r="K61" s="123" t="str">
        <x:v>Không áp dụng</x:v>
      </x:c>
      <x:c r="L61" s="123" t="str">
        <x:v>Không áp dụng</x:v>
      </x:c>
      <x:c r="M61" s="123" t="str">
        <x:v>Không áp dụng</x:v>
      </x:c>
      <x:c r="N61" s="123" t="str">
        <x:v>Theo vùng có dấu/chữ ký thật</x:v>
      </x:c>
      <x:c r="O61" s="124"/>
      <x:c r="P61" s="124"/>
      <x:c r="Q61" s="123"/>
      <x:c r="R61" s="123" t="str">
        <x:v>Protected visual/signature anchor; không chèn hoặc xóa</x:v>
      </x:c>
      <x:c r="S61" s="123" t="str">
        <x:v>Không kiểm tra hiệu lực ký số nếu chưa có dịch vụ/xác thực</x:v>
      </x:c>
      <x:c r="T61" s="123" t="str">
        <x:v>NĐ30, Phụ lục I, Phần I, II.8</x:v>
      </x:c>
      <x:c r="U61" s="123" t="str">
        <x:v>https://datafiles.chinhphu.vn/cpp/files/vbpq/2020/03/30.signed.pdf</x:v>
      </x:c>
      <x:c r="V61" s="123" t="str">
        <x:v>https://riam.edu.vn/nghi-dinh-ve-cong-tac-van-thu-phu-luc/</x:v>
      </x:c>
      <x:c r="W61" s="123" t="str">
        <x:v>CHƯA ĐỦ BẰNG CHỨNG</x:v>
      </x:c>
      <x:c r="X61" s="123" t="str">
        <x:v>PROTECTED</x:v>
      </x:c>
      <x:c r="Y61" s="123" t="str">
        <x:v>Ngoài phạm vi can thiệp khi soạn thảo; không tự tạo chữ ký số/dấu hay xác nhận pháp lý. | Trạng thái v1.0: BẢO VỆ</x:v>
      </x:c>
      <x:c r="Z61" s="124" t="str">
        <x:v>Chỉ xác định vùng bảo vệ; không ký/đóng dấu/chèn ảnh hay sửa dấu</x:v>
      </x:c>
      <x:c r="AA61" s="123" t="str">
        <x:v>ProtectedSealOrSignature</x:v>
      </x:c>
      <x:c r="AB61" s="124" t="str">
        <x:v>BẢO VỆ</x:v>
      </x:c>
      <x:c r="AC61" s="123" t="str">
        <x:v>PROTECTED</x:v>
      </x:c>
      <x:c r="AD61" s="123" t="str">
        <x:v>PLUGIN:hoa-tieu-mien-bac-administrative-v1 | user_approved_visual_reference</x:v>
      </x:c>
      <x:c r="AE61" s="123" t="str">
        <x:v>Đối chiếu đúng vị trí; không điền dữ liệu; không chạm dấu/chữ ký hoặc trường được bảo vệ.</x:v>
      </x:c>
      <x:c r="AF61" s="123" t="str">
        <x:v>Công ty: profile trình bày văn bản dự thảo; không mặc định thay cho văn bản pháp quy đặc thù.</x:v>
      </x:c>
      <x:c r="AG61" s="157"/>
      <x:c r="AH61" s="157"/>
      <x:c r="AI61" s="157"/>
      <x:c r="AJ61" s="195"/>
      <x:c r="AK61" s="157" t="str">
        <x:v>KHÔNG ÁP DỤNG</x:v>
      </x:c>
      <x:c r="AL61" s="157" t="str">
        <x:v>KHÔNG ÁP DỤNG</x:v>
      </x:c>
      <x:c r="AM61" s="157"/>
      <x:c r="AN61" s="157"/>
      <x:c r="AO61" s="157"/>
      <x:c r="AP61" s="157"/>
      <x:c r="AQ61" s="195"/>
      <x:c r="AR61" s="157"/>
      <x:c r="AS61" s="195"/>
      <x:c r="AT61" s="195"/>
      <x:c r="AU61" s="195"/>
      <x:c r="AV61" s="195"/>
      <x:c r="AW61" s="195"/>
      <x:c r="AX61" s="157"/>
      <x:c r="AY61" s="157"/>
      <x:c r="AZ61" s="157"/>
      <x:c r="BA61" s="195"/>
      <x:c r="BB61" s="195"/>
      <x:c r="BC61" s="157"/>
      <x:c r="BD61" s="195"/>
      <x:c r="BE61" s="195"/>
      <x:c r="BF61" s="195"/>
      <x:c r="BG61" s="195"/>
      <x:c r="BH61" s="157"/>
      <x:c r="BI61" s="195"/>
      <x:c r="BJ61" s="195"/>
      <x:c r="BK61" s="195"/>
      <x:c r="BL61" s="157"/>
      <x:c r="BM61" s="157"/>
      <x:c r="BN61" s="157"/>
      <x:c r="BO61" s="195"/>
      <x:c r="BP61" s="195"/>
      <x:c r="BQ61" s="157"/>
      <x:c r="BR61" s="157"/>
      <x:c r="BS61" s="157"/>
      <x:c r="BT61" s="157" t="str">
        <x:v>ProtectedSealOrSignature</x:v>
      </x:c>
      <x:c r="BU61" s="157" t="str">
        <x:v>Protected visual/signature anchor; không chèn hoặc xóa</x:v>
      </x:c>
      <x:c r="BV61" s="196" t="str">
        <x:v>BẢO VỆ</x:v>
      </x:c>
      <x:c r="BW61" s="197" t="str">
        <x:v>CHƯA CÓ THÔNG SỐ ĐỊNH LƯỢNG</x:v>
      </x:c>
      <x:c r="BX61" s="157" t="str">
        <x:v>Đối chiếu mô tả gốc ở I–S, Z–AF nếu thuộc tính phụ thuộc mẫu.</x:v>
      </x:c>
      <x:c r="BY61" t="str">
        <x:v>ND30.C.DAU.CHU_KY_SO</x:v>
      </x:c>
      <x:c r="BZ61" t="str">
        <x:f>IFERROR(INDEX(ND30!$J$7:$J$300,MATCH($B61,ND30!$B$7:$B$300,0)),"UNRESOLVED")</x:f>
        <x:v>Không áp dụng</x:v>
      </x:c>
      <x:c r="CA61" t="str">
        <x:v>SIGNATURE_OR_SEAL</x:v>
      </x:c>
      <x:c r="CB61" t="str">
        <x:v>issuer_scope_confirmed AND document_type_confirmed AND legal_effective_date_confirmed</x:v>
      </x:c>
      <x:c r="CC61" t="str">
        <x:f>IFERROR(INDEX(ND30!$X$7:$X$300,MATCH($B61,ND30!$B$7:$B$300,0)),"UNRESOLVED")</x:f>
        <x:v>BẢO VỆ / KHÔNG TỰ SỬA</x:v>
      </x:c>
      <x:c r="CD61" t="str">
        <x:f>IF(OR(ISNUMBER(SEARCH("READ_ONLY",CC61)),ISNUMBER(SEARCH("PROTECTED",CC61)),ISNUMBER(SEARCH("BẢO VỆ",CC61)),ISNUMBER(SEARCH("KHÔNG KÝ",CC61))),"PROTECTED","CHECK_ONLY")</x:f>
        <x:v>PROTECTED</x:v>
      </x:c>
      <x:c r="CE61" t="str">
        <x:f>IF(AND(CD61="FORMAT_APPROVED",CU61="CÓ",CV61="CÓ",CH61="CÓ",CI61="CÓ",CJ61="CÓ"),"CÓ","KHÔNG")</x:f>
        <x:v>KHÔNG</x:v>
      </x:c>
      <x:c r="CF61" t="str">
        <x:v>KHÔNG</x:v>
      </x:c>
      <x:c r="CG61" t="str">
        <x:v>CÓ</x:v>
      </x:c>
      <x:c r="CH61" t="str">
        <x:v>KHÔNG</x:v>
      </x:c>
      <x:c r="CI61" t="str">
        <x:v>KHÔNG</x:v>
      </x:c>
      <x:c r="CJ61" t="str">
        <x:v>KHÔNG</x:v>
      </x:c>
      <x:c r="CK61" t="str">
        <x:f>IF(AND(CE61="CÓ",CF61="KHÔNG",CG61="CÓ",CU61="CÓ",CV61="CÓ",CH61="CÓ",CI61="CÓ",CJ61="CÓ"),"CÓ","KHÔNG")</x:f>
        <x:v>KHÔNG</x:v>
      </x:c>
      <x:c r="CL61" t="str">
        <x:v>PILOT_NORTH_PROFILE_DRAFT; chưa có master DOCX đã duyệt</x:v>
      </x:c>
      <x:c r="CM61" t="str">
        <x:v>v1.5 (nâng từ v1.4)</x:v>
      </x:c>
      <x:c r="CN61" t="str">
        <x:v>CẦN XÁC MINH TÊN/QUY CHẾ</x:v>
      </x:c>
      <x:c r="CO61" t="str">
        <x:v>ND30_C_DAU_CHU_KY_SO_FIELD_ONLY; chưa tạo trong Word</x:v>
      </x:c>
      <x:c r="CP61" t="str">
        <x:v>Preset là cấu hình Công ty; không thay thế giới hạn của nguồn NĐ30/HD05</x:v>
      </x:c>
      <x:c r="CQ61" t="str">
        <x:f>IF(OR(BH61="CÓ",BH61=TRUE),BI61,"")</x:f>
      </x:c>
      <x:c r="CR61" t="str">
        <x:f>IF(OR(BH61="CÓ",BH61=TRUE),BJ61,"")</x:f>
      </x:c>
      <x:c r="CS61" t="str">
        <x:v>STRUCTURAL_CHECK_ONLY</x:v>
      </x:c>
      <x:c r="CT61" t="str">
        <x:v>PENDING_SOURCE_AND_DOCX_QA</x:v>
      </x:c>
      <x:c r="CU61" t="str">
        <x:v>KHÔNG</x:v>
      </x:c>
      <x:c r="CV61" t="str">
        <x:v>KHÔNG</x:v>
      </x:c>
      <x:c r="CW61" t="str"/>
    </x:row>
    <x:row r="62" ht="29" customHeight="1">
      <x:c r="A62" s="125" t="n">
        <x:v>56</x:v>
      </x:c>
      <x:c r="B62" s="123" t="str">
        <x:v>ND30.G.TRANG.KHO_GIAY</x:v>
      </x:c>
      <x:c r="C62" s="123" t="str">
        <x:v>Định dạng chung</x:v>
      </x:c>
      <x:c r="D62" s="123" t="str">
        <x:v>Khổ giấy, lề, trang</x:v>
      </x:c>
      <x:c r="E62" s="123" t="str">
        <x:v>Khổ giấy</x:v>
      </x:c>
      <x:c r="F62" s="123" t="str">
        <x:v>—</x:v>
      </x:c>
      <x:c r="G62" s="123" t="str">
        <x:v>Dùng cho văn bản chính theo profile; loại trừ bản sao/phụ lục riêng khi chưa có route</x:v>
      </x:c>
      <x:c r="H62" s="123" t="str">
        <x:v>Khổ giấy A4 cho văn bản chính</x:v>
      </x:c>
      <x:c r="I62" s="123" t="str">
        <x:v>Không áp dụng</x:v>
      </x:c>
      <x:c r="J62" s="126" t="str">
        <x:v>—</x:v>
      </x:c>
      <x:c r="K62" s="123" t="str">
        <x:v>Không áp dụng</x:v>
      </x:c>
      <x:c r="L62" s="123" t="str">
        <x:v>Không áp dụng</x:v>
      </x:c>
      <x:c r="M62" s="123" t="str">
        <x:v>Không áp dụng</x:v>
      </x:c>
      <x:c r="N62" s="123"/>
      <x:c r="O62" s="124"/>
      <x:c r="P62" s="124"/>
      <x:c r="Q62" s="123"/>
      <x:c r="R62" s="123" t="str">
        <x:v>Word settings | w:pgSz = 11906 × 16838 twip</x:v>
      </x:c>
      <x:c r="S62" s="123" t="str">
        <x:v>A4 | 210 × 297 mm</x:v>
      </x:c>
      <x:c r="T62" s="123" t="str">
        <x:v>NĐ30, Phụ lục I, Phần I, I (Quy định chung)</x:v>
      </x:c>
      <x:c r="U62" s="123" t="str">
        <x:v>https://datafiles.chinhphu.vn/cpp/files/vbpq/2020/03/30.signed.pdf</x:v>
      </x:c>
      <x:c r="V62" s="123" t="str">
        <x:v>https://riam.edu.vn/nghi-dinh-ve-cong-tac-van-thu-phu-luc/</x:v>
      </x:c>
      <x:c r="W62" s="123" t="str">
        <x:v>CẦN RÀ SOÁT</x:v>
      </x:c>
      <x:c r="X62" s="123" t="str">
        <x:v>FORMAT_AFTER_REVIEW</x:v>
      </x:c>
      <x:c r="Y62" s="123" t="str">
        <x:v>Không tự chèn/sửa khi chưa có chứng cứ về đối tượng và rule. | So sánh chéo cũ (không dùng làm rule): 210 × 297 mm; HD05: một số giấy tờ hành chính theo chế độ có A5/mẫu in sẵn</x:v>
      </x:c>
      <x:c r="Z62" s="124" t="str">
        <x:v>A4 | 210 × 297 mm</x:v>
      </x:c>
      <x:c r="AA62" s="123" t="str">
        <x:v>DocumentSettings</x:v>
      </x:c>
      <x:c r="AB62" s="124" t="str">
        <x:v>THAM KHẢO</x:v>
      </x:c>
      <x:c r="AC62" s="123" t="str">
        <x:v>FORMAT_AFTER_REVIEW</x:v>
      </x:c>
      <x:c r="AD62" s="123" t="str">
        <x:v>PLUGIN:hoa-tieu-mien-bac-administrative-v1 | user_approved_visual_reference</x:v>
      </x:c>
      <x:c r="AE62" s="123" t="str">
        <x:v>Kiểm tra w:sectPr/w:pPr/w:rPr và bản render Word, đối chiếu quy định + preset.</x:v>
      </x:c>
      <x:c r="AF62" s="123" t="str">
        <x:v>Công ty: profile trình bày văn bản dự thảo; không mặc định thay cho văn bản pháp quy đặc thù.</x:v>
      </x:c>
      <x:c r="AG62" s="157"/>
      <x:c r="AH62" s="157"/>
      <x:c r="AI62" s="157"/>
      <x:c r="AJ62" s="195"/>
      <x:c r="AK62" s="157" t="str">
        <x:v>KHÔNG ÁP DỤNG</x:v>
      </x:c>
      <x:c r="AL62" s="157" t="str">
        <x:v>KHÔNG ÁP DỤNG</x:v>
      </x:c>
      <x:c r="AM62" s="157"/>
      <x:c r="AN62" s="157"/>
      <x:c r="AO62" s="157"/>
      <x:c r="AP62" s="157"/>
      <x:c r="AQ62" s="195"/>
      <x:c r="AR62" s="157"/>
      <x:c r="AS62" s="195"/>
      <x:c r="AT62" s="195"/>
      <x:c r="AU62" s="195"/>
      <x:c r="AV62" s="195"/>
      <x:c r="AW62" s="195"/>
      <x:c r="AX62" s="157"/>
      <x:c r="AY62" s="157"/>
      <x:c r="AZ62" s="157" t="str">
        <x:v>A4</x:v>
      </x:c>
      <x:c r="BA62" s="195" t="n">
        <x:v>210</x:v>
      </x:c>
      <x:c r="BB62" s="195" t="n">
        <x:v>297</x:v>
      </x:c>
      <x:c r="BC62" s="157"/>
      <x:c r="BD62" s="195"/>
      <x:c r="BE62" s="195"/>
      <x:c r="BF62" s="195"/>
      <x:c r="BG62" s="195"/>
      <x:c r="BH62" s="157"/>
      <x:c r="BI62" s="195"/>
      <x:c r="BJ62" s="195"/>
      <x:c r="BK62" s="195"/>
      <x:c r="BL62" s="157"/>
      <x:c r="BM62" s="157"/>
      <x:c r="BN62" s="157"/>
      <x:c r="BO62" s="195"/>
      <x:c r="BP62" s="195"/>
      <x:c r="BQ62" s="157"/>
      <x:c r="BR62" s="157"/>
      <x:c r="BS62" s="157"/>
      <x:c r="BT62" s="157" t="str">
        <x:v>DocumentSettings</x:v>
      </x:c>
      <x:c r="BU62" s="157" t="str">
        <x:v>Word settings | w:pgSz = 11906 × 16838 twip</x:v>
      </x:c>
      <x:c r="BV62" s="196" t="str">
        <x:v>THAM KHẢO</x:v>
      </x:c>
      <x:c r="BW62" s="197" t="str">
        <x:v>ĐÃ TÁCH MỘT PHẦN</x:v>
      </x:c>
      <x:c r="BX62" s="157" t="str">
        <x:v>Đối chiếu mô tả gốc ở I–S, Z–AF nếu thuộc tính phụ thuộc mẫu.</x:v>
      </x:c>
      <x:c r="BY62" t="str">
        <x:v>ND30.G.TRANG.KHO_GIAY</x:v>
      </x:c>
      <x:c r="BZ62" t="str">
        <x:f>IFERROR(INDEX(ND30!$J$7:$J$300,MATCH($B62,ND30!$B$7:$B$300,0)),"UNRESOLVED")</x:f>
        <x:v>Không áp dụng</x:v>
      </x:c>
      <x:c r="CA62" t="str">
        <x:v>DOCUMENT_SETTING</x:v>
      </x:c>
      <x:c r="CB62" t="str">
        <x:v>issuer_scope_confirmed AND document_type_confirmed AND legal_effective_date_confirmed</x:v>
      </x:c>
      <x:c r="CC62" t="str">
        <x:f>IFERROR(INDEX(ND30!$X$7:$X$300,MATCH($B62,ND30!$B$7:$B$300,0)),"UNRESOLVED")</x:f>
        <x:v>CHỈ SAU REVIEW</x:v>
      </x:c>
      <x:c r="CD62" t="str">
        <x:f>IF(OR(ISNUMBER(SEARCH("READ_ONLY",CC62)),ISNUMBER(SEARCH("PROTECTED",CC62)),ISNUMBER(SEARCH("BẢO VỆ",CC62)),ISNUMBER(SEARCH("KHÔNG KÝ",CC62))),"PROTECTED","CHECK_ONLY")</x:f>
        <x:v>CHECK_ONLY</x:v>
      </x:c>
      <x:c r="CE62" t="str">
        <x:f>IF(AND(CD62="FORMAT_APPROVED",CU62="CÓ",CV62="CÓ",CH62="CÓ",CI62="CÓ",CJ62="CÓ"),"CÓ","KHÔNG")</x:f>
        <x:v>KHÔNG</x:v>
      </x:c>
      <x:c r="CF62" t="str">
        <x:v>KHÔNG</x:v>
      </x:c>
      <x:c r="CG62" t="str">
        <x:v>CÓ</x:v>
      </x:c>
      <x:c r="CH62" t="str">
        <x:v>KHÔNG</x:v>
      </x:c>
      <x:c r="CI62" t="str">
        <x:v>KHÔNG</x:v>
      </x:c>
      <x:c r="CJ62" t="str">
        <x:v>KHÔNG</x:v>
      </x:c>
      <x:c r="CK62" t="str">
        <x:f>IF(AND(CE62="CÓ",CF62="KHÔNG",CG62="CÓ",CU62="CÓ",CV62="CÓ",CH62="CÓ",CI62="CÓ",CJ62="CÓ"),"CÓ","KHÔNG")</x:f>
        <x:v>KHÔNG</x:v>
      </x:c>
      <x:c r="CL62" t="str">
        <x:v>PILOT_NORTH_PROFILE_DRAFT; chưa có master DOCX đã duyệt</x:v>
      </x:c>
      <x:c r="CM62" t="str">
        <x:v>v1.5 (nâng từ v1.4)</x:v>
      </x:c>
      <x:c r="CN62" t="str">
        <x:v>CẦN XÁC MINH TÊN/QUY CHẾ</x:v>
      </x:c>
      <x:c r="CO62" t="str">
        <x:v>ND30_G_TRANG_KHO_GIAY_FIELD_ONLY; chưa tạo trong Word</x:v>
      </x:c>
      <x:c r="CP62" t="str">
        <x:v>Preset là cấu hình Công ty; không thay thế giới hạn của nguồn NĐ30/HD05</x:v>
      </x:c>
      <x:c r="CQ62" t="str">
        <x:f>IF(OR(BH62="CÓ",BH62=TRUE),BI62,"")</x:f>
      </x:c>
      <x:c r="CR62" t="str">
        <x:f>IF(OR(BH62="CÓ",BH62=TRUE),BJ62,"")</x:f>
      </x:c>
      <x:c r="CS62" t="str">
        <x:v>DOCUMENT_SETTINGS_CHECK_ONLY</x:v>
      </x:c>
      <x:c r="CT62" t="str">
        <x:v>PENDING_SOURCE_AND_DOCX_QA</x:v>
      </x:c>
      <x:c r="CU62" t="str">
        <x:v>KHÔNG</x:v>
      </x:c>
      <x:c r="CV62" t="str">
        <x:v>KHÔNG</x:v>
      </x:c>
      <x:c r="CW62" t="str"/>
    </x:row>
    <x:row r="63" ht="29" customHeight="1">
      <x:c r="A63" s="125" t="n">
        <x:v>57</x:v>
      </x:c>
      <x:c r="B63" s="123" t="str">
        <x:v>ND30.G.TRANG.HUONG_GIAY</x:v>
      </x:c>
      <x:c r="C63" s="123" t="str">
        <x:v>Định dạng chung</x:v>
      </x:c>
      <x:c r="D63" s="123" t="str">
        <x:v>Khổ giấy, lề, trang</x:v>
      </x:c>
      <x:c r="E63" s="123" t="str">
        <x:v>Hướng giấy</x:v>
      </x:c>
      <x:c r="F63" s="123" t="str">
        <x:v>—</x:v>
      </x:c>
      <x:c r="G63" s="123" t="str">
        <x:v>Dùng cho văn bản chính theo profile; loại trừ bản sao/phụ lục riêng khi chưa có route</x:v>
      </x:c>
      <x:c r="H63" s="123" t="str">
        <x:v>Portrait; landscape khi bảng/biểu cần và thỏa điều kiện</x:v>
      </x:c>
      <x:c r="I63" s="123" t="str">
        <x:v>Không áp dụng</x:v>
      </x:c>
      <x:c r="J63" s="126" t="str">
        <x:v>—</x:v>
      </x:c>
      <x:c r="K63" s="123" t="str">
        <x:v>Không áp dụng</x:v>
      </x:c>
      <x:c r="L63" s="123" t="str">
        <x:v>Không áp dụng</x:v>
      </x:c>
      <x:c r="M63" s="123" t="str">
        <x:v>Không áp dụng</x:v>
      </x:c>
      <x:c r="N63" s="123" t="str">
        <x:v>Dọc (portrait) cho văn bản thông thường</x:v>
      </x:c>
      <x:c r="O63" s="124"/>
      <x:c r="P63" s="124"/>
      <x:c r="Q63" s="123"/>
      <x:c r="R63" s="123" t="str">
        <x:v>Word settings | w:pgSz orient=portrait</x:v>
      </x:c>
      <x:c r="S63" s="123" t="str">
        <x:v>Portrait | dọc; bảng rộng được tách section ngang khi duyệt</x:v>
      </x:c>
      <x:c r="T63" s="123" t="str">
        <x:v>NĐ30, Phụ lục I, Phần I, I (Quy định chung)</x:v>
      </x:c>
      <x:c r="U63" s="123" t="str">
        <x:v>https://datafiles.chinhphu.vn/cpp/files/vbpq/2020/03/30.signed.pdf</x:v>
      </x:c>
      <x:c r="V63" s="123" t="str">
        <x:v>https://riam.edu.vn/nghi-dinh-ve-cong-tac-van-thu-phu-luc/</x:v>
      </x:c>
      <x:c r="W63" s="123" t="str">
        <x:v>CHƯA ĐỦ BẰNG CHỨNG</x:v>
      </x:c>
      <x:c r="X63" s="123" t="str">
        <x:v>FORMAT_AFTER_REVIEW</x:v>
      </x:c>
      <x:c r="Y63" s="123" t="str">
        <x:v>Không tự chèn/sửa khi chưa có chứng cứ về đối tượng và rule. | Trạng thái v1.0: CÓ ĐIỀU KIỆN</x:v>
      </x:c>
      <x:c r="Z63" s="124" t="str">
        <x:v>Portrait | dọc; bảng rộng được tách section ngang khi duyệt</x:v>
      </x:c>
      <x:c r="AA63" s="123" t="str">
        <x:v>DocumentSettings</x:v>
      </x:c>
      <x:c r="AB63" s="124" t="str">
        <x:v>THAM KHẢO</x:v>
      </x:c>
      <x:c r="AC63" s="123" t="str">
        <x:v>FORMAT_AFTER_REVIEW</x:v>
      </x:c>
      <x:c r="AD63" s="123" t="str">
        <x:v>PLUGIN:hoa-tieu-mien-bac-administrative-v1 | user_approved_visual_reference</x:v>
      </x:c>
      <x:c r="AE63" s="123" t="str">
        <x:v>Kiểm tra w:sectPr/w:pPr/w:rPr và bản render Word, đối chiếu quy định + preset.</x:v>
      </x:c>
      <x:c r="AF63" s="123" t="str">
        <x:v>Công ty: profile trình bày văn bản dự thảo; không mặc định thay cho văn bản pháp quy đặc thù.</x:v>
      </x:c>
      <x:c r="AG63" s="157"/>
      <x:c r="AH63" s="157"/>
      <x:c r="AI63" s="157"/>
      <x:c r="AJ63" s="195"/>
      <x:c r="AK63" s="157" t="str">
        <x:v>KHÔNG ÁP DỤNG</x:v>
      </x:c>
      <x:c r="AL63" s="157" t="str">
        <x:v>KHÔNG ÁP DỤNG</x:v>
      </x:c>
      <x:c r="AM63" s="157"/>
      <x:c r="AN63" s="157"/>
      <x:c r="AO63" s="157"/>
      <x:c r="AP63" s="157"/>
      <x:c r="AQ63" s="195"/>
      <x:c r="AR63" s="157"/>
      <x:c r="AS63" s="195"/>
      <x:c r="AT63" s="195"/>
      <x:c r="AU63" s="195"/>
      <x:c r="AV63" s="195"/>
      <x:c r="AW63" s="195"/>
      <x:c r="AX63" s="157"/>
      <x:c r="AY63" s="157"/>
      <x:c r="AZ63" s="157"/>
      <x:c r="BA63" s="195"/>
      <x:c r="BB63" s="195"/>
      <x:c r="BC63" s="157" t="str">
        <x:v>PORTRAIT</x:v>
      </x:c>
      <x:c r="BD63" s="195"/>
      <x:c r="BE63" s="195"/>
      <x:c r="BF63" s="195"/>
      <x:c r="BG63" s="195"/>
      <x:c r="BH63" s="157"/>
      <x:c r="BI63" s="195"/>
      <x:c r="BJ63" s="195"/>
      <x:c r="BK63" s="195"/>
      <x:c r="BL63" s="157"/>
      <x:c r="BM63" s="157"/>
      <x:c r="BN63" s="157"/>
      <x:c r="BO63" s="195"/>
      <x:c r="BP63" s="195"/>
      <x:c r="BQ63" s="157"/>
      <x:c r="BR63" s="157"/>
      <x:c r="BS63" s="157"/>
      <x:c r="BT63" s="157" t="str">
        <x:v>DocumentSettings</x:v>
      </x:c>
      <x:c r="BU63" s="157" t="str">
        <x:v>Word settings | w:pgSz orient=portrait</x:v>
      </x:c>
      <x:c r="BV63" s="196" t="str">
        <x:v>THAM KHẢO</x:v>
      </x:c>
      <x:c r="BW63" s="197" t="str">
        <x:v>CHƯA CÓ THÔNG SỐ ĐỊNH LƯỢNG</x:v>
      </x:c>
      <x:c r="BX63" s="157" t="str">
        <x:v>Đối chiếu mô tả gốc ở I–S, Z–AF nếu thuộc tính phụ thuộc mẫu.</x:v>
      </x:c>
      <x:c r="BY63" t="str">
        <x:v>ND30.G.TRANG.HUONG_GIAY</x:v>
      </x:c>
      <x:c r="BZ63" t="str">
        <x:f>IFERROR(INDEX(ND30!$J$7:$J$300,MATCH($B63,ND30!$B$7:$B$300,0)),"UNRESOLVED")</x:f>
        <x:v>Không áp dụng</x:v>
      </x:c>
      <x:c r="CA63" t="str">
        <x:v>DOCUMENT_SETTING</x:v>
      </x:c>
      <x:c r="CB63" t="str">
        <x:v>issuer_scope_confirmed AND document_type_confirmed AND legal_effective_date_confirmed</x:v>
      </x:c>
      <x:c r="CC63" t="str">
        <x:f>IFERROR(INDEX(ND30!$X$7:$X$300,MATCH($B63,ND30!$B$7:$B$300,0)),"UNRESOLVED")</x:f>
        <x:v>CHỈ SAU REVIEW</x:v>
      </x:c>
      <x:c r="CD63" t="str">
        <x:f>IF(OR(ISNUMBER(SEARCH("READ_ONLY",CC63)),ISNUMBER(SEARCH("PROTECTED",CC63)),ISNUMBER(SEARCH("BẢO VỆ",CC63)),ISNUMBER(SEARCH("KHÔNG KÝ",CC63))),"PROTECTED","CHECK_ONLY")</x:f>
        <x:v>CHECK_ONLY</x:v>
      </x:c>
      <x:c r="CE63" t="str">
        <x:f>IF(AND(CD63="FORMAT_APPROVED",CU63="CÓ",CV63="CÓ",CH63="CÓ",CI63="CÓ",CJ63="CÓ"),"CÓ","KHÔNG")</x:f>
        <x:v>KHÔNG</x:v>
      </x:c>
      <x:c r="CF63" t="str">
        <x:v>KHÔNG</x:v>
      </x:c>
      <x:c r="CG63" t="str">
        <x:v>CÓ</x:v>
      </x:c>
      <x:c r="CH63" t="str">
        <x:v>KHÔNG</x:v>
      </x:c>
      <x:c r="CI63" t="str">
        <x:v>KHÔNG</x:v>
      </x:c>
      <x:c r="CJ63" t="str">
        <x:v>KHÔNG</x:v>
      </x:c>
      <x:c r="CK63" t="str">
        <x:f>IF(AND(CE63="CÓ",CF63="KHÔNG",CG63="CÓ",CU63="CÓ",CV63="CÓ",CH63="CÓ",CI63="CÓ",CJ63="CÓ"),"CÓ","KHÔNG")</x:f>
        <x:v>KHÔNG</x:v>
      </x:c>
      <x:c r="CL63" t="str">
        <x:v>PILOT_NORTH_PROFILE_DRAFT; chưa có master DOCX đã duyệt</x:v>
      </x:c>
      <x:c r="CM63" t="str">
        <x:v>v1.5 (nâng từ v1.4)</x:v>
      </x:c>
      <x:c r="CN63" t="str">
        <x:v>CẦN XÁC MINH TÊN/QUY CHẾ</x:v>
      </x:c>
      <x:c r="CO63" t="str">
        <x:v>ND30_G_TRANG_HUONG_GIAY_FIELD_ONLY; chưa tạo trong Word</x:v>
      </x:c>
      <x:c r="CP63" t="str">
        <x:v>Preset là cấu hình Công ty; không thay thế giới hạn của nguồn NĐ30/HD05</x:v>
      </x:c>
      <x:c r="CQ63" t="str">
        <x:f>IF(OR(BH63="CÓ",BH63=TRUE),BI63,"")</x:f>
      </x:c>
      <x:c r="CR63" t="str">
        <x:f>IF(OR(BH63="CÓ",BH63=TRUE),BJ63,"")</x:f>
      </x:c>
      <x:c r="CS63" t="str">
        <x:v>DOCUMENT_SETTINGS_CHECK_ONLY</x:v>
      </x:c>
      <x:c r="CT63" t="str">
        <x:v>PENDING_SOURCE_AND_DOCX_QA</x:v>
      </x:c>
      <x:c r="CU63" t="str">
        <x:v>KHÔNG</x:v>
      </x:c>
      <x:c r="CV63" t="str">
        <x:v>KHÔNG</x:v>
      </x:c>
      <x:c r="CW63" t="str"/>
    </x:row>
    <x:row r="64" ht="29" customHeight="1">
      <x:c r="A64" s="125" t="n">
        <x:v>58</x:v>
      </x:c>
      <x:c r="B64" s="123" t="str">
        <x:v>ND30.G.TRANG.LE_TRANG</x:v>
      </x:c>
      <x:c r="C64" s="123" t="str">
        <x:v>Định dạng chung</x:v>
      </x:c>
      <x:c r="D64" s="123" t="str">
        <x:v>Khổ giấy, lề, trang</x:v>
      </x:c>
      <x:c r="E64" s="123" t="str">
        <x:v>Lề trang</x:v>
      </x:c>
      <x:c r="F64" s="123" t="str">
        <x:v>—</x:v>
      </x:c>
      <x:c r="G64" s="123" t="str">
        <x:v>Dùng cho văn bản chính theo profile; loại trừ bản sao/phụ lục riêng khi chưa có route</x:v>
      </x:c>
      <x:c r="H64" s="123" t="str">
        <x:v>Lề trang theo hệ và section</x:v>
      </x:c>
      <x:c r="I64" s="123" t="str">
        <x:v>Không áp dụng</x:v>
      </x:c>
      <x:c r="J64" s="126" t="str">
        <x:v>—</x:v>
      </x:c>
      <x:c r="K64" s="123" t="str">
        <x:v>Không áp dụng</x:v>
      </x:c>
      <x:c r="L64" s="123" t="str">
        <x:v>Không áp dụng</x:v>
      </x:c>
      <x:c r="M64" s="123" t="str">
        <x:v>Không áp dụng</x:v>
      </x:c>
      <x:c r="N64" s="123"/>
      <x:c r="O64" s="124"/>
      <x:c r="P64" s="124" t="str">
        <x:v>T20 / D20 / Tr30 / P15 mm (mặt trước)</x:v>
      </x:c>
      <x:c r="Q64" s="123"/>
      <x:c r="R64" s="123" t="str">
        <x:v>Word settings | w:pgMar t=1134 b=1134 l=1701 r=850 twip</x:v>
      </x:c>
      <x:c r="S64" s="123" t="str">
        <x:v>Trên 20; dưới 20; trái 30; phải 15 mm</x:v>
      </x:c>
      <x:c r="T64" s="123" t="str">
        <x:v>NĐ30, Phụ lục I, Phần I, I (Quy định chung)</x:v>
      </x:c>
      <x:c r="U64" s="123" t="str">
        <x:v>https://datafiles.chinhphu.vn/cpp/files/vbpq/2020/03/30.signed.pdf</x:v>
      </x:c>
      <x:c r="V64" s="123" t="str">
        <x:v>https://riam.edu.vn/nghi-dinh-ve-cong-tac-van-thu-phu-luc/</x:v>
      </x:c>
      <x:c r="W64" s="123" t="str">
        <x:v>ĐỐI CHIẾU MỘT PHẦN</x:v>
      </x:c>
      <x:c r="X64" s="123" t="str">
        <x:v>FORMAT_AFTER_REVIEW</x:v>
      </x:c>
      <x:c r="Y64" s="123" t="str">
        <x:v>Không tự chèn/sửa khi chưa có chứng cứ về đối tượng và rule.</x:v>
      </x:c>
      <x:c r="Z64" s="124" t="str">
        <x:v>Trên 20; dưới 20; trái 30; phải 15 mm</x:v>
      </x:c>
      <x:c r="AA64" s="123" t="str">
        <x:v>DocumentSettings</x:v>
      </x:c>
      <x:c r="AB64" s="124" t="str">
        <x:v>THAM KHẢO</x:v>
      </x:c>
      <x:c r="AC64" s="123" t="str">
        <x:v>FORMAT_AFTER_REVIEW</x:v>
      </x:c>
      <x:c r="AD64" s="123" t="str">
        <x:v>PLUGIN:hoa-tieu-mien-bac-administrative-v1 | user_approved_visual_reference</x:v>
      </x:c>
      <x:c r="AE64" s="123" t="str">
        <x:v>Kiểm tra w:sectPr/w:pPr/w:rPr và bản render Word, đối chiếu quy định + preset.</x:v>
      </x:c>
      <x:c r="AF64" s="123" t="str">
        <x:v>Công ty: profile trình bày văn bản dự thảo; không mặc định thay cho văn bản pháp quy đặc thù.</x:v>
      </x:c>
      <x:c r="AG64" s="157"/>
      <x:c r="AH64" s="157"/>
      <x:c r="AI64" s="157"/>
      <x:c r="AJ64" s="195"/>
      <x:c r="AK64" s="157" t="str">
        <x:v>KHÔNG ÁP DỤNG</x:v>
      </x:c>
      <x:c r="AL64" s="157" t="str">
        <x:v>KHÔNG ÁP DỤNG</x:v>
      </x:c>
      <x:c r="AM64" s="157"/>
      <x:c r="AN64" s="157"/>
      <x:c r="AO64" s="157"/>
      <x:c r="AP64" s="157"/>
      <x:c r="AQ64" s="195"/>
      <x:c r="AR64" s="157"/>
      <x:c r="AS64" s="195"/>
      <x:c r="AT64" s="195"/>
      <x:c r="AU64" s="195"/>
      <x:c r="AV64" s="195"/>
      <x:c r="AW64" s="195"/>
      <x:c r="AX64" s="157"/>
      <x:c r="AY64" s="157"/>
      <x:c r="AZ64" s="157"/>
      <x:c r="BA64" s="195"/>
      <x:c r="BB64" s="195"/>
      <x:c r="BC64" s="157"/>
      <x:c r="BD64" s="195" t="n">
        <x:v>20</x:v>
      </x:c>
      <x:c r="BE64" s="195" t="n">
        <x:v>20</x:v>
      </x:c>
      <x:c r="BF64" s="195" t="n">
        <x:v>30</x:v>
      </x:c>
      <x:c r="BG64" s="195" t="n">
        <x:v>15</x:v>
      </x:c>
      <x:c r="BH64" s="157"/>
      <x:c r="BI64" s="195"/>
      <x:c r="BJ64" s="195"/>
      <x:c r="BK64" s="195"/>
      <x:c r="BL64" s="157"/>
      <x:c r="BM64" s="157"/>
      <x:c r="BN64" s="157"/>
      <x:c r="BO64" s="195"/>
      <x:c r="BP64" s="195"/>
      <x:c r="BQ64" s="157"/>
      <x:c r="BR64" s="157"/>
      <x:c r="BS64" s="157"/>
      <x:c r="BT64" s="157" t="str">
        <x:v>DocumentSettings</x:v>
      </x:c>
      <x:c r="BU64" s="157" t="str">
        <x:v>Word settings | w:pgMar t=1134 b=1134 l=1701 r=850 twip</x:v>
      </x:c>
      <x:c r="BV64" s="196" t="str">
        <x:v>THAM KHẢO</x:v>
      </x:c>
      <x:c r="BW64" s="197" t="str">
        <x:v>ĐÃ TÁCH MỘT PHẦN</x:v>
      </x:c>
      <x:c r="BX64" s="157" t="str">
        <x:v>Đối chiếu mô tả gốc ở I–S, Z–AF nếu thuộc tính phụ thuộc mẫu.</x:v>
      </x:c>
      <x:c r="BY64" t="str">
        <x:v>ND30.G.TRANG.LE_TRANG</x:v>
      </x:c>
      <x:c r="BZ64" t="str">
        <x:f>IFERROR(INDEX(ND30!$J$7:$J$300,MATCH($B64,ND30!$B$7:$B$300,0)),"UNRESOLVED")</x:f>
        <x:v>Không áp dụng</x:v>
      </x:c>
      <x:c r="CA64" t="str">
        <x:v>DOCUMENT_SETTING</x:v>
      </x:c>
      <x:c r="CB64" t="str">
        <x:v>issuer_scope_confirmed AND document_type_confirmed AND legal_effective_date_confirmed</x:v>
      </x:c>
      <x:c r="CC64" t="str">
        <x:f>IFERROR(INDEX(ND30!$X$7:$X$300,MATCH($B64,ND30!$B$7:$B$300,0)),"UNRESOLVED")</x:f>
        <x:v>CHỈ SAU REVIEW</x:v>
      </x:c>
      <x:c r="CD64" t="str">
        <x:f>IF(OR(ISNUMBER(SEARCH("READ_ONLY",CC64)),ISNUMBER(SEARCH("PROTECTED",CC64)),ISNUMBER(SEARCH("BẢO VỆ",CC64)),ISNUMBER(SEARCH("KHÔNG KÝ",CC64))),"PROTECTED","CHECK_ONLY")</x:f>
        <x:v>CHECK_ONLY</x:v>
      </x:c>
      <x:c r="CE64" t="str">
        <x:f>IF(AND(CD64="FORMAT_APPROVED",CU64="CÓ",CV64="CÓ",CH64="CÓ",CI64="CÓ",CJ64="CÓ"),"CÓ","KHÔNG")</x:f>
        <x:v>KHÔNG</x:v>
      </x:c>
      <x:c r="CF64" t="str">
        <x:v>KHÔNG</x:v>
      </x:c>
      <x:c r="CG64" t="str">
        <x:v>CÓ</x:v>
      </x:c>
      <x:c r="CH64" t="str">
        <x:v>KHÔNG</x:v>
      </x:c>
      <x:c r="CI64" t="str">
        <x:v>KHÔNG</x:v>
      </x:c>
      <x:c r="CJ64" t="str">
        <x:v>KHÔNG</x:v>
      </x:c>
      <x:c r="CK64" t="str">
        <x:f>IF(AND(CE64="CÓ",CF64="KHÔNG",CG64="CÓ",CU64="CÓ",CV64="CÓ",CH64="CÓ",CI64="CÓ",CJ64="CÓ"),"CÓ","KHÔNG")</x:f>
        <x:v>KHÔNG</x:v>
      </x:c>
      <x:c r="CL64" t="str">
        <x:v>PILOT_NORTH_PROFILE_DRAFT; chưa có master DOCX đã duyệt</x:v>
      </x:c>
      <x:c r="CM64" t="str">
        <x:v>v1.5 (nâng từ v1.4)</x:v>
      </x:c>
      <x:c r="CN64" t="str">
        <x:v>CẦN XÁC MINH TÊN/QUY CHẾ</x:v>
      </x:c>
      <x:c r="CO64" t="str">
        <x:v>ND30_G_TRANG_LE_TRANG_FIELD_ONLY; chưa tạo trong Word</x:v>
      </x:c>
      <x:c r="CP64" t="str">
        <x:v>Preset là cấu hình Công ty; không thay thế giới hạn của nguồn NĐ30/HD05</x:v>
      </x:c>
      <x:c r="CQ64" t="str">
        <x:f>IF(OR(BH64="CÓ",BH64=TRUE),BI64,"")</x:f>
      </x:c>
      <x:c r="CR64" t="str">
        <x:f>IF(OR(BH64="CÓ",BH64=TRUE),BJ64,"")</x:f>
      </x:c>
      <x:c r="CS64" t="str">
        <x:v>DOCUMENT_SETTINGS_CHECK_ONLY</x:v>
      </x:c>
      <x:c r="CT64" t="str">
        <x:v>PENDING_SOURCE_AND_DOCX_QA</x:v>
      </x:c>
      <x:c r="CU64" t="str">
        <x:v>KHÔNG</x:v>
      </x:c>
      <x:c r="CV64" t="str">
        <x:v>KHÔNG</x:v>
      </x:c>
      <x:c r="CW64" t="str"/>
    </x:row>
    <x:row r="65" ht="29" customHeight="1">
      <x:c r="A65" s="125" t="n">
        <x:v>59</x:v>
      </x:c>
      <x:c r="B65" s="123" t="str">
        <x:v>ND30.G.CHU.PHONG</x:v>
      </x:c>
      <x:c r="C65" s="123" t="str">
        <x:v>Định dạng chung</x:v>
      </x:c>
      <x:c r="D65" s="123" t="str">
        <x:v>Phông và chữ</x:v>
      </x:c>
      <x:c r="E65" s="123" t="str">
        <x:v>Phông chữ</x:v>
      </x:c>
      <x:c r="F65" s="123" t="str">
        <x:v>—</x:v>
      </x:c>
      <x:c r="G65" s="123" t="str">
        <x:v>Dùng cho văn bản chính theo profile; loại trừ bản sao/phụ lục riêng khi chưa có route</x:v>
      </x:c>
      <x:c r="H65" s="123" t="str">
        <x:v>Áp dụng theo từng component</x:v>
      </x:c>
      <x:c r="I65" s="123" t="str">
        <x:v>Times New Roman | Unicode | đen</x:v>
      </x:c>
      <x:c r="J65" s="126" t="str">
        <x:v>—</x:v>
      </x:c>
      <x:c r="K65" s="123" t="str">
        <x:v>Không áp dụng</x:v>
      </x:c>
      <x:c r="L65" s="123" t="str">
        <x:v>Không áp dụng</x:v>
      </x:c>
      <x:c r="M65" s="123" t="str">
        <x:v>Không áp dụng</x:v>
      </x:c>
      <x:c r="N65" s="123"/>
      <x:c r="O65" s="124"/>
      <x:c r="P65" s="124"/>
      <x:c r="Q65" s="123"/>
      <x:c r="R65" s="123" t="str">
        <x:v>Word settings | w:rFonts=Times New Roman</x:v>
      </x:c>
      <x:c r="S65" s="123" t="str">
        <x:v>Times New Roman; Unicode; màu đen</x:v>
      </x:c>
      <x:c r="T65" s="123" t="str">
        <x:v>NĐ30, Phụ lục I, Phần I, I (Quy định chung)</x:v>
      </x:c>
      <x:c r="U65" s="123" t="str">
        <x:v>https://datafiles.chinhphu.vn/cpp/files/vbpq/2020/03/30.signed.pdf</x:v>
      </x:c>
      <x:c r="V65" s="123" t="str">
        <x:v>https://riam.edu.vn/nghi-dinh-ve-cong-tac-van-thu-phu-luc/</x:v>
      </x:c>
      <x:c r="W65" s="123" t="str">
        <x:v>ĐỐI CHIẾU MỘT PHẦN</x:v>
      </x:c>
      <x:c r="X65" s="123" t="str">
        <x:v>FORMAT_AFTER_REVIEW</x:v>
      </x:c>
      <x:c r="Y65" s="123" t="str">
        <x:v>Không tự chèn/sửa khi chưa có chứng cứ về đối tượng và rule.</x:v>
      </x:c>
      <x:c r="Z65" s="124" t="str">
        <x:v>Times New Roman; Unicode; màu đen</x:v>
      </x:c>
      <x:c r="AA65" s="123" t="str">
        <x:v>DocumentSettings</x:v>
      </x:c>
      <x:c r="AB65" s="124" t="str">
        <x:v>THAM KHẢO</x:v>
      </x:c>
      <x:c r="AC65" s="123" t="str">
        <x:v>FORMAT_AFTER_REVIEW</x:v>
      </x:c>
      <x:c r="AD65" s="123" t="str">
        <x:v>PLUGIN:hoa-tieu-mien-bac-administrative-v1 | user_approved_visual_reference</x:v>
      </x:c>
      <x:c r="AE65" s="123" t="str">
        <x:v>Kiểm tra w:sectPr/w:pPr/w:rPr và bản render Word, đối chiếu quy định + preset.</x:v>
      </x:c>
      <x:c r="AF65" s="123" t="str">
        <x:v>Công ty: profile trình bày văn bản dự thảo; không mặc định thay cho văn bản pháp quy đặc thù.</x:v>
      </x:c>
      <x:c r="AG65" s="157" t="str">
        <x:v>Times New Roman</x:v>
      </x:c>
      <x:c r="AH65" s="157" t="str">
        <x:v>Unicode</x:v>
      </x:c>
      <x:c r="AI65" s="157" t="str">
        <x:v>#000000</x:v>
      </x:c>
      <x:c r="AJ65" s="195"/>
      <x:c r="AK65" s="157" t="str">
        <x:v>KHÔNG ÁP DỤNG</x:v>
      </x:c>
      <x:c r="AL65" s="157" t="str">
        <x:v>KHÔNG ÁP DỤNG</x:v>
      </x:c>
      <x:c r="AM65" s="157"/>
      <x:c r="AN65" s="157"/>
      <x:c r="AO65" s="157"/>
      <x:c r="AP65" s="157"/>
      <x:c r="AQ65" s="195"/>
      <x:c r="AR65" s="157"/>
      <x:c r="AS65" s="195"/>
      <x:c r="AT65" s="195"/>
      <x:c r="AU65" s="195"/>
      <x:c r="AV65" s="195"/>
      <x:c r="AW65" s="195"/>
      <x:c r="AX65" s="157"/>
      <x:c r="AY65" s="157"/>
      <x:c r="AZ65" s="157"/>
      <x:c r="BA65" s="195"/>
      <x:c r="BB65" s="195"/>
      <x:c r="BC65" s="157"/>
      <x:c r="BD65" s="195"/>
      <x:c r="BE65" s="195"/>
      <x:c r="BF65" s="195"/>
      <x:c r="BG65" s="195"/>
      <x:c r="BH65" s="157"/>
      <x:c r="BI65" s="195"/>
      <x:c r="BJ65" s="195"/>
      <x:c r="BK65" s="195"/>
      <x:c r="BL65" s="157"/>
      <x:c r="BM65" s="157"/>
      <x:c r="BN65" s="157"/>
      <x:c r="BO65" s="195"/>
      <x:c r="BP65" s="195"/>
      <x:c r="BQ65" s="157"/>
      <x:c r="BR65" s="157"/>
      <x:c r="BS65" s="157"/>
      <x:c r="BT65" s="157" t="str">
        <x:v>DocumentSettings</x:v>
      </x:c>
      <x:c r="BU65" s="157" t="str">
        <x:v>Word settings | w:rFonts=Times New Roman</x:v>
      </x:c>
      <x:c r="BV65" s="196" t="str">
        <x:v>THAM KHẢO</x:v>
      </x:c>
      <x:c r="BW65" s="197" t="str">
        <x:v>ĐÃ TÁCH MỘT PHẦN</x:v>
      </x:c>
      <x:c r="BX65" s="157" t="str">
        <x:v>Đối chiếu mô tả gốc ở I–S, Z–AF nếu thuộc tính phụ thuộc mẫu.</x:v>
      </x:c>
      <x:c r="BY65" t="str">
        <x:v>ND30.G.CHU.PHONG</x:v>
      </x:c>
      <x:c r="BZ65" t="str">
        <x:f>IFERROR(INDEX(ND30!$J$7:$J$300,MATCH($B65,ND30!$B$7:$B$300,0)),"UNRESOLVED")</x:f>
      </x:c>
      <x:c r="CA65" t="str">
        <x:v>DOCUMENT_SETTING</x:v>
      </x:c>
      <x:c r="CB65" t="str">
        <x:v>issuer_scope_confirmed AND document_type_confirmed AND legal_effective_date_confirmed</x:v>
      </x:c>
      <x:c r="CC65" t="str">
        <x:f>IFERROR(INDEX(ND30!$X$7:$X$300,MATCH($B65,ND30!$B$7:$B$300,0)),"UNRESOLVED")</x:f>
        <x:v>CHỈ SAU REVIEW</x:v>
      </x:c>
      <x:c r="CD65" t="str">
        <x:f>IF(OR(ISNUMBER(SEARCH("READ_ONLY",CC65)),ISNUMBER(SEARCH("PROTECTED",CC65)),ISNUMBER(SEARCH("BẢO VỆ",CC65)),ISNUMBER(SEARCH("KHÔNG KÝ",CC65))),"PROTECTED","CHECK_ONLY")</x:f>
        <x:v>CHECK_ONLY</x:v>
      </x:c>
      <x:c r="CE65" t="str">
        <x:f>IF(AND(CD65="FORMAT_APPROVED",CU65="CÓ",CV65="CÓ",CH65="CÓ",CI65="CÓ",CJ65="CÓ"),"CÓ","KHÔNG")</x:f>
        <x:v>KHÔNG</x:v>
      </x:c>
      <x:c r="CF65" t="str">
        <x:v>KHÔNG</x:v>
      </x:c>
      <x:c r="CG65" t="str">
        <x:v>CÓ</x:v>
      </x:c>
      <x:c r="CH65" t="str">
        <x:v>KHÔNG</x:v>
      </x:c>
      <x:c r="CI65" t="str">
        <x:v>KHÔNG</x:v>
      </x:c>
      <x:c r="CJ65" t="str">
        <x:v>KHÔNG</x:v>
      </x:c>
      <x:c r="CK65" t="str">
        <x:f>IF(AND(CE65="CÓ",CF65="KHÔNG",CG65="CÓ",CU65="CÓ",CV65="CÓ",CH65="CÓ",CI65="CÓ",CJ65="CÓ"),"CÓ","KHÔNG")</x:f>
        <x:v>KHÔNG</x:v>
      </x:c>
      <x:c r="CL65" t="str">
        <x:v>PILOT_NORTH_PROFILE_DRAFT; chưa có master DOCX đã duyệt</x:v>
      </x:c>
      <x:c r="CM65" t="str">
        <x:v>v1.5 (nâng từ v1.4)</x:v>
      </x:c>
      <x:c r="CN65" t="str">
        <x:v>CẦN XÁC MINH TÊN/QUY CHẾ</x:v>
      </x:c>
      <x:c r="CO65" t="str">
        <x:v>ND30_G_CHU_PHONG_FIELD_ONLY; chưa tạo trong Word</x:v>
      </x:c>
      <x:c r="CP65" t="str">
        <x:v>Preset là cấu hình Công ty; không thay thế giới hạn của nguồn NĐ30/HD05</x:v>
      </x:c>
      <x:c r="CQ65" t="str">
        <x:f>IF(OR(BH65="CÓ",BH65=TRUE),BI65,"")</x:f>
      </x:c>
      <x:c r="CR65" t="str">
        <x:f>IF(OR(BH65="CÓ",BH65=TRUE),BJ65,"")</x:f>
      </x:c>
      <x:c r="CS65" t="str">
        <x:v>DOCUMENT_SETTINGS_CHECK_ONLY</x:v>
      </x:c>
      <x:c r="CT65" t="str">
        <x:v>PENDING_SOURCE_AND_DOCX_QA</x:v>
      </x:c>
      <x:c r="CU65" t="str">
        <x:v>KHÔNG</x:v>
      </x:c>
      <x:c r="CV65" t="str">
        <x:v>KHÔNG</x:v>
      </x:c>
      <x:c r="CW65" t="str"/>
    </x:row>
    <x:row r="66" ht="29" customHeight="1">
      <x:c r="A66" s="125" t="n">
        <x:v>60</x:v>
      </x:c>
      <x:c r="B66" s="123" t="str">
        <x:v>ND30.G.CHU.CO_CHU</x:v>
      </x:c>
      <x:c r="C66" s="123" t="str">
        <x:v>Định dạng chung</x:v>
      </x:c>
      <x:c r="D66" s="123" t="str">
        <x:v>Phông và chữ</x:v>
      </x:c>
      <x:c r="E66" s="123" t="str">
        <x:v>Cỡ chữ</x:v>
      </x:c>
      <x:c r="F66" s="123" t="str">
        <x:v>—</x:v>
      </x:c>
      <x:c r="G66" s="123" t="str">
        <x:v>Dùng cho văn bản chính theo profile; loại trừ bản sao/phụ lục riêng khi chưa có route</x:v>
      </x:c>
      <x:c r="H66" s="123" t="str">
        <x:v>Áp dụng theo từng component</x:v>
      </x:c>
      <x:c r="I66" s="123" t="str">
        <x:v>Không áp dụng</x:v>
      </x:c>
      <x:c r="J66" s="126" t="str">
        <x:v>14 (BODY); xem cỡ riêng từng trường</x:v>
      </x:c>
      <x:c r="K66" s="123" t="str">
        <x:v>Không áp dụng</x:v>
      </x:c>
      <x:c r="L66" s="123" t="str">
        <x:v>Không áp dụng</x:v>
      </x:c>
      <x:c r="M66" s="123" t="str">
        <x:v>Không áp dụng</x:v>
      </x:c>
      <x:c r="N66" s="123"/>
      <x:c r="O66" s="124"/>
      <x:c r="P66" s="124"/>
      <x:c r="Q66" s="123"/>
      <x:c r="R66" s="123" t="str">
        <x:v>Word settings | w:sz 28 half-points cho thân bài</x:v>
      </x:c>
      <x:c r="S66" s="123" t="str">
        <x:v>Thân bài 14; đầu/cột cuối theo từng trường</x:v>
      </x:c>
      <x:c r="T66" s="123" t="str">
        <x:v>NĐ30, Phụ lục I, Phần I, I (Quy định chung)</x:v>
      </x:c>
      <x:c r="U66" s="123" t="str">
        <x:v>https://datafiles.chinhphu.vn/cpp/files/vbpq/2020/03/30.signed.pdf</x:v>
      </x:c>
      <x:c r="V66" s="123" t="str">
        <x:v>https://riam.edu.vn/nghi-dinh-ve-cong-tac-van-thu-phu-luc/</x:v>
      </x:c>
      <x:c r="W66" s="123" t="str">
        <x:v>ĐỐI CHIẾU MỘT PHẦN</x:v>
      </x:c>
      <x:c r="X66" s="123" t="str">
        <x:v>FORMAT_AFTER_REVIEW</x:v>
      </x:c>
      <x:c r="Y66" s="123" t="str">
        <x:v>Không tự chèn/sửa khi chưa có chứng cứ về đối tượng và rule.</x:v>
      </x:c>
      <x:c r="Z66" s="124" t="str">
        <x:v>Thân bài 14; đầu/cột cuối theo từng trường</x:v>
      </x:c>
      <x:c r="AA66" s="123" t="str">
        <x:v>DocumentSettings</x:v>
      </x:c>
      <x:c r="AB66" s="124" t="str">
        <x:v>THAM KHẢO</x:v>
      </x:c>
      <x:c r="AC66" s="123" t="str">
        <x:v>FORMAT_AFTER_REVIEW</x:v>
      </x:c>
      <x:c r="AD66" s="123" t="str">
        <x:v>PLUGIN:hoa-tieu-mien-bac-administrative-v1 | user_approved_visual_reference</x:v>
      </x:c>
      <x:c r="AE66" s="123" t="str">
        <x:v>Kiểm tra w:sectPr/w:pPr/w:rPr và bản render Word, đối chiếu quy định + preset.</x:v>
      </x:c>
      <x:c r="AF66" s="123" t="str">
        <x:v>Công ty: profile trình bày văn bản dự thảo; không mặc định thay cho văn bản pháp quy đặc thù.</x:v>
      </x:c>
      <x:c r="AG66" s="157"/>
      <x:c r="AH66" s="157"/>
      <x:c r="AI66" s="157"/>
      <x:c r="AJ66" s="195" t="n">
        <x:v>14</x:v>
      </x:c>
      <x:c r="AK66" s="157" t="str">
        <x:v>KHÔNG ÁP DỤNG</x:v>
      </x:c>
      <x:c r="AL66" s="157" t="str">
        <x:v>KHÔNG ÁP DỤNG</x:v>
      </x:c>
      <x:c r="AM66" s="157"/>
      <x:c r="AN66" s="157"/>
      <x:c r="AO66" s="157"/>
      <x:c r="AP66" s="157"/>
      <x:c r="AQ66" s="195"/>
      <x:c r="AR66" s="157"/>
      <x:c r="AS66" s="195"/>
      <x:c r="AT66" s="195"/>
      <x:c r="AU66" s="195"/>
      <x:c r="AV66" s="195"/>
      <x:c r="AW66" s="195"/>
      <x:c r="AX66" s="157"/>
      <x:c r="AY66" s="157"/>
      <x:c r="AZ66" s="157"/>
      <x:c r="BA66" s="195"/>
      <x:c r="BB66" s="195"/>
      <x:c r="BC66" s="157"/>
      <x:c r="BD66" s="195"/>
      <x:c r="BE66" s="195"/>
      <x:c r="BF66" s="195"/>
      <x:c r="BG66" s="195"/>
      <x:c r="BH66" s="157"/>
      <x:c r="BI66" s="195"/>
      <x:c r="BJ66" s="195"/>
      <x:c r="BK66" s="195"/>
      <x:c r="BL66" s="157"/>
      <x:c r="BM66" s="157"/>
      <x:c r="BN66" s="157"/>
      <x:c r="BO66" s="195"/>
      <x:c r="BP66" s="195"/>
      <x:c r="BQ66" s="157"/>
      <x:c r="BR66" s="157"/>
      <x:c r="BS66" s="157"/>
      <x:c r="BT66" s="157" t="str">
        <x:v>DocumentSettings</x:v>
      </x:c>
      <x:c r="BU66" s="157" t="str">
        <x:v>Word settings | w:sz 28 half-points cho thân bài</x:v>
      </x:c>
      <x:c r="BV66" s="196" t="str">
        <x:v>THAM KHẢO</x:v>
      </x:c>
      <x:c r="BW66" s="197" t="str">
        <x:v>ĐÃ TÁCH MỘT PHẦN</x:v>
      </x:c>
      <x:c r="BX66" s="157" t="str">
        <x:v>Cỡ 14 chỉ là preset thân bài của G.CHU.CO_CHU; không áp chung cho D/C/X.</x:v>
      </x:c>
      <x:c r="BY66" t="str">
        <x:v>ND30.G.CHU.CO_CHU</x:v>
      </x:c>
      <x:c r="BZ66" t="str">
        <x:f>IFERROR(INDEX(ND30!$J$7:$J$300,MATCH($B66,ND30!$B$7:$B$300,0)),"UNRESOLVED")</x:f>
      </x:c>
      <x:c r="CA66" t="str">
        <x:v>DOCUMENT_SETTING</x:v>
      </x:c>
      <x:c r="CB66" t="str">
        <x:v>issuer_scope_confirmed AND document_type_confirmed AND legal_effective_date_confirmed</x:v>
      </x:c>
      <x:c r="CC66" t="str">
        <x:f>IFERROR(INDEX(ND30!$X$7:$X$300,MATCH($B66,ND30!$B$7:$B$300,0)),"UNRESOLVED")</x:f>
        <x:v>CHỈ SAU REVIEW</x:v>
      </x:c>
      <x:c r="CD66" t="str">
        <x:f>IF(OR(ISNUMBER(SEARCH("READ_ONLY",CC66)),ISNUMBER(SEARCH("PROTECTED",CC66)),ISNUMBER(SEARCH("BẢO VỆ",CC66)),ISNUMBER(SEARCH("KHÔNG KÝ",CC66))),"PROTECTED","CHECK_ONLY")</x:f>
        <x:v>CHECK_ONLY</x:v>
      </x:c>
      <x:c r="CE66" t="str">
        <x:f>IF(AND(CD66="FORMAT_APPROVED",CU66="CÓ",CV66="CÓ",CH66="CÓ",CI66="CÓ",CJ66="CÓ"),"CÓ","KHÔNG")</x:f>
        <x:v>KHÔNG</x:v>
      </x:c>
      <x:c r="CF66" t="str">
        <x:v>KHÔNG</x:v>
      </x:c>
      <x:c r="CG66" t="str">
        <x:v>CÓ</x:v>
      </x:c>
      <x:c r="CH66" t="str">
        <x:v>KHÔNG</x:v>
      </x:c>
      <x:c r="CI66" t="str">
        <x:v>KHÔNG</x:v>
      </x:c>
      <x:c r="CJ66" t="str">
        <x:v>KHÔNG</x:v>
      </x:c>
      <x:c r="CK66" t="str">
        <x:f>IF(AND(CE66="CÓ",CF66="KHÔNG",CG66="CÓ",CU66="CÓ",CV66="CÓ",CH66="CÓ",CI66="CÓ",CJ66="CÓ"),"CÓ","KHÔNG")</x:f>
        <x:v>KHÔNG</x:v>
      </x:c>
      <x:c r="CL66" t="str">
        <x:v>PILOT_NORTH_PROFILE_DRAFT; chưa có master DOCX đã duyệt</x:v>
      </x:c>
      <x:c r="CM66" t="str">
        <x:v>v1.5 (nâng từ v1.4)</x:v>
      </x:c>
      <x:c r="CN66" t="str">
        <x:v>CẦN XÁC MINH TÊN/QUY CHẾ</x:v>
      </x:c>
      <x:c r="CO66" t="str">
        <x:v>ND30_G_CHU_CO_CHU_FIELD_ONLY; chưa tạo trong Word</x:v>
      </x:c>
      <x:c r="CP66" t="str">
        <x:v>Preset là cấu hình Công ty; không thay thế giới hạn của nguồn NĐ30/HD05</x:v>
      </x:c>
      <x:c r="CQ66" t="str">
        <x:f>IF(OR(BH66="CÓ",BH66=TRUE),BI66,"")</x:f>
      </x:c>
      <x:c r="CR66" t="str">
        <x:f>IF(OR(BH66="CÓ",BH66=TRUE),BJ66,"")</x:f>
      </x:c>
      <x:c r="CS66" t="str">
        <x:v>DOCUMENT_SETTINGS_CHECK_ONLY</x:v>
      </x:c>
      <x:c r="CT66" t="str">
        <x:v>PENDING_SOURCE_AND_DOCX_QA</x:v>
      </x:c>
      <x:c r="CU66" t="str">
        <x:v>KHÔNG</x:v>
      </x:c>
      <x:c r="CV66" t="str">
        <x:v>KHÔNG</x:v>
      </x:c>
      <x:c r="CW66" t="str"/>
    </x:row>
    <x:row r="67" ht="29" customHeight="1">
      <x:c r="A67" s="125" t="n">
        <x:v>61</x:v>
      </x:c>
      <x:c r="B67" s="123" t="str">
        <x:v>ND30.G.CHU.KIEU_CHU</x:v>
      </x:c>
      <x:c r="C67" s="123" t="str">
        <x:v>Định dạng chung</x:v>
      </x:c>
      <x:c r="D67" s="123" t="str">
        <x:v>Phông và chữ</x:v>
      </x:c>
      <x:c r="E67" s="123" t="str">
        <x:v>Kiểu chữ</x:v>
      </x:c>
      <x:c r="F67" s="123" t="str">
        <x:v>—</x:v>
      </x:c>
      <x:c r="G67" s="123" t="str">
        <x:v>Dùng cho văn bản chính theo profile; loại trừ bản sao/phụ lục riêng khi chưa có route</x:v>
      </x:c>
      <x:c r="H67" s="123" t="str">
        <x:v>Áp dụng theo từng component</x:v>
      </x:c>
      <x:c r="I67" s="123" t="str">
        <x:v>Không áp dụng</x:v>
      </x:c>
      <x:c r="J67" s="126" t="str">
        <x:v>—</x:v>
      </x:c>
      <x:c r="K67" s="123" t="str">
        <x:v>Không áp dụng</x:v>
      </x:c>
      <x:c r="L67" s="123" t="str">
        <x:v>Không áp dụng</x:v>
      </x:c>
      <x:c r="M67" s="123" t="str">
        <x:v>Không áp dụng</x:v>
      </x:c>
      <x:c r="N67" s="123"/>
      <x:c r="O67" s="124"/>
      <x:c r="P67" s="124"/>
      <x:c r="Q67" s="123"/>
      <x:c r="R67" s="123" t="str">
        <x:v>Word settings | w:rPr/w:b/w:i + text case</x:v>
      </x:c>
      <x:c r="S67" s="123" t="str">
        <x:v>Đậm/nghiêng/in hoa theo từng mã; không bật tất cả</x:v>
      </x:c>
      <x:c r="T67" s="123" t="str">
        <x:v>NĐ30, Phụ lục I, Phần I, I (Quy định chung)</x:v>
      </x:c>
      <x:c r="U67" s="123" t="str">
        <x:v>https://datafiles.chinhphu.vn/cpp/files/vbpq/2020/03/30.signed.pdf</x:v>
      </x:c>
      <x:c r="V67" s="123" t="str">
        <x:v>https://riam.edu.vn/nghi-dinh-ve-cong-tac-van-thu-phu-luc/</x:v>
      </x:c>
      <x:c r="W67" s="123" t="str">
        <x:v>ĐỐI CHIẾU MỘT PHẦN</x:v>
      </x:c>
      <x:c r="X67" s="123" t="str">
        <x:v>FORMAT_AFTER_REVIEW</x:v>
      </x:c>
      <x:c r="Y67" s="123" t="str">
        <x:v>Không tự chèn/sửa khi chưa có chứng cứ về đối tượng và rule.</x:v>
      </x:c>
      <x:c r="Z67" s="124" t="str">
        <x:v>Đậm/nghiêng/in hoa theo từng mã; không bật tất cả</x:v>
      </x:c>
      <x:c r="AA67" s="123" t="str">
        <x:v>DocumentSettings</x:v>
      </x:c>
      <x:c r="AB67" s="124" t="str">
        <x:v>THAM KHẢO</x:v>
      </x:c>
      <x:c r="AC67" s="123" t="str">
        <x:v>FORMAT_AFTER_REVIEW</x:v>
      </x:c>
      <x:c r="AD67" s="123" t="str">
        <x:v>PLUGIN:hoa-tieu-mien-bac-administrative-v1 | user_approved_visual_reference</x:v>
      </x:c>
      <x:c r="AE67" s="123" t="str">
        <x:v>Kiểm tra w:sectPr/w:pPr/w:rPr và bản render Word, đối chiếu quy định + preset.</x:v>
      </x:c>
      <x:c r="AF67" s="123" t="str">
        <x:v>Công ty: profile trình bày văn bản dự thảo; không mặc định thay cho văn bản pháp quy đặc thù.</x:v>
      </x:c>
      <x:c r="AG67" s="157"/>
      <x:c r="AH67" s="157"/>
      <x:c r="AI67" s="157"/>
      <x:c r="AJ67" s="195"/>
      <x:c r="AK67" s="157" t="str">
        <x:v>KHÔNG ÁP DỤNG</x:v>
      </x:c>
      <x:c r="AL67" s="157" t="str">
        <x:v>KHÔNG ÁP DỤNG</x:v>
      </x:c>
      <x:c r="AM67" s="157"/>
      <x:c r="AN67" s="157"/>
      <x:c r="AO67" s="157"/>
      <x:c r="AP67" s="157"/>
      <x:c r="AQ67" s="195"/>
      <x:c r="AR67" s="157"/>
      <x:c r="AS67" s="195"/>
      <x:c r="AT67" s="195"/>
      <x:c r="AU67" s="195"/>
      <x:c r="AV67" s="195"/>
      <x:c r="AW67" s="195"/>
      <x:c r="AX67" s="157"/>
      <x:c r="AY67" s="157"/>
      <x:c r="AZ67" s="157"/>
      <x:c r="BA67" s="195"/>
      <x:c r="BB67" s="195"/>
      <x:c r="BC67" s="157"/>
      <x:c r="BD67" s="195"/>
      <x:c r="BE67" s="195"/>
      <x:c r="BF67" s="195"/>
      <x:c r="BG67" s="195"/>
      <x:c r="BH67" s="157"/>
      <x:c r="BI67" s="195"/>
      <x:c r="BJ67" s="195"/>
      <x:c r="BK67" s="195"/>
      <x:c r="BL67" s="157"/>
      <x:c r="BM67" s="157"/>
      <x:c r="BN67" s="157"/>
      <x:c r="BO67" s="195"/>
      <x:c r="BP67" s="195"/>
      <x:c r="BQ67" s="157"/>
      <x:c r="BR67" s="157"/>
      <x:c r="BS67" s="157"/>
      <x:c r="BT67" s="157" t="str">
        <x:v>DocumentSettings</x:v>
      </x:c>
      <x:c r="BU67" s="157" t="str">
        <x:v>Word settings | w:rPr/w:b/w:i + text case</x:v>
      </x:c>
      <x:c r="BV67" s="196" t="str">
        <x:v>THAM KHẢO</x:v>
      </x:c>
      <x:c r="BW67" s="197" t="str">
        <x:v>CHƯA CÓ THÔNG SỐ ĐỊNH LƯỢNG</x:v>
      </x:c>
      <x:c r="BX67" s="157" t="str">
        <x:v>Đối chiếu mô tả gốc ở I–S, Z–AF nếu thuộc tính phụ thuộc mẫu.</x:v>
      </x:c>
      <x:c r="BY67" t="str">
        <x:v>ND30.G.CHU.KIEU_CHU</x:v>
      </x:c>
      <x:c r="BZ67" t="str">
        <x:f>IFERROR(INDEX(ND30!$J$7:$J$300,MATCH($B67,ND30!$B$7:$B$300,0)),"UNRESOLVED")</x:f>
      </x:c>
      <x:c r="CA67" t="str">
        <x:v>DOCUMENT_SETTING</x:v>
      </x:c>
      <x:c r="CB67" t="str">
        <x:v>issuer_scope_confirmed AND document_type_confirmed AND legal_effective_date_confirmed</x:v>
      </x:c>
      <x:c r="CC67" t="str">
        <x:f>IFERROR(INDEX(ND30!$X$7:$X$300,MATCH($B67,ND30!$B$7:$B$300,0)),"UNRESOLVED")</x:f>
        <x:v>CHỈ SAU REVIEW</x:v>
      </x:c>
      <x:c r="CD67" t="str">
        <x:f>IF(OR(ISNUMBER(SEARCH("READ_ONLY",CC67)),ISNUMBER(SEARCH("PROTECTED",CC67)),ISNUMBER(SEARCH("BẢO VỆ",CC67)),ISNUMBER(SEARCH("KHÔNG KÝ",CC67))),"PROTECTED","CHECK_ONLY")</x:f>
        <x:v>CHECK_ONLY</x:v>
      </x:c>
      <x:c r="CE67" t="str">
        <x:f>IF(AND(CD67="FORMAT_APPROVED",CU67="CÓ",CV67="CÓ",CH67="CÓ",CI67="CÓ",CJ67="CÓ"),"CÓ","KHÔNG")</x:f>
        <x:v>KHÔNG</x:v>
      </x:c>
      <x:c r="CF67" t="str">
        <x:v>KHÔNG</x:v>
      </x:c>
      <x:c r="CG67" t="str">
        <x:v>CÓ</x:v>
      </x:c>
      <x:c r="CH67" t="str">
        <x:v>KHÔNG</x:v>
      </x:c>
      <x:c r="CI67" t="str">
        <x:v>KHÔNG</x:v>
      </x:c>
      <x:c r="CJ67" t="str">
        <x:v>KHÔNG</x:v>
      </x:c>
      <x:c r="CK67" t="str">
        <x:f>IF(AND(CE67="CÓ",CF67="KHÔNG",CG67="CÓ",CU67="CÓ",CV67="CÓ",CH67="CÓ",CI67="CÓ",CJ67="CÓ"),"CÓ","KHÔNG")</x:f>
        <x:v>KHÔNG</x:v>
      </x:c>
      <x:c r="CL67" t="str">
        <x:v>PILOT_NORTH_PROFILE_DRAFT; chưa có master DOCX đã duyệt</x:v>
      </x:c>
      <x:c r="CM67" t="str">
        <x:v>v1.5 (nâng từ v1.4)</x:v>
      </x:c>
      <x:c r="CN67" t="str">
        <x:v>CẦN XÁC MINH TÊN/QUY CHẾ</x:v>
      </x:c>
      <x:c r="CO67" t="str">
        <x:v>ND30_G_CHU_KIEU_CHU_FIELD_ONLY; chưa tạo trong Word</x:v>
      </x:c>
      <x:c r="CP67" t="str">
        <x:v>Preset là cấu hình Công ty; không thay thế giới hạn của nguồn NĐ30/HD05</x:v>
      </x:c>
      <x:c r="CQ67" t="str">
        <x:f>IF(OR(BH67="CÓ",BH67=TRUE),BI67,"")</x:f>
      </x:c>
      <x:c r="CR67" t="str">
        <x:f>IF(OR(BH67="CÓ",BH67=TRUE),BJ67,"")</x:f>
      </x:c>
      <x:c r="CS67" t="str">
        <x:v>DOCUMENT_SETTINGS_CHECK_ONLY</x:v>
      </x:c>
      <x:c r="CT67" t="str">
        <x:v>PENDING_SOURCE_AND_DOCX_QA</x:v>
      </x:c>
      <x:c r="CU67" t="str">
        <x:v>KHÔNG</x:v>
      </x:c>
      <x:c r="CV67" t="str">
        <x:v>KHÔNG</x:v>
      </x:c>
      <x:c r="CW67" t="str"/>
    </x:row>
    <x:row r="68" ht="29" customHeight="1">
      <x:c r="A68" s="125" t="n">
        <x:v>62</x:v>
      </x:c>
      <x:c r="B68" s="123" t="str">
        <x:v>ND30.G.DOAN.CAN_LE</x:v>
      </x:c>
      <x:c r="C68" s="123" t="str">
        <x:v>Định dạng chung</x:v>
      </x:c>
      <x:c r="D68" s="123" t="str">
        <x:v>Dãn cách và căn chỉnh</x:v>
      </x:c>
      <x:c r="E68" s="123" t="str">
        <x:v>Căn lề</x:v>
      </x:c>
      <x:c r="F68" s="123" t="str">
        <x:v>—</x:v>
      </x:c>
      <x:c r="G68" s="123" t="str">
        <x:v>Dùng cho văn bản chính theo profile; loại trừ bản sao/phụ lục riêng khi chưa có route</x:v>
      </x:c>
      <x:c r="H68" s="123" t="str">
        <x:v>Căn đều hai lề nội dung chính; thành phần đầu/cuối dùng vị trí riêng</x:v>
      </x:c>
      <x:c r="I68" s="123" t="str">
        <x:v>Không áp dụng</x:v>
      </x:c>
      <x:c r="J68" s="126" t="str">
        <x:v>—</x:v>
      </x:c>
      <x:c r="K68" s="123" t="str">
        <x:v>Không áp dụng</x:v>
      </x:c>
      <x:c r="L68" s="123" t="str">
        <x:v>Không áp dụng</x:v>
      </x:c>
      <x:c r="M68" s="123" t="str">
        <x:v>Không áp dụng</x:v>
      </x:c>
      <x:c r="N68" s="123" t="str">
        <x:v>BODY: justify; các khối Đầu/Cuối theo trường</x:v>
      </x:c>
      <x:c r="O68" s="124"/>
      <x:c r="P68" s="124"/>
      <x:c r="Q68" s="123"/>
      <x:c r="R68" s="123" t="str">
        <x:v>Word settings | w:jc=both (body)</x:v>
      </x:c>
      <x:c r="S68" s="123" t="str">
        <x:v>Body justify; head theo từng cột</x:v>
      </x:c>
      <x:c r="T68" s="123" t="str">
        <x:v>NĐ30, Phụ lục I, Phần I, I (Quy định chung)</x:v>
      </x:c>
      <x:c r="U68" s="123" t="str">
        <x:v>https://datafiles.chinhphu.vn/cpp/files/vbpq/2020/03/30.signed.pdf</x:v>
      </x:c>
      <x:c r="V68" s="123" t="str">
        <x:v>https://riam.edu.vn/nghi-dinh-ve-cong-tac-van-thu-phu-luc/</x:v>
      </x:c>
      <x:c r="W68" s="123" t="str">
        <x:v>ĐỐI CHIẾU MỘT PHẦN</x:v>
      </x:c>
      <x:c r="X68" s="123" t="str">
        <x:v>FORMAT_AFTER_REVIEW</x:v>
      </x:c>
      <x:c r="Y68" s="123" t="str">
        <x:v>Không tự chèn/sửa khi chưa có chứng cứ về đối tượng và rule.</x:v>
      </x:c>
      <x:c r="Z68" s="124" t="str">
        <x:v>Body justify; head theo từng cột</x:v>
      </x:c>
      <x:c r="AA68" s="123" t="str">
        <x:v>DocumentSettings</x:v>
      </x:c>
      <x:c r="AB68" s="124" t="str">
        <x:v>THAM KHẢO</x:v>
      </x:c>
      <x:c r="AC68" s="123" t="str">
        <x:v>FORMAT_AFTER_REVIEW</x:v>
      </x:c>
      <x:c r="AD68" s="123" t="str">
        <x:v>PLUGIN:hoa-tieu-mien-bac-administrative-v1 | user_approved_visual_reference</x:v>
      </x:c>
      <x:c r="AE68" s="123" t="str">
        <x:v>Kiểm tra w:sectPr/w:pPr/w:rPr và bản render Word, đối chiếu quy định + preset.</x:v>
      </x:c>
      <x:c r="AF68" s="123" t="str">
        <x:v>Công ty: profile trình bày văn bản dự thảo; không mặc định thay cho văn bản pháp quy đặc thù.</x:v>
      </x:c>
      <x:c r="AG68" s="157"/>
      <x:c r="AH68" s="157"/>
      <x:c r="AI68" s="157"/>
      <x:c r="AJ68" s="195"/>
      <x:c r="AK68" s="157" t="str">
        <x:v>KHÔNG ÁP DỤNG</x:v>
      </x:c>
      <x:c r="AL68" s="157" t="str">
        <x:v>KHÔNG ÁP DỤNG</x:v>
      </x:c>
      <x:c r="AM68" s="157"/>
      <x:c r="AN68" s="157" t="str">
        <x:v>JUSTIFY</x:v>
      </x:c>
      <x:c r="AO68" s="157" t="str">
        <x:v>THEO KHỐI ĐƯỢC NHẬN DIỆN</x:v>
      </x:c>
      <x:c r="AP68" s="157"/>
      <x:c r="AQ68" s="195"/>
      <x:c r="AR68" s="157"/>
      <x:c r="AS68" s="195"/>
      <x:c r="AT68" s="195"/>
      <x:c r="AU68" s="195"/>
      <x:c r="AV68" s="195"/>
      <x:c r="AW68" s="195"/>
      <x:c r="AX68" s="157"/>
      <x:c r="AY68" s="157"/>
      <x:c r="AZ68" s="157"/>
      <x:c r="BA68" s="195"/>
      <x:c r="BB68" s="195"/>
      <x:c r="BC68" s="157"/>
      <x:c r="BD68" s="195"/>
      <x:c r="BE68" s="195"/>
      <x:c r="BF68" s="195"/>
      <x:c r="BG68" s="195"/>
      <x:c r="BH68" s="157"/>
      <x:c r="BI68" s="195"/>
      <x:c r="BJ68" s="195"/>
      <x:c r="BK68" s="195"/>
      <x:c r="BL68" s="157"/>
      <x:c r="BM68" s="157"/>
      <x:c r="BN68" s="157"/>
      <x:c r="BO68" s="195"/>
      <x:c r="BP68" s="195"/>
      <x:c r="BQ68" s="157"/>
      <x:c r="BR68" s="157"/>
      <x:c r="BS68" s="157"/>
      <x:c r="BT68" s="157" t="str">
        <x:v>DocumentSettings</x:v>
      </x:c>
      <x:c r="BU68" s="157" t="str">
        <x:v>Word settings | w:jc=both (body)</x:v>
      </x:c>
      <x:c r="BV68" s="196" t="str">
        <x:v>THAM KHẢO</x:v>
      </x:c>
      <x:c r="BW68" s="197" t="str">
        <x:v>CHƯA CÓ THÔNG SỐ ĐỊNH LƯỢNG</x:v>
      </x:c>
      <x:c r="BX68" s="157" t="str">
        <x:v>Đối chiếu mô tả gốc ở I–S, Z–AF nếu thuộc tính phụ thuộc mẫu.</x:v>
      </x:c>
      <x:c r="BY68" t="str">
        <x:v>ND30.G.DOAN.CAN_LE</x:v>
      </x:c>
      <x:c r="BZ68" t="str">
        <x:f>IFERROR(INDEX(ND30!$J$7:$J$300,MATCH($B68,ND30!$B$7:$B$300,0)),"UNRESOLVED")</x:f>
      </x:c>
      <x:c r="CA68" t="str">
        <x:v>DOCUMENT_SETTING</x:v>
      </x:c>
      <x:c r="CB68" t="str">
        <x:v>issuer_scope_confirmed AND document_type_confirmed AND legal_effective_date_confirmed</x:v>
      </x:c>
      <x:c r="CC68" t="str">
        <x:f>IFERROR(INDEX(ND30!$X$7:$X$300,MATCH($B68,ND30!$B$7:$B$300,0)),"UNRESOLVED")</x:f>
        <x:v>CHỈ SAU REVIEW</x:v>
      </x:c>
      <x:c r="CD68" t="str">
        <x:f>IF(OR(ISNUMBER(SEARCH("READ_ONLY",CC68)),ISNUMBER(SEARCH("PROTECTED",CC68)),ISNUMBER(SEARCH("BẢO VỆ",CC68)),ISNUMBER(SEARCH("KHÔNG KÝ",CC68))),"PROTECTED","CHECK_ONLY")</x:f>
        <x:v>CHECK_ONLY</x:v>
      </x:c>
      <x:c r="CE68" t="str">
        <x:f>IF(AND(CD68="FORMAT_APPROVED",CU68="CÓ",CV68="CÓ",CH68="CÓ",CI68="CÓ",CJ68="CÓ"),"CÓ","KHÔNG")</x:f>
        <x:v>KHÔNG</x:v>
      </x:c>
      <x:c r="CF68" t="str">
        <x:v>KHÔNG</x:v>
      </x:c>
      <x:c r="CG68" t="str">
        <x:v>CÓ</x:v>
      </x:c>
      <x:c r="CH68" t="str">
        <x:v>KHÔNG</x:v>
      </x:c>
      <x:c r="CI68" t="str">
        <x:v>KHÔNG</x:v>
      </x:c>
      <x:c r="CJ68" t="str">
        <x:v>KHÔNG</x:v>
      </x:c>
      <x:c r="CK68" t="str">
        <x:f>IF(AND(CE68="CÓ",CF68="KHÔNG",CG68="CÓ",CU68="CÓ",CV68="CÓ",CH68="CÓ",CI68="CÓ",CJ68="CÓ"),"CÓ","KHÔNG")</x:f>
        <x:v>KHÔNG</x:v>
      </x:c>
      <x:c r="CL68" t="str">
        <x:v>PILOT_NORTH_PROFILE_DRAFT; chưa có master DOCX đã duyệt</x:v>
      </x:c>
      <x:c r="CM68" t="str">
        <x:v>v1.5 (nâng từ v1.4)</x:v>
      </x:c>
      <x:c r="CN68" t="str">
        <x:v>CẦN XÁC MINH TÊN/QUY CHẾ</x:v>
      </x:c>
      <x:c r="CO68" t="str">
        <x:v>ND30_G_DOAN_CAN_LE_FIELD_ONLY; chưa tạo trong Word</x:v>
      </x:c>
      <x:c r="CP68" t="str">
        <x:v>Preset là cấu hình Công ty; không thay thế giới hạn của nguồn NĐ30/HD05</x:v>
      </x:c>
      <x:c r="CQ68" t="str">
        <x:f>IF(OR(BH68="CÓ",BH68=TRUE),BI68,"")</x:f>
      </x:c>
      <x:c r="CR68" t="str">
        <x:f>IF(OR(BH68="CÓ",BH68=TRUE),BJ68,"")</x:f>
      </x:c>
      <x:c r="CS68" t="str">
        <x:v>DOCUMENT_SETTINGS_CHECK_ONLY</x:v>
      </x:c>
      <x:c r="CT68" t="str">
        <x:v>PENDING_SOURCE_AND_DOCX_QA</x:v>
      </x:c>
      <x:c r="CU68" t="str">
        <x:v>KHÔNG</x:v>
      </x:c>
      <x:c r="CV68" t="str">
        <x:v>KHÔNG</x:v>
      </x:c>
      <x:c r="CW68" t="str"/>
    </x:row>
    <x:row r="69" ht="29" customHeight="1">
      <x:c r="A69" s="125" t="n">
        <x:v>63</x:v>
      </x:c>
      <x:c r="B69" s="123" t="str">
        <x:v>ND30.G.DOAN.GIUA_DONG</x:v>
      </x:c>
      <x:c r="C69" s="123" t="str">
        <x:v>Định dạng chung</x:v>
      </x:c>
      <x:c r="D69" s="123" t="str">
        <x:v>Dãn cách và căn chỉnh</x:v>
      </x:c>
      <x:c r="E69" s="123" t="str">
        <x:v>Khoảng cách dòng</x:v>
      </x:c>
      <x:c r="F69" s="123" t="str">
        <x:v>—</x:v>
      </x:c>
      <x:c r="G69" s="123" t="str">
        <x:v>Dùng cho văn bản chính theo profile; loại trừ bản sao/phụ lục riêng khi chưa có route</x:v>
      </x:c>
      <x:c r="H69" s="123" t="str">
        <x:v>Khoảng cách dòng</x:v>
      </x:c>
      <x:c r="I69" s="123" t="str">
        <x:v>Không áp dụng</x:v>
      </x:c>
      <x:c r="J69" s="126" t="str">
        <x:v>—</x:v>
      </x:c>
      <x:c r="K69" s="123" t="str">
        <x:v>Không áp dụng</x:v>
      </x:c>
      <x:c r="L69" s="123" t="str">
        <x:v>Không áp dụng</x:v>
      </x:c>
      <x:c r="M69" s="123" t="str">
        <x:v>Không áp dụng</x:v>
      </x:c>
      <x:c r="N69" s="123"/>
      <x:c r="O69" s="124" t="str">
        <x:v>Exactly 19 pt | lineRule=exact | 380 twip (chỉ BODY)</x:v>
      </x:c>
      <x:c r="P69" s="124"/>
      <x:c r="Q69" s="123"/>
      <x:c r="R69" s="123" t="str">
        <x:v>Word settings | w:spacing line=380; lineRule=exact</x:v>
      </x:c>
      <x:c r="S69" s="123" t="str">
        <x:v>Exactly 19 pt (body only)</x:v>
      </x:c>
      <x:c r="T69" s="123" t="str">
        <x:v>NĐ30, Phụ lục I, Phần I, I (Quy định chung)</x:v>
      </x:c>
      <x:c r="U69" s="123" t="str">
        <x:v>https://datafiles.chinhphu.vn/cpp/files/vbpq/2020/03/30.signed.pdf</x:v>
      </x:c>
      <x:c r="V69" s="123" t="str">
        <x:v>https://riam.edu.vn/nghi-dinh-ve-cong-tac-van-thu-phu-luc/</x:v>
      </x:c>
      <x:c r="W69" s="123" t="str">
        <x:v>ĐỐI CHIẾU MỘT PHẦN</x:v>
      </x:c>
      <x:c r="X69" s="123" t="str">
        <x:v>FORMAT_AFTER_REVIEW</x:v>
      </x:c>
      <x:c r="Y69" s="123" t="str">
        <x:v>Không tự chèn/sửa khi chưa có chứng cứ về đối tượng và rule.</x:v>
      </x:c>
      <x:c r="Z69" s="124" t="str">
        <x:v>Exactly 19 pt (body only)</x:v>
      </x:c>
      <x:c r="AA69" s="123" t="str">
        <x:v>DocumentSettings</x:v>
      </x:c>
      <x:c r="AB69" s="124" t="str">
        <x:v>THAM KHẢO</x:v>
      </x:c>
      <x:c r="AC69" s="123" t="str">
        <x:v>FORMAT_AFTER_REVIEW</x:v>
      </x:c>
      <x:c r="AD69" s="123" t="str">
        <x:v>PLUGIN:hoa-tieu-mien-bac-administrative-v1 | user_approved_visual_reference</x:v>
      </x:c>
      <x:c r="AE69" s="123" t="str">
        <x:v>Kiểm tra w:sectPr/w:pPr/w:rPr và bản render Word, đối chiếu quy định + preset.</x:v>
      </x:c>
      <x:c r="AF69" s="123" t="str">
        <x:v>Exactly 19 là preset người dùng từ DocForm; cần kiểm tra với yêu cầu giãn dòng NĐ30. | Công ty: profile trình bày văn bản dự thảo; không mặc định thay cho văn bản pháp quy đặc thù.</x:v>
      </x:c>
      <x:c r="AG69" s="157"/>
      <x:c r="AH69" s="157"/>
      <x:c r="AI69" s="157"/>
      <x:c r="AJ69" s="195"/>
      <x:c r="AK69" s="157" t="str">
        <x:v>KHÔNG ÁP DỤNG</x:v>
      </x:c>
      <x:c r="AL69" s="157" t="str">
        <x:v>KHÔNG ÁP DỤNG</x:v>
      </x:c>
      <x:c r="AM69" s="157"/>
      <x:c r="AN69" s="157"/>
      <x:c r="AO69" s="157"/>
      <x:c r="AP69" s="157" t="str">
        <x:v>EXACT</x:v>
      </x:c>
      <x:c r="AQ69" s="195" t="n">
        <x:v>19</x:v>
      </x:c>
      <x:c r="AR69" s="157" t="str">
        <x:v>pt</x:v>
      </x:c>
      <x:c r="AS69" s="195"/>
      <x:c r="AT69" s="195"/>
      <x:c r="AU69" s="195"/>
      <x:c r="AV69" s="195"/>
      <x:c r="AW69" s="195"/>
      <x:c r="AX69" s="157"/>
      <x:c r="AY69" s="157"/>
      <x:c r="AZ69" s="157"/>
      <x:c r="BA69" s="195"/>
      <x:c r="BB69" s="195"/>
      <x:c r="BC69" s="157"/>
      <x:c r="BD69" s="195"/>
      <x:c r="BE69" s="195"/>
      <x:c r="BF69" s="195"/>
      <x:c r="BG69" s="195"/>
      <x:c r="BH69" s="157"/>
      <x:c r="BI69" s="195"/>
      <x:c r="BJ69" s="195"/>
      <x:c r="BK69" s="195"/>
      <x:c r="BL69" s="157"/>
      <x:c r="BM69" s="157"/>
      <x:c r="BN69" s="157"/>
      <x:c r="BO69" s="195"/>
      <x:c r="BP69" s="195"/>
      <x:c r="BQ69" s="157"/>
      <x:c r="BR69" s="157"/>
      <x:c r="BS69" s="157"/>
      <x:c r="BT69" s="157" t="str">
        <x:v>DocumentSettings</x:v>
      </x:c>
      <x:c r="BU69" s="157" t="str">
        <x:v>Word settings | w:spacing line=380; lineRule=exact</x:v>
      </x:c>
      <x:c r="BV69" s="196" t="str">
        <x:v>THAM KHẢO</x:v>
      </x:c>
      <x:c r="BW69" s="197" t="str">
        <x:v>ĐÃ TÁCH MỘT PHẦN</x:v>
      </x:c>
      <x:c r="BX69" s="157" t="str">
        <x:v>Đối chiếu mô tả gốc ở I–S, Z–AF nếu thuộc tính phụ thuộc mẫu.</x:v>
      </x:c>
      <x:c r="BY69" t="str">
        <x:v>ND30.G.DOAN.GIUA_DONG</x:v>
      </x:c>
      <x:c r="BZ69" t="str">
        <x:f>IFERROR(INDEX(ND30!$J$7:$J$300,MATCH($B69,ND30!$B$7:$B$300,0)),"UNRESOLVED")</x:f>
      </x:c>
      <x:c r="CA69" t="str">
        <x:v>DOCUMENT_SETTING</x:v>
      </x:c>
      <x:c r="CB69" t="str">
        <x:v>issuer_scope_confirmed AND document_type_confirmed AND legal_effective_date_confirmed</x:v>
      </x:c>
      <x:c r="CC69" t="str">
        <x:f>IFERROR(INDEX(ND30!$X$7:$X$300,MATCH($B69,ND30!$B$7:$B$300,0)),"UNRESOLVED")</x:f>
        <x:v>CHỈ SAU REVIEW</x:v>
      </x:c>
      <x:c r="CD69" t="str">
        <x:f>IF(OR(ISNUMBER(SEARCH("READ_ONLY",CC69)),ISNUMBER(SEARCH("PROTECTED",CC69)),ISNUMBER(SEARCH("BẢO VỆ",CC69)),ISNUMBER(SEARCH("KHÔNG KÝ",CC69))),"PROTECTED","CHECK_ONLY")</x:f>
        <x:v>CHECK_ONLY</x:v>
      </x:c>
      <x:c r="CE69" t="str">
        <x:f>IF(AND(CD69="FORMAT_APPROVED",CU69="CÓ",CV69="CÓ",CH69="CÓ",CI69="CÓ",CJ69="CÓ"),"CÓ","KHÔNG")</x:f>
        <x:v>KHÔNG</x:v>
      </x:c>
      <x:c r="CF69" t="str">
        <x:v>KHÔNG</x:v>
      </x:c>
      <x:c r="CG69" t="str">
        <x:v>CÓ</x:v>
      </x:c>
      <x:c r="CH69" t="str">
        <x:v>KHÔNG</x:v>
      </x:c>
      <x:c r="CI69" t="str">
        <x:v>KHÔNG</x:v>
      </x:c>
      <x:c r="CJ69" t="str">
        <x:v>KHÔNG</x:v>
      </x:c>
      <x:c r="CK69" t="str">
        <x:f>IF(AND(CE69="CÓ",CF69="KHÔNG",CG69="CÓ",CU69="CÓ",CV69="CÓ",CH69="CÓ",CI69="CÓ",CJ69="CÓ"),"CÓ","KHÔNG")</x:f>
        <x:v>KHÔNG</x:v>
      </x:c>
      <x:c r="CL69" t="str">
        <x:v>PILOT_NORTH_PROFILE_DRAFT; chưa có master DOCX đã duyệt</x:v>
      </x:c>
      <x:c r="CM69" t="str">
        <x:v>v1.5 (nâng từ v1.4)</x:v>
      </x:c>
      <x:c r="CN69" t="str">
        <x:v>CẦN XÁC MINH TÊN/QUY CHẾ</x:v>
      </x:c>
      <x:c r="CO69" t="str">
        <x:v>ND30_G_DOAN_GIUA_DONG_FIELD_ONLY; chưa tạo trong Word</x:v>
      </x:c>
      <x:c r="CP69" t="str">
        <x:v>Preset là cấu hình Công ty; không thay thế giới hạn của nguồn NĐ30/HD05</x:v>
      </x:c>
      <x:c r="CQ69" t="str">
        <x:f>IF(OR(BH69="CÓ",BH69=TRUE),BI69,"")</x:f>
      </x:c>
      <x:c r="CR69" t="str">
        <x:f>IF(OR(BH69="CÓ",BH69=TRUE),BJ69,"")</x:f>
      </x:c>
      <x:c r="CS69" t="str">
        <x:v>DOCUMENT_SETTINGS_CHECK_ONLY</x:v>
      </x:c>
      <x:c r="CT69" t="str">
        <x:v>PENDING_SOURCE_AND_DOCX_QA</x:v>
      </x:c>
      <x:c r="CU69" t="str">
        <x:v>KHÔNG</x:v>
      </x:c>
      <x:c r="CV69" t="str">
        <x:v>KHÔNG</x:v>
      </x:c>
      <x:c r="CW69" t="str"/>
    </x:row>
    <x:row r="70" ht="29" customHeight="1">
      <x:c r="A70" s="125" t="n">
        <x:v>64</x:v>
      </x:c>
      <x:c r="B70" s="123" t="str">
        <x:v>ND30.G.DOAN.GIUA_DOAN</x:v>
      </x:c>
      <x:c r="C70" s="123" t="str">
        <x:v>Định dạng chung</x:v>
      </x:c>
      <x:c r="D70" s="123" t="str">
        <x:v>Dãn cách và căn chỉnh</x:v>
      </x:c>
      <x:c r="E70" s="123" t="str">
        <x:v>Khoảng cách đoạn</x:v>
      </x:c>
      <x:c r="F70" s="123" t="str">
        <x:v>—</x:v>
      </x:c>
      <x:c r="G70" s="123" t="str">
        <x:v>Dùng cho văn bản chính theo profile; loại trừ bản sao/phụ lục riêng khi chưa có route</x:v>
      </x:c>
      <x:c r="H70" s="123" t="str">
        <x:v>Khoảng cách đoạn</x:v>
      </x:c>
      <x:c r="I70" s="123" t="str">
        <x:v>Không áp dụng</x:v>
      </x:c>
      <x:c r="J70" s="126" t="str">
        <x:v>—</x:v>
      </x:c>
      <x:c r="K70" s="123" t="str">
        <x:v>Không áp dụng</x:v>
      </x:c>
      <x:c r="L70" s="123" t="str">
        <x:v>Không áp dụng</x:v>
      </x:c>
      <x:c r="M70" s="123" t="str">
        <x:v>Không áp dụng</x:v>
      </x:c>
      <x:c r="N70" s="123"/>
      <x:c r="O70" s="124" t="str">
        <x:v>Before 0 pt; After 6 pt | after=120 twip (chỉ BODY)</x:v>
      </x:c>
      <x:c r="P70" s="124"/>
      <x:c r="Q70" s="123"/>
      <x:c r="R70" s="123" t="str">
        <x:v>Word settings | w:spacing before=0 after=120</x:v>
      </x:c>
      <x:c r="S70" s="123" t="str">
        <x:v>Before 0 pt; After 6 pt (body only)</x:v>
      </x:c>
      <x:c r="T70" s="123" t="str">
        <x:v>NĐ30, Phụ lục I, Phần I, I (Quy định chung)</x:v>
      </x:c>
      <x:c r="U70" s="123" t="str">
        <x:v>https://datafiles.chinhphu.vn/cpp/files/vbpq/2020/03/30.signed.pdf</x:v>
      </x:c>
      <x:c r="V70" s="123" t="str">
        <x:v>https://riam.edu.vn/nghi-dinh-ve-cong-tac-van-thu-phu-luc/</x:v>
      </x:c>
      <x:c r="W70" s="123" t="str">
        <x:v>ĐỐI CHIẾU MỘT PHẦN</x:v>
      </x:c>
      <x:c r="X70" s="123" t="str">
        <x:v>FORMAT_AFTER_REVIEW</x:v>
      </x:c>
      <x:c r="Y70" s="123" t="str">
        <x:v>Không tự chèn/sửa khi chưa có chứng cứ về đối tượng và rule.</x:v>
      </x:c>
      <x:c r="Z70" s="124" t="str">
        <x:v>Before 0 pt; After 6 pt (body only)</x:v>
      </x:c>
      <x:c r="AA70" s="123" t="str">
        <x:v>DocumentSettings</x:v>
      </x:c>
      <x:c r="AB70" s="124" t="str">
        <x:v>THAM KHẢO</x:v>
      </x:c>
      <x:c r="AC70" s="123" t="str">
        <x:v>FORMAT_AFTER_REVIEW</x:v>
      </x:c>
      <x:c r="AD70" s="123" t="str">
        <x:v>PLUGIN:hoa-tieu-mien-bac-administrative-v1 | user_approved_visual_reference</x:v>
      </x:c>
      <x:c r="AE70" s="123" t="str">
        <x:v>Kiểm tra w:sectPr/w:pPr/w:rPr và bản render Word, đối chiếu quy định + preset.</x:v>
      </x:c>
      <x:c r="AF70" s="123" t="str">
        <x:v>Công ty: profile trình bày văn bản dự thảo; không mặc định thay cho văn bản pháp quy đặc thù.</x:v>
      </x:c>
      <x:c r="AG70" s="157"/>
      <x:c r="AH70" s="157"/>
      <x:c r="AI70" s="157"/>
      <x:c r="AJ70" s="195"/>
      <x:c r="AK70" s="157" t="str">
        <x:v>KHÔNG ÁP DỤNG</x:v>
      </x:c>
      <x:c r="AL70" s="157" t="str">
        <x:v>KHÔNG ÁP DỤNG</x:v>
      </x:c>
      <x:c r="AM70" s="157"/>
      <x:c r="AN70" s="157"/>
      <x:c r="AO70" s="157"/>
      <x:c r="AP70" s="157"/>
      <x:c r="AQ70" s="195"/>
      <x:c r="AR70" s="157"/>
      <x:c r="AS70" s="195" t="n">
        <x:v>0</x:v>
      </x:c>
      <x:c r="AT70" s="195" t="n">
        <x:v>6</x:v>
      </x:c>
      <x:c r="AU70" s="195"/>
      <x:c r="AV70" s="195"/>
      <x:c r="AW70" s="195"/>
      <x:c r="AX70" s="157"/>
      <x:c r="AY70" s="157"/>
      <x:c r="AZ70" s="157"/>
      <x:c r="BA70" s="195"/>
      <x:c r="BB70" s="195"/>
      <x:c r="BC70" s="157"/>
      <x:c r="BD70" s="195"/>
      <x:c r="BE70" s="195"/>
      <x:c r="BF70" s="195"/>
      <x:c r="BG70" s="195"/>
      <x:c r="BH70" s="157"/>
      <x:c r="BI70" s="195"/>
      <x:c r="BJ70" s="195"/>
      <x:c r="BK70" s="195"/>
      <x:c r="BL70" s="157"/>
      <x:c r="BM70" s="157"/>
      <x:c r="BN70" s="157"/>
      <x:c r="BO70" s="195"/>
      <x:c r="BP70" s="195"/>
      <x:c r="BQ70" s="157"/>
      <x:c r="BR70" s="157"/>
      <x:c r="BS70" s="157"/>
      <x:c r="BT70" s="157" t="str">
        <x:v>DocumentSettings</x:v>
      </x:c>
      <x:c r="BU70" s="157" t="str">
        <x:v>Word settings | w:spacing before=0 after=120</x:v>
      </x:c>
      <x:c r="BV70" s="196" t="str">
        <x:v>THAM KHẢO</x:v>
      </x:c>
      <x:c r="BW70" s="197" t="str">
        <x:v>CHƯA CÓ THÔNG SỐ ĐỊNH LƯỢNG</x:v>
      </x:c>
      <x:c r="BX70" s="157" t="str">
        <x:v>Đối chiếu mô tả gốc ở I–S, Z–AF nếu thuộc tính phụ thuộc mẫu.</x:v>
      </x:c>
      <x:c r="BY70" t="str">
        <x:v>ND30.G.DOAN.GIUA_DOAN</x:v>
      </x:c>
      <x:c r="BZ70" t="str">
        <x:f>IFERROR(INDEX(ND30!$J$7:$J$300,MATCH($B70,ND30!$B$7:$B$300,0)),"UNRESOLVED")</x:f>
      </x:c>
      <x:c r="CA70" t="str">
        <x:v>DOCUMENT_SETTING</x:v>
      </x:c>
      <x:c r="CB70" t="str">
        <x:v>issuer_scope_confirmed AND document_type_confirmed AND legal_effective_date_confirmed</x:v>
      </x:c>
      <x:c r="CC70" t="str">
        <x:f>IFERROR(INDEX(ND30!$X$7:$X$300,MATCH($B70,ND30!$B$7:$B$300,0)),"UNRESOLVED")</x:f>
        <x:v>CHỈ SAU REVIEW</x:v>
      </x:c>
      <x:c r="CD70" t="str">
        <x:f>IF(OR(ISNUMBER(SEARCH("READ_ONLY",CC70)),ISNUMBER(SEARCH("PROTECTED",CC70)),ISNUMBER(SEARCH("BẢO VỆ",CC70)),ISNUMBER(SEARCH("KHÔNG KÝ",CC70))),"PROTECTED","CHECK_ONLY")</x:f>
        <x:v>CHECK_ONLY</x:v>
      </x:c>
      <x:c r="CE70" t="str">
        <x:f>IF(AND(CD70="FORMAT_APPROVED",CU70="CÓ",CV70="CÓ",CH70="CÓ",CI70="CÓ",CJ70="CÓ"),"CÓ","KHÔNG")</x:f>
        <x:v>KHÔNG</x:v>
      </x:c>
      <x:c r="CF70" t="str">
        <x:v>KHÔNG</x:v>
      </x:c>
      <x:c r="CG70" t="str">
        <x:v>CÓ</x:v>
      </x:c>
      <x:c r="CH70" t="str">
        <x:v>KHÔNG</x:v>
      </x:c>
      <x:c r="CI70" t="str">
        <x:v>KHÔNG</x:v>
      </x:c>
      <x:c r="CJ70" t="str">
        <x:v>KHÔNG</x:v>
      </x:c>
      <x:c r="CK70" t="str">
        <x:f>IF(AND(CE70="CÓ",CF70="KHÔNG",CG70="CÓ",CU70="CÓ",CV70="CÓ",CH70="CÓ",CI70="CÓ",CJ70="CÓ"),"CÓ","KHÔNG")</x:f>
        <x:v>KHÔNG</x:v>
      </x:c>
      <x:c r="CL70" t="str">
        <x:v>PILOT_NORTH_PROFILE_DRAFT; chưa có master DOCX đã duyệt</x:v>
      </x:c>
      <x:c r="CM70" t="str">
        <x:v>v1.5 (nâng từ v1.4)</x:v>
      </x:c>
      <x:c r="CN70" t="str">
        <x:v>CẦN XÁC MINH TÊN/QUY CHẾ</x:v>
      </x:c>
      <x:c r="CO70" t="str">
        <x:v>ND30_G_DOAN_GIUA_DOAN_FIELD_ONLY; chưa tạo trong Word</x:v>
      </x:c>
      <x:c r="CP70" t="str">
        <x:v>Preset là cấu hình Công ty; không thay thế giới hạn của nguồn NĐ30/HD05</x:v>
      </x:c>
      <x:c r="CQ70" t="str">
        <x:f>IF(OR(BH70="CÓ",BH70=TRUE),BI70,"")</x:f>
      </x:c>
      <x:c r="CR70" t="str">
        <x:f>IF(OR(BH70="CÓ",BH70=TRUE),BJ70,"")</x:f>
      </x:c>
      <x:c r="CS70" t="str">
        <x:v>DOCUMENT_SETTINGS_CHECK_ONLY</x:v>
      </x:c>
      <x:c r="CT70" t="str">
        <x:v>PENDING_SOURCE_AND_DOCX_QA</x:v>
      </x:c>
      <x:c r="CU70" t="str">
        <x:v>KHÔNG</x:v>
      </x:c>
      <x:c r="CV70" t="str">
        <x:v>KHÔNG</x:v>
      </x:c>
      <x:c r="CW70" t="str"/>
    </x:row>
    <x:row r="71" ht="29" customHeight="1">
      <x:c r="A71" s="125" t="n">
        <x:v>65</x:v>
      </x:c>
      <x:c r="B71" s="123" t="str">
        <x:v>ND30.G.DOAN.THUT_DONG</x:v>
      </x:c>
      <x:c r="C71" s="123" t="str">
        <x:v>Định dạng chung</x:v>
      </x:c>
      <x:c r="D71" s="123" t="str">
        <x:v>Dãn cách và căn chỉnh</x:v>
      </x:c>
      <x:c r="E71" s="123" t="str">
        <x:v>Thụt đầu dòng</x:v>
      </x:c>
      <x:c r="F71" s="123" t="str">
        <x:v>—</x:v>
      </x:c>
      <x:c r="G71" s="123" t="str">
        <x:v>Dùng cho văn bản chính theo profile; loại trừ bản sao/phụ lục riêng khi chưa có route</x:v>
      </x:c>
      <x:c r="H71" s="123" t="str">
        <x:v>Thụt đầu dòng</x:v>
      </x:c>
      <x:c r="I71" s="123" t="str">
        <x:v>Không áp dụng</x:v>
      </x:c>
      <x:c r="J71" s="126" t="str">
        <x:v>—</x:v>
      </x:c>
      <x:c r="K71" s="123" t="str">
        <x:v>Không áp dụng</x:v>
      </x:c>
      <x:c r="L71" s="123" t="str">
        <x:v>Không áp dụng</x:v>
      </x:c>
      <x:c r="M71" s="123" t="str">
        <x:v>Không áp dụng</x:v>
      </x:c>
      <x:c r="N71" s="123"/>
      <x:c r="O71" s="124"/>
      <x:c r="P71" s="124" t="str">
        <x:v>First line 12,7 mm (=720 twip)</x:v>
      </x:c>
      <x:c r="Q71" s="123"/>
      <x:c r="R71" s="123" t="str">
        <x:v>Word settings | w:ind w:firstLine=720</x:v>
      </x:c>
      <x:c r="S71" s="123" t="str">
        <x:v>First line 12,7 mm / 720 twip</x:v>
      </x:c>
      <x:c r="T71" s="123" t="str">
        <x:v>NĐ30, Phụ lục I, Phần I, I (Quy định chung)</x:v>
      </x:c>
      <x:c r="U71" s="123" t="str">
        <x:v>https://datafiles.chinhphu.vn/cpp/files/vbpq/2020/03/30.signed.pdf</x:v>
      </x:c>
      <x:c r="V71" s="123" t="str">
        <x:v>https://riam.edu.vn/nghi-dinh-ve-cong-tac-van-thu-phu-luc/</x:v>
      </x:c>
      <x:c r="W71" s="123" t="str">
        <x:v>ĐỐI CHIẾU MỘT PHẦN</x:v>
      </x:c>
      <x:c r="X71" s="123" t="str">
        <x:v>FORMAT_AFTER_REVIEW</x:v>
      </x:c>
      <x:c r="Y71" s="123" t="str">
        <x:v>Không tự chèn/sửa khi chưa có chứng cứ về đối tượng và rule.</x:v>
      </x:c>
      <x:c r="Z71" s="124" t="str">
        <x:v>First line 12,7 mm / 720 twip</x:v>
      </x:c>
      <x:c r="AA71" s="123" t="str">
        <x:v>DocumentSettings</x:v>
      </x:c>
      <x:c r="AB71" s="124" t="str">
        <x:v>THAM KHẢO</x:v>
      </x:c>
      <x:c r="AC71" s="123" t="str">
        <x:v>FORMAT_AFTER_REVIEW</x:v>
      </x:c>
      <x:c r="AD71" s="123" t="str">
        <x:v>PLUGIN:hoa-tieu-mien-bac-administrative-v1 | user_approved_visual_reference</x:v>
      </x:c>
      <x:c r="AE71" s="123" t="str">
        <x:v>Kiểm tra w:sectPr/w:pPr/w:rPr và bản render Word, đối chiếu quy định + preset.</x:v>
      </x:c>
      <x:c r="AF71" s="123" t="str">
        <x:v>Công ty: profile trình bày văn bản dự thảo; không mặc định thay cho văn bản pháp quy đặc thù.</x:v>
      </x:c>
      <x:c r="AG71" s="157"/>
      <x:c r="AH71" s="157"/>
      <x:c r="AI71" s="157"/>
      <x:c r="AJ71" s="195"/>
      <x:c r="AK71" s="157" t="str">
        <x:v>KHÔNG ÁP DỤNG</x:v>
      </x:c>
      <x:c r="AL71" s="157" t="str">
        <x:v>KHÔNG ÁP DỤNG</x:v>
      </x:c>
      <x:c r="AM71" s="157"/>
      <x:c r="AN71" s="157"/>
      <x:c r="AO71" s="157"/>
      <x:c r="AP71" s="157"/>
      <x:c r="AQ71" s="195"/>
      <x:c r="AR71" s="157"/>
      <x:c r="AS71" s="195"/>
      <x:c r="AT71" s="195"/>
      <x:c r="AU71" s="195" t="n">
        <x:v>12.7</x:v>
      </x:c>
      <x:c r="AV71" s="195"/>
      <x:c r="AW71" s="195"/>
      <x:c r="AX71" s="157"/>
      <x:c r="AY71" s="157"/>
      <x:c r="AZ71" s="157"/>
      <x:c r="BA71" s="195"/>
      <x:c r="BB71" s="195"/>
      <x:c r="BC71" s="157"/>
      <x:c r="BD71" s="195"/>
      <x:c r="BE71" s="195"/>
      <x:c r="BF71" s="195"/>
      <x:c r="BG71" s="195"/>
      <x:c r="BH71" s="157"/>
      <x:c r="BI71" s="195"/>
      <x:c r="BJ71" s="195"/>
      <x:c r="BK71" s="195"/>
      <x:c r="BL71" s="157"/>
      <x:c r="BM71" s="157"/>
      <x:c r="BN71" s="157"/>
      <x:c r="BO71" s="195"/>
      <x:c r="BP71" s="195"/>
      <x:c r="BQ71" s="157"/>
      <x:c r="BR71" s="157"/>
      <x:c r="BS71" s="157"/>
      <x:c r="BT71" s="157" t="str">
        <x:v>DocumentSettings</x:v>
      </x:c>
      <x:c r="BU71" s="157" t="str">
        <x:v>Word settings | w:ind w:firstLine=720</x:v>
      </x:c>
      <x:c r="BV71" s="196" t="str">
        <x:v>THAM KHẢO</x:v>
      </x:c>
      <x:c r="BW71" s="197" t="str">
        <x:v>ĐÃ TÁCH MỘT PHẦN</x:v>
      </x:c>
      <x:c r="BX71" s="157" t="str">
        <x:v>Đối chiếu mô tả gốc ở I–S, Z–AF nếu thuộc tính phụ thuộc mẫu.</x:v>
      </x:c>
      <x:c r="BY71" t="str">
        <x:v>ND30.G.DOAN.THUT_DONG</x:v>
      </x:c>
      <x:c r="BZ71" t="str">
        <x:f>IFERROR(INDEX(ND30!$J$7:$J$300,MATCH($B71,ND30!$B$7:$B$300,0)),"UNRESOLVED")</x:f>
      </x:c>
      <x:c r="CA71" t="str">
        <x:v>DOCUMENT_SETTING</x:v>
      </x:c>
      <x:c r="CB71" t="str">
        <x:v>issuer_scope_confirmed AND document_type_confirmed AND legal_effective_date_confirmed</x:v>
      </x:c>
      <x:c r="CC71" t="str">
        <x:f>IFERROR(INDEX(ND30!$X$7:$X$300,MATCH($B71,ND30!$B$7:$B$300,0)),"UNRESOLVED")</x:f>
        <x:v>CHỈ SAU REVIEW</x:v>
      </x:c>
      <x:c r="CD71" t="str">
        <x:f>IF(OR(ISNUMBER(SEARCH("READ_ONLY",CC71)),ISNUMBER(SEARCH("PROTECTED",CC71)),ISNUMBER(SEARCH("BẢO VỆ",CC71)),ISNUMBER(SEARCH("KHÔNG KÝ",CC71))),"PROTECTED","CHECK_ONLY")</x:f>
        <x:v>CHECK_ONLY</x:v>
      </x:c>
      <x:c r="CE71" t="str">
        <x:f>IF(AND(CD71="FORMAT_APPROVED",CU71="CÓ",CV71="CÓ",CH71="CÓ",CI71="CÓ",CJ71="CÓ"),"CÓ","KHÔNG")</x:f>
        <x:v>KHÔNG</x:v>
      </x:c>
      <x:c r="CF71" t="str">
        <x:v>KHÔNG</x:v>
      </x:c>
      <x:c r="CG71" t="str">
        <x:v>CÓ</x:v>
      </x:c>
      <x:c r="CH71" t="str">
        <x:v>KHÔNG</x:v>
      </x:c>
      <x:c r="CI71" t="str">
        <x:v>KHÔNG</x:v>
      </x:c>
      <x:c r="CJ71" t="str">
        <x:v>KHÔNG</x:v>
      </x:c>
      <x:c r="CK71" t="str">
        <x:f>IF(AND(CE71="CÓ",CF71="KHÔNG",CG71="CÓ",CU71="CÓ",CV71="CÓ",CH71="CÓ",CI71="CÓ",CJ71="CÓ"),"CÓ","KHÔNG")</x:f>
        <x:v>KHÔNG</x:v>
      </x:c>
      <x:c r="CL71" t="str">
        <x:v>PILOT_NORTH_PROFILE_DRAFT; chưa có master DOCX đã duyệt</x:v>
      </x:c>
      <x:c r="CM71" t="str">
        <x:v>v1.5 (nâng từ v1.4)</x:v>
      </x:c>
      <x:c r="CN71" t="str">
        <x:v>CẦN XÁC MINH TÊN/QUY CHẾ</x:v>
      </x:c>
      <x:c r="CO71" t="str">
        <x:v>ND30_G_DOAN_THUT_DONG_FIELD_ONLY; chưa tạo trong Word</x:v>
      </x:c>
      <x:c r="CP71" t="str">
        <x:v>Preset là cấu hình Công ty; không thay thế giới hạn của nguồn NĐ30/HD05</x:v>
      </x:c>
      <x:c r="CQ71" t="str">
        <x:f>IF(OR(BH71="CÓ",BH71=TRUE),BI71,"")</x:f>
      </x:c>
      <x:c r="CR71" t="str">
        <x:f>IF(OR(BH71="CÓ",BH71=TRUE),BJ71,"")</x:f>
      </x:c>
      <x:c r="CS71" t="str">
        <x:v>DOCUMENT_SETTINGS_CHECK_ONLY</x:v>
      </x:c>
      <x:c r="CT71" t="str">
        <x:v>PENDING_SOURCE_AND_DOCX_QA</x:v>
      </x:c>
      <x:c r="CU71" t="str">
        <x:v>KHÔNG</x:v>
      </x:c>
      <x:c r="CV71" t="str">
        <x:v>KHÔNG</x:v>
      </x:c>
      <x:c r="CW71" t="str"/>
    </x:row>
    <x:row r="72" ht="29" customHeight="1">
      <x:c r="A72" s="125" t="n">
        <x:v>66</x:v>
      </x:c>
      <x:c r="B72" s="123" t="str">
        <x:v>ND30.G.PHAN_TRANG.SECTION</x:v>
      </x:c>
      <x:c r="C72" s="123" t="str">
        <x:v>Định dạng chung</x:v>
      </x:c>
      <x:c r="D72" s="123" t="str">
        <x:v>Phân trang</x:v>
      </x:c>
      <x:c r="E72" s="123" t="str">
        <x:v>Section</x:v>
      </x:c>
      <x:c r="F72" s="123" t="str">
        <x:v>—</x:v>
      </x:c>
      <x:c r="G72" s="123" t="str">
        <x:v>Dùng cho văn bản chính theo profile; loại trừ bản sao/phụ lục riêng khi chưa có route</x:v>
      </x:c>
      <x:c r="H72" s="123" t="str">
        <x:v>Quản lý section, pagebreak/keepNext nhưng chỉ khi có bằng chứng bố cục</x:v>
      </x:c>
      <x:c r="I72" s="123" t="str">
        <x:v>Không áp dụng</x:v>
      </x:c>
      <x:c r="J72" s="126" t="str">
        <x:v>—</x:v>
      </x:c>
      <x:c r="K72" s="123" t="str">
        <x:v>Không áp dụng</x:v>
      </x:c>
      <x:c r="L72" s="123" t="str">
        <x:v>Không áp dụng</x:v>
      </x:c>
      <x:c r="M72" s="123" t="str">
        <x:v>Không áp dụng</x:v>
      </x:c>
      <x:c r="N72" s="123"/>
      <x:c r="O72" s="124"/>
      <x:c r="P72" s="124"/>
      <x:c r="Q72" s="123"/>
      <x:c r="R72" s="123" t="str">
        <x:v>Word settings | sectPr, preserve original</x:v>
      </x:c>
      <x:c r="S72" s="123" t="str">
        <x:v>Một section portrait; riêng bảng/hình rộng tạo section khi cần và được duyệt</x:v>
      </x:c>
      <x:c r="T72" s="123" t="str">
        <x:v>NĐ30, Phụ lục I, Phần I, I (Quy định chung)</x:v>
      </x:c>
      <x:c r="U72" s="123" t="str">
        <x:v>https://datafiles.chinhphu.vn/cpp/files/vbpq/2020/03/30.signed.pdf</x:v>
      </x:c>
      <x:c r="V72" s="123" t="str">
        <x:v>https://riam.edu.vn/nghi-dinh-ve-cong-tac-van-thu-phu-luc/</x:v>
      </x:c>
      <x:c r="W72" s="123" t="str">
        <x:v>CẦN QA KỸ THUẬT</x:v>
      </x:c>
      <x:c r="X72" s="123" t="str">
        <x:v>FORMAT_AFTER_REVIEW</x:v>
      </x:c>
      <x:c r="Y72" s="123" t="str">
        <x:v>Thiết lập kỹ thuật DOCX, không phải một “thành phần thể thức” pháp lý độc lập. | Trạng thái v1.0: THIẾT LẬP KỸ THUẬT</x:v>
      </x:c>
      <x:c r="Z72" s="124" t="str">
        <x:v>Một section portrait; riêng bảng/hình rộng tạo section khi cần và được duyệt</x:v>
      </x:c>
      <x:c r="AA72" s="123" t="str">
        <x:v>DocumentSettings</x:v>
      </x:c>
      <x:c r="AB72" s="124" t="str">
        <x:v>CẦN QA RENDER</x:v>
      </x:c>
      <x:c r="AC72" s="123" t="str">
        <x:v>FORMAT_AFTER_REVIEW</x:v>
      </x:c>
      <x:c r="AD72" s="123" t="str">
        <x:v>PLUGIN:hoa-tieu-mien-bac-administrative-v1 | user_approved_visual_reference</x:v>
      </x:c>
      <x:c r="AE72" s="123" t="str">
        <x:v>Kiểm tra w:sectPr/w:pPr/w:rPr và bản render Word, đối chiếu quy định + preset.</x:v>
      </x:c>
      <x:c r="AF72" s="123" t="str">
        <x:v>Công ty: profile trình bày văn bản dự thảo; không mặc định thay cho văn bản pháp quy đặc thù.</x:v>
      </x:c>
      <x:c r="AG72" s="157"/>
      <x:c r="AH72" s="157"/>
      <x:c r="AI72" s="157"/>
      <x:c r="AJ72" s="195"/>
      <x:c r="AK72" s="157" t="str">
        <x:v>KHÔNG ÁP DỤNG</x:v>
      </x:c>
      <x:c r="AL72" s="157" t="str">
        <x:v>KHÔNG ÁP DỤNG</x:v>
      </x:c>
      <x:c r="AM72" s="157"/>
      <x:c r="AN72" s="157"/>
      <x:c r="AO72" s="157"/>
      <x:c r="AP72" s="157"/>
      <x:c r="AQ72" s="195"/>
      <x:c r="AR72" s="157"/>
      <x:c r="AS72" s="195"/>
      <x:c r="AT72" s="195"/>
      <x:c r="AU72" s="195"/>
      <x:c r="AV72" s="195"/>
      <x:c r="AW72" s="195"/>
      <x:c r="AX72" s="157"/>
      <x:c r="AY72" s="157"/>
      <x:c r="AZ72" s="157"/>
      <x:c r="BA72" s="195"/>
      <x:c r="BB72" s="195"/>
      <x:c r="BC72" s="157"/>
      <x:c r="BD72" s="195"/>
      <x:c r="BE72" s="195"/>
      <x:c r="BF72" s="195"/>
      <x:c r="BG72" s="195"/>
      <x:c r="BH72" s="157"/>
      <x:c r="BI72" s="195"/>
      <x:c r="BJ72" s="195"/>
      <x:c r="BK72" s="195"/>
      <x:c r="BL72" s="157"/>
      <x:c r="BM72" s="157"/>
      <x:c r="BN72" s="157"/>
      <x:c r="BO72" s="195"/>
      <x:c r="BP72" s="195"/>
      <x:c r="BQ72" s="157"/>
      <x:c r="BR72" s="157"/>
      <x:c r="BS72" s="157"/>
      <x:c r="BT72" s="157" t="str">
        <x:v>DocumentSettings</x:v>
      </x:c>
      <x:c r="BU72" s="157" t="str">
        <x:v>Word settings | sectPr, preserve original</x:v>
      </x:c>
      <x:c r="BV72" s="196" t="str">
        <x:v>CẦN QA RENDER</x:v>
      </x:c>
      <x:c r="BW72" s="197" t="str">
        <x:v>CHƯA CÓ THÔNG SỐ ĐỊNH LƯỢNG</x:v>
      </x:c>
      <x:c r="BX72" s="157" t="str">
        <x:v>Đối chiếu mô tả gốc ở I–S, Z–AF nếu thuộc tính phụ thuộc mẫu.</x:v>
      </x:c>
      <x:c r="BY72" t="str">
        <x:v>ND30.G.PHAN_TRANG.SECTION</x:v>
      </x:c>
      <x:c r="BZ72" t="str">
        <x:f>IFERROR(INDEX(ND30!$J$7:$J$300,MATCH($B72,ND30!$B$7:$B$300,0)),"UNRESOLVED")</x:f>
        <x:v>Không áp dụng</x:v>
      </x:c>
      <x:c r="CA72" t="str">
        <x:v>DOCUMENT_SETTING</x:v>
      </x:c>
      <x:c r="CB72" t="str">
        <x:v>issuer_scope_confirmed AND document_type_confirmed AND legal_effective_date_confirmed</x:v>
      </x:c>
      <x:c r="CC72" t="str">
        <x:f>IFERROR(INDEX(ND30!$X$7:$X$300,MATCH($B72,ND30!$B$7:$B$300,0)),"UNRESOLVED")</x:f>
        <x:v>REVIEW TRƯỚC KHI SỬA</x:v>
      </x:c>
      <x:c r="CD72" t="str">
        <x:f>IF(OR(ISNUMBER(SEARCH("READ_ONLY",CC72)),ISNUMBER(SEARCH("PROTECTED",CC72)),ISNUMBER(SEARCH("BẢO VỆ",CC72)),ISNUMBER(SEARCH("KHÔNG KÝ",CC72))),"PROTECTED","CHECK_ONLY")</x:f>
        <x:v>CHECK_ONLY</x:v>
      </x:c>
      <x:c r="CE72" t="str">
        <x:f>IF(AND(CD72="FORMAT_APPROVED",CU72="CÓ",CV72="CÓ",CH72="CÓ",CI72="CÓ",CJ72="CÓ"),"CÓ","KHÔNG")</x:f>
        <x:v>KHÔNG</x:v>
      </x:c>
      <x:c r="CF72" t="str">
        <x:v>KHÔNG</x:v>
      </x:c>
      <x:c r="CG72" t="str">
        <x:v>CÓ</x:v>
      </x:c>
      <x:c r="CH72" t="str">
        <x:v>KHÔNG</x:v>
      </x:c>
      <x:c r="CI72" t="str">
        <x:v>KHÔNG</x:v>
      </x:c>
      <x:c r="CJ72" t="str">
        <x:v>KHÔNG</x:v>
      </x:c>
      <x:c r="CK72" t="str">
        <x:f>IF(AND(CE72="CÓ",CF72="KHÔNG",CG72="CÓ",CU72="CÓ",CV72="CÓ",CH72="CÓ",CI72="CÓ",CJ72="CÓ"),"CÓ","KHÔNG")</x:f>
        <x:v>KHÔNG</x:v>
      </x:c>
      <x:c r="CL72" t="str">
        <x:v>PILOT_NORTH_PROFILE_DRAFT; chưa có master DOCX đã duyệt</x:v>
      </x:c>
      <x:c r="CM72" t="str">
        <x:v>v1.5 (nâng từ v1.4)</x:v>
      </x:c>
      <x:c r="CN72" t="str">
        <x:v>CẦN XÁC MINH TÊN/QUY CHẾ</x:v>
      </x:c>
      <x:c r="CO72" t="str">
        <x:v>ND30_G_PHAN_TRANG_SECTION_FIELD_ONLY; chưa tạo trong Word</x:v>
      </x:c>
      <x:c r="CP72" t="str">
        <x:v>Preset là cấu hình Công ty; không thay thế giới hạn của nguồn NĐ30/HD05</x:v>
      </x:c>
      <x:c r="CQ72" t="str">
        <x:f>IF(OR(BH72="CÓ",BH72=TRUE),BI72,"")</x:f>
      </x:c>
      <x:c r="CR72" t="str">
        <x:f>IF(OR(BH72="CÓ",BH72=TRUE),BJ72,"")</x:f>
      </x:c>
      <x:c r="CS72" t="str">
        <x:v>DOCUMENT_SETTINGS_CHECK_ONLY</x:v>
      </x:c>
      <x:c r="CT72" t="str">
        <x:v>PENDING_SOURCE_AND_DOCX_QA</x:v>
      </x:c>
      <x:c r="CU72" t="str">
        <x:v>KHÔNG</x:v>
      </x:c>
      <x:c r="CV72" t="str">
        <x:v>KHÔNG</x:v>
      </x:c>
      <x:c r="CW72" t="str"/>
    </x:row>
    <x:row r="73" ht="29" customHeight="1">
      <x:c r="A73" s="125" t="n">
        <x:v>67</x:v>
      </x:c>
      <x:c r="B73" s="123" t="str">
        <x:v>ND30.G.PHAN_TRANG.NGAT_TRANG</x:v>
      </x:c>
      <x:c r="C73" s="123" t="str">
        <x:v>Định dạng chung</x:v>
      </x:c>
      <x:c r="D73" s="123" t="str">
        <x:v>Phân trang</x:v>
      </x:c>
      <x:c r="E73" s="123" t="str">
        <x:v>Ngắt trang</x:v>
      </x:c>
      <x:c r="F73" s="123" t="str">
        <x:v>—</x:v>
      </x:c>
      <x:c r="G73" s="123" t="str">
        <x:v>Dùng cho văn bản chính theo profile; loại trừ bản sao/phụ lục riêng khi chưa có route</x:v>
      </x:c>
      <x:c r="H73" s="123" t="str">
        <x:v>Quản lý section, pagebreak/keepNext nhưng chỉ khi có bằng chứng bố cục</x:v>
      </x:c>
      <x:c r="I73" s="123" t="str">
        <x:v>Không áp dụng</x:v>
      </x:c>
      <x:c r="J73" s="126" t="str">
        <x:v>—</x:v>
      </x:c>
      <x:c r="K73" s="123" t="str">
        <x:v>Không áp dụng</x:v>
      </x:c>
      <x:c r="L73" s="123" t="str">
        <x:v>Không áp dụng</x:v>
      </x:c>
      <x:c r="M73" s="123" t="str">
        <x:v>Không áp dụng</x:v>
      </x:c>
      <x:c r="N73" s="123"/>
      <x:c r="O73" s="124"/>
      <x:c r="P73" s="124"/>
      <x:c r="Q73" s="123"/>
      <x:c r="R73" s="123" t="str">
        <x:v>Word settings | w:br type=page (check-only)</x:v>
      </x:c>
      <x:c r="S73" s="123" t="str">
        <x:v>Giữ pageBreak gốc; không chèn chỉ để làm đẹp</x:v>
      </x:c>
      <x:c r="T73" s="123" t="str">
        <x:v>NĐ30, Phụ lục I, Phần I, I (Quy định chung)</x:v>
      </x:c>
      <x:c r="U73" s="123" t="str">
        <x:v>https://datafiles.chinhphu.vn/cpp/files/vbpq/2020/03/30.signed.pdf</x:v>
      </x:c>
      <x:c r="V73" s="123" t="str">
        <x:v>https://riam.edu.vn/nghi-dinh-ve-cong-tac-van-thu-phu-luc/</x:v>
      </x:c>
      <x:c r="W73" s="123" t="str">
        <x:v>CẦN QA KỸ THUẬT</x:v>
      </x:c>
      <x:c r="X73" s="123" t="str">
        <x:v>CHECK_ONLY</x:v>
      </x:c>
      <x:c r="Y73" s="123" t="str">
        <x:v>Thiết lập kỹ thuật DOCX, không phải một “thành phần thể thức” pháp lý độc lập. | Trạng thái v1.0: THIẾT LẬP KỸ THUẬT</x:v>
      </x:c>
      <x:c r="Z73" s="124" t="str">
        <x:v>Giữ pageBreak gốc; không chèn chỉ để làm đẹp</x:v>
      </x:c>
      <x:c r="AA73" s="123" t="str">
        <x:v>DocumentSettings</x:v>
      </x:c>
      <x:c r="AB73" s="124" t="str">
        <x:v>CẦN QA RENDER</x:v>
      </x:c>
      <x:c r="AC73" s="123" t="str">
        <x:v>CHECK_ONLY</x:v>
      </x:c>
      <x:c r="AD73" s="123" t="str">
        <x:v>PLUGIN:hoa-tieu-mien-bac-administrative-v1 | user_approved_visual_reference</x:v>
      </x:c>
      <x:c r="AE73" s="123" t="str">
        <x:v>Kiểm tra w:sectPr/w:pPr/w:rPr và bản render Word, đối chiếu quy định + preset.</x:v>
      </x:c>
      <x:c r="AF73" s="123" t="str">
        <x:v>Công ty: profile trình bày văn bản dự thảo; không mặc định thay cho văn bản pháp quy đặc thù.</x:v>
      </x:c>
      <x:c r="AG73" s="157"/>
      <x:c r="AH73" s="157"/>
      <x:c r="AI73" s="157"/>
      <x:c r="AJ73" s="195"/>
      <x:c r="AK73" s="157" t="str">
        <x:v>KHÔNG ÁP DỤNG</x:v>
      </x:c>
      <x:c r="AL73" s="157" t="str">
        <x:v>KHÔNG ÁP DỤNG</x:v>
      </x:c>
      <x:c r="AM73" s="157"/>
      <x:c r="AN73" s="157"/>
      <x:c r="AO73" s="157"/>
      <x:c r="AP73" s="157"/>
      <x:c r="AQ73" s="195"/>
      <x:c r="AR73" s="157"/>
      <x:c r="AS73" s="195"/>
      <x:c r="AT73" s="195"/>
      <x:c r="AU73" s="195"/>
      <x:c r="AV73" s="195"/>
      <x:c r="AW73" s="195"/>
      <x:c r="AX73" s="157"/>
      <x:c r="AY73" s="157"/>
      <x:c r="AZ73" s="157"/>
      <x:c r="BA73" s="195"/>
      <x:c r="BB73" s="195"/>
      <x:c r="BC73" s="157"/>
      <x:c r="BD73" s="195"/>
      <x:c r="BE73" s="195"/>
      <x:c r="BF73" s="195"/>
      <x:c r="BG73" s="195"/>
      <x:c r="BH73" s="157"/>
      <x:c r="BI73" s="195"/>
      <x:c r="BJ73" s="195"/>
      <x:c r="BK73" s="195"/>
      <x:c r="BL73" s="157"/>
      <x:c r="BM73" s="157"/>
      <x:c r="BN73" s="157"/>
      <x:c r="BO73" s="195"/>
      <x:c r="BP73" s="195"/>
      <x:c r="BQ73" s="157"/>
      <x:c r="BR73" s="157"/>
      <x:c r="BS73" s="157"/>
      <x:c r="BT73" s="157" t="str">
        <x:v>DocumentSettings</x:v>
      </x:c>
      <x:c r="BU73" s="157" t="str">
        <x:v>Word settings | w:br type=page (check-only)</x:v>
      </x:c>
      <x:c r="BV73" s="196" t="str">
        <x:v>CẦN QA RENDER</x:v>
      </x:c>
      <x:c r="BW73" s="197" t="str">
        <x:v>CHƯA CÓ THÔNG SỐ ĐỊNH LƯỢNG</x:v>
      </x:c>
      <x:c r="BX73" s="157" t="str">
        <x:v>Đối chiếu mô tả gốc ở I–S, Z–AF nếu thuộc tính phụ thuộc mẫu.</x:v>
      </x:c>
      <x:c r="BY73" t="str">
        <x:v>ND30.G.PHAN_TRANG.NGAT_TRANG</x:v>
      </x:c>
      <x:c r="BZ73" t="str">
        <x:f>IFERROR(INDEX(ND30!$J$7:$J$300,MATCH($B73,ND30!$B$7:$B$300,0)),"UNRESOLVED")</x:f>
        <x:v>Không áp dụng</x:v>
      </x:c>
      <x:c r="CA73" t="str">
        <x:v>DOCUMENT_SETTING</x:v>
      </x:c>
      <x:c r="CB73" t="str">
        <x:v>issuer_scope_confirmed AND document_type_confirmed AND legal_effective_date_confirmed</x:v>
      </x:c>
      <x:c r="CC73" t="str">
        <x:f>IFERROR(INDEX(ND30!$X$7:$X$300,MATCH($B73,ND30!$B$7:$B$300,0)),"UNRESOLVED")</x:f>
        <x:v>REVIEW TRƯỚC KHI SỬA</x:v>
      </x:c>
      <x:c r="CD73" t="str">
        <x:f>IF(OR(ISNUMBER(SEARCH("READ_ONLY",CC73)),ISNUMBER(SEARCH("PROTECTED",CC73)),ISNUMBER(SEARCH("BẢO VỆ",CC73)),ISNUMBER(SEARCH("KHÔNG KÝ",CC73))),"PROTECTED","CHECK_ONLY")</x:f>
        <x:v>CHECK_ONLY</x:v>
      </x:c>
      <x:c r="CE73" t="str">
        <x:f>IF(AND(CD73="FORMAT_APPROVED",CU73="CÓ",CV73="CÓ",CH73="CÓ",CI73="CÓ",CJ73="CÓ"),"CÓ","KHÔNG")</x:f>
        <x:v>KHÔNG</x:v>
      </x:c>
      <x:c r="CF73" t="str">
        <x:v>KHÔNG</x:v>
      </x:c>
      <x:c r="CG73" t="str">
        <x:v>CÓ</x:v>
      </x:c>
      <x:c r="CH73" t="str">
        <x:v>KHÔNG</x:v>
      </x:c>
      <x:c r="CI73" t="str">
        <x:v>KHÔNG</x:v>
      </x:c>
      <x:c r="CJ73" t="str">
        <x:v>KHÔNG</x:v>
      </x:c>
      <x:c r="CK73" t="str">
        <x:f>IF(AND(CE73="CÓ",CF73="KHÔNG",CG73="CÓ",CU73="CÓ",CV73="CÓ",CH73="CÓ",CI73="CÓ",CJ73="CÓ"),"CÓ","KHÔNG")</x:f>
        <x:v>KHÔNG</x:v>
      </x:c>
      <x:c r="CL73" t="str">
        <x:v>PILOT_NORTH_PROFILE_DRAFT; chưa có master DOCX đã duyệt</x:v>
      </x:c>
      <x:c r="CM73" t="str">
        <x:v>v1.5 (nâng từ v1.4)</x:v>
      </x:c>
      <x:c r="CN73" t="str">
        <x:v>CẦN XÁC MINH TÊN/QUY CHẾ</x:v>
      </x:c>
      <x:c r="CO73" t="str">
        <x:v>ND30_G_PHAN_TRANG_NGAT_TRANG_FIELD_ONLY; chưa tạo trong Word</x:v>
      </x:c>
      <x:c r="CP73" t="str">
        <x:v>Preset là cấu hình Công ty; không thay thế giới hạn của nguồn NĐ30/HD05</x:v>
      </x:c>
      <x:c r="CQ73" t="str">
        <x:f>IF(OR(BH73="CÓ",BH73=TRUE),BI73,"")</x:f>
      </x:c>
      <x:c r="CR73" t="str">
        <x:f>IF(OR(BH73="CÓ",BH73=TRUE),BJ73,"")</x:f>
      </x:c>
      <x:c r="CS73" t="str">
        <x:v>DOCUMENT_SETTINGS_CHECK_ONLY</x:v>
      </x:c>
      <x:c r="CT73" t="str">
        <x:v>PENDING_SOURCE_AND_DOCX_QA</x:v>
      </x:c>
      <x:c r="CU73" t="str">
        <x:v>KHÔNG</x:v>
      </x:c>
      <x:c r="CV73" t="str">
        <x:v>KHÔNG</x:v>
      </x:c>
      <x:c r="CW73" t="str"/>
    </x:row>
    <x:row r="74" ht="29" customHeight="1">
      <x:c r="A74" s="125" t="n">
        <x:v>68</x:v>
      </x:c>
      <x:c r="B74" s="123" t="str">
        <x:v>ND30.G.PHAN_TRANG.KEEP_WITH_NEXT</x:v>
      </x:c>
      <x:c r="C74" s="123" t="str">
        <x:v>Định dạng chung</x:v>
      </x:c>
      <x:c r="D74" s="123" t="str">
        <x:v>Phân trang</x:v>
      </x:c>
      <x:c r="E74" s="123" t="str">
        <x:v>Giữ cùng đoạn tiếp</x:v>
      </x:c>
      <x:c r="F74" s="123" t="str">
        <x:v>—</x:v>
      </x:c>
      <x:c r="G74" s="123" t="str">
        <x:v>Dùng cho văn bản chính theo profile; loại trừ bản sao/phụ lục riêng khi chưa có route</x:v>
      </x:c>
      <x:c r="H74" s="123" t="str">
        <x:v>Quản lý section, pagebreak/keepNext nhưng chỉ khi có bằng chứng bố cục</x:v>
      </x:c>
      <x:c r="I74" s="123" t="str">
        <x:v>Không áp dụng</x:v>
      </x:c>
      <x:c r="J74" s="126" t="str">
        <x:v>—</x:v>
      </x:c>
      <x:c r="K74" s="123" t="str">
        <x:v>Không áp dụng</x:v>
      </x:c>
      <x:c r="L74" s="123" t="str">
        <x:v>Không áp dụng</x:v>
      </x:c>
      <x:c r="M74" s="123" t="str">
        <x:v>Không áp dụng</x:v>
      </x:c>
      <x:c r="N74" s="123"/>
      <x:c r="O74" s="124"/>
      <x:c r="P74" s="124"/>
      <x:c r="Q74" s="123"/>
      <x:c r="R74" s="123" t="str">
        <x:v>Word settings | w:keepNext</x:v>
      </x:c>
      <x:c r="S74" s="123" t="str">
        <x:v>True đối với tiêu đề nhóm/cấp; false lời văn thường</x:v>
      </x:c>
      <x:c r="T74" s="123" t="str">
        <x:v>NĐ30, Phụ lục I, Phần I, I (Quy định chung)</x:v>
      </x:c>
      <x:c r="U74" s="123" t="str">
        <x:v>https://datafiles.chinhphu.vn/cpp/files/vbpq/2020/03/30.signed.pdf</x:v>
      </x:c>
      <x:c r="V74" s="123" t="str">
        <x:v>https://riam.edu.vn/nghi-dinh-ve-cong-tac-van-thu-phu-luc/</x:v>
      </x:c>
      <x:c r="W74" s="123" t="str">
        <x:v>CẦN QA KỸ THUẬT</x:v>
      </x:c>
      <x:c r="X74" s="123" t="str">
        <x:v>FORMAT_AFTER_REVIEW</x:v>
      </x:c>
      <x:c r="Y74" s="123" t="str">
        <x:v>Thiết lập kỹ thuật DOCX, không phải một “thành phần thể thức” pháp lý độc lập. | Trạng thái v1.0: THIẾT LẬP KỸ THUẬT</x:v>
      </x:c>
      <x:c r="Z74" s="124" t="str">
        <x:v>True đối với tiêu đề nhóm/cấp; false lời văn thường</x:v>
      </x:c>
      <x:c r="AA74" s="123" t="str">
        <x:v>DocumentSettings</x:v>
      </x:c>
      <x:c r="AB74" s="124" t="str">
        <x:v>THAM KHẢO</x:v>
      </x:c>
      <x:c r="AC74" s="123" t="str">
        <x:v>FORMAT_AFTER_REVIEW</x:v>
      </x:c>
      <x:c r="AD74" s="123" t="str">
        <x:v>PLUGIN:hoa-tieu-mien-bac-administrative-v1 | user_approved_visual_reference</x:v>
      </x:c>
      <x:c r="AE74" s="123" t="str">
        <x:v>Kiểm tra w:sectPr/w:pPr/w:rPr và bản render Word, đối chiếu quy định + preset.</x:v>
      </x:c>
      <x:c r="AF74" s="123" t="str">
        <x:v>Công ty: profile trình bày văn bản dự thảo; không mặc định thay cho văn bản pháp quy đặc thù.</x:v>
      </x:c>
      <x:c r="AG74" s="157"/>
      <x:c r="AH74" s="157"/>
      <x:c r="AI74" s="157"/>
      <x:c r="AJ74" s="195"/>
      <x:c r="AK74" s="157" t="str">
        <x:v>KHÔNG ÁP DỤNG</x:v>
      </x:c>
      <x:c r="AL74" s="157" t="str">
        <x:v>KHÔNG ÁP DỤNG</x:v>
      </x:c>
      <x:c r="AM74" s="157"/>
      <x:c r="AN74" s="157"/>
      <x:c r="AO74" s="157"/>
      <x:c r="AP74" s="157"/>
      <x:c r="AQ74" s="195"/>
      <x:c r="AR74" s="157"/>
      <x:c r="AS74" s="195"/>
      <x:c r="AT74" s="195"/>
      <x:c r="AU74" s="195"/>
      <x:c r="AV74" s="195"/>
      <x:c r="AW74" s="195"/>
      <x:c r="AX74" s="157" t="str">
        <x:v>CÓ VỚI TIÊU ĐỀ; KHÔNG VỚI LỜI VĂN</x:v>
      </x:c>
      <x:c r="AY74" s="157"/>
      <x:c r="AZ74" s="157"/>
      <x:c r="BA74" s="195"/>
      <x:c r="BB74" s="195"/>
      <x:c r="BC74" s="157"/>
      <x:c r="BD74" s="195"/>
      <x:c r="BE74" s="195"/>
      <x:c r="BF74" s="195"/>
      <x:c r="BG74" s="195"/>
      <x:c r="BH74" s="157"/>
      <x:c r="BI74" s="195"/>
      <x:c r="BJ74" s="195"/>
      <x:c r="BK74" s="195"/>
      <x:c r="BL74" s="157"/>
      <x:c r="BM74" s="157"/>
      <x:c r="BN74" s="157"/>
      <x:c r="BO74" s="195"/>
      <x:c r="BP74" s="195"/>
      <x:c r="BQ74" s="157"/>
      <x:c r="BR74" s="157"/>
      <x:c r="BS74" s="157"/>
      <x:c r="BT74" s="157" t="str">
        <x:v>DocumentSettings</x:v>
      </x:c>
      <x:c r="BU74" s="157" t="str">
        <x:v>Word settings | w:keepNext</x:v>
      </x:c>
      <x:c r="BV74" s="196" t="str">
        <x:v>THAM KHẢO</x:v>
      </x:c>
      <x:c r="BW74" s="197" t="str">
        <x:v>CHƯA CÓ THÔNG SỐ ĐỊNH LƯỢNG</x:v>
      </x:c>
      <x:c r="BX74" s="157" t="str">
        <x:v>Đối chiếu mô tả gốc ở I–S, Z–AF nếu thuộc tính phụ thuộc mẫu.</x:v>
      </x:c>
      <x:c r="BY74" t="str">
        <x:v>ND30.G.PHAN_TRANG.KEEP_WITH_NEXT</x:v>
      </x:c>
      <x:c r="BZ74" t="str">
        <x:f>IFERROR(INDEX(ND30!$J$7:$J$300,MATCH($B74,ND30!$B$7:$B$300,0)),"UNRESOLVED")</x:f>
        <x:v>Không áp dụng</x:v>
      </x:c>
      <x:c r="CA74" t="str">
        <x:v>DOCUMENT_SETTING</x:v>
      </x:c>
      <x:c r="CB74" t="str">
        <x:v>issuer_scope_confirmed AND document_type_confirmed AND legal_effective_date_confirmed</x:v>
      </x:c>
      <x:c r="CC74" t="str">
        <x:f>IFERROR(INDEX(ND30!$X$7:$X$300,MATCH($B74,ND30!$B$7:$B$300,0)),"UNRESOLVED")</x:f>
        <x:v>REVIEW TRƯỚC KHI SỬA</x:v>
      </x:c>
      <x:c r="CD74" t="str">
        <x:f>IF(OR(ISNUMBER(SEARCH("READ_ONLY",CC74)),ISNUMBER(SEARCH("PROTECTED",CC74)),ISNUMBER(SEARCH("BẢO VỆ",CC74)),ISNUMBER(SEARCH("KHÔNG KÝ",CC74))),"PROTECTED","CHECK_ONLY")</x:f>
        <x:v>CHECK_ONLY</x:v>
      </x:c>
      <x:c r="CE74" t="str">
        <x:f>IF(AND(CD74="FORMAT_APPROVED",CU74="CÓ",CV74="CÓ",CH74="CÓ",CI74="CÓ",CJ74="CÓ"),"CÓ","KHÔNG")</x:f>
        <x:v>KHÔNG</x:v>
      </x:c>
      <x:c r="CF74" t="str">
        <x:v>KHÔNG</x:v>
      </x:c>
      <x:c r="CG74" t="str">
        <x:v>CÓ</x:v>
      </x:c>
      <x:c r="CH74" t="str">
        <x:v>KHÔNG</x:v>
      </x:c>
      <x:c r="CI74" t="str">
        <x:v>KHÔNG</x:v>
      </x:c>
      <x:c r="CJ74" t="str">
        <x:v>KHÔNG</x:v>
      </x:c>
      <x:c r="CK74" t="str">
        <x:f>IF(AND(CE74="CÓ",CF74="KHÔNG",CG74="CÓ",CU74="CÓ",CV74="CÓ",CH74="CÓ",CI74="CÓ",CJ74="CÓ"),"CÓ","KHÔNG")</x:f>
        <x:v>KHÔNG</x:v>
      </x:c>
      <x:c r="CL74" t="str">
        <x:v>PILOT_NORTH_PROFILE_DRAFT; chưa có master DOCX đã duyệt</x:v>
      </x:c>
      <x:c r="CM74" t="str">
        <x:v>v1.5 (nâng từ v1.4)</x:v>
      </x:c>
      <x:c r="CN74" t="str">
        <x:v>CẦN XÁC MINH TÊN/QUY CHẾ</x:v>
      </x:c>
      <x:c r="CO74" t="str">
        <x:v>ND30_G_PHAN_TRANG_KEEP_WITH_NEXT_FIELD_ONLY; chưa tạo trong Word</x:v>
      </x:c>
      <x:c r="CP74" t="str">
        <x:v>Preset là cấu hình Công ty; không thay thế giới hạn của nguồn NĐ30/HD05</x:v>
      </x:c>
      <x:c r="CQ74" t="str">
        <x:f>IF(OR(BH74="CÓ",BH74=TRUE),BI74,"")</x:f>
      </x:c>
      <x:c r="CR74" t="str">
        <x:f>IF(OR(BH74="CÓ",BH74=TRUE),BJ74,"")</x:f>
      </x:c>
      <x:c r="CS74" t="str">
        <x:v>DOCUMENT_SETTINGS_CHECK_ONLY</x:v>
      </x:c>
      <x:c r="CT74" t="str">
        <x:v>PENDING_SOURCE_AND_DOCX_QA</x:v>
      </x:c>
      <x:c r="CU74" t="str">
        <x:v>KHÔNG</x:v>
      </x:c>
      <x:c r="CV74" t="str">
        <x:v>KHÔNG</x:v>
      </x:c>
      <x:c r="CW74" t="str"/>
    </x:row>
    <x:row r="75" ht="29" customHeight="1">
      <x:c r="A75" s="125" t="n">
        <x:v>69</x:v>
      </x:c>
      <x:c r="B75" s="123" t="str">
        <x:v>ND30.G.SO_TRANG.VI_TRI</x:v>
      </x:c>
      <x:c r="C75" s="123" t="str">
        <x:v>Định dạng chung</x:v>
      </x:c>
      <x:c r="D75" s="123" t="str">
        <x:v>Đánh số trang</x:v>
      </x:c>
      <x:c r="E75" s="123" t="str">
        <x:v>Vị trí số trang</x:v>
      </x:c>
      <x:c r="F75" s="123" t="str">
        <x:v>—</x:v>
      </x:c>
      <x:c r="G75" s="123" t="str">
        <x:v>Dùng cho văn bản chính theo profile; loại trừ bản sao/phụ lục riêng khi chưa có route</x:v>
      </x:c>
      <x:c r="H75" s="123" t="str">
        <x:v>Số trang bằng chữ số Ả Rập, trang đầu không hiển thị</x:v>
      </x:c>
      <x:c r="I75" s="123" t="str">
        <x:v>Không áp dụng</x:v>
      </x:c>
      <x:c r="J75" s="126" t="str">
        <x:v>—</x:v>
      </x:c>
      <x:c r="K75" s="123"/>
      <x:c r="L75" s="123"/>
      <x:c r="M75" s="123"/>
      <x:c r="N75" s="123" t="str">
        <x:v>Căn giữa ngang vùng nội dung, trong lề trên</x:v>
      </x:c>
      <x:c r="O75" s="124"/>
      <x:c r="P75" s="124"/>
      <x:c r="Q75" s="123"/>
      <x:c r="R75" s="123" t="str">
        <x:v>Word settings | Header footer settings + PAGE field</x:v>
      </x:c>
      <x:c r="S75" s="123" t="str">
        <x:v>Giữa lề trên; ẩn trang đầu</x:v>
      </x:c>
      <x:c r="T75" s="123" t="str">
        <x:v>NĐ30, Phụ lục I, Phần I, I (Quy định chung)</x:v>
      </x:c>
      <x:c r="U75" s="123" t="str">
        <x:v>https://datafiles.chinhphu.vn/cpp/files/vbpq/2020/03/30.signed.pdf</x:v>
      </x:c>
      <x:c r="V75" s="123" t="str">
        <x:v>https://riam.edu.vn/nghi-dinh-ve-cong-tac-van-thu-phu-luc/</x:v>
      </x:c>
      <x:c r="W75" s="123" t="str">
        <x:v>ĐỐI CHIẾU MỘT PHẦN</x:v>
      </x:c>
      <x:c r="X75" s="123" t="str">
        <x:v>FORMAT_AFTER_REVIEW</x:v>
      </x:c>
      <x:c r="Y75" s="123" t="str">
        <x:v>Không tự chèn/sửa khi chưa có chứng cứ về đối tượng và rule.</x:v>
      </x:c>
      <x:c r="Z75" s="124" t="str">
        <x:v>Giữa lề trên; ẩn trang đầu</x:v>
      </x:c>
      <x:c r="AA75" s="123" t="str">
        <x:v>DocumentSettings</x:v>
      </x:c>
      <x:c r="AB75" s="124" t="str">
        <x:v>THAM KHẢO</x:v>
      </x:c>
      <x:c r="AC75" s="123" t="str">
        <x:v>FORMAT_AFTER_REVIEW</x:v>
      </x:c>
      <x:c r="AD75" s="123" t="str">
        <x:v>PLUGIN:hoa-tieu-mien-bac-administrative-v1 | user_approved_visual_reference</x:v>
      </x:c>
      <x:c r="AE75" s="123" t="str">
        <x:v>Kiểm tra w:sectPr/w:pPr/w:rPr và bản render Word, đối chiếu quy định + preset.</x:v>
      </x:c>
      <x:c r="AF75" s="123" t="str">
        <x:v>Công ty: profile trình bày văn bản dự thảo; không mặc định thay cho văn bản pháp quy đặc thù.</x:v>
      </x:c>
      <x:c r="AG75" s="157"/>
      <x:c r="AH75" s="157"/>
      <x:c r="AI75" s="157"/>
      <x:c r="AJ75" s="195"/>
      <x:c r="AK75" s="157"/>
      <x:c r="AL75" s="157"/>
      <x:c r="AM75" s="157"/>
      <x:c r="AN75" s="157" t="str">
        <x:v>CENTER</x:v>
      </x:c>
      <x:c r="AO75" s="157"/>
      <x:c r="AP75" s="157"/>
      <x:c r="AQ75" s="195"/>
      <x:c r="AR75" s="157"/>
      <x:c r="AS75" s="195"/>
      <x:c r="AT75" s="195"/>
      <x:c r="AU75" s="195"/>
      <x:c r="AV75" s="195"/>
      <x:c r="AW75" s="195"/>
      <x:c r="AX75" s="157"/>
      <x:c r="AY75" s="157"/>
      <x:c r="AZ75" s="157"/>
      <x:c r="BA75" s="195"/>
      <x:c r="BB75" s="195"/>
      <x:c r="BC75" s="157"/>
      <x:c r="BD75" s="195"/>
      <x:c r="BE75" s="195"/>
      <x:c r="BF75" s="195"/>
      <x:c r="BG75" s="195"/>
      <x:c r="BH75" s="157"/>
      <x:c r="BI75" s="195"/>
      <x:c r="BJ75" s="195"/>
      <x:c r="BK75" s="195"/>
      <x:c r="BL75" s="157"/>
      <x:c r="BM75" s="157"/>
      <x:c r="BN75" s="157"/>
      <x:c r="BO75" s="195"/>
      <x:c r="BP75" s="195"/>
      <x:c r="BQ75" s="157"/>
      <x:c r="BR75" s="157" t="str">
        <x:v>GIỮA LỀ TRÊN</x:v>
      </x:c>
      <x:c r="BS75" s="157" t="str">
        <x:v>CÓ</x:v>
      </x:c>
      <x:c r="BT75" s="157" t="str">
        <x:v>DocumentSettings</x:v>
      </x:c>
      <x:c r="BU75" s="157" t="str">
        <x:v>Word settings | Header footer settings + PAGE field</x:v>
      </x:c>
      <x:c r="BV75" s="196" t="str">
        <x:v>THAM KHẢO</x:v>
      </x:c>
      <x:c r="BW75" s="197" t="str">
        <x:v>ĐÃ TÁCH MỘT PHẦN</x:v>
      </x:c>
      <x:c r="BX75" s="157" t="str">
        <x:v>Đối chiếu mô tả gốc ở I–S, Z–AF nếu thuộc tính phụ thuộc mẫu.</x:v>
      </x:c>
      <x:c r="BY75" t="str">
        <x:v>ND30.G.SO_TRANG.VI_TRI</x:v>
      </x:c>
      <x:c r="BZ75" t="str">
        <x:f>IFERROR(INDEX(ND30!$J$7:$J$300,MATCH($B75,ND30!$B$7:$B$300,0)),"UNRESOLVED")</x:f>
        <x:v>13–14</x:v>
      </x:c>
      <x:c r="CA75" t="str">
        <x:v>DOCUMENT_SETTING</x:v>
      </x:c>
      <x:c r="CB75" t="str">
        <x:v>issuer_scope_confirmed AND document_type_confirmed AND legal_effective_date_confirmed</x:v>
      </x:c>
      <x:c r="CC75" t="str">
        <x:f>IFERROR(INDEX(ND30!$X$7:$X$300,MATCH($B75,ND30!$B$7:$B$300,0)),"UNRESOLVED")</x:f>
        <x:v>CHỈ SAU REVIEW</x:v>
      </x:c>
      <x:c r="CD75" t="str">
        <x:f>IF(OR(ISNUMBER(SEARCH("READ_ONLY",CC75)),ISNUMBER(SEARCH("PROTECTED",CC75)),ISNUMBER(SEARCH("BẢO VỆ",CC75)),ISNUMBER(SEARCH("KHÔNG KÝ",CC75))),"PROTECTED","CHECK_ONLY")</x:f>
        <x:v>CHECK_ONLY</x:v>
      </x:c>
      <x:c r="CE75" t="str">
        <x:f>IF(AND(CD75="FORMAT_APPROVED",CU75="CÓ",CV75="CÓ",CH75="CÓ",CI75="CÓ",CJ75="CÓ"),"CÓ","KHÔNG")</x:f>
        <x:v>KHÔNG</x:v>
      </x:c>
      <x:c r="CF75" t="str">
        <x:v>KHÔNG</x:v>
      </x:c>
      <x:c r="CG75" t="str">
        <x:v>CÓ</x:v>
      </x:c>
      <x:c r="CH75" t="str">
        <x:v>KHÔNG</x:v>
      </x:c>
      <x:c r="CI75" t="str">
        <x:v>KHÔNG</x:v>
      </x:c>
      <x:c r="CJ75" t="str">
        <x:v>KHÔNG</x:v>
      </x:c>
      <x:c r="CK75" t="str">
        <x:f>IF(AND(CE75="CÓ",CF75="KHÔNG",CG75="CÓ",CU75="CÓ",CV75="CÓ",CH75="CÓ",CI75="CÓ",CJ75="CÓ"),"CÓ","KHÔNG")</x:f>
        <x:v>KHÔNG</x:v>
      </x:c>
      <x:c r="CL75" t="str">
        <x:v>PILOT_NORTH_PROFILE_DRAFT; chưa có master DOCX đã duyệt</x:v>
      </x:c>
      <x:c r="CM75" t="str">
        <x:v>v1.5 (nâng từ v1.4)</x:v>
      </x:c>
      <x:c r="CN75" t="str">
        <x:v>CẦN XÁC MINH TÊN/QUY CHẾ</x:v>
      </x:c>
      <x:c r="CO75" t="str">
        <x:v>ND30_G_SO_TRANG_VI_TRI_FIELD_ONLY; chưa tạo trong Word</x:v>
      </x:c>
      <x:c r="CP75" t="str">
        <x:v>Preset là cấu hình Công ty; không thay thế giới hạn của nguồn NĐ30/HD05</x:v>
      </x:c>
      <x:c r="CQ75" t="str">
        <x:f>IF(OR(BH75="CÓ",BH75=TRUE),BI75,"")</x:f>
      </x:c>
      <x:c r="CR75" t="str">
        <x:f>IF(OR(BH75="CÓ",BH75=TRUE),BJ75,"")</x:f>
      </x:c>
      <x:c r="CS75" t="str">
        <x:v>DOCUMENT_SETTINGS_CHECK_ONLY</x:v>
      </x:c>
      <x:c r="CT75" t="str">
        <x:v>PENDING_SOURCE_AND_DOCX_QA</x:v>
      </x:c>
      <x:c r="CU75" t="str">
        <x:v>KHÔNG</x:v>
      </x:c>
      <x:c r="CV75" t="str">
        <x:v>KHÔNG</x:v>
      </x:c>
      <x:c r="CW75" t="str"/>
    </x:row>
    <x:row r="76" ht="29" customHeight="1">
      <x:c r="A76" s="125" t="n">
        <x:v>70</x:v>
      </x:c>
      <x:c r="B76" s="123" t="str">
        <x:v>ND30.G.SO_TRANG.DINH_DANG</x:v>
      </x:c>
      <x:c r="C76" s="123" t="str">
        <x:v>Định dạng chung</x:v>
      </x:c>
      <x:c r="D76" s="123" t="str">
        <x:v>Đánh số trang</x:v>
      </x:c>
      <x:c r="E76" s="123" t="str">
        <x:v>Định dạng số trang</x:v>
      </x:c>
      <x:c r="F76" s="123" t="str">
        <x:v>—</x:v>
      </x:c>
      <x:c r="G76" s="123" t="str">
        <x:v>Dùng cho văn bản chính theo profile; loại trừ bản sao/phụ lục riêng khi chưa có route</x:v>
      </x:c>
      <x:c r="H76" s="123" t="str">
        <x:v>Số trang bằng chữ số Ả Rập, trang đầu không hiển thị</x:v>
      </x:c>
      <x:c r="I76" s="123" t="str">
        <x:v>Không áp dụng</x:v>
      </x:c>
      <x:c r="J76" s="126" t="str">
        <x:v>—</x:v>
      </x:c>
      <x:c r="K76" s="123"/>
      <x:c r="L76" s="123"/>
      <x:c r="M76" s="123"/>
      <x:c r="N76" s="123" t="str">
        <x:v>Căn giữa ngang vùng nội dung, trong lề trên</x:v>
      </x:c>
      <x:c r="O76" s="124"/>
      <x:c r="P76" s="124"/>
      <x:c r="Q76" s="123"/>
      <x:c r="R76" s="123" t="str">
        <x:v>PAGE field / header pagination; khác HEAD logic</x:v>
      </x:c>
      <x:c r="S76" s="123" t="str">
        <x:v>Số Ả Rập; TNR 13 pt; không tự đổi số thứ tự trang</x:v>
      </x:c>
      <x:c r="T76" s="123" t="str">
        <x:v>NĐ30, Phụ lục I, Phần I, I (Quy định chung)</x:v>
      </x:c>
      <x:c r="U76" s="123" t="str">
        <x:v>https://datafiles.chinhphu.vn/cpp/files/vbpq/2020/03/30.signed.pdf</x:v>
      </x:c>
      <x:c r="V76" s="123" t="str">
        <x:v>https://riam.edu.vn/nghi-dinh-ve-cong-tac-van-thu-phu-luc/</x:v>
      </x:c>
      <x:c r="W76" s="123" t="str">
        <x:v>ĐỐI CHIẾU MỘT PHẦN</x:v>
      </x:c>
      <x:c r="X76" s="123" t="str">
        <x:v>FORMAT_AFTER_REVIEW</x:v>
      </x:c>
      <x:c r="Y76" s="123" t="str">
        <x:v>Không tự chèn/sửa khi chưa có chứng cứ về đối tượng và rule.</x:v>
      </x:c>
      <x:c r="Z76" s="124" t="str">
        <x:v>Số Ả Rập; TNR 13 pt; không tự đổi số thứ tự trang</x:v>
      </x:c>
      <x:c r="AA76" s="123" t="str">
        <x:v>DocumentSettings</x:v>
      </x:c>
      <x:c r="AB76" s="124" t="str">
        <x:v>THAM KHẢO</x:v>
      </x:c>
      <x:c r="AC76" s="123" t="str">
        <x:v>FORMAT_AFTER_REVIEW</x:v>
      </x:c>
      <x:c r="AD76" s="123" t="str">
        <x:v>PLUGIN:hoa-tieu-mien-bac-administrative-v1 | user_approved_visual_reference</x:v>
      </x:c>
      <x:c r="AE76" s="123" t="str">
        <x:v>Kiểm tra w:sectPr/w:pPr/w:rPr và bản render Word, đối chiếu quy định + preset.</x:v>
      </x:c>
      <x:c r="AF76" s="123" t="str">
        <x:v>Công ty: profile trình bày văn bản dự thảo; không mặc định thay cho văn bản pháp quy đặc thù.</x:v>
      </x:c>
      <x:c r="AG76" s="157"/>
      <x:c r="AH76" s="157"/>
      <x:c r="AI76" s="157"/>
      <x:c r="AJ76" s="195"/>
      <x:c r="AK76" s="157"/>
      <x:c r="AL76" s="157"/>
      <x:c r="AM76" s="157"/>
      <x:c r="AN76" s="157" t="str">
        <x:v>CENTER</x:v>
      </x:c>
      <x:c r="AO76" s="157"/>
      <x:c r="AP76" s="157"/>
      <x:c r="AQ76" s="195"/>
      <x:c r="AR76" s="157"/>
      <x:c r="AS76" s="195"/>
      <x:c r="AT76" s="195"/>
      <x:c r="AU76" s="195"/>
      <x:c r="AV76" s="195"/>
      <x:c r="AW76" s="195"/>
      <x:c r="AX76" s="157"/>
      <x:c r="AY76" s="157"/>
      <x:c r="AZ76" s="157"/>
      <x:c r="BA76" s="195"/>
      <x:c r="BB76" s="195"/>
      <x:c r="BC76" s="157"/>
      <x:c r="BD76" s="195"/>
      <x:c r="BE76" s="195"/>
      <x:c r="BF76" s="195"/>
      <x:c r="BG76" s="195"/>
      <x:c r="BH76" s="157"/>
      <x:c r="BI76" s="195"/>
      <x:c r="BJ76" s="195"/>
      <x:c r="BK76" s="195"/>
      <x:c r="BL76" s="157"/>
      <x:c r="BM76" s="157"/>
      <x:c r="BN76" s="157"/>
      <x:c r="BO76" s="195"/>
      <x:c r="BP76" s="195"/>
      <x:c r="BQ76" s="157" t="str">
        <x:v>SỐ Ả RẬP</x:v>
      </x:c>
      <x:c r="BR76" s="157"/>
      <x:c r="BS76" s="157"/>
      <x:c r="BT76" s="157" t="str">
        <x:v>DocumentSettings</x:v>
      </x:c>
      <x:c r="BU76" s="157" t="str">
        <x:v>PAGE field / header pagination; khác HEAD logic</x:v>
      </x:c>
      <x:c r="BV76" s="196" t="str">
        <x:v>THAM KHẢO</x:v>
      </x:c>
      <x:c r="BW76" s="197" t="str">
        <x:v>CHƯA CÓ THÔNG SỐ ĐỊNH LƯỢNG</x:v>
      </x:c>
      <x:c r="BX76" s="157" t="str">
        <x:v>Đối chiếu mô tả gốc ở I–S, Z–AF nếu thuộc tính phụ thuộc mẫu.</x:v>
      </x:c>
      <x:c r="BY76" t="str">
        <x:v>ND30.G.SO_TRANG.DINH_DANG</x:v>
      </x:c>
      <x:c r="BZ76" t="str">
        <x:f>IFERROR(INDEX(ND30!$J$7:$J$300,MATCH($B76,ND30!$B$7:$B$300,0)),"UNRESOLVED")</x:f>
        <x:v>13–14</x:v>
      </x:c>
      <x:c r="CA76" t="str">
        <x:v>DOCUMENT_SETTING</x:v>
      </x:c>
      <x:c r="CB76" t="str">
        <x:v>issuer_scope_confirmed AND document_type_confirmed AND legal_effective_date_confirmed</x:v>
      </x:c>
      <x:c r="CC76" t="str">
        <x:f>IFERROR(INDEX(ND30!$X$7:$X$300,MATCH($B76,ND30!$B$7:$B$300,0)),"UNRESOLVED")</x:f>
        <x:v>CHỈ SAU REVIEW</x:v>
      </x:c>
      <x:c r="CD76" t="str">
        <x:f>IF(OR(ISNUMBER(SEARCH("READ_ONLY",CC76)),ISNUMBER(SEARCH("PROTECTED",CC76)),ISNUMBER(SEARCH("BẢO VỆ",CC76)),ISNUMBER(SEARCH("KHÔNG KÝ",CC76))),"PROTECTED","CHECK_ONLY")</x:f>
        <x:v>CHECK_ONLY</x:v>
      </x:c>
      <x:c r="CE76" t="str">
        <x:f>IF(AND(CD76="FORMAT_APPROVED",CU76="CÓ",CV76="CÓ",CH76="CÓ",CI76="CÓ",CJ76="CÓ"),"CÓ","KHÔNG")</x:f>
        <x:v>KHÔNG</x:v>
      </x:c>
      <x:c r="CF76" t="str">
        <x:v>KHÔNG</x:v>
      </x:c>
      <x:c r="CG76" t="str">
        <x:v>CÓ</x:v>
      </x:c>
      <x:c r="CH76" t="str">
        <x:v>KHÔNG</x:v>
      </x:c>
      <x:c r="CI76" t="str">
        <x:v>KHÔNG</x:v>
      </x:c>
      <x:c r="CJ76" t="str">
        <x:v>KHÔNG</x:v>
      </x:c>
      <x:c r="CK76" t="str">
        <x:f>IF(AND(CE76="CÓ",CF76="KHÔNG",CG76="CÓ",CU76="CÓ",CV76="CÓ",CH76="CÓ",CI76="CÓ",CJ76="CÓ"),"CÓ","KHÔNG")</x:f>
        <x:v>KHÔNG</x:v>
      </x:c>
      <x:c r="CL76" t="str">
        <x:v>PILOT_NORTH_PROFILE_DRAFT; chưa có master DOCX đã duyệt</x:v>
      </x:c>
      <x:c r="CM76" t="str">
        <x:v>v1.5 (nâng từ v1.4)</x:v>
      </x:c>
      <x:c r="CN76" t="str">
        <x:v>CẦN XÁC MINH TÊN/QUY CHẾ</x:v>
      </x:c>
      <x:c r="CO76" t="str">
        <x:v>ND30_G_SO_TRANG_DINH_DANG_FIELD_ONLY; chưa tạo trong Word</x:v>
      </x:c>
      <x:c r="CP76" t="str">
        <x:v>Preset là cấu hình Công ty; không thay thế giới hạn của nguồn NĐ30/HD05</x:v>
      </x:c>
      <x:c r="CQ76" t="str">
        <x:f>IF(OR(BH76="CÓ",BH76=TRUE),BI76,"")</x:f>
      </x:c>
      <x:c r="CR76" t="str">
        <x:f>IF(OR(BH76="CÓ",BH76=TRUE),BJ76,"")</x:f>
      </x:c>
      <x:c r="CS76" t="str">
        <x:v>DOCUMENT_SETTINGS_CHECK_ONLY</x:v>
      </x:c>
      <x:c r="CT76" t="str">
        <x:v>PENDING_SOURCE_AND_DOCX_QA</x:v>
      </x:c>
      <x:c r="CU76" t="str">
        <x:v>KHÔNG</x:v>
      </x:c>
      <x:c r="CV76" t="str">
        <x:v>KHÔNG</x:v>
      </x:c>
      <x:c r="CW76" t="str"/>
    </x:row>
    <x:row r="77" ht="29" customHeight="1">
      <x:c r="A77" s="125" t="n">
        <x:v>71</x:v>
      </x:c>
      <x:c r="B77" s="123" t="str">
        <x:v>ND30.X.MAT.MUC_DO</x:v>
      </x:c>
      <x:c r="C77" s="123" t="str">
        <x:v>Thể thức bổ sung</x:v>
      </x:c>
      <x:c r="D77" s="123" t="str">
        <x:v>Chỉ độ mật</x:v>
      </x:c>
      <x:c r="E77" s="123" t="str">
        <x:v>Mức độ mật và dấu chỉ tương ứng</x:v>
      </x:c>
      <x:c r="F77" s="123" t="str">
        <x:v>10a</x:v>
      </x:c>
      <x:c r="G77" s="123" t="str">
        <x:v>Chỉ khi đủ chứng cứ/được phép hiện diện; không tự chèn giá trị</x:v>
      </x:c>
      <x:c r="H77" s="123" t="str">
        <x:v>Dấu mật, hình thức/độ mật theo pháp luật bảo vệ bí mật nhà nước</x:v>
      </x:c>
      <x:c r="I77" s="123" t="str">
        <x:v>Không áp dụng</x:v>
      </x:c>
      <x:c r="J77" s="126" t="str">
        <x:v>—</x:v>
      </x:c>
      <x:c r="K77" s="123" t="str">
        <x:v>Không áp dụng</x:v>
      </x:c>
      <x:c r="L77" s="123" t="str">
        <x:v>Không áp dụng</x:v>
      </x:c>
      <x:c r="M77" s="123" t="str">
        <x:v>Không áp dụng</x:v>
      </x:c>
      <x:c r="N77" s="123"/>
      <x:c r="O77" s="124"/>
      <x:c r="P77" s="124"/>
      <x:c r="Q77" s="123"/>
      <x:c r="R77" s="123" t="str">
        <x:v>Metadata + vùng trình bày có điều kiện; đánh giá thủ công trước sửa</x:v>
      </x:c>
      <x:c r="S77" s="123" t="str">
        <x:v>Không xác định mức mật bằng AI; cần nguồn riêng và thẩm quyền phê duyệt</x:v>
      </x:c>
      <x:c r="T77" s="123" t="str">
        <x:v>NĐ30, Phụ lục I, III.2.a; quy định BV BMNN</x:v>
      </x:c>
      <x:c r="U77" s="123" t="str">
        <x:v>https://datafiles.chinhphu.vn/cpp/files/vbpq/2020/03/30.signed.pdf</x:v>
      </x:c>
      <x:c r="V77" s="123" t="str">
        <x:v>https://riam.edu.vn/nghi-dinh-ve-cong-tac-van-thu-phu-luc/</x:v>
      </x:c>
      <x:c r="W77" s="123" t="str">
        <x:v>CHƯA ĐỦ BẰNG CHỨNG</x:v>
      </x:c>
      <x:c r="X77" s="123" t="str">
        <x:v>CHECK_ONLY</x:v>
      </x:c>
      <x:c r="Y77" s="123" t="str">
        <x:v>Không tự chèn/sửa khi chưa có chứng cứ về đối tượng và rule. | Trạng thái v1.0: BẢO VỆ</x:v>
      </x:c>
      <x:c r="Z77" s="124" t="str">
        <x:v>[CHỈ KHI VĂN BẢN CÓ PHÂN LOẠI MẬT HỢP LỆ]</x:v>
      </x:c>
      <x:c r="AA77" s="123" t="str">
        <x:v>Supplementary</x:v>
      </x:c>
      <x:c r="AB77" s="124" t="str">
        <x:v>BẢO VỆ</x:v>
      </x:c>
      <x:c r="AC77" s="123" t="str">
        <x:v>CHECK_ONLY</x:v>
      </x:c>
      <x:c r="AD77" s="123" t="str">
        <x:v>PLUGIN:hoa-tieu-mien-bac-administrative-v1 | user_approved_visual_reference</x:v>
      </x:c>
      <x:c r="AE77" s="123" t="str">
        <x:v>Đối chiếu đúng vị trí; không điền dữ liệu; không chạm dấu/chữ ký hoặc trường được bảo vệ.</x:v>
      </x:c>
      <x:c r="AF77" s="123" t="str">
        <x:v>Công ty: profile trình bày văn bản dự thảo; không mặc định thay cho văn bản pháp quy đặc thù.</x:v>
      </x:c>
      <x:c r="AG77" s="157"/>
      <x:c r="AH77" s="157"/>
      <x:c r="AI77" s="157"/>
      <x:c r="AJ77" s="195"/>
      <x:c r="AK77" s="157" t="str">
        <x:v>KHÔNG ÁP DỤNG</x:v>
      </x:c>
      <x:c r="AL77" s="157" t="str">
        <x:v>KHÔNG ÁP DỤNG</x:v>
      </x:c>
      <x:c r="AM77" s="157"/>
      <x:c r="AN77" s="157"/>
      <x:c r="AO77" s="157"/>
      <x:c r="AP77" s="157"/>
      <x:c r="AQ77" s="195"/>
      <x:c r="AR77" s="157"/>
      <x:c r="AS77" s="195"/>
      <x:c r="AT77" s="195"/>
      <x:c r="AU77" s="195"/>
      <x:c r="AV77" s="195"/>
      <x:c r="AW77" s="195"/>
      <x:c r="AX77" s="157"/>
      <x:c r="AY77" s="157"/>
      <x:c r="AZ77" s="157"/>
      <x:c r="BA77" s="195"/>
      <x:c r="BB77" s="195"/>
      <x:c r="BC77" s="157"/>
      <x:c r="BD77" s="195"/>
      <x:c r="BE77" s="195"/>
      <x:c r="BF77" s="195"/>
      <x:c r="BG77" s="195"/>
      <x:c r="BH77" s="157"/>
      <x:c r="BI77" s="195"/>
      <x:c r="BJ77" s="195"/>
      <x:c r="BK77" s="195"/>
      <x:c r="BL77" s="157"/>
      <x:c r="BM77" s="157"/>
      <x:c r="BN77" s="157"/>
      <x:c r="BO77" s="195"/>
      <x:c r="BP77" s="195"/>
      <x:c r="BQ77" s="157"/>
      <x:c r="BR77" s="157"/>
      <x:c r="BS77" s="157"/>
      <x:c r="BT77" s="157" t="str">
        <x:v>Supplementary</x:v>
      </x:c>
      <x:c r="BU77" s="157" t="str">
        <x:v>Metadata + vùng trình bày có điều kiện; đánh giá thủ công trước sửa</x:v>
      </x:c>
      <x:c r="BV77" s="196" t="str">
        <x:v>BẢO VỆ</x:v>
      </x:c>
      <x:c r="BW77" s="197" t="str">
        <x:v>CHƯA CÓ THÔNG SỐ ĐỊNH LƯỢNG</x:v>
      </x:c>
      <x:c r="BX77" s="157" t="str">
        <x:v>Chưa có giá trị nghiệp vụ; không tự điền.</x:v>
      </x:c>
      <x:c r="BY77" t="str">
        <x:v>ND30.X.MAT.MUC_DO</x:v>
      </x:c>
      <x:c r="BZ77" t="str">
        <x:f>IFERROR(INDEX(ND30!$J$7:$J$300,MATCH($B77,ND30!$B$7:$B$300,0)),"UNRESOLVED")</x:f>
      </x:c>
      <x:c r="CA77" t="str">
        <x:v>TEXT</x:v>
      </x:c>
      <x:c r="CB77" t="str">
        <x:v>issuer_scope_confirmed AND document_type_confirmed AND legal_effective_date_confirmed</x:v>
      </x:c>
      <x:c r="CC77" t="str">
        <x:f>IFERROR(INDEX(ND30!$X$7:$X$300,MATCH($B77,ND30!$B$7:$B$300,0)),"UNRESOLVED")</x:f>
        <x:v>BẢO VỆ / KHÔNG TỰ SỬA</x:v>
      </x:c>
      <x:c r="CD77" t="str">
        <x:f>IF(OR(ISNUMBER(SEARCH("READ_ONLY",CC77)),ISNUMBER(SEARCH("PROTECTED",CC77)),ISNUMBER(SEARCH("BẢO VỆ",CC77)),ISNUMBER(SEARCH("KHÔNG KÝ",CC77))),"PROTECTED","CHECK_ONLY")</x:f>
        <x:v>PROTECTED</x:v>
      </x:c>
      <x:c r="CE77" t="str">
        <x:f>IF(AND(CD77="FORMAT_APPROVED",CU77="CÓ",CV77="CÓ",CH77="CÓ",CI77="CÓ",CJ77="CÓ"),"CÓ","KHÔNG")</x:f>
        <x:v>KHÔNG</x:v>
      </x:c>
      <x:c r="CF77" t="str">
        <x:v>KHÔNG</x:v>
      </x:c>
      <x:c r="CG77" t="str">
        <x:v>CÓ</x:v>
      </x:c>
      <x:c r="CH77" t="str">
        <x:v>KHÔNG</x:v>
      </x:c>
      <x:c r="CI77" t="str">
        <x:v>KHÔNG</x:v>
      </x:c>
      <x:c r="CJ77" t="str">
        <x:v>KHÔNG</x:v>
      </x:c>
      <x:c r="CK77" t="str">
        <x:f>IF(AND(CE77="CÓ",CF77="KHÔNG",CG77="CÓ",CU77="CÓ",CV77="CÓ",CH77="CÓ",CI77="CÓ",CJ77="CÓ"),"CÓ","KHÔNG")</x:f>
        <x:v>KHÔNG</x:v>
      </x:c>
      <x:c r="CL77" t="str">
        <x:v>PILOT_NORTH_PROFILE_DRAFT; chưa có master DOCX đã duyệt</x:v>
      </x:c>
      <x:c r="CM77" t="str">
        <x:v>v1.5 (nâng từ v1.4)</x:v>
      </x:c>
      <x:c r="CN77" t="str">
        <x:v>CẦN XÁC MINH TÊN/QUY CHẾ</x:v>
      </x:c>
      <x:c r="CO77" t="str">
        <x:v>ND30_X_MAT_MUC_DO_FIELD_ONLY; chưa tạo trong Word</x:v>
      </x:c>
      <x:c r="CP77" t="str">
        <x:v>Preset là cấu hình Công ty; không thay thế giới hạn của nguồn NĐ30/HD05</x:v>
      </x:c>
      <x:c r="CQ77" t="str">
        <x:f>IF(OR(BH77="CÓ",BH77=TRUE),BI77,"")</x:f>
      </x:c>
      <x:c r="CR77" t="str">
        <x:f>IF(OR(BH77="CÓ",BH77=TRUE),BJ77,"")</x:f>
      </x:c>
      <x:c r="CS77" t="str">
        <x:v>FORMAT_CHECK_ONLY</x:v>
      </x:c>
      <x:c r="CT77" t="str">
        <x:v>PENDING_SOURCE_AND_DOCX_QA</x:v>
      </x:c>
      <x:c r="CU77" t="str">
        <x:v>KHÔNG</x:v>
      </x:c>
      <x:c r="CV77" t="str">
        <x:v>KHÔNG</x:v>
      </x:c>
      <x:c r="CW77" t="str"/>
    </x:row>
    <x:row r="78" ht="29" customHeight="1">
      <x:c r="A78" s="125" t="n">
        <x:v>72</x:v>
      </x:c>
      <x:c r="B78" s="123" t="str">
        <x:v>ND30.X.KHAN.MUC_DO</x:v>
      </x:c>
      <x:c r="C78" s="123" t="str">
        <x:v>Thể thức bổ sung</x:v>
      </x:c>
      <x:c r="D78" s="123" t="str">
        <x:v>Chỉ mức độ khẩn</x:v>
      </x:c>
      <x:c r="E78" s="123" t="str">
        <x:v>Mức độ khẩn</x:v>
      </x:c>
      <x:c r="F78" s="123" t="str">
        <x:v>10b</x:v>
      </x:c>
      <x:c r="G78" s="123" t="str">
        <x:v>Chỉ khi đủ chứng cứ/được phép hiện diện; không tự chèn giá trị</x:v>
      </x:c>
      <x:c r="H78" s="123" t="str">
        <x:v>Dấu HỎA TỐC / THƯỢNG KHẨN / KHẨN theo quyết định có thẩm quyền</x:v>
      </x:c>
      <x:c r="I78" s="123" t="str">
        <x:v>Times New Roman | Unicode | đen</x:v>
      </x:c>
      <x:c r="J78" s="126" t="str">
        <x:v>14</x:v>
      </x:c>
      <x:c r="K78" s="123" t="str">
        <x:v>IN HOA</x:v>
      </x:c>
      <x:c r="L78" s="123" t="str">
        <x:v>Có</x:v>
      </x:c>
      <x:c r="M78" s="123" t="str">
        <x:v>Không</x:v>
      </x:c>
      <x:c r="N78" s="123"/>
      <x:c r="O78" s="124"/>
      <x:c r="P78" s="124"/>
      <x:c r="Q78" s="123"/>
      <x:c r="R78" s="123" t="str">
        <x:v>Metadata + vùng trình bày có điều kiện; đánh giá thủ công trước sửa</x:v>
      </x:c>
      <x:c r="S78" s="123" t="str">
        <x:v>Dấu mức độ khẩn phải theo từng cấp (HỎA TỐC / THƯỢNG KHẨN / KHẨN), màu/khung/kích thước theo mẫu pháp lý; kích thước chưa map đối chiếu từng mẫu ⇒ CHƯA TỰ SỬA</x:v>
      </x:c>
      <x:c r="T78" s="123" t="str">
        <x:v>NĐ30, Phụ lục I, Phần I, III (Thể thức bổ sung)</x:v>
      </x:c>
      <x:c r="U78" s="123" t="str">
        <x:v>https://datafiles.chinhphu.vn/cpp/files/vbpq/2020/03/30.signed.pdf</x:v>
      </x:c>
      <x:c r="V78" s="123" t="str">
        <x:v>https://riam.edu.vn/nghi-dinh-ve-cong-tac-van-thu-phu-luc/</x:v>
      </x:c>
      <x:c r="W78" s="123" t="str">
        <x:v>CHƯA ĐỦ BẰNG CHỨNG</x:v>
      </x:c>
      <x:c r="X78" s="123" t="str">
        <x:v>CHECK_ONLY</x:v>
      </x:c>
      <x:c r="Y78" s="123" t="str">
        <x:v>Không tự chèn/sửa khi chưa có chứng cứ về đối tượng và rule. | Trạng thái v1.0: CÓ ĐIỀU KIỆN | So sánh cũ (không tham gia xác nhận): NĐ30: kích thước khung tùy mức: 30×8, 40×8, 20×8 mm; HD05: cỡ 14, theo nội dung/mẫu</x:v>
      </x:c>
      <x:c r="Z78" s="124" t="str">
        <x:v>[MỨC ĐỘ KHẨN THEO QUYẾT ĐỊNH CÓ THẨM QUYỀN]</x:v>
      </x:c>
      <x:c r="AA78" s="123" t="str">
        <x:v>Supplementary</x:v>
      </x:c>
      <x:c r="AB78" s="124" t="str">
        <x:v>BẢO VỆ</x:v>
      </x:c>
      <x:c r="AC78" s="123" t="str">
        <x:v>CHECK_ONLY</x:v>
      </x:c>
      <x:c r="AD78" s="123" t="str">
        <x:v>PLUGIN:hoa-tieu-mien-bac-administrative-v1 | user_approved_visual_reference</x:v>
      </x:c>
      <x:c r="AE78" s="123" t="str">
        <x:v>Đối chiếu đúng vị trí; không điền dữ liệu; không chạm dấu/chữ ký hoặc trường được bảo vệ.</x:v>
      </x:c>
      <x:c r="AF78" s="123" t="str">
        <x:v>Công ty: profile trình bày văn bản dự thảo; không mặc định thay cho văn bản pháp quy đặc thù.</x:v>
      </x:c>
      <x:c r="AG78" s="157" t="str">
        <x:v>Times New Roman</x:v>
      </x:c>
      <x:c r="AH78" s="157" t="str">
        <x:v>Unicode</x:v>
      </x:c>
      <x:c r="AI78" s="157" t="str">
        <x:v>#000000</x:v>
      </x:c>
      <x:c r="AJ78" s="195" t="n">
        <x:v>14</x:v>
      </x:c>
      <x:c r="AK78" s="157" t="str">
        <x:v>CÓ</x:v>
      </x:c>
      <x:c r="AL78" s="157" t="str">
        <x:v>KHÔNG</x:v>
      </x:c>
      <x:c r="AM78" s="157" t="str">
        <x:v>IN HOA</x:v>
      </x:c>
      <x:c r="AN78" s="157"/>
      <x:c r="AO78" s="157"/>
      <x:c r="AP78" s="157"/>
      <x:c r="AQ78" s="195"/>
      <x:c r="AR78" s="157"/>
      <x:c r="AS78" s="195"/>
      <x:c r="AT78" s="195"/>
      <x:c r="AU78" s="195"/>
      <x:c r="AV78" s="195"/>
      <x:c r="AW78" s="195"/>
      <x:c r="AX78" s="157"/>
      <x:c r="AY78" s="157"/>
      <x:c r="AZ78" s="157"/>
      <x:c r="BA78" s="195"/>
      <x:c r="BB78" s="195"/>
      <x:c r="BC78" s="157"/>
      <x:c r="BD78" s="195"/>
      <x:c r="BE78" s="195"/>
      <x:c r="BF78" s="195"/>
      <x:c r="BG78" s="195"/>
      <x:c r="BH78" s="157"/>
      <x:c r="BI78" s="195"/>
      <x:c r="BJ78" s="195"/>
      <x:c r="BK78" s="195"/>
      <x:c r="BL78" s="157"/>
      <x:c r="BM78" s="157"/>
      <x:c r="BN78" s="157"/>
      <x:c r="BO78" s="195"/>
      <x:c r="BP78" s="195"/>
      <x:c r="BQ78" s="157"/>
      <x:c r="BR78" s="157"/>
      <x:c r="BS78" s="157"/>
      <x:c r="BT78" s="157" t="str">
        <x:v>Supplementary</x:v>
      </x:c>
      <x:c r="BU78" s="157" t="str">
        <x:v>Metadata + vùng trình bày có điều kiện; đánh giá thủ công trước sửa</x:v>
      </x:c>
      <x:c r="BV78" s="196" t="str">
        <x:v>BẢO VỆ</x:v>
      </x:c>
      <x:c r="BW78" s="197" t="str">
        <x:v>ĐÃ TÁCH MỘT PHẦN</x:v>
      </x:c>
      <x:c r="BX78" s="157" t="str">
        <x:v>Đối chiếu mô tả gốc ở I–S, Z–AF nếu thuộc tính phụ thuộc mẫu.</x:v>
      </x:c>
      <x:c r="BY78" t="str">
        <x:v>ND30.X.KHAN.MUC_DO</x:v>
      </x:c>
      <x:c r="BZ78" t="str">
        <x:f>IFERROR(INDEX(ND30!$J$7:$J$300,MATCH($B78,ND30!$B$7:$B$300,0)),"UNRESOLVED")</x:f>
        <x:v>13–14</x:v>
      </x:c>
      <x:c r="CA78" t="str">
        <x:v>TEXT</x:v>
      </x:c>
      <x:c r="CB78" t="str">
        <x:v>issuer_scope_confirmed AND document_type_confirmed AND legal_effective_date_confirmed</x:v>
      </x:c>
      <x:c r="CC78" t="str">
        <x:f>IFERROR(INDEX(ND30!$X$7:$X$300,MATCH($B78,ND30!$B$7:$B$300,0)),"UNRESOLVED")</x:f>
        <x:v>KHÔNG TỰ CHÈN</x:v>
      </x:c>
      <x:c r="CD78" t="str">
        <x:f>IF(OR(ISNUMBER(SEARCH("READ_ONLY",CC78)),ISNUMBER(SEARCH("PROTECTED",CC78)),ISNUMBER(SEARCH("BẢO VỆ",CC78)),ISNUMBER(SEARCH("KHÔNG KÝ",CC78))),"PROTECTED","CHECK_ONLY")</x:f>
        <x:v>CHECK_ONLY</x:v>
      </x:c>
      <x:c r="CE78" t="str">
        <x:f>IF(AND(CD78="FORMAT_APPROVED",CU78="CÓ",CV78="CÓ",CH78="CÓ",CI78="CÓ",CJ78="CÓ"),"CÓ","KHÔNG")</x:f>
        <x:v>KHÔNG</x:v>
      </x:c>
      <x:c r="CF78" t="str">
        <x:v>KHÔNG</x:v>
      </x:c>
      <x:c r="CG78" t="str">
        <x:v>CÓ</x:v>
      </x:c>
      <x:c r="CH78" t="str">
        <x:v>KHÔNG</x:v>
      </x:c>
      <x:c r="CI78" t="str">
        <x:v>KHÔNG</x:v>
      </x:c>
      <x:c r="CJ78" t="str">
        <x:v>KHÔNG</x:v>
      </x:c>
      <x:c r="CK78" t="str">
        <x:f>IF(AND(CE78="CÓ",CF78="KHÔNG",CG78="CÓ",CU78="CÓ",CV78="CÓ",CH78="CÓ",CI78="CÓ",CJ78="CÓ"),"CÓ","KHÔNG")</x:f>
        <x:v>KHÔNG</x:v>
      </x:c>
      <x:c r="CL78" t="str">
        <x:v>PILOT_NORTH_PROFILE_DRAFT; chưa có master DOCX đã duyệt</x:v>
      </x:c>
      <x:c r="CM78" t="str">
        <x:v>v1.5 (nâng từ v1.4)</x:v>
      </x:c>
      <x:c r="CN78" t="str">
        <x:v>CẦN XÁC MINH TÊN/QUY CHẾ</x:v>
      </x:c>
      <x:c r="CO78" t="str">
        <x:v>ND30_X_KHAN_MUC_DO_FIELD_ONLY; chưa tạo trong Word</x:v>
      </x:c>
      <x:c r="CP78" t="str">
        <x:v>Preset là cấu hình Công ty; không thay thế giới hạn của nguồn NĐ30/HD05</x:v>
      </x:c>
      <x:c r="CQ78" t="str">
        <x:f>IF(OR(BH78="CÓ",BH78=TRUE),BI78,"")</x:f>
      </x:c>
      <x:c r="CR78" t="str">
        <x:f>IF(OR(BH78="CÓ",BH78=TRUE),BJ78,"")</x:f>
      </x:c>
      <x:c r="CS78" t="str">
        <x:v>FORMAT_CHECK_ONLY</x:v>
      </x:c>
      <x:c r="CT78" t="str">
        <x:v>PENDING_SOURCE_AND_DOCX_QA</x:v>
      </x:c>
      <x:c r="CU78" t="str">
        <x:v>KHÔNG</x:v>
      </x:c>
      <x:c r="CV78" t="str">
        <x:v>KHÔNG</x:v>
      </x:c>
      <x:c r="CW78" t="str"/>
    </x:row>
    <x:row r="79" ht="29" customHeight="1">
      <x:c r="A79" s="125" t="n">
        <x:v>73</x:v>
      </x:c>
      <x:c r="B79" s="123" t="str">
        <x:v>ND30.X.LUU_HANH.CHI_DAN</x:v>
      </x:c>
      <x:c r="C79" s="123" t="str">
        <x:v>Thể thức bổ sung</x:v>
      </x:c>
      <x:c r="D79" s="123" t="str">
        <x:v>Phạm vi lưu hành</x:v>
      </x:c>
      <x:c r="E79" s="123" t="str">
        <x:v>Chỉ dẫn phạm vi lưu hành</x:v>
      </x:c>
      <x:c r="F79" s="123" t="str">
        <x:v>11</x:v>
      </x:c>
      <x:c r="G79" s="123" t="str">
        <x:v>Chỉ khi đủ chứng cứ/được phép hiện diện; không tự chèn giá trị</x:v>
      </x:c>
      <x:c r="H79" s="123" t="str">
        <x:v>Chỉ dẫn phạm vi lưu hành/phổ biến theo quyết định có thẩm quyền</x:v>
      </x:c>
      <x:c r="I79" s="123" t="str">
        <x:v>Times New Roman | Unicode | đen</x:v>
      </x:c>
      <x:c r="J79" s="126" t="str">
        <x:v>14</x:v>
      </x:c>
      <x:c r="K79" s="123" t="str">
        <x:v>IN HOA</x:v>
      </x:c>
      <x:c r="L79" s="123" t="str">
        <x:v>Có</x:v>
      </x:c>
      <x:c r="M79" s="123" t="str">
        <x:v>Không</x:v>
      </x:c>
      <x:c r="N79" s="123"/>
      <x:c r="O79" s="124"/>
      <x:c r="P79" s="124"/>
      <x:c r="Q79" s="123"/>
      <x:c r="R79" s="123" t="str">
        <x:v>Metadata + vùng trình bày có điều kiện; đánh giá thủ công trước sửa</x:v>
      </x:c>
      <x:c r="S79" s="123" t="str">
        <x:v>NĐ30: ô 11, khung viền đơn</x:v>
      </x:c>
      <x:c r="T79" s="123" t="str">
        <x:v>NĐ30, Phụ lục I, Phần I, III (Thể thức bổ sung)</x:v>
      </x:c>
      <x:c r="U79" s="123" t="str">
        <x:v>https://datafiles.chinhphu.vn/cpp/files/vbpq/2020/03/30.signed.pdf</x:v>
      </x:c>
      <x:c r="V79" s="123" t="str">
        <x:v>https://riam.edu.vn/nghi-dinh-ve-cong-tac-van-thu-phu-luc/</x:v>
      </x:c>
      <x:c r="W79" s="123" t="str">
        <x:v>CHƯA ĐỦ BẰNG CHỨNG</x:v>
      </x:c>
      <x:c r="X79" s="123" t="str">
        <x:v>PROTECT_CONTENT</x:v>
      </x:c>
      <x:c r="Y79" s="123" t="str">
        <x:v>Không tự chèn/sửa khi chưa có chứng cứ về đối tượng và rule. | Trạng thái v1.0: CÓ ĐIỀU KIỆN | So sánh cũ (không tham gia xác nhận): NĐ30: ô 11, khung viền đơn; HD05: góc phải trang 1 (ngoại lệ “Không phổ biến...” ở trang cuối)</x:v>
      </x:c>
      <x:c r="Z79" s="124" t="str">
        <x:v>[CHỈ DẪN LƯU HÀNH THEO MẪU ĐƯỢC PHÊ DUYỆT]</x:v>
      </x:c>
      <x:c r="AA79" s="123" t="str">
        <x:v>Supplementary</x:v>
      </x:c>
      <x:c r="AB79" s="124" t="str">
        <x:v>CÓ ĐIỀU KIỆN</x:v>
      </x:c>
      <x:c r="AC79" s="123" t="str">
        <x:v>PROTECT_CONTENT</x:v>
      </x:c>
      <x:c r="AD79" s="123" t="str">
        <x:v>PLUGIN:hoa-tieu-mien-bac-administrative-v1 | user_approved_visual_reference</x:v>
      </x:c>
      <x:c r="AE79" s="123" t="str">
        <x:v>Đối chiếu đúng vị trí; không điền dữ liệu; không chạm dấu/chữ ký hoặc trường được bảo vệ.</x:v>
      </x:c>
      <x:c r="AF79" s="123" t="str">
        <x:v>Công ty: profile trình bày văn bản dự thảo; không mặc định thay cho văn bản pháp quy đặc thù.</x:v>
      </x:c>
      <x:c r="AG79" s="157" t="str">
        <x:v>Times New Roman</x:v>
      </x:c>
      <x:c r="AH79" s="157" t="str">
        <x:v>Unicode</x:v>
      </x:c>
      <x:c r="AI79" s="157" t="str">
        <x:v>#000000</x:v>
      </x:c>
      <x:c r="AJ79" s="195" t="n">
        <x:v>14</x:v>
      </x:c>
      <x:c r="AK79" s="157" t="str">
        <x:v>CÓ</x:v>
      </x:c>
      <x:c r="AL79" s="157" t="str">
        <x:v>KHÔNG</x:v>
      </x:c>
      <x:c r="AM79" s="157" t="str">
        <x:v>IN HOA</x:v>
      </x:c>
      <x:c r="AN79" s="157"/>
      <x:c r="AO79" s="157"/>
      <x:c r="AP79" s="157"/>
      <x:c r="AQ79" s="195"/>
      <x:c r="AR79" s="157"/>
      <x:c r="AS79" s="195"/>
      <x:c r="AT79" s="195"/>
      <x:c r="AU79" s="195"/>
      <x:c r="AV79" s="195"/>
      <x:c r="AW79" s="195"/>
      <x:c r="AX79" s="157"/>
      <x:c r="AY79" s="157"/>
      <x:c r="AZ79" s="157"/>
      <x:c r="BA79" s="195"/>
      <x:c r="BB79" s="195"/>
      <x:c r="BC79" s="157"/>
      <x:c r="BD79" s="195"/>
      <x:c r="BE79" s="195"/>
      <x:c r="BF79" s="195"/>
      <x:c r="BG79" s="195"/>
      <x:c r="BH79" s="157"/>
      <x:c r="BI79" s="195"/>
      <x:c r="BJ79" s="195"/>
      <x:c r="BK79" s="195"/>
      <x:c r="BL79" s="157"/>
      <x:c r="BM79" s="157"/>
      <x:c r="BN79" s="157"/>
      <x:c r="BO79" s="195"/>
      <x:c r="BP79" s="195"/>
      <x:c r="BQ79" s="157"/>
      <x:c r="BR79" s="157"/>
      <x:c r="BS79" s="157"/>
      <x:c r="BT79" s="157" t="str">
        <x:v>Supplementary</x:v>
      </x:c>
      <x:c r="BU79" s="157" t="str">
        <x:v>Metadata + vùng trình bày có điều kiện; đánh giá thủ công trước sửa</x:v>
      </x:c>
      <x:c r="BV79" s="196" t="str">
        <x:v>CÓ ĐIỀU KIỆN</x:v>
      </x:c>
      <x:c r="BW79" s="197" t="str">
        <x:v>ĐÃ TÁCH MỘT PHẦN</x:v>
      </x:c>
      <x:c r="BX79" s="157" t="str">
        <x:v>Chưa có giá trị nghiệp vụ; không tự điền.</x:v>
      </x:c>
      <x:c r="BY79" t="str">
        <x:v>ND30.X.LUU_HANH.CHI_DAN</x:v>
      </x:c>
      <x:c r="BZ79" t="str">
        <x:f>IFERROR(INDEX(ND30!$J$7:$J$300,MATCH($B79,ND30!$B$7:$B$300,0)),"UNRESOLVED")</x:f>
        <x:v>13–14</x:v>
      </x:c>
      <x:c r="CA79" t="str">
        <x:v>TEXT</x:v>
      </x:c>
      <x:c r="CB79" t="str">
        <x:v>issuer_scope_confirmed AND document_type_confirmed AND legal_effective_date_confirmed</x:v>
      </x:c>
      <x:c r="CC79" t="str">
        <x:f>IFERROR(INDEX(ND30!$X$7:$X$300,MATCH($B79,ND30!$B$7:$B$300,0)),"UNRESOLVED")</x:f>
        <x:v>KHÔNG TỰ CHÈN</x:v>
      </x:c>
      <x:c r="CD79" t="str">
        <x:f>IF(OR(ISNUMBER(SEARCH("READ_ONLY",CC79)),ISNUMBER(SEARCH("PROTECTED",CC79)),ISNUMBER(SEARCH("BẢO VỆ",CC79)),ISNUMBER(SEARCH("KHÔNG KÝ",CC79))),"PROTECTED","CHECK_ONLY")</x:f>
        <x:v>CHECK_ONLY</x:v>
      </x:c>
      <x:c r="CE79" t="str">
        <x:f>IF(AND(CD79="FORMAT_APPROVED",CU79="CÓ",CV79="CÓ",CH79="CÓ",CI79="CÓ",CJ79="CÓ"),"CÓ","KHÔNG")</x:f>
        <x:v>KHÔNG</x:v>
      </x:c>
      <x:c r="CF79" t="str">
        <x:v>KHÔNG</x:v>
      </x:c>
      <x:c r="CG79" t="str">
        <x:v>CÓ</x:v>
      </x:c>
      <x:c r="CH79" t="str">
        <x:v>KHÔNG</x:v>
      </x:c>
      <x:c r="CI79" t="str">
        <x:v>KHÔNG</x:v>
      </x:c>
      <x:c r="CJ79" t="str">
        <x:v>KHÔNG</x:v>
      </x:c>
      <x:c r="CK79" t="str">
        <x:f>IF(AND(CE79="CÓ",CF79="KHÔNG",CG79="CÓ",CU79="CÓ",CV79="CÓ",CH79="CÓ",CI79="CÓ",CJ79="CÓ"),"CÓ","KHÔNG")</x:f>
        <x:v>KHÔNG</x:v>
      </x:c>
      <x:c r="CL79" t="str">
        <x:v>PILOT_NORTH_PROFILE_DRAFT; chưa có master DOCX đã duyệt</x:v>
      </x:c>
      <x:c r="CM79" t="str">
        <x:v>v1.5 (nâng từ v1.4)</x:v>
      </x:c>
      <x:c r="CN79" t="str">
        <x:v>CẦN XÁC MINH TÊN/QUY CHẾ</x:v>
      </x:c>
      <x:c r="CO79" t="str">
        <x:v>ND30_X_LUU_HANH_CHI_DAN_FIELD_ONLY; chưa tạo trong Word</x:v>
      </x:c>
      <x:c r="CP79" t="str">
        <x:v>Preset là cấu hình Công ty; không thay thế giới hạn của nguồn NĐ30/HD05</x:v>
      </x:c>
      <x:c r="CQ79" t="str">
        <x:f>IF(OR(BH79="CÓ",BH79=TRUE),BI79,"")</x:f>
      </x:c>
      <x:c r="CR79" t="str">
        <x:f>IF(OR(BH79="CÓ",BH79=TRUE),BJ79,"")</x:f>
      </x:c>
      <x:c r="CS79" t="str">
        <x:v>FORMAT_CHECK_ONLY</x:v>
      </x:c>
      <x:c r="CT79" t="str">
        <x:v>PENDING_SOURCE_AND_DOCX_QA</x:v>
      </x:c>
      <x:c r="CU79" t="str">
        <x:v>KHÔNG</x:v>
      </x:c>
      <x:c r="CV79" t="str">
        <x:v>KHÔNG</x:v>
      </x:c>
      <x:c r="CW79" t="str"/>
    </x:row>
    <x:row r="80" ht="29" customHeight="1">
      <x:c r="A80" s="125" t="n">
        <x:v>74</x:v>
      </x:c>
      <x:c r="B80" s="123" t="str">
        <x:v>ND30.X.SOAN.KY_HIEU_NGUOI_SOAN</x:v>
      </x:c>
      <x:c r="C80" s="123" t="str">
        <x:v>Thể thức bổ sung</x:v>
      </x:c>
      <x:c r="D80" s="123" t="str">
        <x:v>Thông tin soạn thảo/phát hành</x:v>
      </x:c>
      <x:c r="E80" s="123" t="str">
        <x:v>Ký hiệu người soạn</x:v>
      </x:c>
      <x:c r="F80" s="123" t="str">
        <x:v>12</x:v>
      </x:c>
      <x:c r="G80" s="123" t="str">
        <x:v>Chỉ khi đủ chứng cứ/được phép hiện diện; không tự chèn giá trị</x:v>
      </x:c>
      <x:c r="H80" s="123" t="str">
        <x:v>Ký hiệu soạn thảo và số bản phát hành lấy từ quy trình văn thư</x:v>
      </x:c>
      <x:c r="I80" s="123" t="str">
        <x:v>Times New Roman | Unicode | đen</x:v>
      </x:c>
      <x:c r="J80" s="126" t="str">
        <x:v>11</x:v>
      </x:c>
      <x:c r="K80" s="123" t="str">
        <x:v>IN HOA</x:v>
      </x:c>
      <x:c r="L80" s="123" t="str">
        <x:v>Không</x:v>
      </x:c>
      <x:c r="M80" s="123" t="str">
        <x:v>Không</x:v>
      </x:c>
      <x:c r="N80" s="123"/>
      <x:c r="O80" s="124"/>
      <x:c r="P80" s="124"/>
      <x:c r="Q80" s="123"/>
      <x:c r="R80" s="123" t="str">
        <x:v>Metadata + vùng trình bày có điều kiện; đánh giá thủ công trước sửa</x:v>
      </x:c>
      <x:c r="S80" s="123" t="str">
        <x:v>Cỡ chữ 11 pt (quy định); không phải khoảng 10–11 pt</x:v>
      </x:c>
      <x:c r="T80" s="123" t="str">
        <x:v>NĐ30, Phụ lục I, Phần I, III (Thể thức bổ sung)</x:v>
      </x:c>
      <x:c r="U80" s="123" t="str">
        <x:v>https://datafiles.chinhphu.vn/cpp/files/vbpq/2020/03/30.signed.pdf</x:v>
      </x:c>
      <x:c r="V80" s="123" t="str">
        <x:v>https://riam.edu.vn/nghi-dinh-ve-cong-tac-van-thu-phu-luc/</x:v>
      </x:c>
      <x:c r="W80" s="123" t="str">
        <x:v>CHƯA ĐỦ BẰNG CHỨNG</x:v>
      </x:c>
      <x:c r="X80" s="123" t="str">
        <x:v>PROTECT_CONTENT</x:v>
      </x:c>
      <x:c r="Y80" s="123" t="str">
        <x:v>Không tự chèn/sửa khi chưa có chứng cứ về đối tượng và rule. | Trạng thái v1.0: CÓ ĐIỀU KIỆN</x:v>
      </x:c>
      <x:c r="Z80" s="124" t="str">
        <x:v>[CHỈ KHI CÓ SỔ/ĐỊNH MỨC PHÁT HÀNH]</x:v>
      </x:c>
      <x:c r="AA80" s="123" t="str">
        <x:v>Supplementary</x:v>
      </x:c>
      <x:c r="AB80" s="124" t="str">
        <x:v>CÓ ĐIỀU KIỆN</x:v>
      </x:c>
      <x:c r="AC80" s="123" t="str">
        <x:v>PROTECT_CONTENT</x:v>
      </x:c>
      <x:c r="AD80" s="123" t="str">
        <x:v>PLUGIN:hoa-tieu-mien-bac-administrative-v1 | user_approved_visual_reference</x:v>
      </x:c>
      <x:c r="AE80" s="123" t="str">
        <x:v>Đối chiếu đúng vị trí; không điền dữ liệu; không chạm dấu/chữ ký hoặc trường được bảo vệ.</x:v>
      </x:c>
      <x:c r="AF80" s="123" t="str">
        <x:v>Công ty: profile trình bày văn bản dự thảo; không mặc định thay cho văn bản pháp quy đặc thù.</x:v>
      </x:c>
      <x:c r="AG80" s="157" t="str">
        <x:v>Times New Roman</x:v>
      </x:c>
      <x:c r="AH80" s="157" t="str">
        <x:v>Unicode</x:v>
      </x:c>
      <x:c r="AI80" s="157" t="str">
        <x:v>#000000</x:v>
      </x:c>
      <x:c r="AJ80" s="195" t="n">
        <x:v>11</x:v>
      </x:c>
      <x:c r="AK80" s="157" t="str">
        <x:v>KHÔNG</x:v>
      </x:c>
      <x:c r="AL80" s="157" t="str">
        <x:v>KHÔNG</x:v>
      </x:c>
      <x:c r="AM80" s="157" t="str">
        <x:v>IN HOA</x:v>
      </x:c>
      <x:c r="AN80" s="157"/>
      <x:c r="AO80" s="157"/>
      <x:c r="AP80" s="157"/>
      <x:c r="AQ80" s="195"/>
      <x:c r="AR80" s="157"/>
      <x:c r="AS80" s="195"/>
      <x:c r="AT80" s="195"/>
      <x:c r="AU80" s="195"/>
      <x:c r="AV80" s="195"/>
      <x:c r="AW80" s="195"/>
      <x:c r="AX80" s="157"/>
      <x:c r="AY80" s="157"/>
      <x:c r="AZ80" s="157"/>
      <x:c r="BA80" s="195"/>
      <x:c r="BB80" s="195"/>
      <x:c r="BC80" s="157"/>
      <x:c r="BD80" s="195"/>
      <x:c r="BE80" s="195"/>
      <x:c r="BF80" s="195"/>
      <x:c r="BG80" s="195"/>
      <x:c r="BH80" s="157"/>
      <x:c r="BI80" s="195"/>
      <x:c r="BJ80" s="195"/>
      <x:c r="BK80" s="195"/>
      <x:c r="BL80" s="157"/>
      <x:c r="BM80" s="157"/>
      <x:c r="BN80" s="157"/>
      <x:c r="BO80" s="195"/>
      <x:c r="BP80" s="195"/>
      <x:c r="BQ80" s="157"/>
      <x:c r="BR80" s="157"/>
      <x:c r="BS80" s="157"/>
      <x:c r="BT80" s="157" t="str">
        <x:v>Supplementary</x:v>
      </x:c>
      <x:c r="BU80" s="157" t="str">
        <x:v>Metadata + vùng trình bày có điều kiện; đánh giá thủ công trước sửa</x:v>
      </x:c>
      <x:c r="BV80" s="196" t="str">
        <x:v>CÓ ĐIỀU KIỆN</x:v>
      </x:c>
      <x:c r="BW80" s="197" t="str">
        <x:v>ĐÃ TÁCH MỘT PHẦN</x:v>
      </x:c>
      <x:c r="BX80" s="157" t="str">
        <x:v>Chưa có giá trị nghiệp vụ; không tự điền.</x:v>
      </x:c>
      <x:c r="BY80" t="str">
        <x:v>ND30.X.SOAN.KY_HIEU_NGUOI_SOAN</x:v>
      </x:c>
      <x:c r="BZ80" t="n">
        <x:f>IFERROR(INDEX(ND30!$J$7:$J$300,MATCH($B80,ND30!$B$7:$B$300,0)),"UNRESOLVED")</x:f>
        <x:v>11</x:v>
      </x:c>
      <x:c r="CA80" t="str">
        <x:v>TEXT</x:v>
      </x:c>
      <x:c r="CB80" t="str">
        <x:v>issuer_scope_confirmed AND document_type_confirmed AND legal_effective_date_confirmed</x:v>
      </x:c>
      <x:c r="CC80" t="str">
        <x:f>IFERROR(INDEX(ND30!$X$7:$X$300,MATCH($B80,ND30!$B$7:$B$300,0)),"UNRESOLVED")</x:f>
        <x:v>KHÔNG TỰ CHÈN</x:v>
      </x:c>
      <x:c r="CD80" t="str">
        <x:f>IF(OR(ISNUMBER(SEARCH("READ_ONLY",CC80)),ISNUMBER(SEARCH("PROTECTED",CC80)),ISNUMBER(SEARCH("BẢO VỆ",CC80)),ISNUMBER(SEARCH("KHÔNG KÝ",CC80))),"PROTECTED","CHECK_ONLY")</x:f>
        <x:v>CHECK_ONLY</x:v>
      </x:c>
      <x:c r="CE80" t="str">
        <x:f>IF(AND(CD80="FORMAT_APPROVED",CU80="CÓ",CV80="CÓ",CH80="CÓ",CI80="CÓ",CJ80="CÓ"),"CÓ","KHÔNG")</x:f>
        <x:v>KHÔNG</x:v>
      </x:c>
      <x:c r="CF80" t="str">
        <x:v>KHÔNG</x:v>
      </x:c>
      <x:c r="CG80" t="str">
        <x:v>CÓ</x:v>
      </x:c>
      <x:c r="CH80" t="str">
        <x:v>KHÔNG</x:v>
      </x:c>
      <x:c r="CI80" t="str">
        <x:v>KHÔNG</x:v>
      </x:c>
      <x:c r="CJ80" t="str">
        <x:v>KHÔNG</x:v>
      </x:c>
      <x:c r="CK80" t="str">
        <x:f>IF(AND(CE80="CÓ",CF80="KHÔNG",CG80="CÓ",CU80="CÓ",CV80="CÓ",CH80="CÓ",CI80="CÓ",CJ80="CÓ"),"CÓ","KHÔNG")</x:f>
        <x:v>KHÔNG</x:v>
      </x:c>
      <x:c r="CL80" t="str">
        <x:v>PILOT_NORTH_PROFILE_DRAFT; chưa có master DOCX đã duyệt</x:v>
      </x:c>
      <x:c r="CM80" t="str">
        <x:v>v1.5 (nâng từ v1.4)</x:v>
      </x:c>
      <x:c r="CN80" t="str">
        <x:v>CẦN XÁC MINH TÊN/QUY CHẾ</x:v>
      </x:c>
      <x:c r="CO80" t="str">
        <x:v>ND30_X_SOAN_KY_HIEU_NGUOI_SOAN_FIELD_ONLY; chưa tạo trong Word</x:v>
      </x:c>
      <x:c r="CP80" t="str">
        <x:v>Preset là cấu hình Công ty; không thay thế giới hạn của nguồn NĐ30/HD05</x:v>
      </x:c>
      <x:c r="CQ80" t="str">
        <x:f>IF(OR(BH80="CÓ",BH80=TRUE),BI80,"")</x:f>
      </x:c>
      <x:c r="CR80" t="str">
        <x:f>IF(OR(BH80="CÓ",BH80=TRUE),BJ80,"")</x:f>
      </x:c>
      <x:c r="CS80" t="str">
        <x:v>FORMAT_CHECK_ONLY</x:v>
      </x:c>
      <x:c r="CT80" t="str">
        <x:v>PENDING_SOURCE_AND_DOCX_QA</x:v>
      </x:c>
      <x:c r="CU80" t="str">
        <x:v>KHÔNG</x:v>
      </x:c>
      <x:c r="CV80" t="str">
        <x:v>KHÔNG</x:v>
      </x:c>
      <x:c r="CW80" t="str"/>
    </x:row>
    <x:row r="81" ht="29" customHeight="1">
      <x:c r="A81" s="125" t="n">
        <x:v>75</x:v>
      </x:c>
      <x:c r="B81" s="123" t="str">
        <x:v>ND30.X.SOAN.SO_BAN</x:v>
      </x:c>
      <x:c r="C81" s="123" t="str">
        <x:v>Thể thức bổ sung</x:v>
      </x:c>
      <x:c r="D81" s="123" t="str">
        <x:v>Thông tin soạn thảo/phát hành</x:v>
      </x:c>
      <x:c r="E81" s="123" t="str">
        <x:v>Số lượng bản phát hành</x:v>
      </x:c>
      <x:c r="F81" s="123" t="str">
        <x:v>12</x:v>
      </x:c>
      <x:c r="G81" s="123" t="str">
        <x:v>Chỉ khi đủ chứng cứ/được phép hiện diện; không tự chèn giá trị</x:v>
      </x:c>
      <x:c r="H81" s="123" t="str">
        <x:v>Ký hiệu soạn thảo và số bản phát hành lấy từ quy trình văn thư</x:v>
      </x:c>
      <x:c r="I81" s="123" t="str">
        <x:v>Times New Roman | Unicode | đen</x:v>
      </x:c>
      <x:c r="J81" s="126" t="str">
        <x:v>11</x:v>
      </x:c>
      <x:c r="K81" s="123" t="str">
        <x:v>Chữ số Ả Rập</x:v>
      </x:c>
      <x:c r="L81" s="123" t="str">
        <x:v>Không</x:v>
      </x:c>
      <x:c r="M81" s="123" t="str">
        <x:v>Không</x:v>
      </x:c>
      <x:c r="N81" s="123"/>
      <x:c r="O81" s="124"/>
      <x:c r="P81" s="124"/>
      <x:c r="Q81" s="123"/>
      <x:c r="R81" s="123" t="str">
        <x:v>Metadata + vùng trình bày có điều kiện; đánh giá thủ công trước sửa</x:v>
      </x:c>
      <x:c r="S81" s="123" t="str">
        <x:v>Cỡ chữ 11 pt (quy định); không phải khoảng 10–11 pt</x:v>
      </x:c>
      <x:c r="T81" s="123" t="str">
        <x:v>NĐ30, Phụ lục I, Phần I, III (Thể thức bổ sung)</x:v>
      </x:c>
      <x:c r="U81" s="123" t="str">
        <x:v>https://datafiles.chinhphu.vn/cpp/files/vbpq/2020/03/30.signed.pdf</x:v>
      </x:c>
      <x:c r="V81" s="123" t="str">
        <x:v>https://riam.edu.vn/nghi-dinh-ve-cong-tac-van-thu-phu-luc/</x:v>
      </x:c>
      <x:c r="W81" s="123" t="str">
        <x:v>CHƯA ĐỦ BẰNG CHỨNG</x:v>
      </x:c>
      <x:c r="X81" s="123" t="str">
        <x:v>PROTECT_CONTENT</x:v>
      </x:c>
      <x:c r="Y81" s="123" t="str">
        <x:v>Không tự chèn/sửa khi chưa có chứng cứ về đối tượng và rule. | Trạng thái v1.0: CÓ ĐIỀU KIỆN</x:v>
      </x:c>
      <x:c r="Z81" s="124" t="str">
        <x:v>[CHỈ KHI CÓ SỔ/ĐỊNH MỨC PHÁT HÀNH]</x:v>
      </x:c>
      <x:c r="AA81" s="123" t="str">
        <x:v>Supplementary</x:v>
      </x:c>
      <x:c r="AB81" s="124" t="str">
        <x:v>CÓ ĐIỀU KIỆN</x:v>
      </x:c>
      <x:c r="AC81" s="123" t="str">
        <x:v>PROTECT_CONTENT</x:v>
      </x:c>
      <x:c r="AD81" s="123" t="str">
        <x:v>PLUGIN:hoa-tieu-mien-bac-administrative-v1 | user_approved_visual_reference</x:v>
      </x:c>
      <x:c r="AE81" s="123" t="str">
        <x:v>Đối chiếu đúng vị trí; không điền dữ liệu; không chạm dấu/chữ ký hoặc trường được bảo vệ.</x:v>
      </x:c>
      <x:c r="AF81" s="123" t="str">
        <x:v>Công ty: profile trình bày văn bản dự thảo; không mặc định thay cho văn bản pháp quy đặc thù.</x:v>
      </x:c>
      <x:c r="AG81" s="157" t="str">
        <x:v>Times New Roman</x:v>
      </x:c>
      <x:c r="AH81" s="157" t="str">
        <x:v>Unicode</x:v>
      </x:c>
      <x:c r="AI81" s="157" t="str">
        <x:v>#000000</x:v>
      </x:c>
      <x:c r="AJ81" s="195" t="n">
        <x:v>11</x:v>
      </x:c>
      <x:c r="AK81" s="157" t="str">
        <x:v>KHÔNG</x:v>
      </x:c>
      <x:c r="AL81" s="157" t="str">
        <x:v>KHÔNG</x:v>
      </x:c>
      <x:c r="AM81" s="157" t="str">
        <x:v>Chữ số Ả Rập</x:v>
      </x:c>
      <x:c r="AN81" s="157"/>
      <x:c r="AO81" s="157"/>
      <x:c r="AP81" s="157"/>
      <x:c r="AQ81" s="195"/>
      <x:c r="AR81" s="157"/>
      <x:c r="AS81" s="195"/>
      <x:c r="AT81" s="195"/>
      <x:c r="AU81" s="195"/>
      <x:c r="AV81" s="195"/>
      <x:c r="AW81" s="195"/>
      <x:c r="AX81" s="157"/>
      <x:c r="AY81" s="157"/>
      <x:c r="AZ81" s="157"/>
      <x:c r="BA81" s="195"/>
      <x:c r="BB81" s="195"/>
      <x:c r="BC81" s="157"/>
      <x:c r="BD81" s="195"/>
      <x:c r="BE81" s="195"/>
      <x:c r="BF81" s="195"/>
      <x:c r="BG81" s="195"/>
      <x:c r="BH81" s="157"/>
      <x:c r="BI81" s="195"/>
      <x:c r="BJ81" s="195"/>
      <x:c r="BK81" s="195"/>
      <x:c r="BL81" s="157"/>
      <x:c r="BM81" s="157"/>
      <x:c r="BN81" s="157"/>
      <x:c r="BO81" s="195"/>
      <x:c r="BP81" s="195"/>
      <x:c r="BQ81" s="157"/>
      <x:c r="BR81" s="157"/>
      <x:c r="BS81" s="157"/>
      <x:c r="BT81" s="157" t="str">
        <x:v>Supplementary</x:v>
      </x:c>
      <x:c r="BU81" s="157" t="str">
        <x:v>Metadata + vùng trình bày có điều kiện; đánh giá thủ công trước sửa</x:v>
      </x:c>
      <x:c r="BV81" s="196" t="str">
        <x:v>CÓ ĐIỀU KIỆN</x:v>
      </x:c>
      <x:c r="BW81" s="197" t="str">
        <x:v>ĐÃ TÁCH MỘT PHẦN</x:v>
      </x:c>
      <x:c r="BX81" s="157" t="str">
        <x:v>Chưa có giá trị nghiệp vụ; không tự điền.</x:v>
      </x:c>
      <x:c r="BY81" t="str">
        <x:v>ND30.X.SOAN.SO_BAN</x:v>
      </x:c>
      <x:c r="BZ81" t="n">
        <x:f>IFERROR(INDEX(ND30!$J$7:$J$300,MATCH($B81,ND30!$B$7:$B$300,0)),"UNRESOLVED")</x:f>
        <x:v>11</x:v>
      </x:c>
      <x:c r="CA81" t="str">
        <x:v>TEXT</x:v>
      </x:c>
      <x:c r="CB81" t="str">
        <x:v>issuer_scope_confirmed AND document_type_confirmed AND legal_effective_date_confirmed</x:v>
      </x:c>
      <x:c r="CC81" t="str">
        <x:f>IFERROR(INDEX(ND30!$X$7:$X$300,MATCH($B81,ND30!$B$7:$B$300,0)),"UNRESOLVED")</x:f>
        <x:v>KHÔNG TỰ CHÈN</x:v>
      </x:c>
      <x:c r="CD81" t="str">
        <x:f>IF(OR(ISNUMBER(SEARCH("READ_ONLY",CC81)),ISNUMBER(SEARCH("PROTECTED",CC81)),ISNUMBER(SEARCH("BẢO VỆ",CC81)),ISNUMBER(SEARCH("KHÔNG KÝ",CC81))),"PROTECTED","CHECK_ONLY")</x:f>
        <x:v>CHECK_ONLY</x:v>
      </x:c>
      <x:c r="CE81" t="str">
        <x:f>IF(AND(CD81="FORMAT_APPROVED",CU81="CÓ",CV81="CÓ",CH81="CÓ",CI81="CÓ",CJ81="CÓ"),"CÓ","KHÔNG")</x:f>
        <x:v>KHÔNG</x:v>
      </x:c>
      <x:c r="CF81" t="str">
        <x:v>KHÔNG</x:v>
      </x:c>
      <x:c r="CG81" t="str">
        <x:v>CÓ</x:v>
      </x:c>
      <x:c r="CH81" t="str">
        <x:v>KHÔNG</x:v>
      </x:c>
      <x:c r="CI81" t="str">
        <x:v>KHÔNG</x:v>
      </x:c>
      <x:c r="CJ81" t="str">
        <x:v>KHÔNG</x:v>
      </x:c>
      <x:c r="CK81" t="str">
        <x:f>IF(AND(CE81="CÓ",CF81="KHÔNG",CG81="CÓ",CU81="CÓ",CV81="CÓ",CH81="CÓ",CI81="CÓ",CJ81="CÓ"),"CÓ","KHÔNG")</x:f>
        <x:v>KHÔNG</x:v>
      </x:c>
      <x:c r="CL81" t="str">
        <x:v>PILOT_NORTH_PROFILE_DRAFT; chưa có master DOCX đã duyệt</x:v>
      </x:c>
      <x:c r="CM81" t="str">
        <x:v>v1.5 (nâng từ v1.4)</x:v>
      </x:c>
      <x:c r="CN81" t="str">
        <x:v>CẦN XÁC MINH TÊN/QUY CHẾ</x:v>
      </x:c>
      <x:c r="CO81" t="str">
        <x:v>ND30_X_SOAN_SO_BAN_FIELD_ONLY; chưa tạo trong Word</x:v>
      </x:c>
      <x:c r="CP81" t="str">
        <x:v>Preset là cấu hình Công ty; không thay thế giới hạn của nguồn NĐ30/HD05</x:v>
      </x:c>
      <x:c r="CQ81" t="str">
        <x:f>IF(OR(BH81="CÓ",BH81=TRUE),BI81,"")</x:f>
      </x:c>
      <x:c r="CR81" t="str">
        <x:f>IF(OR(BH81="CÓ",BH81=TRUE),BJ81,"")</x:f>
      </x:c>
      <x:c r="CS81" t="str">
        <x:v>FORMAT_CHECK_ONLY</x:v>
      </x:c>
      <x:c r="CT81" t="str">
        <x:v>PENDING_SOURCE_AND_DOCX_QA</x:v>
      </x:c>
      <x:c r="CU81" t="str">
        <x:v>KHÔNG</x:v>
      </x:c>
      <x:c r="CV81" t="str">
        <x:v>KHÔNG</x:v>
      </x:c>
      <x:c r="CW81" t="str"/>
    </x:row>
    <x:row r="82" ht="29" customHeight="1">
      <x:c r="A82" s="125" t="n">
        <x:v>76</x:v>
      </x:c>
      <x:c r="B82" s="123" t="str">
        <x:v>ND30.X.LIEN_HE.DIA_CHI</x:v>
      </x:c>
      <x:c r="C82" s="123" t="str">
        <x:v>Thể thức bổ sung</x:v>
      </x:c>
      <x:c r="D82" s="123" t="str">
        <x:v>Thông tin liên hệ</x:v>
      </x:c>
      <x:c r="E82" s="123" t="str">
        <x:v>Địa chỉ liên hệ</x:v>
      </x:c>
      <x:c r="F82" s="123" t="str">
        <x:v>13</x:v>
      </x:c>
      <x:c r="G82" s="123" t="str">
        <x:v>Chỉ khi đủ chứng cứ/được phép hiện diện; không tự chèn giá trị</x:v>
      </x:c>
      <x:c r="H82" s="123" t="str">
        <x:v>Thông tin liên hệ cơ quan chỉ khi cần thiết</x:v>
      </x:c>
      <x:c r="I82" s="123" t="str">
        <x:v>Times New Roman | Unicode | đen</x:v>
      </x:c>
      <x:c r="J82" s="126" t="str">
        <x:v>11</x:v>
      </x:c>
      <x:c r="K82" s="123" t="str">
        <x:v>Theo dữ liệu</x:v>
      </x:c>
      <x:c r="L82" s="123" t="str">
        <x:v>Không</x:v>
      </x:c>
      <x:c r="M82" s="123" t="str">
        <x:v>Không</x:v>
      </x:c>
      <x:c r="N82" s="123"/>
      <x:c r="O82" s="124"/>
      <x:c r="P82" s="124"/>
      <x:c r="Q82" s="123"/>
      <x:c r="R82" s="123" t="str">
        <x:v>Paragraph/contact block; preserve hyperlink and text</x:v>
      </x:c>
      <x:c r="S82" s="123" t="str">
        <x:v>NĐ30: trang đầu, dưới đường kẻ ngang hết vùng trình bày</x:v>
      </x:c>
      <x:c r="T82" s="123" t="str">
        <x:v>NĐ30, Phụ lục I, Phần I, III (Thể thức bổ sung)</x:v>
      </x:c>
      <x:c r="U82" s="123" t="str">
        <x:v>https://datafiles.chinhphu.vn/cpp/files/vbpq/2020/03/30.signed.pdf</x:v>
      </x:c>
      <x:c r="V82" s="123" t="str">
        <x:v>https://riam.edu.vn/nghi-dinh-ve-cong-tac-van-thu-phu-luc/</x:v>
      </x:c>
      <x:c r="W82" s="123" t="str">
        <x:v>CHƯA ĐỦ BẰNG CHỨNG</x:v>
      </x:c>
      <x:c r="X82" s="123" t="str">
        <x:v>PROTECT_CONTENT</x:v>
      </x:c>
      <x:c r="Y82" s="123" t="str">
        <x:v>Không tự chèn/sửa khi chưa có chứng cứ về đối tượng và rule. | Trạng thái v1.0: CÓ ĐIỀU KIỆN | So sánh cũ (không tham gia xác nhận): NĐ30: trang đầu, dưới đường kẻ ngang hết vùng trình bày; HD05: trang cuối dưới đường kẻ ngang</x:v>
      </x:c>
      <x:c r="Z82" s="124" t="str">
        <x:v>Tầng 12 và 14, Tòa nhà CATBI PLAZA, số 1A Lê Hồng Phong, TP. Hải Phòng</x:v>
      </x:c>
      <x:c r="AA82" s="123" t="str">
        <x:v>Supplementary</x:v>
      </x:c>
      <x:c r="AB82" s="124" t="str">
        <x:v>PROFILE_CHOT_THEO_TRAO_DOI</x:v>
      </x:c>
      <x:c r="AC82" s="123" t="str">
        <x:v>PROTECT_CONTENT</x:v>
      </x:c>
      <x:c r="AD82" s="123" t="str">
        <x:v>https://www.pilotconorth.com/lien-he | Người dùng chốt trong trao đổi 29/10/2026; PROFILE NỘI BỘ; chưa có văn bản phê duyệt doanh nghiệp</x:v>
      </x:c>
      <x:c r="AE82" s="123" t="str">
        <x:v>Đối chiếu đúng vị trí; không điền dữ liệu; không chạm dấu/chữ ký hoặc trường được bảo vệ.</x:v>
      </x:c>
      <x:c r="AF82" s="123" t="str">
        <x:v>Trụ sở tham khảo theo website; địa giới/phường trên các trang có khác biệt, không tự điền phường. Mặc định không hiển thị; chỉ hiển thị khi có yêu cầu liên hệ đối ngoại phù hợp và được duyệt.</x:v>
      </x:c>
      <x:c r="AG82" s="157" t="str">
        <x:v>Times New Roman</x:v>
      </x:c>
      <x:c r="AH82" s="157" t="str">
        <x:v>Unicode</x:v>
      </x:c>
      <x:c r="AI82" s="157" t="str">
        <x:v>#000000</x:v>
      </x:c>
      <x:c r="AJ82" s="195" t="n">
        <x:v>11</x:v>
      </x:c>
      <x:c r="AK82" s="157" t="str">
        <x:v>KHÔNG</x:v>
      </x:c>
      <x:c r="AL82" s="157" t="str">
        <x:v>KHÔNG</x:v>
      </x:c>
      <x:c r="AM82" s="157" t="str">
        <x:v>Theo dữ liệu</x:v>
      </x:c>
      <x:c r="AN82" s="157"/>
      <x:c r="AO82" s="157"/>
      <x:c r="AP82" s="157"/>
      <x:c r="AQ82" s="195"/>
      <x:c r="AR82" s="157"/>
      <x:c r="AS82" s="195"/>
      <x:c r="AT82" s="195"/>
      <x:c r="AU82" s="195"/>
      <x:c r="AV82" s="195"/>
      <x:c r="AW82" s="195"/>
      <x:c r="AX82" s="157"/>
      <x:c r="AY82" s="157"/>
      <x:c r="AZ82" s="157"/>
      <x:c r="BA82" s="195"/>
      <x:c r="BB82" s="195"/>
      <x:c r="BC82" s="157"/>
      <x:c r="BD82" s="195"/>
      <x:c r="BE82" s="195"/>
      <x:c r="BF82" s="195"/>
      <x:c r="BG82" s="195"/>
      <x:c r="BH82" s="157"/>
      <x:c r="BI82" s="195"/>
      <x:c r="BJ82" s="195"/>
      <x:c r="BK82" s="195"/>
      <x:c r="BL82" s="157"/>
      <x:c r="BM82" s="157"/>
      <x:c r="BN82" s="157"/>
      <x:c r="BO82" s="195"/>
      <x:c r="BP82" s="195"/>
      <x:c r="BQ82" s="157"/>
      <x:c r="BR82" s="157"/>
      <x:c r="BS82" s="157"/>
      <x:c r="BT82" s="157" t="str">
        <x:v>Supplementary</x:v>
      </x:c>
      <x:c r="BU82" s="157" t="str">
        <x:v>Paragraph/contact block; preserve hyperlink and text</x:v>
      </x:c>
      <x:c r="BV82" s="196" t="str">
        <x:v>CẦN XÁC NHẬN</x:v>
      </x:c>
      <x:c r="BW82" s="197" t="str">
        <x:v>ĐÃ TÁCH MỘT PHẦN</x:v>
      </x:c>
      <x:c r="BX82" s="157" t="str">
        <x:v>Cấu hình profile chưa được xác nhận; giữ nguyên chính sách CHECK_ONLY.</x:v>
      </x:c>
      <x:c r="BY82" t="str">
        <x:v>ND30.X.LIEN_HE.DIA_CHI</x:v>
      </x:c>
      <x:c r="BZ82" t="str">
        <x:f>IFERROR(INDEX(ND30!$J$7:$J$300,MATCH($B82,ND30!$B$7:$B$300,0)),"UNRESOLVED")</x:f>
        <x:v>11–12</x:v>
      </x:c>
      <x:c r="CA82" t="str">
        <x:v>TEXT</x:v>
      </x:c>
      <x:c r="CB82" t="str">
        <x:v>Mặc định KHÔNG HIỂN THỊ; chỉ khi cần thông tin giao dịch/đối ngoại được phép mới xét trình bày.</x:v>
      </x:c>
      <x:c r="CC82" t="str">
        <x:f>IFERROR(INDEX(ND30!$X$7:$X$300,MATCH($B82,ND30!$B$7:$B$300,0)),"UNRESOLVED")</x:f>
        <x:v>KHÔNG TỰ CHÈN</x:v>
      </x:c>
      <x:c r="CD82" t="str">
        <x:f>IF(OR(ISNUMBER(SEARCH("READ_ONLY",CC82)),ISNUMBER(SEARCH("PROTECTED",CC82)),ISNUMBER(SEARCH("BẢO VỆ",CC82)),ISNUMBER(SEARCH("KHÔNG KÝ",CC82))),"PROTECTED","CHECK_ONLY")</x:f>
        <x:v>CHECK_ONLY</x:v>
      </x:c>
      <x:c r="CE82" t="str">
        <x:f>IF(AND(CD82="FORMAT_APPROVED",CU82="CÓ",CV82="CÓ",CH82="CÓ",CI82="CÓ",CJ82="CÓ"),"CÓ","KHÔNG")</x:f>
        <x:v>KHÔNG</x:v>
      </x:c>
      <x:c r="CF82" t="str">
        <x:v>KHÔNG</x:v>
      </x:c>
      <x:c r="CG82" t="str">
        <x:v>CÓ</x:v>
      </x:c>
      <x:c r="CH82" t="str">
        <x:v>KHÔNG</x:v>
      </x:c>
      <x:c r="CI82" t="str">
        <x:v>KHÔNG</x:v>
      </x:c>
      <x:c r="CJ82" t="str">
        <x:v>KHÔNG</x:v>
      </x:c>
      <x:c r="CK82" t="str">
        <x:f>IF(AND(CE82="CÓ",CF82="KHÔNG",CG82="CÓ",CU82="CÓ",CV82="CÓ",CH82="CÓ",CI82="CÓ",CJ82="CÓ"),"CÓ","KHÔNG")</x:f>
        <x:v>KHÔNG</x:v>
      </x:c>
      <x:c r="CL82" t="str">
        <x:v>https://www.pilotconorth.com/lien-he | Người dùng chốt trong trao đổi 29/10/2026; PROFILE NỘI BỘ; chưa có văn bản phê duyệt doanh nghiệp</x:v>
      </x:c>
      <x:c r="CM82" t="str">
        <x:v>v1.5 (nâng từ v1.4)</x:v>
      </x:c>
      <x:c r="CN82" t="str">
        <x:v>CẦN XÁC MINH TÊN/QUY CHẾ</x:v>
      </x:c>
      <x:c r="CO82" t="str">
        <x:v>ND30_X_LIEN_HE_DIA_CHI_FIELD_ONLY; chưa tạo trong Word</x:v>
      </x:c>
      <x:c r="CP82" t="str">
        <x:v>Khác biệt giữa giá trị profile và nguồn pháp lý phải tiếp tục được kiểm chứng; không cho tự sửa DOCX.</x:v>
      </x:c>
      <x:c r="CQ82" t="str">
        <x:f>IF(OR(BH82="CÓ",BH82=TRUE),BI82,"")</x:f>
      </x:c>
      <x:c r="CR82" t="str">
        <x:f>IF(OR(BH82="CÓ",BH82=TRUE),BJ82,"")</x:f>
      </x:c>
      <x:c r="CS82" t="str">
        <x:v>FORMAT_CHECK_ONLY</x:v>
      </x:c>
      <x:c r="CT82" t="str">
        <x:v>VERIFIED_PROFILE_PRESET</x:v>
      </x:c>
      <x:c r="CU82" t="str">
        <x:v>CÓ</x:v>
      </x:c>
      <x:c r="CV82" t="str">
        <x:v>KHÔNG</x:v>
      </x:c>
      <x:c r="CW82" t="str"/>
    </x:row>
    <x:row r="83" ht="29" customHeight="1">
      <x:c r="A83" s="125" t="n">
        <x:v>77</x:v>
      </x:c>
      <x:c r="B83" s="123" t="str">
        <x:v>ND30.X.LIEN_HE.EMAIL</x:v>
      </x:c>
      <x:c r="C83" s="123" t="str">
        <x:v>Thể thức bổ sung</x:v>
      </x:c>
      <x:c r="D83" s="123" t="str">
        <x:v>Thông tin liên hệ</x:v>
      </x:c>
      <x:c r="E83" s="123" t="str">
        <x:v>Email</x:v>
      </x:c>
      <x:c r="F83" s="123" t="str">
        <x:v>13</x:v>
      </x:c>
      <x:c r="G83" s="123" t="str">
        <x:v>Chỉ khi đủ chứng cứ/được phép hiện diện; không tự chèn giá trị</x:v>
      </x:c>
      <x:c r="H83" s="123" t="str">
        <x:v>Thông tin liên hệ cơ quan chỉ khi cần thiết</x:v>
      </x:c>
      <x:c r="I83" s="123" t="str">
        <x:v>Times New Roman | Unicode | đen</x:v>
      </x:c>
      <x:c r="J83" s="126" t="str">
        <x:v>11</x:v>
      </x:c>
      <x:c r="K83" s="123" t="str">
        <x:v>Theo dữ liệu</x:v>
      </x:c>
      <x:c r="L83" s="123" t="str">
        <x:v>Không</x:v>
      </x:c>
      <x:c r="M83" s="123" t="str">
        <x:v>Không</x:v>
      </x:c>
      <x:c r="N83" s="123"/>
      <x:c r="O83" s="124"/>
      <x:c r="P83" s="124"/>
      <x:c r="Q83" s="123"/>
      <x:c r="R83" s="123" t="str">
        <x:v>Paragraph/contact block; preserve hyperlink and text</x:v>
      </x:c>
      <x:c r="S83" s="123" t="str">
        <x:v>NĐ30: trang đầu, dưới đường kẻ ngang hết vùng trình bày</x:v>
      </x:c>
      <x:c r="T83" s="123" t="str">
        <x:v>NĐ30, Phụ lục I, Phần I, III (Thể thức bổ sung)</x:v>
      </x:c>
      <x:c r="U83" s="123" t="str">
        <x:v>https://datafiles.chinhphu.vn/cpp/files/vbpq/2020/03/30.signed.pdf</x:v>
      </x:c>
      <x:c r="V83" s="123" t="str">
        <x:v>https://riam.edu.vn/nghi-dinh-ve-cong-tac-van-thu-phu-luc/</x:v>
      </x:c>
      <x:c r="W83" s="123" t="str">
        <x:v>CHƯA ĐỦ BẰNG CHỨNG</x:v>
      </x:c>
      <x:c r="X83" s="123" t="str">
        <x:v>PROTECT_CONTENT</x:v>
      </x:c>
      <x:c r="Y83" s="123" t="str">
        <x:v>Không tự chèn/sửa khi chưa có chứng cứ về đối tượng và rule. | Trạng thái v1.0: CÓ ĐIỀU KIỆN | So sánh cũ (không tham gia xác nhận): NĐ30: trang đầu, dưới đường kẻ ngang hết vùng trình bày; HD05: trang cuối dưới đường kẻ ngang</x:v>
      </x:c>
      <x:c r="Z83" s="124" t="str">
        <x:v>congtyhoatieumienbac@vnn.vn</x:v>
      </x:c>
      <x:c r="AA83" s="123" t="str">
        <x:v>Supplementary</x:v>
      </x:c>
      <x:c r="AB83" s="124" t="str">
        <x:v>PROFILE_CHOT_THEO_TRAO_DOI</x:v>
      </x:c>
      <x:c r="AC83" s="123" t="str">
        <x:v>PROTECT_CONTENT</x:v>
      </x:c>
      <x:c r="AD83" s="123" t="str">
        <x:v>https://www.pilotconorth.com/lien-he | Người dùng chốt trong trao đổi 29/10/2026; PROFILE NỘI BỘ; chưa có văn bản phê duyệt doanh nghiệp</x:v>
      </x:c>
      <x:c r="AE83" s="123" t="str">
        <x:v>Đối chiếu đúng vị trí; không điền dữ liệu; không chạm dấu/chữ ký hoặc trường được bảo vệ.</x:v>
      </x:c>
      <x:c r="AF83" s="123" t="str">
        <x:v>Email của Công ty, không có xác nhận email riêng Đảng ủy. Mặc định không hiển thị; chỉ hiển thị khi có yêu cầu liên hệ đối ngoại phù hợp và được duyệt.</x:v>
      </x:c>
      <x:c r="AG83" s="157" t="str">
        <x:v>Times New Roman</x:v>
      </x:c>
      <x:c r="AH83" s="157" t="str">
        <x:v>Unicode</x:v>
      </x:c>
      <x:c r="AI83" s="157" t="str">
        <x:v>#000000</x:v>
      </x:c>
      <x:c r="AJ83" s="195" t="n">
        <x:v>11</x:v>
      </x:c>
      <x:c r="AK83" s="157" t="str">
        <x:v>KHÔNG</x:v>
      </x:c>
      <x:c r="AL83" s="157" t="str">
        <x:v>KHÔNG</x:v>
      </x:c>
      <x:c r="AM83" s="157" t="str">
        <x:v>Theo dữ liệu</x:v>
      </x:c>
      <x:c r="AN83" s="157"/>
      <x:c r="AO83" s="157"/>
      <x:c r="AP83" s="157"/>
      <x:c r="AQ83" s="195"/>
      <x:c r="AR83" s="157"/>
      <x:c r="AS83" s="195"/>
      <x:c r="AT83" s="195"/>
      <x:c r="AU83" s="195"/>
      <x:c r="AV83" s="195"/>
      <x:c r="AW83" s="195"/>
      <x:c r="AX83" s="157"/>
      <x:c r="AY83" s="157"/>
      <x:c r="AZ83" s="157"/>
      <x:c r="BA83" s="195"/>
      <x:c r="BB83" s="195"/>
      <x:c r="BC83" s="157"/>
      <x:c r="BD83" s="195"/>
      <x:c r="BE83" s="195"/>
      <x:c r="BF83" s="195"/>
      <x:c r="BG83" s="195"/>
      <x:c r="BH83" s="157"/>
      <x:c r="BI83" s="195"/>
      <x:c r="BJ83" s="195"/>
      <x:c r="BK83" s="195"/>
      <x:c r="BL83" s="157"/>
      <x:c r="BM83" s="157"/>
      <x:c r="BN83" s="157"/>
      <x:c r="BO83" s="195"/>
      <x:c r="BP83" s="195"/>
      <x:c r="BQ83" s="157"/>
      <x:c r="BR83" s="157"/>
      <x:c r="BS83" s="157"/>
      <x:c r="BT83" s="157" t="str">
        <x:v>Supplementary</x:v>
      </x:c>
      <x:c r="BU83" s="157" t="str">
        <x:v>Paragraph/contact block; preserve hyperlink and text</x:v>
      </x:c>
      <x:c r="BV83" s="196" t="str">
        <x:v>CẦN XÁC NHẬN</x:v>
      </x:c>
      <x:c r="BW83" s="197" t="str">
        <x:v>ĐÃ TÁCH MỘT PHẦN</x:v>
      </x:c>
      <x:c r="BX83" s="157" t="str">
        <x:v>Cấu hình profile chưa được xác nhận; giữ nguyên chính sách CHECK_ONLY.</x:v>
      </x:c>
      <x:c r="BY83" t="str">
        <x:v>ND30.X.LIEN_HE.EMAIL</x:v>
      </x:c>
      <x:c r="BZ83" t="str">
        <x:f>IFERROR(INDEX(ND30!$J$7:$J$300,MATCH($B83,ND30!$B$7:$B$300,0)),"UNRESOLVED")</x:f>
        <x:v>11–12</x:v>
      </x:c>
      <x:c r="CA83" t="str">
        <x:v>TEXT</x:v>
      </x:c>
      <x:c r="CB83" t="str">
        <x:v>Mặc định KHÔNG HIỂN THỊ; chỉ khi cần thông tin giao dịch/đối ngoại được phép mới xét trình bày.</x:v>
      </x:c>
      <x:c r="CC83" t="str">
        <x:f>IFERROR(INDEX(ND30!$X$7:$X$300,MATCH($B83,ND30!$B$7:$B$300,0)),"UNRESOLVED")</x:f>
        <x:v>KHÔNG TỰ CHÈN</x:v>
      </x:c>
      <x:c r="CD83" t="str">
        <x:f>IF(OR(ISNUMBER(SEARCH("READ_ONLY",CC83)),ISNUMBER(SEARCH("PROTECTED",CC83)),ISNUMBER(SEARCH("BẢO VỆ",CC83)),ISNUMBER(SEARCH("KHÔNG KÝ",CC83))),"PROTECTED","CHECK_ONLY")</x:f>
        <x:v>CHECK_ONLY</x:v>
      </x:c>
      <x:c r="CE83" t="str">
        <x:f>IF(AND(CD83="FORMAT_APPROVED",CU83="CÓ",CV83="CÓ",CH83="CÓ",CI83="CÓ",CJ83="CÓ"),"CÓ","KHÔNG")</x:f>
        <x:v>KHÔNG</x:v>
      </x:c>
      <x:c r="CF83" t="str">
        <x:v>KHÔNG</x:v>
      </x:c>
      <x:c r="CG83" t="str">
        <x:v>CÓ</x:v>
      </x:c>
      <x:c r="CH83" t="str">
        <x:v>KHÔNG</x:v>
      </x:c>
      <x:c r="CI83" t="str">
        <x:v>KHÔNG</x:v>
      </x:c>
      <x:c r="CJ83" t="str">
        <x:v>KHÔNG</x:v>
      </x:c>
      <x:c r="CK83" t="str">
        <x:f>IF(AND(CE83="CÓ",CF83="KHÔNG",CG83="CÓ",CU83="CÓ",CV83="CÓ",CH83="CÓ",CI83="CÓ",CJ83="CÓ"),"CÓ","KHÔNG")</x:f>
        <x:v>KHÔNG</x:v>
      </x:c>
      <x:c r="CL83" t="str">
        <x:v>https://www.pilotconorth.com/lien-he | Người dùng chốt trong trao đổi 29/10/2026; PROFILE NỘI BỘ; chưa có văn bản phê duyệt doanh nghiệp</x:v>
      </x:c>
      <x:c r="CM83" t="str">
        <x:v>v1.5 (nâng từ v1.4)</x:v>
      </x:c>
      <x:c r="CN83" t="str">
        <x:v>CẦN XÁC MINH TÊN/QUY CHẾ</x:v>
      </x:c>
      <x:c r="CO83" t="str">
        <x:v>ND30_X_LIEN_HE_EMAIL_FIELD_ONLY; chưa tạo trong Word</x:v>
      </x:c>
      <x:c r="CP83" t="str">
        <x:v>Khác biệt giữa giá trị profile và nguồn pháp lý phải tiếp tục được kiểm chứng; không cho tự sửa DOCX.</x:v>
      </x:c>
      <x:c r="CQ83" t="str">
        <x:f>IF(OR(BH83="CÓ",BH83=TRUE),BI83,"")</x:f>
      </x:c>
      <x:c r="CR83" t="str">
        <x:f>IF(OR(BH83="CÓ",BH83=TRUE),BJ83,"")</x:f>
      </x:c>
      <x:c r="CS83" t="str">
        <x:v>FORMAT_CHECK_ONLY</x:v>
      </x:c>
      <x:c r="CT83" t="str">
        <x:v>VERIFIED_PROFILE_PRESET</x:v>
      </x:c>
      <x:c r="CU83" t="str">
        <x:v>CÓ</x:v>
      </x:c>
      <x:c r="CV83" t="str">
        <x:v>KHÔNG</x:v>
      </x:c>
      <x:c r="CW83" t="str"/>
    </x:row>
    <x:row r="84" ht="29" customHeight="1">
      <x:c r="A84" s="125" t="n">
        <x:v>78</x:v>
      </x:c>
      <x:c r="B84" s="123" t="str">
        <x:v>ND30.X.LIEN_HE.DIEN_THOAI</x:v>
      </x:c>
      <x:c r="C84" s="123" t="str">
        <x:v>Thể thức bổ sung</x:v>
      </x:c>
      <x:c r="D84" s="123" t="str">
        <x:v>Thông tin liên hệ</x:v>
      </x:c>
      <x:c r="E84" s="123" t="str">
        <x:v>Điện thoại</x:v>
      </x:c>
      <x:c r="F84" s="123" t="str">
        <x:v>13</x:v>
      </x:c>
      <x:c r="G84" s="123" t="str">
        <x:v>Chỉ khi đủ chứng cứ/được phép hiện diện; không tự chèn giá trị</x:v>
      </x:c>
      <x:c r="H84" s="123" t="str">
        <x:v>Thông tin liên hệ cơ quan chỉ khi cần thiết</x:v>
      </x:c>
      <x:c r="I84" s="123" t="str">
        <x:v>Times New Roman | Unicode | đen</x:v>
      </x:c>
      <x:c r="J84" s="126" t="str">
        <x:v>11</x:v>
      </x:c>
      <x:c r="K84" s="123" t="str">
        <x:v>Theo dữ liệu</x:v>
      </x:c>
      <x:c r="L84" s="123" t="str">
        <x:v>Không</x:v>
      </x:c>
      <x:c r="M84" s="123" t="str">
        <x:v>Không</x:v>
      </x:c>
      <x:c r="N84" s="123"/>
      <x:c r="O84" s="124"/>
      <x:c r="P84" s="124"/>
      <x:c r="Q84" s="123"/>
      <x:c r="R84" s="123" t="str">
        <x:v>Paragraph/contact block; preserve hyperlink and text</x:v>
      </x:c>
      <x:c r="S84" s="123" t="str">
        <x:v>NĐ30: trang đầu, dưới đường kẻ ngang hết vùng trình bày</x:v>
      </x:c>
      <x:c r="T84" s="123" t="str">
        <x:v>NĐ30, Phụ lục I, Phần I, III (Thể thức bổ sung)</x:v>
      </x:c>
      <x:c r="U84" s="123" t="str">
        <x:v>https://datafiles.chinhphu.vn/cpp/files/vbpq/2020/03/30.signed.pdf</x:v>
      </x:c>
      <x:c r="V84" s="123" t="str">
        <x:v>https://riam.edu.vn/nghi-dinh-ve-cong-tac-van-thu-phu-luc/</x:v>
      </x:c>
      <x:c r="W84" s="123" t="str">
        <x:v>CHƯA ĐỦ BẰNG CHỨNG</x:v>
      </x:c>
      <x:c r="X84" s="123" t="str">
        <x:v>PROTECT_CONTENT</x:v>
      </x:c>
      <x:c r="Y84" s="123" t="str">
        <x:v>Không tự chèn/sửa khi chưa có chứng cứ về đối tượng và rule. | Trạng thái v1.0: CÓ ĐIỀU KIỆN | So sánh cũ (không tham gia xác nhận): NĐ30: trang đầu, dưới đường kẻ ngang hết vùng trình bày; HD05: trang cuối dưới đường kẻ ngang</x:v>
      </x:c>
      <x:c r="Z84" s="124" t="str">
        <x:v>0225 3859133</x:v>
      </x:c>
      <x:c r="AA84" s="123" t="str">
        <x:v>Supplementary</x:v>
      </x:c>
      <x:c r="AB84" s="124" t="str">
        <x:v>PROFILE_CHOT_THEO_TRAO_DOI</x:v>
      </x:c>
      <x:c r="AC84" s="123" t="str">
        <x:v>PROTECT_CONTENT</x:v>
      </x:c>
      <x:c r="AD84" s="123" t="str">
        <x:v>https://www.pilotconorth.com/lien-he | Người dùng chốt trong trao đổi 29/10/2026; PROFILE NỘI BỘ; chưa có văn bản phê duyệt doanh nghiệp</x:v>
      </x:c>
      <x:c r="AE84" s="123" t="str">
        <x:v>Đối chiếu đúng vị trí; không điền dữ liệu; không chạm dấu/chữ ký hoặc trường được bảo vệ.</x:v>
      </x:c>
      <x:c r="AF84" s="123" t="str">
        <x:v>Điện thoại đăng công khai trên trang Công ty. Mặc định không hiển thị; chỉ hiển thị khi có yêu cầu liên hệ đối ngoại phù hợp và được duyệt.</x:v>
      </x:c>
      <x:c r="AG84" s="157" t="str">
        <x:v>Times New Roman</x:v>
      </x:c>
      <x:c r="AH84" s="157" t="str">
        <x:v>Unicode</x:v>
      </x:c>
      <x:c r="AI84" s="157" t="str">
        <x:v>#000000</x:v>
      </x:c>
      <x:c r="AJ84" s="195" t="n">
        <x:v>11</x:v>
      </x:c>
      <x:c r="AK84" s="157" t="str">
        <x:v>KHÔNG</x:v>
      </x:c>
      <x:c r="AL84" s="157" t="str">
        <x:v>KHÔNG</x:v>
      </x:c>
      <x:c r="AM84" s="157" t="str">
        <x:v>Theo dữ liệu</x:v>
      </x:c>
      <x:c r="AN84" s="157"/>
      <x:c r="AO84" s="157"/>
      <x:c r="AP84" s="157"/>
      <x:c r="AQ84" s="195"/>
      <x:c r="AR84" s="157"/>
      <x:c r="AS84" s="195"/>
      <x:c r="AT84" s="195"/>
      <x:c r="AU84" s="195"/>
      <x:c r="AV84" s="195"/>
      <x:c r="AW84" s="195"/>
      <x:c r="AX84" s="157"/>
      <x:c r="AY84" s="157"/>
      <x:c r="AZ84" s="157"/>
      <x:c r="BA84" s="195"/>
      <x:c r="BB84" s="195"/>
      <x:c r="BC84" s="157"/>
      <x:c r="BD84" s="195"/>
      <x:c r="BE84" s="195"/>
      <x:c r="BF84" s="195"/>
      <x:c r="BG84" s="195"/>
      <x:c r="BH84" s="157"/>
      <x:c r="BI84" s="195"/>
      <x:c r="BJ84" s="195"/>
      <x:c r="BK84" s="195"/>
      <x:c r="BL84" s="157"/>
      <x:c r="BM84" s="157"/>
      <x:c r="BN84" s="157"/>
      <x:c r="BO84" s="195"/>
      <x:c r="BP84" s="195"/>
      <x:c r="BQ84" s="157"/>
      <x:c r="BR84" s="157"/>
      <x:c r="BS84" s="157"/>
      <x:c r="BT84" s="157" t="str">
        <x:v>Supplementary</x:v>
      </x:c>
      <x:c r="BU84" s="157" t="str">
        <x:v>Paragraph/contact block; preserve hyperlink and text</x:v>
      </x:c>
      <x:c r="BV84" s="196" t="str">
        <x:v>CẦN XÁC NHẬN</x:v>
      </x:c>
      <x:c r="BW84" s="197" t="str">
        <x:v>ĐÃ TÁCH MỘT PHẦN</x:v>
      </x:c>
      <x:c r="BX84" s="157" t="str">
        <x:v>Cấu hình profile chưa được xác nhận; giữ nguyên chính sách CHECK_ONLY.</x:v>
      </x:c>
      <x:c r="BY84" t="str">
        <x:v>ND30.X.LIEN_HE.DIEN_THOAI</x:v>
      </x:c>
      <x:c r="BZ84" t="str">
        <x:f>IFERROR(INDEX(ND30!$J$7:$J$300,MATCH($B84,ND30!$B$7:$B$300,0)),"UNRESOLVED")</x:f>
        <x:v>11–12</x:v>
      </x:c>
      <x:c r="CA84" t="str">
        <x:v>TEXT</x:v>
      </x:c>
      <x:c r="CB84" t="str">
        <x:v>Mặc định KHÔNG HIỂN THỊ; chỉ khi cần thông tin giao dịch/đối ngoại được phép mới xét trình bày.</x:v>
      </x:c>
      <x:c r="CC84" t="str">
        <x:f>IFERROR(INDEX(ND30!$X$7:$X$300,MATCH($B84,ND30!$B$7:$B$300,0)),"UNRESOLVED")</x:f>
        <x:v>KHÔNG TỰ CHÈN</x:v>
      </x:c>
      <x:c r="CD84" t="str">
        <x:f>IF(OR(ISNUMBER(SEARCH("READ_ONLY",CC84)),ISNUMBER(SEARCH("PROTECTED",CC84)),ISNUMBER(SEARCH("BẢO VỆ",CC84)),ISNUMBER(SEARCH("KHÔNG KÝ",CC84))),"PROTECTED","CHECK_ONLY")</x:f>
        <x:v>CHECK_ONLY</x:v>
      </x:c>
      <x:c r="CE84" t="str">
        <x:f>IF(AND(CD84="FORMAT_APPROVED",CU84="CÓ",CV84="CÓ",CH84="CÓ",CI84="CÓ",CJ84="CÓ"),"CÓ","KHÔNG")</x:f>
        <x:v>KHÔNG</x:v>
      </x:c>
      <x:c r="CF84" t="str">
        <x:v>KHÔNG</x:v>
      </x:c>
      <x:c r="CG84" t="str">
        <x:v>CÓ</x:v>
      </x:c>
      <x:c r="CH84" t="str">
        <x:v>KHÔNG</x:v>
      </x:c>
      <x:c r="CI84" t="str">
        <x:v>KHÔNG</x:v>
      </x:c>
      <x:c r="CJ84" t="str">
        <x:v>KHÔNG</x:v>
      </x:c>
      <x:c r="CK84" t="str">
        <x:f>IF(AND(CE84="CÓ",CF84="KHÔNG",CG84="CÓ",CU84="CÓ",CV84="CÓ",CH84="CÓ",CI84="CÓ",CJ84="CÓ"),"CÓ","KHÔNG")</x:f>
        <x:v>KHÔNG</x:v>
      </x:c>
      <x:c r="CL84" t="str">
        <x:v>https://www.pilotconorth.com/lien-he | Người dùng chốt trong trao đổi 29/10/2026; PROFILE NỘI BỘ; chưa có văn bản phê duyệt doanh nghiệp</x:v>
      </x:c>
      <x:c r="CM84" t="str">
        <x:v>v1.5 (nâng từ v1.4)</x:v>
      </x:c>
      <x:c r="CN84" t="str">
        <x:v>CẦN XÁC MINH TÊN/QUY CHẾ</x:v>
      </x:c>
      <x:c r="CO84" t="str">
        <x:v>ND30_X_LIEN_HE_DIEN_THOAI_FIELD_ONLY; chưa tạo trong Word</x:v>
      </x:c>
      <x:c r="CP84" t="str">
        <x:v>Khác biệt giữa giá trị profile và nguồn pháp lý phải tiếp tục được kiểm chứng; không cho tự sửa DOCX.</x:v>
      </x:c>
      <x:c r="CQ84" t="str">
        <x:f>IF(OR(BH84="CÓ",BH84=TRUE),BI84,"")</x:f>
      </x:c>
      <x:c r="CR84" t="str">
        <x:f>IF(OR(BH84="CÓ",BH84=TRUE),BJ84,"")</x:f>
      </x:c>
      <x:c r="CS84" t="str">
        <x:v>FORMAT_CHECK_ONLY</x:v>
      </x:c>
      <x:c r="CT84" t="str">
        <x:v>VERIFIED_PROFILE_PRESET</x:v>
      </x:c>
      <x:c r="CU84" t="str">
        <x:v>CÓ</x:v>
      </x:c>
      <x:c r="CV84" t="str">
        <x:v>KHÔNG</x:v>
      </x:c>
      <x:c r="CW84" t="str"/>
    </x:row>
    <x:row r="85" ht="29" customHeight="1">
      <x:c r="A85" s="125" t="n">
        <x:v>79</x:v>
      </x:c>
      <x:c r="B85" s="123" t="str">
        <x:v>ND30.X.LIEN_HE.WEB</x:v>
      </x:c>
      <x:c r="C85" s="123" t="str">
        <x:v>Thể thức bổ sung</x:v>
      </x:c>
      <x:c r="D85" s="123" t="str">
        <x:v>Thông tin liên hệ</x:v>
      </x:c>
      <x:c r="E85" s="123" t="str">
        <x:v>Website</x:v>
      </x:c>
      <x:c r="F85" s="123" t="str">
        <x:v>13</x:v>
      </x:c>
      <x:c r="G85" s="123" t="str">
        <x:v>Chỉ khi đủ chứng cứ/được phép hiện diện; không tự chèn giá trị</x:v>
      </x:c>
      <x:c r="H85" s="123" t="str">
        <x:v>Thông tin liên hệ cơ quan chỉ khi cần thiết</x:v>
      </x:c>
      <x:c r="I85" s="123" t="str">
        <x:v>Times New Roman | Unicode | đen</x:v>
      </x:c>
      <x:c r="J85" s="126" t="str">
        <x:v>11</x:v>
      </x:c>
      <x:c r="K85" s="123" t="str">
        <x:v>Theo dữ liệu</x:v>
      </x:c>
      <x:c r="L85" s="123" t="str">
        <x:v>Không</x:v>
      </x:c>
      <x:c r="M85" s="123" t="str">
        <x:v>Không</x:v>
      </x:c>
      <x:c r="N85" s="123"/>
      <x:c r="O85" s="124"/>
      <x:c r="P85" s="124"/>
      <x:c r="Q85" s="123"/>
      <x:c r="R85" s="123" t="str">
        <x:v>Paragraph/contact block; preserve hyperlink and text</x:v>
      </x:c>
      <x:c r="S85" s="123" t="str">
        <x:v>NĐ30: trang đầu, dưới đường kẻ ngang hết vùng trình bày</x:v>
      </x:c>
      <x:c r="T85" s="123" t="str">
        <x:v>NĐ30, Phụ lục I, Phần I, III (Thể thức bổ sung)</x:v>
      </x:c>
      <x:c r="U85" s="123" t="str">
        <x:v>https://datafiles.chinhphu.vn/cpp/files/vbpq/2020/03/30.signed.pdf</x:v>
      </x:c>
      <x:c r="V85" s="123" t="str">
        <x:v>https://riam.edu.vn/nghi-dinh-ve-cong-tac-van-thu-phu-luc/</x:v>
      </x:c>
      <x:c r="W85" s="123" t="str">
        <x:v>CHƯA ĐỦ BẰNG CHỨNG</x:v>
      </x:c>
      <x:c r="X85" s="123" t="str">
        <x:v>PROTECT_CONTENT</x:v>
      </x:c>
      <x:c r="Y85" s="123" t="str">
        <x:v>Không tự chèn/sửa khi chưa có chứng cứ về đối tượng và rule. | Trạng thái v1.0: CÓ ĐIỀU KIỆN | So sánh cũ (không tham gia xác nhận): NĐ30: trang đầu, dưới đường kẻ ngang hết vùng trình bày; HD05: trang cuối dưới đường kẻ ngang</x:v>
      </x:c>
      <x:c r="Z85" s="124" t="str">
        <x:v>https://www.pilotconorth.com</x:v>
      </x:c>
      <x:c r="AA85" s="123" t="str">
        <x:v>Supplementary</x:v>
      </x:c>
      <x:c r="AB85" s="124" t="str">
        <x:v>PROFILE_CHOT_THEO_TRAO_DOI</x:v>
      </x:c>
      <x:c r="AC85" s="123" t="str">
        <x:v>PROTECT_CONTENT</x:v>
      </x:c>
      <x:c r="AD85" s="123" t="str">
        <x:v>https://www.pilotconorth.com/lien-he | Người dùng chốt trong trao đổi 29/10/2026; PROFILE NỘI BỘ; chưa có văn bản phê duyệt doanh nghiệp</x:v>
      </x:c>
      <x:c r="AE85" s="123" t="str">
        <x:v>Đối chiếu đúng vị trí; không điền dữ liệu; không chạm dấu/chữ ký hoặc trường được bảo vệ.</x:v>
      </x:c>
      <x:c r="AF85" s="123" t="str">
        <x:v>Website của Công ty, không có xác nhận website riêng Đảng ủy. Mặc định không hiển thị; chỉ hiển thị khi có yêu cầu liên hệ đối ngoại phù hợp và được duyệt.</x:v>
      </x:c>
      <x:c r="AG85" s="157" t="str">
        <x:v>Times New Roman</x:v>
      </x:c>
      <x:c r="AH85" s="157" t="str">
        <x:v>Unicode</x:v>
      </x:c>
      <x:c r="AI85" s="157" t="str">
        <x:v>#000000</x:v>
      </x:c>
      <x:c r="AJ85" s="195" t="n">
        <x:v>11</x:v>
      </x:c>
      <x:c r="AK85" s="157" t="str">
        <x:v>KHÔNG</x:v>
      </x:c>
      <x:c r="AL85" s="157" t="str">
        <x:v>KHÔNG</x:v>
      </x:c>
      <x:c r="AM85" s="157" t="str">
        <x:v>Theo dữ liệu</x:v>
      </x:c>
      <x:c r="AN85" s="157"/>
      <x:c r="AO85" s="157"/>
      <x:c r="AP85" s="157"/>
      <x:c r="AQ85" s="195"/>
      <x:c r="AR85" s="157"/>
      <x:c r="AS85" s="195"/>
      <x:c r="AT85" s="195"/>
      <x:c r="AU85" s="195"/>
      <x:c r="AV85" s="195"/>
      <x:c r="AW85" s="195"/>
      <x:c r="AX85" s="157"/>
      <x:c r="AY85" s="157"/>
      <x:c r="AZ85" s="157"/>
      <x:c r="BA85" s="195"/>
      <x:c r="BB85" s="195"/>
      <x:c r="BC85" s="157"/>
      <x:c r="BD85" s="195"/>
      <x:c r="BE85" s="195"/>
      <x:c r="BF85" s="195"/>
      <x:c r="BG85" s="195"/>
      <x:c r="BH85" s="157"/>
      <x:c r="BI85" s="195"/>
      <x:c r="BJ85" s="195"/>
      <x:c r="BK85" s="195"/>
      <x:c r="BL85" s="157"/>
      <x:c r="BM85" s="157"/>
      <x:c r="BN85" s="157"/>
      <x:c r="BO85" s="195"/>
      <x:c r="BP85" s="195"/>
      <x:c r="BQ85" s="157"/>
      <x:c r="BR85" s="157"/>
      <x:c r="BS85" s="157"/>
      <x:c r="BT85" s="157" t="str">
        <x:v>Supplementary</x:v>
      </x:c>
      <x:c r="BU85" s="157" t="str">
        <x:v>Paragraph/contact block; preserve hyperlink and text</x:v>
      </x:c>
      <x:c r="BV85" s="196" t="str">
        <x:v>CẦN XÁC NHẬN</x:v>
      </x:c>
      <x:c r="BW85" s="197" t="str">
        <x:v>ĐÃ TÁCH MỘT PHẦN</x:v>
      </x:c>
      <x:c r="BX85" s="157" t="str">
        <x:v>Cấu hình profile chưa được xác nhận; giữ nguyên chính sách CHECK_ONLY.</x:v>
      </x:c>
      <x:c r="BY85" t="str">
        <x:v>ND30.X.LIEN_HE.WEB</x:v>
      </x:c>
      <x:c r="BZ85" t="str">
        <x:f>IFERROR(INDEX(ND30!$J$7:$J$300,MATCH($B85,ND30!$B$7:$B$300,0)),"UNRESOLVED")</x:f>
        <x:v>11–12</x:v>
      </x:c>
      <x:c r="CA85" t="str">
        <x:v>TEXT</x:v>
      </x:c>
      <x:c r="CB85" t="str">
        <x:v>Mặc định KHÔNG HIỂN THỊ; chỉ khi cần thông tin giao dịch/đối ngoại được phép mới xét trình bày.</x:v>
      </x:c>
      <x:c r="CC85" t="str">
        <x:f>IFERROR(INDEX(ND30!$X$7:$X$300,MATCH($B85,ND30!$B$7:$B$300,0)),"UNRESOLVED")</x:f>
        <x:v>KHÔNG TỰ CHÈN</x:v>
      </x:c>
      <x:c r="CD85" t="str">
        <x:f>IF(OR(ISNUMBER(SEARCH("READ_ONLY",CC85)),ISNUMBER(SEARCH("PROTECTED",CC85)),ISNUMBER(SEARCH("BẢO VỆ",CC85)),ISNUMBER(SEARCH("KHÔNG KÝ",CC85))),"PROTECTED","CHECK_ONLY")</x:f>
        <x:v>CHECK_ONLY</x:v>
      </x:c>
      <x:c r="CE85" t="str">
        <x:f>IF(AND(CD85="FORMAT_APPROVED",CU85="CÓ",CV85="CÓ",CH85="CÓ",CI85="CÓ",CJ85="CÓ"),"CÓ","KHÔNG")</x:f>
        <x:v>KHÔNG</x:v>
      </x:c>
      <x:c r="CF85" t="str">
        <x:v>KHÔNG</x:v>
      </x:c>
      <x:c r="CG85" t="str">
        <x:v>CÓ</x:v>
      </x:c>
      <x:c r="CH85" t="str">
        <x:v>KHÔNG</x:v>
      </x:c>
      <x:c r="CI85" t="str">
        <x:v>KHÔNG</x:v>
      </x:c>
      <x:c r="CJ85" t="str">
        <x:v>KHÔNG</x:v>
      </x:c>
      <x:c r="CK85" t="str">
        <x:f>IF(AND(CE85="CÓ",CF85="KHÔNG",CG85="CÓ",CU85="CÓ",CV85="CÓ",CH85="CÓ",CI85="CÓ",CJ85="CÓ"),"CÓ","KHÔNG")</x:f>
        <x:v>KHÔNG</x:v>
      </x:c>
      <x:c r="CL85" t="str">
        <x:v>https://www.pilotconorth.com/lien-he | Người dùng chốt trong trao đổi 29/10/2026; PROFILE NỘI BỘ; chưa có văn bản phê duyệt doanh nghiệp</x:v>
      </x:c>
      <x:c r="CM85" t="str">
        <x:v>v1.5 (nâng từ v1.4)</x:v>
      </x:c>
      <x:c r="CN85" t="str">
        <x:v>CẦN XÁC MINH TÊN/QUY CHẾ</x:v>
      </x:c>
      <x:c r="CO85" t="str">
        <x:v>ND30_X_LIEN_HE_WEB_FIELD_ONLY; chưa tạo trong Word</x:v>
      </x:c>
      <x:c r="CP85" t="str">
        <x:v>Khác biệt giữa giá trị profile và nguồn pháp lý phải tiếp tục được kiểm chứng; không cho tự sửa DOCX.</x:v>
      </x:c>
      <x:c r="CQ85" t="str">
        <x:f>IF(OR(BH85="CÓ",BH85=TRUE),BI85,"")</x:f>
      </x:c>
      <x:c r="CR85" t="str">
        <x:f>IF(OR(BH85="CÓ",BH85=TRUE),BJ85,"")</x:f>
      </x:c>
      <x:c r="CS85" t="str">
        <x:v>FORMAT_CHECK_ONLY</x:v>
      </x:c>
      <x:c r="CT85" t="str">
        <x:v>VERIFIED_PROFILE_PRESET</x:v>
      </x:c>
      <x:c r="CU85" t="str">
        <x:v>CÓ</x:v>
      </x:c>
      <x:c r="CV85" t="str">
        <x:v>KHÔNG</x:v>
      </x:c>
      <x:c r="CW85" t="str"/>
    </x:row>
    <x:row r="86" ht="29" customHeight="1">
      <x:c r="A86" s="125" t="n">
        <x:v>80</x:v>
      </x:c>
      <x:c r="B86" s="123" t="str">
        <x:v>ND30.X.LIEN_HE.FAX</x:v>
      </x:c>
      <x:c r="C86" s="123" t="str">
        <x:v>Thể thức bổ sung</x:v>
      </x:c>
      <x:c r="D86" s="123" t="str">
        <x:v>Thông tin liên hệ</x:v>
      </x:c>
      <x:c r="E86" s="123" t="str">
        <x:v>Số fax</x:v>
      </x:c>
      <x:c r="F86" s="123" t="str">
        <x:v>13</x:v>
      </x:c>
      <x:c r="G86" s="123" t="str">
        <x:v>Chỉ khi đủ chứng cứ/được phép hiện diện; không tự chèn giá trị</x:v>
      </x:c>
      <x:c r="H86" s="123" t="str">
        <x:v>Thông tin liên hệ cơ quan chỉ khi cần thiết</x:v>
      </x:c>
      <x:c r="I86" s="123" t="str">
        <x:v>Times New Roman | Unicode | đen</x:v>
      </x:c>
      <x:c r="J86" s="126" t="str">
        <x:v>11</x:v>
      </x:c>
      <x:c r="K86" s="123" t="str">
        <x:v>Theo dữ liệu</x:v>
      </x:c>
      <x:c r="L86" s="123" t="str">
        <x:v>Không</x:v>
      </x:c>
      <x:c r="M86" s="123" t="str">
        <x:v>Không</x:v>
      </x:c>
      <x:c r="N86" s="123"/>
      <x:c r="O86" s="124"/>
      <x:c r="P86" s="124"/>
      <x:c r="Q86" s="123"/>
      <x:c r="R86" s="123" t="str">
        <x:v>Paragraph/contact block; preserve hyperlink and text</x:v>
      </x:c>
      <x:c r="S86" s="123" t="str">
        <x:v>NĐ30: trang đầu, dưới đường kẻ ngang hết vùng trình bày</x:v>
      </x:c>
      <x:c r="T86" s="123" t="str">
        <x:v>NĐ30, Phụ lục I, Phần I, III (Thể thức bổ sung)</x:v>
      </x:c>
      <x:c r="U86" s="123" t="str">
        <x:v>https://datafiles.chinhphu.vn/cpp/files/vbpq/2020/03/30.signed.pdf</x:v>
      </x:c>
      <x:c r="V86" s="123" t="str">
        <x:v>https://riam.edu.vn/nghi-dinh-ve-cong-tac-van-thu-phu-luc/</x:v>
      </x:c>
      <x:c r="W86" s="123" t="str">
        <x:v>CHƯA ĐỦ BẰNG CHỨNG</x:v>
      </x:c>
      <x:c r="X86" s="123" t="str">
        <x:v>PROTECT_CONTENT</x:v>
      </x:c>
      <x:c r="Y86" s="123" t="str">
        <x:v>Không tự chèn/sửa khi chưa có chứng cứ về đối tượng và rule. | Trạng thái v1.0: CÓ ĐIỀU KIỆN | So sánh cũ (không tham gia xác nhận): NĐ30: trang đầu, dưới đường kẻ ngang hết vùng trình bày; HD05: trang cuối dưới đường kẻ ngang</x:v>
      </x:c>
      <x:c r="Z86" s="124" t="str">
        <x:v>0225 3796666</x:v>
      </x:c>
      <x:c r="AA86" s="123" t="str">
        <x:v>Supplementary</x:v>
      </x:c>
      <x:c r="AB86" s="124" t="str">
        <x:v>PROFILE_CHOT_THEO_TRAO_DOI</x:v>
      </x:c>
      <x:c r="AC86" s="123" t="str">
        <x:v>PROTECT_CONTENT</x:v>
      </x:c>
      <x:c r="AD86" s="123" t="str">
        <x:v>https://www.pilotconorth.com/lien-he | Người dùng chốt trong trao đổi 29/10/2026; PROFILE NỘI BỘ; chưa có văn bản phê duyệt doanh nghiệp</x:v>
      </x:c>
      <x:c r="AE86" s="123" t="str">
        <x:v>Đối chiếu đúng vị trí; không điền dữ liệu; không chạm dấu/chữ ký hoặc trường được bảo vệ.</x:v>
      </x:c>
      <x:c r="AF86" s="123" t="str">
        <x:v>Website Công ty còn công bố 0225 3827543, do đó giữ số người dùng chọn cho profile, không coi là số fax duy nhất. Mặc định không hiển thị; chỉ hiển thị khi có yêu cầu liên hệ đối ngoại phù hợp và được duyệt.</x:v>
      </x:c>
      <x:c r="AG86" s="157" t="str">
        <x:v>Times New Roman</x:v>
      </x:c>
      <x:c r="AH86" s="157" t="str">
        <x:v>Unicode</x:v>
      </x:c>
      <x:c r="AI86" s="157" t="str">
        <x:v>#000000</x:v>
      </x:c>
      <x:c r="AJ86" s="195" t="n">
        <x:v>11</x:v>
      </x:c>
      <x:c r="AK86" s="157" t="str">
        <x:v>KHÔNG</x:v>
      </x:c>
      <x:c r="AL86" s="157" t="str">
        <x:v>KHÔNG</x:v>
      </x:c>
      <x:c r="AM86" s="157" t="str">
        <x:v>Theo dữ liệu</x:v>
      </x:c>
      <x:c r="AN86" s="157"/>
      <x:c r="AO86" s="157"/>
      <x:c r="AP86" s="157"/>
      <x:c r="AQ86" s="195"/>
      <x:c r="AR86" s="157"/>
      <x:c r="AS86" s="195"/>
      <x:c r="AT86" s="195"/>
      <x:c r="AU86" s="195"/>
      <x:c r="AV86" s="195"/>
      <x:c r="AW86" s="195"/>
      <x:c r="AX86" s="157"/>
      <x:c r="AY86" s="157"/>
      <x:c r="AZ86" s="157"/>
      <x:c r="BA86" s="195"/>
      <x:c r="BB86" s="195"/>
      <x:c r="BC86" s="157"/>
      <x:c r="BD86" s="195"/>
      <x:c r="BE86" s="195"/>
      <x:c r="BF86" s="195"/>
      <x:c r="BG86" s="195"/>
      <x:c r="BH86" s="157"/>
      <x:c r="BI86" s="195"/>
      <x:c r="BJ86" s="195"/>
      <x:c r="BK86" s="195"/>
      <x:c r="BL86" s="157"/>
      <x:c r="BM86" s="157"/>
      <x:c r="BN86" s="157"/>
      <x:c r="BO86" s="195"/>
      <x:c r="BP86" s="195"/>
      <x:c r="BQ86" s="157"/>
      <x:c r="BR86" s="157"/>
      <x:c r="BS86" s="157"/>
      <x:c r="BT86" s="157" t="str">
        <x:v>Supplementary</x:v>
      </x:c>
      <x:c r="BU86" s="157" t="str">
        <x:v>Paragraph/contact block; preserve hyperlink and text</x:v>
      </x:c>
      <x:c r="BV86" s="196" t="str">
        <x:v>CẦN XÁC NHẬN</x:v>
      </x:c>
      <x:c r="BW86" s="197" t="str">
        <x:v>ĐÃ TÁCH MỘT PHẦN</x:v>
      </x:c>
      <x:c r="BX86" s="157" t="str">
        <x:v>Cấu hình profile chưa được xác nhận; giữ nguyên chính sách CHECK_ONLY.</x:v>
      </x:c>
      <x:c r="BY86" t="str">
        <x:v>ND30.X.LIEN_HE.FAX</x:v>
      </x:c>
      <x:c r="BZ86" t="str">
        <x:f>IFERROR(INDEX(ND30!$J$7:$J$300,MATCH($B86,ND30!$B$7:$B$300,0)),"UNRESOLVED")</x:f>
        <x:v>11–12</x:v>
      </x:c>
      <x:c r="CA86" t="str">
        <x:v>TEXT</x:v>
      </x:c>
      <x:c r="CB86" t="str">
        <x:v>Mặc định KHÔNG HIỂN THỊ; chỉ khi cần thông tin giao dịch/đối ngoại được phép mới xét trình bày.</x:v>
      </x:c>
      <x:c r="CC86" t="str">
        <x:f>IFERROR(INDEX(ND30!$X$7:$X$300,MATCH($B86,ND30!$B$7:$B$300,0)),"UNRESOLVED")</x:f>
        <x:v>KHÔNG TỰ CHÈN</x:v>
      </x:c>
      <x:c r="CD86" t="str">
        <x:f>IF(OR(ISNUMBER(SEARCH("READ_ONLY",CC86)),ISNUMBER(SEARCH("PROTECTED",CC86)),ISNUMBER(SEARCH("BẢO VỆ",CC86)),ISNUMBER(SEARCH("KHÔNG KÝ",CC86))),"PROTECTED","CHECK_ONLY")</x:f>
        <x:v>CHECK_ONLY</x:v>
      </x:c>
      <x:c r="CE86" t="str">
        <x:f>IF(AND(CD86="FORMAT_APPROVED",CU86="CÓ",CV86="CÓ",CH86="CÓ",CI86="CÓ",CJ86="CÓ"),"CÓ","KHÔNG")</x:f>
        <x:v>KHÔNG</x:v>
      </x:c>
      <x:c r="CF86" t="str">
        <x:v>KHÔNG</x:v>
      </x:c>
      <x:c r="CG86" t="str">
        <x:v>CÓ</x:v>
      </x:c>
      <x:c r="CH86" t="str">
        <x:v>KHÔNG</x:v>
      </x:c>
      <x:c r="CI86" t="str">
        <x:v>KHÔNG</x:v>
      </x:c>
      <x:c r="CJ86" t="str">
        <x:v>KHÔNG</x:v>
      </x:c>
      <x:c r="CK86" t="str">
        <x:f>IF(AND(CE86="CÓ",CF86="KHÔNG",CG86="CÓ",CU86="CÓ",CV86="CÓ",CH86="CÓ",CI86="CÓ",CJ86="CÓ"),"CÓ","KHÔNG")</x:f>
        <x:v>KHÔNG</x:v>
      </x:c>
      <x:c r="CL86" t="str">
        <x:v>https://www.pilotconorth.com/lien-he | Người dùng chốt trong trao đổi 29/10/2026; PROFILE NỘI BỘ; chưa có văn bản phê duyệt doanh nghiệp</x:v>
      </x:c>
      <x:c r="CM86" t="str">
        <x:v>v1.5 (nâng từ v1.4)</x:v>
      </x:c>
      <x:c r="CN86" t="str">
        <x:v>CẦN XÁC MINH TÊN/QUY CHẾ</x:v>
      </x:c>
      <x:c r="CO86" t="str">
        <x:v>ND30_X_LIEN_HE_FAX_FIELD_ONLY; chưa tạo trong Word</x:v>
      </x:c>
      <x:c r="CP86" t="str">
        <x:v>Khác biệt giữa giá trị profile và nguồn pháp lý phải tiếp tục được kiểm chứng; không cho tự sửa DOCX.</x:v>
      </x:c>
      <x:c r="CQ86" t="str">
        <x:f>IF(OR(BH86="CÓ",BH86=TRUE),BI86,"")</x:f>
      </x:c>
      <x:c r="CR86" t="str">
        <x:f>IF(OR(BH86="CÓ",BH86=TRUE),BJ86,"")</x:f>
      </x:c>
      <x:c r="CS86" t="str">
        <x:v>FORMAT_CHECK_ONLY</x:v>
      </x:c>
      <x:c r="CT86" t="str">
        <x:v>VERIFIED_PROFILE_PRESET</x:v>
      </x:c>
      <x:c r="CU86" t="str">
        <x:v>CÓ</x:v>
      </x:c>
      <x:c r="CV86" t="str">
        <x:v>KHÔNG</x:v>
      </x:c>
      <x:c r="CW86" t="str"/>
    </x:row>
  </x:sheetData>
  <x:mergeCells>
    <x:mergeCell ref="A1:H1"/>
    <x:mergeCell ref="A2:H2"/>
    <x:mergeCell ref="A3:H3"/>
    <x:mergeCell ref="A4:H4"/>
    <x:mergeCell ref="AG5:AM5"/>
    <x:mergeCell ref="AN5:AY5"/>
    <x:mergeCell ref="AZ5:BJ5"/>
    <x:mergeCell ref="BK5:BL5"/>
    <x:mergeCell ref="BM5:BP5"/>
    <x:mergeCell ref="BQ5:BS5"/>
    <x:mergeCell ref="BT5:BX5"/>
    <x:mergeCell ref="AG1:BX1"/>
    <x:mergeCell ref="AG2:BX2"/>
    <x:mergeCell ref="AG3:BX3"/>
    <x:mergeCell ref="AG4:BX4"/>
  </x:mergeCells>
  <x:dataValidations count="7">
    <x:dataValidation type="list" sqref="AB7:AB86">
      <x:formula1>"THAM KHẢO,CÓ ĐIỀU KIỆN,CẦN QA RENDER,CẦN XÁC NHẬN,BẢO VỆ,BẢO VỆ NỘI DUNG,DỰ THẢO — CẦN DUYỆT HD05"</x:formula1>
    </x:dataValidation>
    <x:dataValidation type="list" sqref="CH7:CH86">
      <x:formula1>"CÓ,KHÔNG"</x:formula1>
    </x:dataValidation>
    <x:dataValidation type="list" sqref="CI7:CI86">
      <x:formula1>"CÓ,KHÔNG"</x:formula1>
    </x:dataValidation>
    <x:dataValidation type="list" sqref="CJ7:CJ86">
      <x:formula1>"CÓ,KHÔNG"</x:formula1>
    </x:dataValidation>
    <x:dataValidation type="list" sqref="CF7:CF86">
      <x:formula1>"CÓ,KHÔNG"</x:formula1>
    </x:dataValidation>
    <x:dataValidation type="list" sqref="CA7:CA86">
      <x:formula1>"SIGNATURE_OR_SEAL,IMAGE,STRUCTURAL_TABLE,TABLE,SEPARATOR,DOCUMENT_SETTING,PROTECTED_TEXT,TEXT"</x:formula1>
    </x:dataValidation>
    <x:dataValidation type="list" sqref="CU7:CV86">
      <x:formula1>"CÓ,KHÔNG"</x:formula1>
    </x:dataValidation>
  </x:dataValidations>
  <x:pageMargins left="0.7" right="0.7" top="0.75" bottom="0.75" header="0.3" footer="0.3"/>
  <x:tableParts count="1">
    <x:tablePart xmlns:r="http://schemas.openxmlformats.org/officeDocument/2006/relationships" r:id="R7055f48899fc4585"/>
  </x:tableParts>
</x:worksheet>
</file>

<file path=xl/worksheets/sheet8.xml><?xml version="1.0" encoding="utf-8"?>
<x:worksheet xmlns:x="http://schemas.openxmlformats.org/spreadsheetml/2006/main">
  <x:sheetViews>
    <x:sheetView workbookViewId="0">
      <x:pane xSplit="2" ySplit="6" topLeftCell="C7" activePane="bottomRight" state="frozen"/>
    </x:sheetView>
  </x:sheetViews>
  <x:sheetFormatPr defaultRowHeight="15"/>
  <x:cols>
    <x:col min="1" max="1" width="6" hidden="0" customWidth="1"/>
    <x:col min="2" max="2" width="43" hidden="0" customWidth="1"/>
    <x:col min="3" max="3" width="14" hidden="0" customWidth="1"/>
    <x:col min="4" max="4" width="25" hidden="0" customWidth="1"/>
    <x:col min="5" max="5" width="34" hidden="0" customWidth="1"/>
    <x:col min="6" max="6" width="12" hidden="0" customWidth="1"/>
    <x:col min="7" max="7" width="40" hidden="0" customWidth="1"/>
    <x:col min="8" max="8" width="39" hidden="0" customWidth="1"/>
    <x:col min="9" max="9" width="27" hidden="0" customWidth="1"/>
    <x:col min="10" max="10" width="13" hidden="0" customWidth="1"/>
    <x:col min="11" max="11" width="26" hidden="0" customWidth="1"/>
    <x:col min="12" max="12" width="17" hidden="0" customWidth="1"/>
    <x:col min="13" max="13" width="18" hidden="0" customWidth="1"/>
    <x:col min="14" max="14" width="35" hidden="0" customWidth="1"/>
    <x:col min="15" max="15" width="36" hidden="0" customWidth="1"/>
    <x:col min="16" max="16" width="37" hidden="0" customWidth="1"/>
    <x:col min="17" max="17" width="38" hidden="0" customWidth="1"/>
    <x:col min="18" max="18" width="42" hidden="0" customWidth="1"/>
    <x:col min="19" max="19" width="50" hidden="0" customWidth="1"/>
    <x:col min="20" max="20" width="39" hidden="0" customWidth="1"/>
    <x:col min="21" max="21" width="32" hidden="0" customWidth="1"/>
    <x:col min="22" max="22" width="32" hidden="0" customWidth="1"/>
    <x:col min="23" max="23" width="24" hidden="0" customWidth="1"/>
    <x:col min="24" max="24" width="27" hidden="0" customWidth="1"/>
    <x:col min="25" max="25" width="44" hidden="0" customWidth="1"/>
    <x:col min="26" max="26" width="56" hidden="0" customWidth="1"/>
    <x:col min="27" max="27" width="31" hidden="0" customWidth="1"/>
    <x:col min="28" max="28" width="32" hidden="0" customWidth="1"/>
    <x:col min="29" max="29" width="25" hidden="0" customWidth="1"/>
    <x:col min="30" max="30" width="47" hidden="0" customWidth="1"/>
    <x:col min="31" max="31" width="64" hidden="0" customWidth="1"/>
    <x:col min="32" max="32" width="55" hidden="0" customWidth="1"/>
    <x:col min="33" max="33" width="19" hidden="0" customWidth="1"/>
    <x:col min="34" max="34" width="19" hidden="0" customWidth="1"/>
    <x:col min="35" max="35" width="15" hidden="0" customWidth="1"/>
    <x:col min="36" max="36" width="15" hidden="0" customWidth="1"/>
    <x:col min="37" max="37" width="15" hidden="0" customWidth="1"/>
    <x:col min="38" max="38" width="15" hidden="0" customWidth="1"/>
    <x:col min="39" max="39" width="19" hidden="0" customWidth="1"/>
    <x:col min="40" max="40" width="19" hidden="0" customWidth="1"/>
    <x:col min="41" max="41" width="34" hidden="0" customWidth="1"/>
    <x:col min="42" max="42" width="19" hidden="0" customWidth="1"/>
    <x:col min="43" max="43" width="19" hidden="0" customWidth="1"/>
    <x:col min="44" max="44" width="19" hidden="0" customWidth="1"/>
    <x:col min="45" max="45" width="19" hidden="0" customWidth="1"/>
    <x:col min="46" max="46" width="19" hidden="0" customWidth="1"/>
    <x:col min="47" max="47" width="19" hidden="0" customWidth="1"/>
    <x:col min="48" max="48" width="19" hidden="0" customWidth="1"/>
    <x:col min="49" max="49" width="19" hidden="0" customWidth="1"/>
    <x:col min="50" max="50" width="19" hidden="0" customWidth="1"/>
    <x:col min="51" max="51" width="19" hidden="0" customWidth="1"/>
    <x:col min="52" max="52" width="15" hidden="0" customWidth="1"/>
    <x:col min="53" max="53" width="19" hidden="0" customWidth="1"/>
    <x:col min="54" max="54" width="19" hidden="0" customWidth="1"/>
    <x:col min="55" max="55" width="15" hidden="0" customWidth="1"/>
    <x:col min="56" max="56" width="19" hidden="0" customWidth="1"/>
    <x:col min="57" max="57" width="19" hidden="0" customWidth="1"/>
    <x:col min="58" max="58" width="19" hidden="0" customWidth="1"/>
    <x:col min="59" max="59" width="19" hidden="0" customWidth="1"/>
    <x:col min="60" max="60" width="19" hidden="0" customWidth="1"/>
    <x:col min="61" max="61" width="19" hidden="0" customWidth="1"/>
    <x:col min="62" max="62" width="19" hidden="0" customWidth="1"/>
    <x:col min="63" max="63" width="19" hidden="0" customWidth="1"/>
    <x:col min="64" max="64" width="19" hidden="0" customWidth="1"/>
    <x:col min="65" max="65" width="19" hidden="0" customWidth="1"/>
    <x:col min="66" max="66" width="19" hidden="0" customWidth="1"/>
    <x:col min="67" max="67" width="19" hidden="0" customWidth="1"/>
    <x:col min="68" max="68" width="19" hidden="0" customWidth="1"/>
    <x:col min="69" max="69" width="19" hidden="0" customWidth="1"/>
    <x:col min="70" max="70" width="19" hidden="0" customWidth="1"/>
    <x:col min="71" max="71" width="19" hidden="0" customWidth="1"/>
    <x:col min="72" max="72" width="19" hidden="0" customWidth="1"/>
    <x:col min="73" max="73" width="34" hidden="0" customWidth="1"/>
    <x:col min="74" max="74" width="19" hidden="0" customWidth="1"/>
    <x:col min="75" max="75" width="19" hidden="0" customWidth="1"/>
    <x:col min="76" max="76" width="34" hidden="0" customWidth="1"/>
    <x:col min="77" max="77" width="32" hidden="0" customWidth="1"/>
    <x:col min="78" max="78" width="25" hidden="0" customWidth="1"/>
    <x:col min="79" max="79" width="29" hidden="0" customWidth="1"/>
    <x:col min="80" max="80" width="29" hidden="0" customWidth="1"/>
    <x:col min="81" max="81" width="29" hidden="0" customWidth="1"/>
    <x:col min="82" max="82" width="29" hidden="0" customWidth="1"/>
    <x:col min="83" max="83" width="17" hidden="0" customWidth="1"/>
    <x:col min="84" max="84" width="17" hidden="0" customWidth="1"/>
    <x:col min="85" max="85" width="17" hidden="0" customWidth="1"/>
    <x:col min="86" max="86" width="17" hidden="0" customWidth="1"/>
    <x:col min="87" max="87" width="17" hidden="0" customWidth="1"/>
    <x:col min="88" max="88" width="17" hidden="0" customWidth="1"/>
    <x:col min="89" max="89" width="17" hidden="0" customWidth="1"/>
    <x:col min="90" max="90" width="36" hidden="0" customWidth="1"/>
    <x:col min="91" max="91" width="36" hidden="0" customWidth="1"/>
    <x:col min="92" max="92" width="36" hidden="0" customWidth="1"/>
    <x:col min="93" max="93" width="36" hidden="0" customWidth="1"/>
    <x:col min="94" max="94" width="46" hidden="0" customWidth="1"/>
    <x:col min="95" max="95" width="18" hidden="0" customWidth="1"/>
    <x:col min="96" max="96" width="18" hidden="0" customWidth="1"/>
    <x:col min="97" max="97" width="33" hidden="0" customWidth="1"/>
    <x:col min="98" max="98" width="33" hidden="0" customWidth="1"/>
    <x:col min="99" max="99" width="27" hidden="0" customWidth="1"/>
    <x:col min="100" max="100" width="27" hidden="0" customWidth="1"/>
    <x:col min="101" max="101" width="27" hidden="0" customWidth="1"/>
  </x:cols>
  <x:sheetData>
    <x:row r="1" ht="32" customHeight="1">
      <x:c r="A1" s="129" t="str">
        <x:v>PROFILE HD05 — ĐẢNG ỦY CÔNG TY HOA TIÊU HÀNG HẢI MIỀN BẮC</x:v>
      </x:c>
      <x:c r="B1" s="129"/>
      <x:c r="C1" s="129"/>
      <x:c r="D1" s="129"/>
      <x:c r="E1" s="129"/>
      <x:c r="F1" s="129"/>
      <x:c r="G1" s="129"/>
      <x:c r="H1" s="129"/>
      <x:c r="I1" s="129"/>
      <x:c r="J1" s="129"/>
      <x:c r="K1" s="129"/>
      <x:c r="L1" s="129"/>
      <x:c r="M1" s="129"/>
      <x:c r="N1" s="129"/>
      <x:c r="O1" s="129"/>
      <x:c r="P1" s="129"/>
      <x:c r="Q1" s="129"/>
      <x:c r="R1" s="129"/>
      <x:c r="S1" s="129"/>
      <x:c r="T1" s="129"/>
      <x:c r="U1" s="129"/>
      <x:c r="V1" s="129"/>
      <x:c r="W1" s="129"/>
      <x:c r="X1" s="129"/>
      <x:c r="Y1" s="129"/>
      <x:c r="Z1" s="129"/>
      <x:c r="AA1" s="129"/>
      <x:c r="AB1" s="129"/>
      <x:c r="AC1" s="129"/>
      <x:c r="AD1" s="129"/>
      <x:c r="AE1" s="129"/>
      <x:c r="AF1" s="129"/>
      <x:c r="AG1" s="188" t="str">
        <x:v>BỘ THÔNG SỐ ĐỊNH DẠNG ĐÃ TÁCH RIÊNG – HD05</x:v>
      </x:c>
      <x:c r="AH1" s="188"/>
      <x:c r="AI1" s="188"/>
      <x:c r="AJ1" s="188"/>
      <x:c r="AK1" s="188"/>
      <x:c r="AL1" s="188"/>
      <x:c r="AM1" s="188"/>
      <x:c r="AN1" s="188"/>
      <x:c r="AO1" s="188"/>
      <x:c r="AP1" s="188"/>
      <x:c r="AQ1" s="188"/>
      <x:c r="AR1" s="188"/>
      <x:c r="AS1" s="188"/>
      <x:c r="AT1" s="188"/>
      <x:c r="AU1" s="188"/>
      <x:c r="AV1" s="188"/>
      <x:c r="AW1" s="188"/>
      <x:c r="AX1" s="188"/>
      <x:c r="AY1" s="188"/>
      <x:c r="AZ1" s="188"/>
      <x:c r="BA1" s="188"/>
      <x:c r="BB1" s="188"/>
      <x:c r="BC1" s="188"/>
      <x:c r="BD1" s="188"/>
      <x:c r="BE1" s="188"/>
      <x:c r="BF1" s="188"/>
      <x:c r="BG1" s="188"/>
      <x:c r="BH1" s="188"/>
      <x:c r="BI1" s="188"/>
      <x:c r="BJ1" s="188"/>
      <x:c r="BK1" s="188"/>
      <x:c r="BL1" s="188"/>
      <x:c r="BM1" s="188"/>
      <x:c r="BN1" s="188"/>
      <x:c r="BO1" s="188"/>
      <x:c r="BP1" s="188"/>
      <x:c r="BQ1" s="188"/>
      <x:c r="BR1" s="188"/>
      <x:c r="BS1" s="188"/>
      <x:c r="BT1" s="188"/>
      <x:c r="BU1" s="188"/>
      <x:c r="BV1" s="188"/>
      <x:c r="BW1" s="188"/>
      <x:c r="BX1" s="188"/>
    </x:row>
    <x:row r="2" ht="26" customHeight="1">
      <x:c r="A2" s="145" t="str">
        <x:v>PROFILE: HOA-TIEU-MIEN-BAC-PARTY-HD05-HEADER-2026 | NEEDS_REVIEW · không tự áp HD05 cho văn bản của doanh nghiệp</x:v>
      </x:c>
      <x:c r="B2" s="145"/>
      <x:c r="C2" s="145"/>
      <x:c r="D2" s="145"/>
      <x:c r="E2" s="145"/>
      <x:c r="F2" s="145"/>
      <x:c r="G2" s="145"/>
      <x:c r="H2" s="145"/>
      <x:c r="I2" s="131"/>
      <x:c r="J2" s="131"/>
      <x:c r="K2" s="131"/>
      <x:c r="L2" s="131"/>
      <x:c r="M2" s="131"/>
      <x:c r="N2" s="131"/>
      <x:c r="O2" s="131"/>
      <x:c r="P2" s="131"/>
      <x:c r="Q2" s="131"/>
      <x:c r="R2" s="131"/>
      <x:c r="S2" s="131"/>
      <x:c r="T2" s="131"/>
      <x:c r="U2" s="131"/>
      <x:c r="V2" s="131"/>
      <x:c r="W2" s="131"/>
      <x:c r="X2" s="131"/>
      <x:c r="Y2" s="131"/>
      <x:c r="Z2" s="131"/>
      <x:c r="AA2" s="131"/>
      <x:c r="AB2" s="131"/>
      <x:c r="AC2" s="131"/>
      <x:c r="AD2" s="131"/>
      <x:c r="AE2" s="131"/>
      <x:c r="AF2" s="131"/>
      <x:c r="AG2" s="190" t="str">
        <x:v>CỘT AG–BX: 01 thiết lập = 01 cột; giá trị trống = chưa xác minh/không có dữ liệu; không suy ra mặc định.</x:v>
      </x:c>
      <x:c r="AH2" s="190"/>
      <x:c r="AI2" s="190"/>
      <x:c r="AJ2" s="190"/>
      <x:c r="AK2" s="190"/>
      <x:c r="AL2" s="190"/>
      <x:c r="AM2" s="190"/>
      <x:c r="AN2" s="190"/>
      <x:c r="AO2" s="190"/>
      <x:c r="AP2" s="190"/>
      <x:c r="AQ2" s="190"/>
      <x:c r="AR2" s="190"/>
      <x:c r="AS2" s="190"/>
      <x:c r="AT2" s="190"/>
      <x:c r="AU2" s="190"/>
      <x:c r="AV2" s="190"/>
      <x:c r="AW2" s="190"/>
      <x:c r="AX2" s="190"/>
      <x:c r="AY2" s="190"/>
      <x:c r="AZ2" s="190"/>
      <x:c r="BA2" s="190"/>
      <x:c r="BB2" s="190"/>
      <x:c r="BC2" s="190"/>
      <x:c r="BD2" s="190"/>
      <x:c r="BE2" s="190"/>
      <x:c r="BF2" s="190"/>
      <x:c r="BG2" s="190"/>
      <x:c r="BH2" s="190"/>
      <x:c r="BI2" s="190"/>
      <x:c r="BJ2" s="190"/>
      <x:c r="BK2" s="190"/>
      <x:c r="BL2" s="190"/>
      <x:c r="BM2" s="190"/>
      <x:c r="BN2" s="190"/>
      <x:c r="BO2" s="190"/>
      <x:c r="BP2" s="190"/>
      <x:c r="BQ2" s="190"/>
      <x:c r="BR2" s="190"/>
      <x:c r="BS2" s="190"/>
      <x:c r="BT2" s="190"/>
      <x:c r="BU2" s="190"/>
      <x:c r="BV2" s="190"/>
      <x:c r="BW2" s="190"/>
      <x:c r="BX2" s="190"/>
    </x:row>
    <x:row r="3" ht="24" customHeight="1">
      <x:c r="A3" s="144" t="str">
        <x:v>NGUỒN THAM CHIẾU: sao chép đủ trường từ sheet HD05; cột I–S chứa thông số profile; các cột Z–AF ghi rõ nội dung, đối tượng, trạng thái và QA. Mọi giá trị chọn chỉ là preset, không thay luật bắt buộc.</x:v>
      </x:c>
      <x:c r="B3" s="144"/>
      <x:c r="C3" s="144"/>
      <x:c r="D3" s="144"/>
      <x:c r="E3" s="144"/>
      <x:c r="F3" s="144"/>
      <x:c r="G3" s="144"/>
      <x:c r="H3" s="144"/>
      <x:c r="I3" s="117"/>
      <x:c r="J3" s="117"/>
      <x:c r="K3" s="117"/>
      <x:c r="L3" s="117"/>
      <x:c r="M3" s="117"/>
      <x:c r="N3" s="117"/>
      <x:c r="O3" s="117"/>
      <x:c r="P3" s="117"/>
      <x:c r="Q3" s="117"/>
      <x:c r="R3" s="117"/>
      <x:c r="S3" s="117"/>
      <x:c r="T3" s="117"/>
      <x:c r="U3" s="117"/>
      <x:c r="V3" s="117"/>
      <x:c r="W3" s="117"/>
      <x:c r="X3" s="117"/>
      <x:c r="Y3" s="117"/>
      <x:c r="Z3" s="117"/>
      <x:c r="AA3" s="117"/>
      <x:c r="AB3" s="117"/>
      <x:c r="AC3" s="117"/>
      <x:c r="AD3" s="117"/>
      <x:c r="AE3" s="117"/>
      <x:c r="AF3" s="117"/>
      <x:c r="AG3" s="192" t="str">
        <x:v>Dữ liệu gốc A–AF được bảo toàn để đối chiếu. Chỉ các giá trị nguyên tử đã có bằng chứng trong profile v1.3 mới được trích tách.</x:v>
      </x:c>
      <x:c r="AH3" s="192"/>
      <x:c r="AI3" s="192"/>
      <x:c r="AJ3" s="192"/>
      <x:c r="AK3" s="192"/>
      <x:c r="AL3" s="192"/>
      <x:c r="AM3" s="192"/>
      <x:c r="AN3" s="192"/>
      <x:c r="AO3" s="192"/>
      <x:c r="AP3" s="192"/>
      <x:c r="AQ3" s="192"/>
      <x:c r="AR3" s="192"/>
      <x:c r="AS3" s="192"/>
      <x:c r="AT3" s="192"/>
      <x:c r="AU3" s="192"/>
      <x:c r="AV3" s="192"/>
      <x:c r="AW3" s="192"/>
      <x:c r="AX3" s="192"/>
      <x:c r="AY3" s="192"/>
      <x:c r="AZ3" s="192"/>
      <x:c r="BA3" s="192"/>
      <x:c r="BB3" s="192"/>
      <x:c r="BC3" s="192"/>
      <x:c r="BD3" s="192"/>
      <x:c r="BE3" s="192"/>
      <x:c r="BF3" s="192"/>
      <x:c r="BG3" s="192"/>
      <x:c r="BH3" s="192"/>
      <x:c r="BI3" s="192"/>
      <x:c r="BJ3" s="192"/>
      <x:c r="BK3" s="192"/>
      <x:c r="BL3" s="192"/>
      <x:c r="BM3" s="192"/>
      <x:c r="BN3" s="192"/>
      <x:c r="BO3" s="192"/>
      <x:c r="BP3" s="192"/>
      <x:c r="BQ3" s="192"/>
      <x:c r="BR3" s="192"/>
      <x:c r="BS3" s="192"/>
      <x:c r="BT3" s="192"/>
      <x:c r="BU3" s="192"/>
      <x:c r="BV3" s="192"/>
      <x:c r="BW3" s="192"/>
      <x:c r="BX3" s="192"/>
    </x:row>
    <x:row r="4" ht="24" customHeight="1">
      <x:c r="A4" s="144" t="str">
        <x:v>CẢNH BÁO: không tự sinh số văn bản, ngày, nơi nhận, họ tên, chữ ký hay dấu. Profile Đảng chỉ dùng sau khi xác nhận đúng tổ chức Đảng ban hành và HD05 áp dụng.</x:v>
      </x:c>
      <x:c r="B4" s="144"/>
      <x:c r="C4" s="144"/>
      <x:c r="D4" s="144"/>
      <x:c r="E4" s="144"/>
      <x:c r="F4" s="144"/>
      <x:c r="G4" s="144"/>
      <x:c r="H4" s="144"/>
      <x:c r="I4" s="117"/>
      <x:c r="J4" s="117"/>
      <x:c r="K4" s="117"/>
      <x:c r="L4" s="117"/>
      <x:c r="M4" s="117"/>
      <x:c r="N4" s="117"/>
      <x:c r="O4" s="117"/>
      <x:c r="P4" s="117"/>
      <x:c r="Q4" s="117"/>
      <x:c r="R4" s="117"/>
      <x:c r="S4" s="117"/>
      <x:c r="T4" s="117"/>
      <x:c r="U4" s="117"/>
      <x:c r="V4" s="117"/>
      <x:c r="W4" s="117"/>
      <x:c r="X4" s="117"/>
      <x:c r="Y4" s="117"/>
      <x:c r="Z4" s="117"/>
      <x:c r="AA4" s="117"/>
      <x:c r="AB4" s="117"/>
      <x:c r="AC4" s="117"/>
      <x:c r="AD4" s="117"/>
      <x:c r="AE4" s="117"/>
      <x:c r="AF4" s="117"/>
      <x:c r="AG4" s="194" t="str">
        <x:v>HD05: PROFILE DỰ THẢO; xác minh chủ thể Đảng ủy trước, không tự sửa DOCX. Thông số chưa rõ: để trống, ghi tại BX.</x:v>
      </x:c>
      <x:c r="AH4" s="194"/>
      <x:c r="AI4" s="194"/>
      <x:c r="AJ4" s="194"/>
      <x:c r="AK4" s="194"/>
      <x:c r="AL4" s="194"/>
      <x:c r="AM4" s="194"/>
      <x:c r="AN4" s="194"/>
      <x:c r="AO4" s="194"/>
      <x:c r="AP4" s="194"/>
      <x:c r="AQ4" s="194"/>
      <x:c r="AR4" s="194"/>
      <x:c r="AS4" s="194"/>
      <x:c r="AT4" s="194"/>
      <x:c r="AU4" s="194"/>
      <x:c r="AV4" s="194"/>
      <x:c r="AW4" s="194"/>
      <x:c r="AX4" s="194"/>
      <x:c r="AY4" s="194"/>
      <x:c r="AZ4" s="194"/>
      <x:c r="BA4" s="194"/>
      <x:c r="BB4" s="194"/>
      <x:c r="BC4" s="194"/>
      <x:c r="BD4" s="194"/>
      <x:c r="BE4" s="194"/>
      <x:c r="BF4" s="194"/>
      <x:c r="BG4" s="194"/>
      <x:c r="BH4" s="194"/>
      <x:c r="BI4" s="194"/>
      <x:c r="BJ4" s="194"/>
      <x:c r="BK4" s="194"/>
      <x:c r="BL4" s="194"/>
      <x:c r="BM4" s="194"/>
      <x:c r="BN4" s="194"/>
      <x:c r="BO4" s="194"/>
      <x:c r="BP4" s="194"/>
      <x:c r="BQ4" s="194"/>
      <x:c r="BR4" s="194"/>
      <x:c r="BS4" s="194"/>
      <x:c r="BT4" s="194"/>
      <x:c r="BU4" s="194"/>
      <x:c r="BV4" s="194"/>
      <x:c r="BW4" s="194"/>
      <x:c r="BX4" s="194"/>
    </x:row>
    <x:row r="5" ht="24" customHeight="1">
      <x:c r="AG5" s="161" t="str">
        <x:v>PHÔNG CHỮ</x:v>
      </x:c>
      <x:c r="AH5" s="161"/>
      <x:c r="AI5" s="161"/>
      <x:c r="AJ5" s="161"/>
      <x:c r="AK5" s="161"/>
      <x:c r="AL5" s="161"/>
      <x:c r="AM5" s="161"/>
      <x:c r="AN5" s="165" t="str">
        <x:v>ĐOẠN VĂN</x:v>
      </x:c>
      <x:c r="AO5" s="165"/>
      <x:c r="AP5" s="165"/>
      <x:c r="AQ5" s="165"/>
      <x:c r="AR5" s="165"/>
      <x:c r="AS5" s="165"/>
      <x:c r="AT5" s="165"/>
      <x:c r="AU5" s="165"/>
      <x:c r="AV5" s="165"/>
      <x:c r="AW5" s="165"/>
      <x:c r="AX5" s="165"/>
      <x:c r="AY5" s="165"/>
      <x:c r="AZ5" s="169" t="str">
        <x:v>TRANG / SECTION</x:v>
      </x:c>
      <x:c r="BA5" s="169"/>
      <x:c r="BB5" s="169"/>
      <x:c r="BC5" s="169"/>
      <x:c r="BD5" s="169"/>
      <x:c r="BE5" s="169"/>
      <x:c r="BF5" s="169"/>
      <x:c r="BG5" s="169"/>
      <x:c r="BH5" s="169"/>
      <x:c r="BI5" s="169"/>
      <x:c r="BJ5" s="169"/>
      <x:c r="BK5" s="173" t="str">
        <x:v>BẢNG</x:v>
      </x:c>
      <x:c r="BL5" s="173"/>
      <x:c r="BM5" s="177" t="str">
        <x:v>ĐƯỜNG KẺ / KÝ TỰ</x:v>
      </x:c>
      <x:c r="BN5" s="177"/>
      <x:c r="BO5" s="177"/>
      <x:c r="BP5" s="177"/>
      <x:c r="BQ5" s="181" t="str">
        <x:v>ĐÁNH SỐ / SECTION</x:v>
      </x:c>
      <x:c r="BR5" s="181"/>
      <x:c r="BS5" s="181"/>
      <x:c r="BT5" s="185" t="str">
        <x:v>KỸ THUẬT / QA</x:v>
      </x:c>
      <x:c r="BU5" s="185"/>
      <x:c r="BV5" s="185"/>
      <x:c r="BW5" s="185"/>
      <x:c r="BX5" s="185"/>
    </x:row>
    <x:row r="6" ht="48" customHeight="1">
      <x:c r="A6" s="134" t="str">
        <x:v>STT</x:v>
      </x:c>
      <x:c r="B6" s="134" t="str">
        <x:v>Mã trường chuẩn</x:v>
      </x:c>
      <x:c r="C6" s="134" t="str">
        <x:v>Vùng</x:v>
      </x:c>
      <x:c r="D6" s="134" t="str">
        <x:v>Nhóm</x:v>
      </x:c>
      <x:c r="E6" s="134" t="str">
        <x:v>Tên trường/thành phần</x:v>
      </x:c>
      <x:c r="F6" s="134" t="str">
        <x:v>Ô pháp lý</x:v>
      </x:c>
      <x:c r="G6" s="134" t="str">
        <x:v>Điều kiện áp dụng (không phải mức xác minh)</x:v>
      </x:c>
      <x:c r="H6" s="134" t="str">
        <x:v>Quy tắc nội dung/hiện diện</x:v>
      </x:c>
      <x:c r="I6" s="134" t="str">
        <x:v>PRESET / mô tả • Font chữ</x:v>
      </x:c>
      <x:c r="J6" s="134" t="str">
        <x:v>PRESET / mô tả • Cỡ chữ (pt)</x:v>
      </x:c>
      <x:c r="K6" s="134" t="str">
        <x:v>PRESET / mô tả • Chữ hoa/thường</x:v>
      </x:c>
      <x:c r="L6" s="134" t="str">
        <x:v>PRESET / mô tả • Đậm</x:v>
      </x:c>
      <x:c r="M6" s="134" t="str">
        <x:v>PRESET / mô tả • Nghiêng</x:v>
      </x:c>
      <x:c r="N6" s="134" t="str">
        <x:v>PRESET / mô tả • Căn chỉnh</x:v>
      </x:c>
      <x:c r="O6" s="134" t="str">
        <x:v>PRESET / mô tả • Giãn dòng/đoạn</x:v>
      </x:c>
      <x:c r="P6" s="134" t="str">
        <x:v>PRESET / mô tả • Thụt/lề/khoảng cách</x:v>
      </x:c>
      <x:c r="Q6" s="134" t="str">
        <x:v>PRESET / mô tả • Đường kẻ/ký tự</x:v>
      </x:c>
      <x:c r="R6" s="134" t="str">
        <x:v>PRESET / mô tả • Thiết lập/đối tượng DOCX</x:v>
      </x:c>
      <x:c r="S6" s="134" t="str">
        <x:v>PRESET / mô tả • Thông số cụ thể &amp; giới hạn</x:v>
      </x:c>
      <x:c r="T6" s="134" t="str">
        <x:v>Nguồn/điều khoản</x:v>
      </x:c>
      <x:c r="U6" s="134" t="str">
        <x:v>URL nguồn chính thức</x:v>
      </x:c>
      <x:c r="V6" s="134" t="str">
        <x:v>URL tham chiếu chi tiết</x:v>
      </x:c>
      <x:c r="W6" s="134" t="str">
        <x:v>Mức xác minh (cấp dòng, chưa nghiệm thu thuộc tính)</x:v>
      </x:c>
      <x:c r="X6" s="134" t="str">
        <x:v>Chính sách thao tác (tách khỏi kiểm chứng)</x:v>
      </x:c>
      <x:c r="Y6" s="134" t="str">
        <x:v>Ghi chú / ngoại lệ / lịch sử chuyển đổi</x:v>
      </x:c>
      <x:c r="Z6" s="134" t="str">
        <x:v>Nội dung / giá trị profile Công ty</x:v>
      </x:c>
      <x:c r="AA6" s="134" t="str">
        <x:v>Word Style / thiết lập OOXML</x:v>
      </x:c>
      <x:c r="AB6" s="134" t="str">
        <x:v>Trạng thái áp dụng profile</x:v>
      </x:c>
      <x:c r="AC6" s="134" t="str">
        <x:v>Quyền xử lý profile</x:v>
      </x:c>
      <x:c r="AD6" s="134" t="str">
        <x:v>Nguồn / xuất xứ thiết lập</x:v>
      </x:c>
      <x:c r="AE6" s="134" t="str">
        <x:v>Tiêu chí QA cho từng trường</x:v>
      </x:c>
      <x:c r="AF6" s="134" t="str">
        <x:v>Ghi chú khác biệt / cần xác nhận</x:v>
      </x:c>
      <x:c r="AG6" s="155" t="str">
        <x:v>Phông chữ</x:v>
      </x:c>
      <x:c r="AH6" s="155" t="str">
        <x:v>Bảng mã chữ</x:v>
      </x:c>
      <x:c r="AI6" s="155" t="str">
        <x:v>Màu chữ HEX</x:v>
      </x:c>
      <x:c r="AJ6" s="155" t="str">
        <x:v>Cỡ chữ (pt)</x:v>
      </x:c>
      <x:c r="AK6" s="155" t="str">
        <x:v>In đậm</x:v>
      </x:c>
      <x:c r="AL6" s="155" t="str">
        <x:v>In nghiêng</x:v>
      </x:c>
      <x:c r="AM6" s="155" t="str">
        <x:v>Kiểu chữ hoa/thường</x:v>
      </x:c>
      <x:c r="AN6" s="155" t="str">
        <x:v>Căn ngang</x:v>
      </x:c>
      <x:c r="AO6" s="155" t="str">
        <x:v>Vùng/vị trí bố cục</x:v>
      </x:c>
      <x:c r="AP6" s="155" t="str">
        <x:v>Kiểu giãn dòng</x:v>
      </x:c>
      <x:c r="AQ6" s="155" t="str">
        <x:v>Mức giãn dòng</x:v>
      </x:c>
      <x:c r="AR6" s="155" t="str">
        <x:v>Đơn vị giãn dòng</x:v>
      </x:c>
      <x:c r="AS6" s="155" t="str">
        <x:v>Cách đoạn trước (pt)</x:v>
      </x:c>
      <x:c r="AT6" s="155" t="str">
        <x:v>Cách đoạn sau (pt)</x:v>
      </x:c>
      <x:c r="AU6" s="155" t="str">
        <x:v>Thụt dòng đầu (mm)</x:v>
      </x:c>
      <x:c r="AV6" s="155" t="str">
        <x:v>Thụt lề trái (mm)</x:v>
      </x:c>
      <x:c r="AW6" s="155" t="str">
        <x:v>Thụt lề phải (mm)</x:v>
      </x:c>
      <x:c r="AX6" s="155" t="str">
        <x:v>Giữ với đoạn sau</x:v>
      </x:c>
      <x:c r="AY6" s="155" t="str">
        <x:v>Giữ dòng cùng trang</x:v>
      </x:c>
      <x:c r="AZ6" s="155" t="str">
        <x:v>Khổ giấy</x:v>
      </x:c>
      <x:c r="BA6" s="155" t="str">
        <x:v>Rộng trang (mm)</x:v>
      </x:c>
      <x:c r="BB6" s="155" t="str">
        <x:v>Cao trang (mm)</x:v>
      </x:c>
      <x:c r="BC6" s="155" t="str">
        <x:v>Hướng giấy</x:v>
      </x:c>
      <x:c r="BD6" s="155" t="str">
        <x:v>Lề trên (mm)</x:v>
      </x:c>
      <x:c r="BE6" s="155" t="str">
        <x:v>Lề dưới (mm)</x:v>
      </x:c>
      <x:c r="BF6" s="155" t="str">
        <x:v>Lề trái (mm)</x:v>
      </x:c>
      <x:c r="BG6" s="155" t="str">
        <x:v>Lề phải (mm)</x:v>
      </x:c>
      <x:c r="BH6" s="155" t="str">
        <x:v>In hai mặt</x:v>
      </x:c>
      <x:c r="BI6" s="155" t="str">
        <x:v>Lề trái mặt sau (mm)</x:v>
      </x:c>
      <x:c r="BJ6" s="155" t="str">
        <x:v>Lề phải mặt sau (mm)</x:v>
      </x:c>
      <x:c r="BK6" s="155" t="str">
        <x:v>Lề trong ô (mm)</x:v>
      </x:c>
      <x:c r="BL6" s="155" t="str">
        <x:v>Chế độ AutoFit</x:v>
      </x:c>
      <x:c r="BM6" s="155" t="str">
        <x:v>Kiểu đường/dấu</x:v>
      </x:c>
      <x:c r="BN6" s="155" t="str">
        <x:v>Ký tự/dấu phân cách</x:v>
      </x:c>
      <x:c r="BO6" s="155" t="str">
        <x:v>Độ dài tương đối (%)</x:v>
      </x:c>
      <x:c r="BP6" s="155" t="str">
        <x:v>Độ dày nét (pt)</x:v>
      </x:c>
      <x:c r="BQ6" s="155" t="str">
        <x:v>Kiểu đánh số</x:v>
      </x:c>
      <x:c r="BR6" s="155" t="str">
        <x:v>Vị trí số trang</x:v>
      </x:c>
      <x:c r="BS6" s="155" t="str">
        <x:v>Ẩn số trang đầu</x:v>
      </x:c>
      <x:c r="BT6" s="155" t="str">
        <x:v>Word Style/định tuyến</x:v>
      </x:c>
      <x:c r="BU6" s="155" t="str">
        <x:v>Đối tượng DOCX</x:v>
      </x:c>
      <x:c r="BV6" s="155" t="str">
        <x:v>Trạng thái profile</x:v>
      </x:c>
      <x:c r="BW6" s="155" t="str">
        <x:v>Tình trạng tách thiết lập</x:v>
      </x:c>
      <x:c r="BX6" s="155" t="str">
        <x:v>Lưu ý/giá trị chưa phân rã</x:v>
      </x:c>
      <x:c r="BY6" s="210" t="str">
        <x:v>Mã trường nguồn đối chiếu</x:v>
      </x:c>
      <x:c r="BZ6" s="210" t="str">
        <x:v>Cỡ chữ pháp lý gốc (J, chỉ tham chiếu)</x:v>
      </x:c>
      <x:c r="CA6" s="210" t="str">
        <x:v>Loại đối tượng DOCX (phân loại dự thảo)</x:v>
      </x:c>
      <x:c r="CB6" s="210" t="str">
        <x:v>Điều kiện áp dụng / phụ thuộc</x:v>
      </x:c>
      <x:c r="CC6" s="210" t="str">
        <x:v>Chính sách gốc (theo mã)</x:v>
      </x:c>
      <x:c r="CD6" s="210" t="str">
        <x:v>Chính sách hiệu lực (an toàn)</x:v>
      </x:c>
      <x:c r="CE6" s="210" t="str">
        <x:v>Cho phép sửa định dạng (gate)</x:v>
      </x:c>
      <x:c r="CF6" s="210" t="str">
        <x:v>Cho phép sửa nội dung</x:v>
      </x:c>
      <x:c r="CG6" s="210" t="str">
        <x:v>Yêu cầu duyệt trước</x:v>
      </x:c>
      <x:c r="CH6" s="210" t="str">
        <x:v>Rule đã xác minh đầy đủ</x:v>
      </x:c>
      <x:c r="CI6" s="210" t="str">
        <x:v>Đích DOCX đã xác nhận</x:v>
      </x:c>
      <x:c r="CJ6" s="210" t="str">
        <x:v>Phạm vi patch được duyệt</x:v>
      </x:c>
      <x:c r="CK6" s="210" t="str">
        <x:v>Autofix được phép</x:v>
      </x:c>
      <x:c r="CL6" s="210" t="str">
        <x:v>Nguồn preset / bằng chứng</x:v>
      </x:c>
      <x:c r="CM6" s="210" t="str">
        <x:v>Phiên bản profile</x:v>
      </x:c>
      <x:c r="CN6" s="210" t="str">
        <x:v>Trạng thái chủ thể ban hành</x:v>
      </x:c>
      <x:c r="CO6" s="210" t="str">
        <x:v>Định danh style theo trường (đề xuất)</x:v>
      </x:c>
      <x:c r="CP6" s="210" t="str">
        <x:v>Cảnh báo quy định ≠ preset</x:v>
      </x:c>
      <x:c r="CQ6" s="210" t="str">
        <x:v>Lề trái mặt sau HIỆU LỰC (mm)</x:v>
      </x:c>
      <x:c r="CR6" s="210" t="str">
        <x:v>Lề phải mặt sau HIỆU LỰC (mm)</x:v>
      </x:c>
      <x:c r="CS6" s="210" t="str">
        <x:v>Loại thao tác DOCX (đề xuất)</x:v>
      </x:c>
      <x:c r="CT6" s="210" t="str">
        <x:v>Trạng thái nghiệm thu thuộc tính</x:v>
      </x:c>
      <x:c r="CU6" s="210" t="str">
        <x:v>Đã duyệt quy tắc/profile</x:v>
      </x:c>
      <x:c r="CV6" s="210" t="str">
        <x:v>Đã xác minh tư cách chủ thể</x:v>
      </x:c>
      <x:c r="CW6" s="210" t="str">
        <x:v>Mã chứng cứ phê duyệt (nếu có)</x:v>
      </x:c>
    </x:row>
    <x:row r="7" ht="29" customHeight="1">
      <x:c r="A7" s="125" t="n">
        <x:v>1</x:v>
      </x:c>
      <x:c r="B7" s="123" t="str">
        <x:v>HD05.D.CQ.CAP_TREN</x:v>
      </x:c>
      <x:c r="C7" s="123" t="str">
        <x:v>Đầu văn bản</x:v>
      </x:c>
      <x:c r="D7" s="123" t="str">
        <x:v>Tổ chức, cơ quan Đảng ban hành</x:v>
      </x:c>
      <x:c r="E7" s="123" t="str">
        <x:v>Tên tổ chức/cơ quan cấp trên khi có</x:v>
      </x:c>
      <x:c r="F7" s="123" t="str">
        <x:v>2</x:v>
      </x:c>
      <x:c r="G7" s="123" t="str">
        <x:v>Chỉ khi Đảng ủy Công ty là cơ quan ban hành hợp lệ; cần xác nhận tên chính thức</x:v>
      </x:c>
      <x:c r="H7" s="123" t="str">
        <x:v>ĐẢNG BỘ TỔNG CÔNG TY / BẢO ĐẢM AN TOÀN HÀNG HẢI VIỆT NAM</x:v>
      </x:c>
      <x:c r="I7" s="123" t="str">
        <x:v>Times New Roman | Unicode | đen</x:v>
      </x:c>
      <x:c r="J7" s="136" t="str">
        <x:v>14</x:v>
      </x:c>
      <x:c r="K7" s="123" t="str">
        <x:v>IN HOA</x:v>
      </x:c>
      <x:c r="L7" s="123" t="str">
        <x:v>Không</x:v>
      </x:c>
      <x:c r="M7" s="123" t="str">
        <x:v>Không</x:v>
      </x:c>
      <x:c r="N7" s="123" t="str">
        <x:v>Căn giữa khối trái, trang 1; bảng bố cục 2 cột không viền</x:v>
      </x:c>
      <x:c r="O7" s="135" t="str">
        <x:v>Single; sau 0 pt</x:v>
      </x:c>
      <x:c r="P7" s="135" t="str">
        <x:v>First line 0; cách dòng theo ô bố cục</x:v>
      </x:c>
      <x:c r="Q7" s="123"/>
      <x:c r="R7" s="123" t="str">
        <x:v>Word paragraph(s) / run(s) trong khối tên cơ quan</x:v>
      </x:c>
      <x:c r="S7" s="123" t="str">
        <x:v>ĐẢNG BỘ TỔNG CÔNG TY
BẢO ĐẢM AN TOÀN HÀNG HẢI VIỆT NAM</x:v>
      </x:c>
      <x:c r="T7" s="123" t="str">
        <x:v>HD05, Phần II, I.2; Phụ lục 2 mục 2</x:v>
      </x:c>
      <x:c r="U7" s="123" t="str">
        <x:v>https://dangcongsan.vn/vanphongtrunguong/van-ban-cua-dang/huong-dan-so-05-hd-vptw-ngay-27-5-2026-cua-van-phong-trung-uong-dang-ve-the-thuc-va-ky-thuat-trinh-bay-van-ban-cua-dang.html?categoryId=3000525</x:v>
      </x:c>
      <x:c r="V7" s="123" t="str">
        <x:v>https://thuvienphapluat.vn/van-ban/Bo-may-hanh-chinh/Huong-dan-05-HD-VPTW-2026-the-thuc-va-ky-thuat-trinh-bay-van-ban-cua-Dang-707499.aspx</x:v>
      </x:c>
      <x:c r="W7" s="123" t="str">
        <x:v>ĐỐI CHIẾU MỘT PHẦN</x:v>
      </x:c>
      <x:c r="X7" s="123" t="str">
        <x:v>CHECK_ONLY</x:v>
      </x:c>
      <x:c r="Y7" s="123" t="str">
        <x:v>Không tự chèn/sửa khi chưa có chứng cứ về đối tượng và rule.</x:v>
      </x:c>
      <x:c r="Z7" s="135" t="str">
        <x:v>ĐẢNG BỘ TỔNG CÔNG TY
BẢO ĐẢM AN TOÀN HÀNG HẢI VIỆT NAM</x:v>
      </x:c>
      <x:c r="AA7" s="123" t="str">
        <x:v>HeaderIssuer/LeftColumn</x:v>
      </x:c>
      <x:c r="AB7" s="135" t="str">
        <x:v>CHO_XAC_MINH_HO_SO</x:v>
      </x:c>
      <x:c r="AC7" s="123" t="str">
        <x:v>CHECK_ONLY</x:v>
      </x:c>
      <x:c r="AD7" s="123" t="str">
        <x:v>https://news.vmsa.vn/vi/tin-tuc/cong-ty-hoa-tieu-hang-hai-mien-bac-hoi-nghi-so-ket-6-thang-dau-nam-2026-tao-da-hoan-thanh-xuat-sac-ke-hoach-nam | Người dùng chốt trong trao đổi 29/10/2026; PROFILE NỘI BỘ; chưa có văn bản phê duyệt doanh nghiệp</x:v>
      </x:c>
      <x:c r="AE7" s="123" t="str">
        <x:v>GATE: xác minh chủ thể HD05 trước; Đối chiếu mã HD05.D.CQ.CAP_TREN; so cỡ 14 pt và vùng 2; giữ nguyên nội dung ngoài phạm vi.</x:v>
      </x:c>
      <x:c r="AF7" s="123" t="str">
        <x:v>Nguồn công khai xác nhận tổ chức Đảng cấp trên, chưa xác minh chính xác cách xuống dòng thể thức.</x:v>
      </x:c>
      <x:c r="AG7" s="157" t="str">
        <x:v>Times New Roman</x:v>
      </x:c>
      <x:c r="AH7" s="157" t="str">
        <x:v>Unicode</x:v>
      </x:c>
      <x:c r="AI7" s="157" t="str">
        <x:v>#000000</x:v>
      </x:c>
      <x:c r="AJ7" s="195" t="n">
        <x:v>14</x:v>
      </x:c>
      <x:c r="AK7" s="157" t="str">
        <x:v>KHÔNG</x:v>
      </x:c>
      <x:c r="AL7" s="157" t="str">
        <x:v>KHÔNG</x:v>
      </x:c>
      <x:c r="AM7" s="157" t="str">
        <x:v>IN HOA</x:v>
      </x:c>
      <x:c r="AN7" s="157" t="str">
        <x:v>CENTER</x:v>
      </x:c>
      <x:c r="AO7" s="157" t="str">
        <x:v>KHỐI/CỘT TRÁI</x:v>
      </x:c>
      <x:c r="AP7" s="157" t="str">
        <x:v>SINGLE</x:v>
      </x:c>
      <x:c r="AQ7" s="195" t="n">
        <x:v>1</x:v>
      </x:c>
      <x:c r="AR7" s="157" t="str">
        <x:v>lines</x:v>
      </x:c>
      <x:c r="AS7" s="195"/>
      <x:c r="AT7" s="195" t="n">
        <x:v>0</x:v>
      </x:c>
      <x:c r="AU7" s="195" t="n">
        <x:v>0</x:v>
      </x:c>
      <x:c r="AV7" s="195"/>
      <x:c r="AW7" s="195"/>
      <x:c r="AX7" s="157"/>
      <x:c r="AY7" s="157"/>
      <x:c r="AZ7" s="157"/>
      <x:c r="BA7" s="195"/>
      <x:c r="BB7" s="195"/>
      <x:c r="BC7" s="157"/>
      <x:c r="BD7" s="195"/>
      <x:c r="BE7" s="195"/>
      <x:c r="BF7" s="195"/>
      <x:c r="BG7" s="195"/>
      <x:c r="BH7" s="157"/>
      <x:c r="BI7" s="195"/>
      <x:c r="BJ7" s="195"/>
      <x:c r="BK7" s="195"/>
      <x:c r="BL7" s="157"/>
      <x:c r="BM7" s="157"/>
      <x:c r="BN7" s="157"/>
      <x:c r="BO7" s="195"/>
      <x:c r="BP7" s="195"/>
      <x:c r="BQ7" s="157"/>
      <x:c r="BR7" s="157"/>
      <x:c r="BS7" s="157"/>
      <x:c r="BT7" s="157" t="str">
        <x:v>HeaderIssuer/LeftColumn</x:v>
      </x:c>
      <x:c r="BU7" s="157" t="str">
        <x:v>Word paragraph(s) / run(s) trong khối tên cơ quan</x:v>
      </x:c>
      <x:c r="BV7" s="196" t="str">
        <x:v>CẦN XÁC NHẬN</x:v>
      </x:c>
      <x:c r="BW7" s="197" t="str">
        <x:v>ĐÃ TÁCH MỘT PHẦN</x:v>
      </x:c>
      <x:c r="BX7" s="157" t="str">
        <x:v>Cấu hình profile chưa được xác nhận; giữ nguyên chính sách CHECK_ONLY.</x:v>
      </x:c>
      <x:c r="BY7" t="str">
        <x:v>HD05.D.CQ.CAP_TREN</x:v>
      </x:c>
      <x:c r="BZ7" t="n">
        <x:f>IFERROR(INDEX(HD05!$J$7:$J$300,MATCH($B7,HD05!$B$7:$B$300,0)),"UNRESOLVED")</x:f>
        <x:v>14</x:v>
      </x:c>
      <x:c r="CA7" t="str">
        <x:v>TEXT</x:v>
      </x:c>
      <x:c r="CB7" t="str">
        <x:v>party_issuer_confirmed AND issue_date&gt;=2026-05-27 AND doc_type_confirmed</x:v>
      </x:c>
      <x:c r="CC7" t="str">
        <x:f>IFERROR(INDEX(HD05!$X$7:$X$300,MATCH($B7,HD05!$B$7:$B$300,0)),"UNRESOLVED")</x:f>
        <x:v>READ_ONLY</x:v>
      </x:c>
      <x:c r="CD7" t="str">
        <x:f>IF(OR(ISNUMBER(SEARCH("READ_ONLY",CC7)),ISNUMBER(SEARCH("PROTECTED",CC7)),ISNUMBER(SEARCH("BẢO VỆ",CC7)),ISNUMBER(SEARCH("KHÔNG KÝ",CC7))),"PROTECTED","CHECK_ONLY")</x:f>
        <x:v>PROTECTED</x:v>
      </x:c>
      <x:c r="CE7" t="str">
        <x:f>IF(AND(CD7="FORMAT_APPROVED",CU7="CÓ",CV7="CÓ",CH7="CÓ",CI7="CÓ",CJ7="CÓ"),"CÓ","KHÔNG")</x:f>
        <x:v>KHÔNG</x:v>
      </x:c>
      <x:c r="CF7" t="str">
        <x:v>KHÔNG</x:v>
      </x:c>
      <x:c r="CG7" t="str">
        <x:v>CÓ</x:v>
      </x:c>
      <x:c r="CH7" t="str">
        <x:v>KHÔNG</x:v>
      </x:c>
      <x:c r="CI7" t="str">
        <x:v>KHÔNG</x:v>
      </x:c>
      <x:c r="CJ7" t="str">
        <x:v>KHÔNG</x:v>
      </x:c>
      <x:c r="CK7" t="str">
        <x:f>IF(AND(CE7="CÓ",CF7="KHÔNG",CG7="CÓ",CU7="CÓ",CV7="CÓ",CH7="CÓ",CI7="CÓ",CJ7="CÓ"),"CÓ","KHÔNG")</x:f>
        <x:v>KHÔNG</x:v>
      </x:c>
      <x:c r="CL7" t="str">
        <x:v>https://news.vmsa.vn/vi/tin-tuc/cong-ty-hoa-tieu-hang-hai-mien-bac-hoi-nghi-so-ket-6-thang-dau-nam-2026-tao-da-hoan-thanh-xuat-sac-ke-hoach-nam | Người dùng chốt trong trao đổi 29/10/2026; PROFILE NỘI BỘ; chưa có văn bản phê duyệt doanh nghiệp</x:v>
      </x:c>
      <x:c r="CM7" t="str">
        <x:v>v1.5 (nâng từ v1.4)</x:v>
      </x:c>
      <x:c r="CN7" t="str">
        <x:v>CHƯA XÁC NHẬN CHỦ THỂ ĐẢNG</x:v>
      </x:c>
      <x:c r="CO7" t="str">
        <x:v>HD05_D_CQ_CAP_TREN_FIELD_ONLY; chưa tạo trong Word</x:v>
      </x:c>
      <x:c r="CP7" t="str">
        <x:v>Khác biệt giữa giá trị profile và nguồn pháp lý phải tiếp tục được kiểm chứng; không cho tự sửa DOCX.</x:v>
      </x:c>
      <x:c r="CQ7" t="str">
        <x:f>IF(OR(BH7="CÓ",BH7=TRUE),BI7,"")</x:f>
      </x:c>
      <x:c r="CR7" t="str">
        <x:f>IF(OR(BH7="CÓ",BH7=TRUE),BJ7,"")</x:f>
      </x:c>
      <x:c r="CS7" t="str">
        <x:v>FORMAT_CHECK_ONLY</x:v>
      </x:c>
      <x:c r="CT7" t="str">
        <x:v>PROFILE_USER_SELECTED_SOURCE_PENDING</x:v>
      </x:c>
      <x:c r="CU7" t="str">
        <x:v>CÓ (GIÁ TRỊ ĐỀ XUẤT; CHỜ VĂN BẢN)</x:v>
      </x:c>
      <x:c r="CV7" t="str">
        <x:v>KHÔNG</x:v>
      </x:c>
      <x:c r="CW7" t="str"/>
    </x:row>
    <x:row r="8" ht="29" customHeight="1">
      <x:c r="A8" s="125" t="n">
        <x:v>2</x:v>
      </x:c>
      <x:c r="B8" s="123" t="str">
        <x:v>HD05.D.CQ.BAN_HANH</x:v>
      </x:c>
      <x:c r="C8" s="123" t="str">
        <x:v>Đầu văn bản</x:v>
      </x:c>
      <x:c r="D8" s="123" t="str">
        <x:v>Tổ chức, cơ quan Đảng ban hành</x:v>
      </x:c>
      <x:c r="E8" s="123" t="str">
        <x:v>Tên tổ chức/cơ quan Đảng ban hành</x:v>
      </x:c>
      <x:c r="F8" s="123" t="str">
        <x:v>2</x:v>
      </x:c>
      <x:c r="G8" s="123" t="str">
        <x:v>Chỉ khi Đảng ủy Công ty là cơ quan ban hành hợp lệ; cần xác nhận tên chính thức</x:v>
      </x:c>
      <x:c r="H8" s="123" t="str">
        <x:v>ĐẢNG ỦY CÔNG TY / HOA TIÊU HÀNG HẢI MIỀN BẮC</x:v>
      </x:c>
      <x:c r="I8" s="123" t="str">
        <x:v>Times New Roman | Unicode | đen</x:v>
      </x:c>
      <x:c r="J8" s="136" t="str">
        <x:v>14</x:v>
      </x:c>
      <x:c r="K8" s="123" t="str">
        <x:v>IN HOA</x:v>
      </x:c>
      <x:c r="L8" s="123" t="str">
        <x:v>Có</x:v>
      </x:c>
      <x:c r="M8" s="123" t="str">
        <x:v>Không</x:v>
      </x:c>
      <x:c r="N8" s="123" t="str">
        <x:v>Căn giữa khối trái, trang 1; bảng bố cục 2 cột không viền</x:v>
      </x:c>
      <x:c r="O8" s="135" t="str">
        <x:v>Single; sau 0 pt</x:v>
      </x:c>
      <x:c r="P8" s="135" t="str">
        <x:v>First line 0; cách dòng theo ô bố cục</x:v>
      </x:c>
      <x:c r="Q8" s="123"/>
      <x:c r="R8" s="123" t="str">
        <x:v>Word paragraph(s) / run(s) trong khối tên cơ quan</x:v>
      </x:c>
      <x:c r="S8" s="123" t="str">
        <x:v>ĐẢNG ỦY CÔNG TY
HOA TIÊU HÀNG HẢI MIỀN BẮC</x:v>
      </x:c>
      <x:c r="T8" s="123" t="str">
        <x:v>HD05, Phần II, I.2; Phụ lục 2 mục 2</x:v>
      </x:c>
      <x:c r="U8" s="123" t="str">
        <x:v>https://dangcongsan.vn/vanphongtrunguong/van-ban-cua-dang/huong-dan-so-05-hd-vptw-ngay-27-5-2026-cua-van-phong-trung-uong-dang-ve-the-thuc-va-ky-thuat-trinh-bay-van-ban-cua-dang.html?categoryId=3000525</x:v>
      </x:c>
      <x:c r="V8" s="123" t="str">
        <x:v>https://thuvienphapluat.vn/van-ban/Bo-may-hanh-chinh/Huong-dan-05-HD-VPTW-2026-the-thuc-va-ky-thuat-trinh-bay-van-ban-cua-Dang-707499.aspx</x:v>
      </x:c>
      <x:c r="W8" s="123" t="str">
        <x:v>ĐỐI CHIẾU MỘT PHẦN</x:v>
      </x:c>
      <x:c r="X8" s="123" t="str">
        <x:v>CHECK_ONLY</x:v>
      </x:c>
      <x:c r="Y8" s="123" t="str">
        <x:v>Không tự chèn/sửa khi chưa có chứng cứ về đối tượng và rule.</x:v>
      </x:c>
      <x:c r="Z8" s="135" t="str">
        <x:v>ĐẢNG ỦY CÔNG TY
HOA TIÊU HÀNG HẢI MIỀN BẮC</x:v>
      </x:c>
      <x:c r="AA8" s="123" t="str">
        <x:v>HeaderIssuer/LeftColumn</x:v>
      </x:c>
      <x:c r="AB8" s="135" t="str">
        <x:v>CHO_XAC_MINH_HO_SO</x:v>
      </x:c>
      <x:c r="AC8" s="123" t="str">
        <x:v>CHECK_ONLY</x:v>
      </x:c>
      <x:c r="AD8" s="123" t="str">
        <x:v>https://news.vmsa.vn/vi/tin-tuc/cong-ty-hoa-tieu-hang-hai-mien-bac-hoi-nghi-so-ket-6-thang-dau-nam-2026-tao-da-hoan-thanh-xuat-sac-ke-hoach-nam | Người dùng chốt trong trao đổi 29/10/2026; PROFILE NỘI BỘ; chưa có văn bản phê duyệt doanh nghiệp</x:v>
      </x:c>
      <x:c r="AE8" s="123" t="str">
        <x:v>GATE: xác minh chủ thể HD05 trước; Đối chiếu mã HD05.D.CQ.BAN_HANH; so cỡ 14 pt và vùng 2; giữ nguyên nội dung ngoài phạm vi.</x:v>
      </x:c>
      <x:c r="AF8" s="123" t="str">
        <x:v>Nguồn tháng 7/2026 ghi ĐẢNG ỦY BỘ PHẬN CÔNG TY, khác phương án người dùng đưa. Không coi cách ghi tại ô này là tên phát hành chính thức đến khi có văn bản mẫu/Quyết định.</x:v>
      </x:c>
      <x:c r="AG8" s="157" t="str">
        <x:v>Times New Roman</x:v>
      </x:c>
      <x:c r="AH8" s="157" t="str">
        <x:v>Unicode</x:v>
      </x:c>
      <x:c r="AI8" s="157" t="str">
        <x:v>#000000</x:v>
      </x:c>
      <x:c r="AJ8" s="195" t="n">
        <x:v>14</x:v>
      </x:c>
      <x:c r="AK8" s="157" t="str">
        <x:v>CÓ</x:v>
      </x:c>
      <x:c r="AL8" s="157" t="str">
        <x:v>KHÔNG</x:v>
      </x:c>
      <x:c r="AM8" s="157" t="str">
        <x:v>IN HOA</x:v>
      </x:c>
      <x:c r="AN8" s="157" t="str">
        <x:v>CENTER</x:v>
      </x:c>
      <x:c r="AO8" s="157" t="str">
        <x:v>KHỐI/CỘT TRÁI</x:v>
      </x:c>
      <x:c r="AP8" s="157" t="str">
        <x:v>SINGLE</x:v>
      </x:c>
      <x:c r="AQ8" s="195" t="n">
        <x:v>1</x:v>
      </x:c>
      <x:c r="AR8" s="157" t="str">
        <x:v>lines</x:v>
      </x:c>
      <x:c r="AS8" s="195"/>
      <x:c r="AT8" s="195" t="n">
        <x:v>0</x:v>
      </x:c>
      <x:c r="AU8" s="195" t="n">
        <x:v>0</x:v>
      </x:c>
      <x:c r="AV8" s="195"/>
      <x:c r="AW8" s="195"/>
      <x:c r="AX8" s="157"/>
      <x:c r="AY8" s="157"/>
      <x:c r="AZ8" s="157"/>
      <x:c r="BA8" s="195"/>
      <x:c r="BB8" s="195"/>
      <x:c r="BC8" s="157"/>
      <x:c r="BD8" s="195"/>
      <x:c r="BE8" s="195"/>
      <x:c r="BF8" s="195"/>
      <x:c r="BG8" s="195"/>
      <x:c r="BH8" s="157"/>
      <x:c r="BI8" s="195"/>
      <x:c r="BJ8" s="195"/>
      <x:c r="BK8" s="195"/>
      <x:c r="BL8" s="157"/>
      <x:c r="BM8" s="157"/>
      <x:c r="BN8" s="157"/>
      <x:c r="BO8" s="195"/>
      <x:c r="BP8" s="195"/>
      <x:c r="BQ8" s="157"/>
      <x:c r="BR8" s="157"/>
      <x:c r="BS8" s="157"/>
      <x:c r="BT8" s="157" t="str">
        <x:v>HeaderIssuer/LeftColumn</x:v>
      </x:c>
      <x:c r="BU8" s="157" t="str">
        <x:v>Word paragraph(s) / run(s) trong khối tên cơ quan</x:v>
      </x:c>
      <x:c r="BV8" s="196" t="str">
        <x:v>CẦN XÁC NHẬN</x:v>
      </x:c>
      <x:c r="BW8" s="197" t="str">
        <x:v>ĐÃ TÁCH MỘT PHẦN</x:v>
      </x:c>
      <x:c r="BX8" s="157" t="str">
        <x:v>Cấu hình profile chưa được xác nhận; giữ nguyên chính sách CHECK_ONLY.</x:v>
      </x:c>
      <x:c r="BY8" t="str">
        <x:v>HD05.D.CQ.BAN_HANH</x:v>
      </x:c>
      <x:c r="BZ8" t="n">
        <x:f>IFERROR(INDEX(HD05!$J$7:$J$300,MATCH($B8,HD05!$B$7:$B$300,0)),"UNRESOLVED")</x:f>
        <x:v>14</x:v>
      </x:c>
      <x:c r="CA8" t="str">
        <x:v>TEXT</x:v>
      </x:c>
      <x:c r="CB8" t="str">
        <x:v>party_issuer_confirmed AND issue_date&gt;=2026-05-27 AND doc_type_confirmed</x:v>
      </x:c>
      <x:c r="CC8" t="str">
        <x:f>IFERROR(INDEX(HD05!$X$7:$X$300,MATCH($B8,HD05!$B$7:$B$300,0)),"UNRESOLVED")</x:f>
        <x:v>READ_ONLY</x:v>
      </x:c>
      <x:c r="CD8" t="str">
        <x:f>IF(OR(ISNUMBER(SEARCH("READ_ONLY",CC8)),ISNUMBER(SEARCH("PROTECTED",CC8)),ISNUMBER(SEARCH("BẢO VỆ",CC8)),ISNUMBER(SEARCH("KHÔNG KÝ",CC8))),"PROTECTED","CHECK_ONLY")</x:f>
        <x:v>PROTECTED</x:v>
      </x:c>
      <x:c r="CE8" t="str">
        <x:f>IF(AND(CD8="FORMAT_APPROVED",CU8="CÓ",CV8="CÓ",CH8="CÓ",CI8="CÓ",CJ8="CÓ"),"CÓ","KHÔNG")</x:f>
        <x:v>KHÔNG</x:v>
      </x:c>
      <x:c r="CF8" t="str">
        <x:v>KHÔNG</x:v>
      </x:c>
      <x:c r="CG8" t="str">
        <x:v>CÓ</x:v>
      </x:c>
      <x:c r="CH8" t="str">
        <x:v>KHÔNG</x:v>
      </x:c>
      <x:c r="CI8" t="str">
        <x:v>KHÔNG</x:v>
      </x:c>
      <x:c r="CJ8" t="str">
        <x:v>KHÔNG</x:v>
      </x:c>
      <x:c r="CK8" t="str">
        <x:f>IF(AND(CE8="CÓ",CF8="KHÔNG",CG8="CÓ",CU8="CÓ",CV8="CÓ",CH8="CÓ",CI8="CÓ",CJ8="CÓ"),"CÓ","KHÔNG")</x:f>
        <x:v>KHÔNG</x:v>
      </x:c>
      <x:c r="CL8" t="str">
        <x:v>https://news.vmsa.vn/vi/tin-tuc/cong-ty-hoa-tieu-hang-hai-mien-bac-hoi-nghi-so-ket-6-thang-dau-nam-2026-tao-da-hoan-thanh-xuat-sac-ke-hoach-nam | Người dùng chốt trong trao đổi 29/10/2026; PROFILE NỘI BỘ; chưa có văn bản phê duyệt doanh nghiệp</x:v>
      </x:c>
      <x:c r="CM8" t="str">
        <x:v>v1.5 (nâng từ v1.4)</x:v>
      </x:c>
      <x:c r="CN8" t="str">
        <x:v>ĐẢNG ỦY BỘ PHẬN: nguồn công khai khác tên profile dự thảo; CHƯA XÁC MINH TÊN TRÊN VĂN BẢN CHÍNH THỨC</x:v>
      </x:c>
      <x:c r="CO8" t="str">
        <x:v>HD05_D_CQ_BAN_HANH_FIELD_ONLY; chưa tạo trong Word</x:v>
      </x:c>
      <x:c r="CP8" t="str">
        <x:v>Khác biệt giữa giá trị profile và nguồn pháp lý phải tiếp tục được kiểm chứng; không cho tự sửa DOCX.</x:v>
      </x:c>
      <x:c r="CQ8" t="str">
        <x:f>IF(OR(BH8="CÓ",BH8=TRUE),BI8,"")</x:f>
      </x:c>
      <x:c r="CR8" t="str">
        <x:f>IF(OR(BH8="CÓ",BH8=TRUE),BJ8,"")</x:f>
      </x:c>
      <x:c r="CS8" t="str">
        <x:v>FORMAT_CHECK_ONLY</x:v>
      </x:c>
      <x:c r="CT8" t="str">
        <x:v>PROFILE_USER_SELECTED_SOURCE_PENDING</x:v>
      </x:c>
      <x:c r="CU8" t="str">
        <x:v>CÓ (GIÁ TRỊ ĐỀ XUẤT; CHỜ VĂN BẢN)</x:v>
      </x:c>
      <x:c r="CV8" t="str">
        <x:v>KHÔNG</x:v>
      </x:c>
      <x:c r="CW8" t="str"/>
    </x:row>
    <x:row r="9" ht="29" customHeight="1">
      <x:c r="A9" s="125" t="n">
        <x:v>3</x:v>
      </x:c>
      <x:c r="B9" s="123" t="str">
        <x:v>HD05.D.CQ.DAU_SAO</x:v>
      </x:c>
      <x:c r="C9" s="123" t="str">
        <x:v>Đầu văn bản</x:v>
      </x:c>
      <x:c r="D9" s="123" t="str">
        <x:v>Tổ chức, cơ quan Đảng ban hành</x:v>
      </x:c>
      <x:c r="E9" s="123" t="str">
        <x:v>Dấu sao * bên dưới tên cơ quan</x:v>
      </x:c>
      <x:c r="F9" s="123" t="str">
        <x:v>2</x:v>
      </x:c>
      <x:c r="G9" s="123" t="str">
        <x:v>Chỉ khi cấp ủy/tổ chức Đảng thực sự là chủ thể ban hành và HD05 áp dụng</x:v>
      </x:c>
      <x:c r="H9" s="123" t="str">
        <x:v>Dấu sao * bên dưới tên cơ quan</x:v>
      </x:c>
      <x:c r="I9" s="123" t="str">
        <x:v>Times New Roman</x:v>
      </x:c>
      <x:c r="J9" s="136" t="str">
        <x:v>14</x:v>
      </x:c>
      <x:c r="K9" s="123" t="str">
        <x:v>Ký tự *</x:v>
      </x:c>
      <x:c r="L9" s="123" t="str">
        <x:v>Không</x:v>
      </x:c>
      <x:c r="M9" s="123" t="str">
        <x:v>Không</x:v>
      </x:c>
      <x:c r="N9" s="123" t="str">
        <x:v>Căn giữa khối trái, trang 1; bảng bố cục 2 cột không viền</x:v>
      </x:c>
      <x:c r="O9" s="135" t="str">
        <x:v>Single; sau 0 pt</x:v>
      </x:c>
      <x:c r="P9" s="135" t="str">
        <x:v>First line 0; cách dòng theo ô bố cục</x:v>
      </x:c>
      <x:c r="Q9" s="123" t="str">
        <x:v>*; không thay bằng nét vẽ</x:v>
      </x:c>
      <x:c r="R9" s="123" t="str">
        <x:v>Text run/paragraph chứa dấu *</x:v>
      </x:c>
      <x:c r="S9" s="123" t="str">
        <x:v>* (01 ký tự dưới tên cơ quan)</x:v>
      </x:c>
      <x:c r="T9" s="123" t="str">
        <x:v>HD05, Phần II, I.2; Phụ lục 2</x:v>
      </x:c>
      <x:c r="U9" s="123" t="str">
        <x:v>https://dangcongsan.vn/vanphongtrunguong/van-ban-cua-dang/huong-dan-so-05-hd-vptw-ngay-27-5-2026-cua-van-phong-trung-uong-dang-ve-the-thuc-va-ky-thuat-trinh-bay-van-ban-cua-dang.html?categoryId=3000525</x:v>
      </x:c>
      <x:c r="V9" s="123" t="str">
        <x:v>https://thuvienphapluat.vn/van-ban/Bo-may-hanh-chinh/Huong-dan-05-HD-VPTW-2026-the-thuc-va-ky-thuat-trinh-bay-van-ban-cua-Dang-707499.aspx</x:v>
      </x:c>
      <x:c r="W9" s="123" t="str">
        <x:v>ĐỐI CHIẾU MỘT PHẦN</x:v>
      </x:c>
      <x:c r="X9" s="123" t="str">
        <x:v>CHECK_ONLY</x:v>
      </x:c>
      <x:c r="Y9" s="123" t="str">
        <x:v>Không tự chèn/sửa khi chưa có chứng cứ về đối tượng và rule. | Trạng thái v1.0: CÓ ĐIỀU KIỆN</x:v>
      </x:c>
      <x:c r="Z9" s="135" t="str">
        <x:v>*</x:v>
      </x:c>
      <x:c r="AA9" s="123" t="str">
        <x:v>HeaderIssuer/LeftColumn</x:v>
      </x:c>
      <x:c r="AB9" s="135" t="str">
        <x:v>PROFILE_CHOT_THEO_TRAO_DOI</x:v>
      </x:c>
      <x:c r="AC9" s="123" t="str">
        <x:v>CHECK_ONLY</x:v>
      </x:c>
      <x:c r="AD9" s="123" t="str">
        <x:v>https://dangcongsan.vn/upload/2006988/20260529/HD_05_VPTW_e1550.pdf | Người dùng chốt trong trao đổi 29/10/2026; PROFILE NỘI BỘ; chưa có văn bản phê duyệt doanh nghiệp</x:v>
      </x:c>
      <x:c r="AE9" s="123" t="str">
        <x:v>GATE: xác minh chủ thể HD05 trước; Đối chiếu mã HD05.D.CQ.DAU_SAO; so cỡ 14 pt và vùng 2; giữ nguyên nội dung ngoài phạm vi.</x:v>
      </x:c>
      <x:c r="AF9" s="123" t="str">
        <x:v>Một ký tự * dưới tên cơ quan Đảng; 14 pt là profile, phải đối chiếu phụ lục theo đơn vị ban hành.</x:v>
      </x:c>
      <x:c r="AG9" s="157" t="str">
        <x:v>Times New Roman</x:v>
      </x:c>
      <x:c r="AH9" s="157"/>
      <x:c r="AI9" s="157"/>
      <x:c r="AJ9" s="195" t="n">
        <x:v>14</x:v>
      </x:c>
      <x:c r="AK9" s="157" t="str">
        <x:v>KHÔNG</x:v>
      </x:c>
      <x:c r="AL9" s="157" t="str">
        <x:v>KHÔNG</x:v>
      </x:c>
      <x:c r="AM9" s="157" t="str">
        <x:v>Ký tự *</x:v>
      </x:c>
      <x:c r="AN9" s="157" t="str">
        <x:v>CENTER</x:v>
      </x:c>
      <x:c r="AO9" s="157" t="str">
        <x:v>KHỐI/CỘT TRÁI</x:v>
      </x:c>
      <x:c r="AP9" s="157"/>
      <x:c r="AQ9" s="195"/>
      <x:c r="AR9" s="157"/>
      <x:c r="AS9" s="195"/>
      <x:c r="AT9" s="195"/>
      <x:c r="AU9" s="195"/>
      <x:c r="AV9" s="195"/>
      <x:c r="AW9" s="195"/>
      <x:c r="AX9" s="157"/>
      <x:c r="AY9" s="157"/>
      <x:c r="AZ9" s="157"/>
      <x:c r="BA9" s="195"/>
      <x:c r="BB9" s="195"/>
      <x:c r="BC9" s="157"/>
      <x:c r="BD9" s="195"/>
      <x:c r="BE9" s="195"/>
      <x:c r="BF9" s="195"/>
      <x:c r="BG9" s="195"/>
      <x:c r="BH9" s="157"/>
      <x:c r="BI9" s="195"/>
      <x:c r="BJ9" s="195"/>
      <x:c r="BK9" s="195"/>
      <x:c r="BL9" s="157"/>
      <x:c r="BM9" s="157" t="str">
        <x:v>KÝ TỰ</x:v>
      </x:c>
      <x:c r="BN9" s="157" t="str">
        <x:v>*</x:v>
      </x:c>
      <x:c r="BO9" s="195"/>
      <x:c r="BP9" s="195"/>
      <x:c r="BQ9" s="157"/>
      <x:c r="BR9" s="157"/>
      <x:c r="BS9" s="157"/>
      <x:c r="BT9" s="157" t="str">
        <x:v>HeaderIssuer/LeftColumn</x:v>
      </x:c>
      <x:c r="BU9" s="157" t="str">
        <x:v>Text run/paragraph chứa dấu *</x:v>
      </x:c>
      <x:c r="BV9" s="196" t="str">
        <x:v>CẦN XÁC NHẬN</x:v>
      </x:c>
      <x:c r="BW9" s="197" t="str">
        <x:v>ĐÃ TÁCH MỘT PHẦN</x:v>
      </x:c>
      <x:c r="BX9" s="157" t="str">
        <x:v>Cấu hình profile chưa được xác nhận; giữ nguyên chính sách CHECK_ONLY.</x:v>
      </x:c>
      <x:c r="BY9" t="str">
        <x:v>HD05.D.CQ.DAU_SAO</x:v>
      </x:c>
      <x:c r="BZ9" t="str">
        <x:f>IFERROR(INDEX(HD05!$J$7:$J$300,MATCH($B9,HD05!$B$7:$B$300,0)),"UNRESOLVED")</x:f>
        <x:v>Theo phụ lục/mẫu cụ thể</x:v>
      </x:c>
      <x:c r="CA9" t="str">
        <x:v>SEPARATOR</x:v>
      </x:c>
      <x:c r="CB9" t="str">
        <x:v>target_kind_confirmed; ký tự và đối tượng hình học không được hoán đổi</x:v>
      </x:c>
      <x:c r="CC9" t="str">
        <x:f>IFERROR(INDEX(HD05!$X$7:$X$300,MATCH($B9,HD05!$B$7:$B$300,0)),"UNRESOLVED")</x:f>
        <x:v>READ_ONLY</x:v>
      </x:c>
      <x:c r="CD9" t="str">
        <x:f>IF(OR(ISNUMBER(SEARCH("READ_ONLY",CC9)),ISNUMBER(SEARCH("PROTECTED",CC9)),ISNUMBER(SEARCH("BẢO VỆ",CC9)),ISNUMBER(SEARCH("KHÔNG KÝ",CC9))),"PROTECTED","CHECK_ONLY")</x:f>
        <x:v>PROTECTED</x:v>
      </x:c>
      <x:c r="CE9" t="str">
        <x:f>IF(AND(CD9="FORMAT_APPROVED",CU9="CÓ",CV9="CÓ",CH9="CÓ",CI9="CÓ",CJ9="CÓ"),"CÓ","KHÔNG")</x:f>
        <x:v>KHÔNG</x:v>
      </x:c>
      <x:c r="CF9" t="str">
        <x:v>KHÔNG</x:v>
      </x:c>
      <x:c r="CG9" t="str">
        <x:v>CÓ</x:v>
      </x:c>
      <x:c r="CH9" t="str">
        <x:v>KHÔNG</x:v>
      </x:c>
      <x:c r="CI9" t="str">
        <x:v>KHÔNG</x:v>
      </x:c>
      <x:c r="CJ9" t="str">
        <x:v>KHÔNG</x:v>
      </x:c>
      <x:c r="CK9" t="str">
        <x:f>IF(AND(CE9="CÓ",CF9="KHÔNG",CG9="CÓ",CU9="CÓ",CV9="CÓ",CH9="CÓ",CI9="CÓ",CJ9="CÓ"),"CÓ","KHÔNG")</x:f>
        <x:v>KHÔNG</x:v>
      </x:c>
      <x:c r="CL9" t="str">
        <x:v>https://dangcongsan.vn/upload/2006988/20260529/HD_05_VPTW_e1550.pdf | Người dùng chốt trong trao đổi 29/10/2026; PROFILE NỘI BỘ; chưa có văn bản phê duyệt doanh nghiệp</x:v>
      </x:c>
      <x:c r="CM9" t="str">
        <x:v>v1.5 (nâng từ v1.4)</x:v>
      </x:c>
      <x:c r="CN9" t="str">
        <x:v>CHƯA XÁC NHẬN CHỦ THỂ ĐẢNG</x:v>
      </x:c>
      <x:c r="CO9" t="str">
        <x:v>HD05_D_CQ_DAU_SAO_FIELD_ONLY; chưa tạo trong Word</x:v>
      </x:c>
      <x:c r="CP9" t="str">
        <x:v>Khác biệt giữa giá trị profile và nguồn pháp lý phải tiếp tục được kiểm chứng; không cho tự sửa DOCX.</x:v>
      </x:c>
      <x:c r="CQ9" t="str">
        <x:f>IF(OR(BH9="CÓ",BH9=TRUE),BI9,"")</x:f>
      </x:c>
      <x:c r="CR9" t="str">
        <x:f>IF(OR(BH9="CÓ",BH9=TRUE),BJ9,"")</x:f>
      </x:c>
      <x:c r="CS9" t="str">
        <x:v>STRUCTURAL_CHECK_ONLY</x:v>
      </x:c>
      <x:c r="CT9" t="str">
        <x:v>VERIFIED_PROFILE_PRESET</x:v>
      </x:c>
      <x:c r="CU9" t="str">
        <x:v>CÓ</x:v>
      </x:c>
      <x:c r="CV9" t="str">
        <x:v>KHÔNG</x:v>
      </x:c>
      <x:c r="CW9" t="str"/>
    </x:row>
    <x:row r="10" ht="29" customHeight="1">
      <x:c r="A10" s="125" t="n">
        <x:v>4</x:v>
      </x:c>
      <x:c r="B10" s="123" t="str">
        <x:v>HD05.D.CQ.LIEN_CO_QUAN</x:v>
      </x:c>
      <x:c r="C10" s="123" t="str">
        <x:v>Đầu văn bản</x:v>
      </x:c>
      <x:c r="D10" s="123" t="str">
        <x:v>Tổ chức, cơ quan Đảng ban hành</x:v>
      </x:c>
      <x:c r="E10" s="123" t="str">
        <x:v>Tên tổ chức, cơ quan liên cơ quan</x:v>
      </x:c>
      <x:c r="F10" s="123" t="str">
        <x:v>2</x:v>
      </x:c>
      <x:c r="G10" s="123" t="str">
        <x:v>joint_issuer</x:v>
      </x:c>
      <x:c r="H10" s="123" t="str">
        <x:v>Tên tổ chức, cơ quan liên cơ quan</x:v>
      </x:c>
      <x:c r="I10" s="123" t="str">
        <x:v>Times New Roman | Unicode | đen</x:v>
      </x:c>
      <x:c r="J10" s="136" t="str">
        <x:v>14</x:v>
      </x:c>
      <x:c r="K10" s="123" t="str">
        <x:v>In hoa</x:v>
      </x:c>
      <x:c r="L10" s="123" t="str">
        <x:v>Không</x:v>
      </x:c>
      <x:c r="M10" s="123" t="str">
        <x:v>Không</x:v>
      </x:c>
      <x:c r="N10" s="123" t="str">
        <x:v>Căn giữa khối trái, trang 1; bảng bố cục 2 cột không viền</x:v>
      </x:c>
      <x:c r="O10" s="135" t="str">
        <x:v>Single; sau 0 pt</x:v>
      </x:c>
      <x:c r="P10" s="135" t="str">
        <x:v>First line 0; cách dòng theo ô bố cục</x:v>
      </x:c>
      <x:c r="Q10" s="123"/>
      <x:c r="R10" s="123" t="str">
        <x:v>Word paragraph(s) / run(s) trong khối tên cơ quan</x:v>
      </x:c>
      <x:c r="S10" s="123" t="str">
        <x:v>Không sử dụng trong mẫu Công ty/Đảng ủy thông thường; chỉ theo văn bản có liên cơ quan/đại hội</x:v>
      </x:c>
      <x:c r="T10" s="123" t="str">
        <x:v>HD05, Phần II, I.2; Phụ lục 2 mục 2</x:v>
      </x:c>
      <x:c r="U10" s="123" t="str">
        <x:v>https://dangcongsan.vn/vanphongtrunguong/van-ban-cua-dang/huong-dan-so-05-hd-vptw-ngay-27-5-2026-cua-van-phong-trung-uong-dang-ve-the-thuc-va-ky-thuat-trinh-bay-van-ban-cua-dang.html?categoryId=3000525</x:v>
      </x:c>
      <x:c r="V10" s="123" t="str">
        <x:v>https://thuvienphapluat.vn/van-ban/Bo-may-hanh-chinh/Huong-dan-05-HD-VPTW-2026-the-thuc-va-ky-thuat-trinh-bay-van-ban-cua-Dang-707499.aspx</x:v>
      </x:c>
      <x:c r="W10" s="123" t="str">
        <x:v>CHƯA ĐỦ BẰNG CHỨNG</x:v>
      </x:c>
      <x:c r="X10" s="123" t="str">
        <x:v>CHECK_ONLY</x:v>
      </x:c>
      <x:c r="Y10" s="123" t="str">
        <x:v>Xác minh thẩm quyền/biến thể liên cơ quan; không tự suy đoán tên và số người ký. | Trạng thái v1.0: CÓ ĐIỀU KIỆN</x:v>
      </x:c>
      <x:c r="Z10" s="135" t="str">
        <x:v>Không sử dụng trong mẫu Công ty/Đảng ủy thông thường; chỉ theo văn bản có liên cơ quan/đại hội</x:v>
      </x:c>
      <x:c r="AA10" s="123" t="str">
        <x:v>HeaderIssuer/LeftColumn</x:v>
      </x:c>
      <x:c r="AB10" s="135" t="str">
        <x:v>DỰ THẢO — CẦN DUYỆT HD05</x:v>
      </x:c>
      <x:c r="AC10" s="123" t="str">
        <x:v>CHECK_ONLY</x:v>
      </x:c>
      <x:c r="AD10" s="123" t="str">
        <x:v>PLUGIN:HOA-TIEU-MIEN-BAC-PARTY-HD05-HEADER-2026 | NEEDS_REVIEW</x:v>
      </x:c>
      <x:c r="AE10" s="123" t="str">
        <x:v>GATE: xác minh chủ thể HD05 trước; Đối chiếu mã HD05.D.CQ.LIEN_CO_QUAN; so cỡ 14 pt và vùng 2; giữ nguyên nội dung ngoài phạm vi.</x:v>
      </x:c>
      <x:c r="AF10" s="123" t="str">
        <x:v>Đảng ủy: chỉ chọn khi chủ thể ban hành và phạm vi HD05 đã được xác minh.</x:v>
      </x:c>
      <x:c r="AG10" s="157" t="str">
        <x:v>Times New Roman</x:v>
      </x:c>
      <x:c r="AH10" s="157" t="str">
        <x:v>Unicode</x:v>
      </x:c>
      <x:c r="AI10" s="157" t="str">
        <x:v>#000000</x:v>
      </x:c>
      <x:c r="AJ10" s="195" t="n">
        <x:v>14</x:v>
      </x:c>
      <x:c r="AK10" s="157" t="str">
        <x:v>KHÔNG</x:v>
      </x:c>
      <x:c r="AL10" s="157" t="str">
        <x:v>KHÔNG</x:v>
      </x:c>
      <x:c r="AM10" s="157" t="str">
        <x:v>In hoa</x:v>
      </x:c>
      <x:c r="AN10" s="157" t="str">
        <x:v>CENTER</x:v>
      </x:c>
      <x:c r="AO10" s="157" t="str">
        <x:v>KHỐI/CỘT TRÁI</x:v>
      </x:c>
      <x:c r="AP10" s="157" t="str">
        <x:v>SINGLE</x:v>
      </x:c>
      <x:c r="AQ10" s="195" t="n">
        <x:v>1</x:v>
      </x:c>
      <x:c r="AR10" s="157" t="str">
        <x:v>lines</x:v>
      </x:c>
      <x:c r="AS10" s="195"/>
      <x:c r="AT10" s="195" t="n">
        <x:v>0</x:v>
      </x:c>
      <x:c r="AU10" s="195" t="n">
        <x:v>0</x:v>
      </x:c>
      <x:c r="AV10" s="195"/>
      <x:c r="AW10" s="195"/>
      <x:c r="AX10" s="157"/>
      <x:c r="AY10" s="157"/>
      <x:c r="AZ10" s="157"/>
      <x:c r="BA10" s="195"/>
      <x:c r="BB10" s="195"/>
      <x:c r="BC10" s="157"/>
      <x:c r="BD10" s="195"/>
      <x:c r="BE10" s="195"/>
      <x:c r="BF10" s="195"/>
      <x:c r="BG10" s="195"/>
      <x:c r="BH10" s="157"/>
      <x:c r="BI10" s="195"/>
      <x:c r="BJ10" s="195"/>
      <x:c r="BK10" s="195"/>
      <x:c r="BL10" s="157"/>
      <x:c r="BM10" s="157"/>
      <x:c r="BN10" s="157"/>
      <x:c r="BO10" s="195"/>
      <x:c r="BP10" s="195"/>
      <x:c r="BQ10" s="157"/>
      <x:c r="BR10" s="157"/>
      <x:c r="BS10" s="157"/>
      <x:c r="BT10" s="157" t="str">
        <x:v>HeaderIssuer/LeftColumn</x:v>
      </x:c>
      <x:c r="BU10" s="157" t="str">
        <x:v>Word paragraph(s) / run(s) trong khối tên cơ quan</x:v>
      </x:c>
      <x:c r="BV10" s="196" t="str">
        <x:v>DỰ THẢO — CẦN DUYỆT HD05</x:v>
      </x:c>
      <x:c r="BW10" s="197" t="str">
        <x:v>ĐÃ TÁCH MỘT PHẦN</x:v>
      </x:c>
      <x:c r="BX10" s="157" t="str">
        <x:v>Cấu hình profile chưa được xác nhận; giữ nguyên chính sách CHECK_ONLY.</x:v>
      </x:c>
      <x:c r="BY10" t="str">
        <x:v>HD05.D.CQ.LIEN_CO_QUAN</x:v>
      </x:c>
      <x:c r="BZ10" t="n">
        <x:f>IFERROR(INDEX(HD05!$J$7:$J$300,MATCH($B10,HD05!$B$7:$B$300,0)),"UNRESOLVED")</x:f>
        <x:v>14</x:v>
      </x:c>
      <x:c r="CA10" t="str">
        <x:v>TEXT</x:v>
      </x:c>
      <x:c r="CB10" t="str">
        <x:v>party_issuer_confirmed AND issue_date&gt;=2026-05-27 AND doc_type_confirmed</x:v>
      </x:c>
      <x:c r="CC10" t="str">
        <x:f>IFERROR(INDEX(HD05!$X$7:$X$300,MATCH($B10,HD05!$B$7:$B$300,0)),"UNRESOLVED")</x:f>
        <x:v>READ_ONLY</x:v>
      </x:c>
      <x:c r="CD10" t="str">
        <x:f>IF(OR(ISNUMBER(SEARCH("READ_ONLY",CC10)),ISNUMBER(SEARCH("PROTECTED",CC10)),ISNUMBER(SEARCH("BẢO VỆ",CC10)),ISNUMBER(SEARCH("KHÔNG KÝ",CC10))),"PROTECTED","CHECK_ONLY")</x:f>
        <x:v>PROTECTED</x:v>
      </x:c>
      <x:c r="CE10" t="str">
        <x:f>IF(AND(CD10="FORMAT_APPROVED",CU10="CÓ",CV10="CÓ",CH10="CÓ",CI10="CÓ",CJ10="CÓ"),"CÓ","KHÔNG")</x:f>
        <x:v>KHÔNG</x:v>
      </x:c>
      <x:c r="CF10" t="str">
        <x:v>KHÔNG</x:v>
      </x:c>
      <x:c r="CG10" t="str">
        <x:v>CÓ</x:v>
      </x:c>
      <x:c r="CH10" t="str">
        <x:v>KHÔNG</x:v>
      </x:c>
      <x:c r="CI10" t="str">
        <x:v>KHÔNG</x:v>
      </x:c>
      <x:c r="CJ10" t="str">
        <x:v>KHÔNG</x:v>
      </x:c>
      <x:c r="CK10" t="str">
        <x:f>IF(AND(CE10="CÓ",CF10="KHÔNG",CG10="CÓ",CU10="CÓ",CV10="CÓ",CH10="CÓ",CI10="CÓ",CJ10="CÓ"),"CÓ","KHÔNG")</x:f>
        <x:v>KHÔNG</x:v>
      </x:c>
      <x:c r="CL10" t="str">
        <x:v>PILOT_NORTH_PROFILE_DRAFT; chưa có master DOCX đã duyệt</x:v>
      </x:c>
      <x:c r="CM10" t="str">
        <x:v>v1.5 (nâng từ v1.4)</x:v>
      </x:c>
      <x:c r="CN10" t="str">
        <x:v>CHƯA XÁC NHẬN CHỦ THỂ ĐẢNG</x:v>
      </x:c>
      <x:c r="CO10" t="str">
        <x:v>HD05_D_CQ_LIEN_CO_QUAN_FIELD_ONLY; chưa tạo trong Word</x:v>
      </x:c>
      <x:c r="CP10" t="str">
        <x:v>Preset là cấu hình Công ty; không thay thế giới hạn của nguồn NĐ30/HD05</x:v>
      </x:c>
      <x:c r="CQ10" t="str">
        <x:f>IF(OR(BH10="CÓ",BH10=TRUE),BI10,"")</x:f>
      </x:c>
      <x:c r="CR10" t="str">
        <x:f>IF(OR(BH10="CÓ",BH10=TRUE),BJ10,"")</x:f>
      </x:c>
      <x:c r="CS10" t="str">
        <x:v>FORMAT_CHECK_ONLY</x:v>
      </x:c>
      <x:c r="CT10" t="str">
        <x:v>PENDING_SOURCE_AND_DOCX_QA</x:v>
      </x:c>
      <x:c r="CU10" t="str">
        <x:v>KHÔNG</x:v>
      </x:c>
      <x:c r="CV10" t="str">
        <x:v>KHÔNG</x:v>
      </x:c>
      <x:c r="CW10" t="str"/>
    </x:row>
    <x:row r="11" ht="29" customHeight="1">
      <x:c r="A11" s="125" t="n">
        <x:v>5</x:v>
      </x:c>
      <x:c r="B11" s="123" t="str">
        <x:v>HD05.D.CQ.DAI_HOI</x:v>
      </x:c>
      <x:c r="C11" s="123" t="str">
        <x:v>Đầu văn bản</x:v>
      </x:c>
      <x:c r="D11" s="123" t="str">
        <x:v>Tổ chức, cơ quan Đảng ban hành</x:v>
      </x:c>
      <x:c r="E11" s="123" t="str">
        <x:v>Tên đại hội hoặc cơ quan thuộc đại hội</x:v>
      </x:c>
      <x:c r="F11" s="123" t="str">
        <x:v>2</x:v>
      </x:c>
      <x:c r="G11" s="123" t="str">
        <x:v>party_congress</x:v>
      </x:c>
      <x:c r="H11" s="123" t="str">
        <x:v>Tên đại hội hoặc cơ quan thuộc đại hội</x:v>
      </x:c>
      <x:c r="I11" s="123" t="str">
        <x:v>Times New Roman | Unicode | đen</x:v>
      </x:c>
      <x:c r="J11" s="136" t="str">
        <x:v>14</x:v>
      </x:c>
      <x:c r="K11" s="123" t="str">
        <x:v>In hoa</x:v>
      </x:c>
      <x:c r="L11" s="123" t="str">
        <x:v>Không</x:v>
      </x:c>
      <x:c r="M11" s="123" t="str">
        <x:v>Không</x:v>
      </x:c>
      <x:c r="N11" s="123" t="str">
        <x:v>Căn giữa khối trái, trang 1; bảng bố cục 2 cột không viền</x:v>
      </x:c>
      <x:c r="O11" s="135" t="str">
        <x:v>Single; sau 0 pt</x:v>
      </x:c>
      <x:c r="P11" s="135" t="str">
        <x:v>First line 0; cách dòng theo ô bố cục</x:v>
      </x:c>
      <x:c r="Q11" s="123"/>
      <x:c r="R11" s="123" t="str">
        <x:v>Word paragraph(s) / run(s) trong khối tên cơ quan</x:v>
      </x:c>
      <x:c r="S11" s="123" t="str">
        <x:v>Không sử dụng trong mẫu Công ty/Đảng ủy thông thường; chỉ theo văn bản có liên cơ quan/đại hội</x:v>
      </x:c>
      <x:c r="T11" s="123" t="str">
        <x:v>HD05, Phần II, I.2; Phụ lục 2 mục 2</x:v>
      </x:c>
      <x:c r="U11" s="123" t="str">
        <x:v>https://dangcongsan.vn/vanphongtrunguong/van-ban-cua-dang/huong-dan-so-05-hd-vptw-ngay-27-5-2026-cua-van-phong-trung-uong-dang-ve-the-thuc-va-ky-thuat-trinh-bay-van-ban-cua-dang.html?categoryId=3000525</x:v>
      </x:c>
      <x:c r="V11" s="123" t="str">
        <x:v>https://thuvienphapluat.vn/van-ban/Bo-may-hanh-chinh/Huong-dan-05-HD-VPTW-2026-the-thuc-va-ky-thuat-trinh-bay-van-ban-cua-Dang-707499.aspx</x:v>
      </x:c>
      <x:c r="W11" s="123" t="str">
        <x:v>CHƯA ĐỦ BẰNG CHỨNG</x:v>
      </x:c>
      <x:c r="X11" s="123" t="str">
        <x:v>CHECK_ONLY</x:v>
      </x:c>
      <x:c r="Y11" s="123" t="str">
        <x:v>Tên đại hội/cơ quan thuộc đại hội theo đúng chủ thể phát hành; xem HD05 I.2.1.1. | Trạng thái v1.0: CÓ ĐIỀU KIỆN</x:v>
      </x:c>
      <x:c r="Z11" s="135" t="str">
        <x:v>Không sử dụng trong mẫu Công ty/Đảng ủy thông thường; chỉ theo văn bản có liên cơ quan/đại hội</x:v>
      </x:c>
      <x:c r="AA11" s="123" t="str">
        <x:v>HeaderIssuer/LeftColumn</x:v>
      </x:c>
      <x:c r="AB11" s="135" t="str">
        <x:v>DỰ THẢO — CẦN DUYỆT HD05</x:v>
      </x:c>
      <x:c r="AC11" s="123" t="str">
        <x:v>CHECK_ONLY</x:v>
      </x:c>
      <x:c r="AD11" s="123" t="str">
        <x:v>PLUGIN:HOA-TIEU-MIEN-BAC-PARTY-HD05-HEADER-2026 | NEEDS_REVIEW</x:v>
      </x:c>
      <x:c r="AE11" s="123" t="str">
        <x:v>GATE: xác minh chủ thể HD05 trước; Đối chiếu mã HD05.D.CQ.DAI_HOI; so cỡ 14 pt và vùng 2; giữ nguyên nội dung ngoài phạm vi.</x:v>
      </x:c>
      <x:c r="AF11" s="123" t="str">
        <x:v>Đảng ủy: chỉ chọn khi chủ thể ban hành và phạm vi HD05 đã được xác minh.</x:v>
      </x:c>
      <x:c r="AG11" s="157" t="str">
        <x:v>Times New Roman</x:v>
      </x:c>
      <x:c r="AH11" s="157" t="str">
        <x:v>Unicode</x:v>
      </x:c>
      <x:c r="AI11" s="157" t="str">
        <x:v>#000000</x:v>
      </x:c>
      <x:c r="AJ11" s="195" t="n">
        <x:v>14</x:v>
      </x:c>
      <x:c r="AK11" s="157" t="str">
        <x:v>KHÔNG</x:v>
      </x:c>
      <x:c r="AL11" s="157" t="str">
        <x:v>KHÔNG</x:v>
      </x:c>
      <x:c r="AM11" s="157" t="str">
        <x:v>In hoa</x:v>
      </x:c>
      <x:c r="AN11" s="157" t="str">
        <x:v>CENTER</x:v>
      </x:c>
      <x:c r="AO11" s="157" t="str">
        <x:v>KHỐI/CỘT TRÁI</x:v>
      </x:c>
      <x:c r="AP11" s="157" t="str">
        <x:v>SINGLE</x:v>
      </x:c>
      <x:c r="AQ11" s="195" t="n">
        <x:v>1</x:v>
      </x:c>
      <x:c r="AR11" s="157" t="str">
        <x:v>lines</x:v>
      </x:c>
      <x:c r="AS11" s="195"/>
      <x:c r="AT11" s="195" t="n">
        <x:v>0</x:v>
      </x:c>
      <x:c r="AU11" s="195" t="n">
        <x:v>0</x:v>
      </x:c>
      <x:c r="AV11" s="195"/>
      <x:c r="AW11" s="195"/>
      <x:c r="AX11" s="157"/>
      <x:c r="AY11" s="157"/>
      <x:c r="AZ11" s="157"/>
      <x:c r="BA11" s="195"/>
      <x:c r="BB11" s="195"/>
      <x:c r="BC11" s="157"/>
      <x:c r="BD11" s="195"/>
      <x:c r="BE11" s="195"/>
      <x:c r="BF11" s="195"/>
      <x:c r="BG11" s="195"/>
      <x:c r="BH11" s="157"/>
      <x:c r="BI11" s="195"/>
      <x:c r="BJ11" s="195"/>
      <x:c r="BK11" s="195"/>
      <x:c r="BL11" s="157"/>
      <x:c r="BM11" s="157"/>
      <x:c r="BN11" s="157"/>
      <x:c r="BO11" s="195"/>
      <x:c r="BP11" s="195"/>
      <x:c r="BQ11" s="157"/>
      <x:c r="BR11" s="157"/>
      <x:c r="BS11" s="157"/>
      <x:c r="BT11" s="157" t="str">
        <x:v>HeaderIssuer/LeftColumn</x:v>
      </x:c>
      <x:c r="BU11" s="157" t="str">
        <x:v>Word paragraph(s) / run(s) trong khối tên cơ quan</x:v>
      </x:c>
      <x:c r="BV11" s="196" t="str">
        <x:v>DỰ THẢO — CẦN DUYỆT HD05</x:v>
      </x:c>
      <x:c r="BW11" s="197" t="str">
        <x:v>ĐÃ TÁCH MỘT PHẦN</x:v>
      </x:c>
      <x:c r="BX11" s="157" t="str">
        <x:v>Cấu hình profile chưa được xác nhận; giữ nguyên chính sách CHECK_ONLY.</x:v>
      </x:c>
      <x:c r="BY11" t="str">
        <x:v>HD05.D.CQ.DAI_HOI</x:v>
      </x:c>
      <x:c r="BZ11" t="n">
        <x:f>IFERROR(INDEX(HD05!$J$7:$J$300,MATCH($B11,HD05!$B$7:$B$300,0)),"UNRESOLVED")</x:f>
        <x:v>14</x:v>
      </x:c>
      <x:c r="CA11" t="str">
        <x:v>TEXT</x:v>
      </x:c>
      <x:c r="CB11" t="str">
        <x:v>party_issuer_confirmed AND issue_date&gt;=2026-05-27 AND doc_type_confirmed</x:v>
      </x:c>
      <x:c r="CC11" t="str">
        <x:f>IFERROR(INDEX(HD05!$X$7:$X$300,MATCH($B11,HD05!$B$7:$B$300,0)),"UNRESOLVED")</x:f>
        <x:v>READ_ONLY</x:v>
      </x:c>
      <x:c r="CD11" t="str">
        <x:f>IF(OR(ISNUMBER(SEARCH("READ_ONLY",CC11)),ISNUMBER(SEARCH("PROTECTED",CC11)),ISNUMBER(SEARCH("BẢO VỆ",CC11)),ISNUMBER(SEARCH("KHÔNG KÝ",CC11))),"PROTECTED","CHECK_ONLY")</x:f>
        <x:v>PROTECTED</x:v>
      </x:c>
      <x:c r="CE11" t="str">
        <x:f>IF(AND(CD11="FORMAT_APPROVED",CU11="CÓ",CV11="CÓ",CH11="CÓ",CI11="CÓ",CJ11="CÓ"),"CÓ","KHÔNG")</x:f>
        <x:v>KHÔNG</x:v>
      </x:c>
      <x:c r="CF11" t="str">
        <x:v>KHÔNG</x:v>
      </x:c>
      <x:c r="CG11" t="str">
        <x:v>CÓ</x:v>
      </x:c>
      <x:c r="CH11" t="str">
        <x:v>KHÔNG</x:v>
      </x:c>
      <x:c r="CI11" t="str">
        <x:v>KHÔNG</x:v>
      </x:c>
      <x:c r="CJ11" t="str">
        <x:v>KHÔNG</x:v>
      </x:c>
      <x:c r="CK11" t="str">
        <x:f>IF(AND(CE11="CÓ",CF11="KHÔNG",CG11="CÓ",CU11="CÓ",CV11="CÓ",CH11="CÓ",CI11="CÓ",CJ11="CÓ"),"CÓ","KHÔNG")</x:f>
        <x:v>KHÔNG</x:v>
      </x:c>
      <x:c r="CL11" t="str">
        <x:v>PILOT_NORTH_PROFILE_DRAFT; chưa có master DOCX đã duyệt</x:v>
      </x:c>
      <x:c r="CM11" t="str">
        <x:v>v1.5 (nâng từ v1.4)</x:v>
      </x:c>
      <x:c r="CN11" t="str">
        <x:v>CHƯA XÁC NHẬN CHỦ THỂ ĐẢNG</x:v>
      </x:c>
      <x:c r="CO11" t="str">
        <x:v>HD05_D_CQ_DAI_HOI_FIELD_ONLY; chưa tạo trong Word</x:v>
      </x:c>
      <x:c r="CP11" t="str">
        <x:v>Preset là cấu hình Công ty; không thay thế giới hạn của nguồn NĐ30/HD05</x:v>
      </x:c>
      <x:c r="CQ11" t="str">
        <x:f>IF(OR(BH11="CÓ",BH11=TRUE),BI11,"")</x:f>
      </x:c>
      <x:c r="CR11" t="str">
        <x:f>IF(OR(BH11="CÓ",BH11=TRUE),BJ11,"")</x:f>
      </x:c>
      <x:c r="CS11" t="str">
        <x:v>FORMAT_CHECK_ONLY</x:v>
      </x:c>
      <x:c r="CT11" t="str">
        <x:v>PENDING_SOURCE_AND_DOCX_QA</x:v>
      </x:c>
      <x:c r="CU11" t="str">
        <x:v>KHÔNG</x:v>
      </x:c>
      <x:c r="CV11" t="str">
        <x:v>KHÔNG</x:v>
      </x:c>
      <x:c r="CW11" t="str"/>
    </x:row>
    <x:row r="12" ht="29" customHeight="1">
      <x:c r="A12" s="125" t="n">
        <x:v>6</x:v>
      </x:c>
      <x:c r="B12" s="123" t="str">
        <x:v>HD05.D.TD.TIEU_DE_DANG</x:v>
      </x:c>
      <x:c r="C12" s="123" t="str">
        <x:v>Đầu văn bản</x:v>
      </x:c>
      <x:c r="D12" s="123" t="str">
        <x:v>Tiêu đề Đảng</x:v>
      </x:c>
      <x:c r="E12" s="123" t="str">
        <x:v>Dòng ĐẢNG CỘNG SẢN VIỆT NAM</x:v>
      </x:c>
      <x:c r="F12" s="123" t="str">
        <x:v>1</x:v>
      </x:c>
      <x:c r="G12" s="123" t="str">
        <x:v>Chỉ khi cấp ủy/tổ chức Đảng thực sự là chủ thể ban hành và HD05 áp dụng</x:v>
      </x:c>
      <x:c r="H12" s="123" t="str">
        <x:v>Dòng ĐẢNG CỘNG SẢN VIỆT NAM</x:v>
      </x:c>
      <x:c r="I12" s="123" t="str">
        <x:v>Times New Roman | Unicode | đen</x:v>
      </x:c>
      <x:c r="J12" s="136" t="str">
        <x:v>15</x:v>
      </x:c>
      <x:c r="K12" s="123" t="str">
        <x:v>IN HOA</x:v>
      </x:c>
      <x:c r="L12" s="123" t="str">
        <x:v>Có</x:v>
      </x:c>
      <x:c r="M12" s="123" t="str">
        <x:v>Không</x:v>
      </x:c>
      <x:c r="N12" s="123" t="str">
        <x:v>Căn giữa trong khối phải, trang 1</x:v>
      </x:c>
      <x:c r="O12" s="135" t="str">
        <x:v>Single; sau 0 pt</x:v>
      </x:c>
      <x:c r="P12" s="135" t="str">
        <x:v>Thụt dòng 0</x:v>
      </x:c>
      <x:c r="Q12" s="123"/>
      <x:c r="R12" s="123" t="str">
        <x:v>Văn bản/OOXML: xác định đối tượng trước khi sửa</x:v>
      </x:c>
      <x:c r="S12" s="123" t="str">
        <x:v>ĐẢNG CỘNG SẢN VIỆT NAM</x:v>
      </x:c>
      <x:c r="T12" s="123" t="str">
        <x:v>HD05, Phần II, I.1; Phụ lục 2 mục 1</x:v>
      </x:c>
      <x:c r="U12" s="123" t="str">
        <x:v>https://dangcongsan.vn/vanphongtrunguong/van-ban-cua-dang/huong-dan-so-05-hd-vptw-ngay-27-5-2026-cua-van-phong-trung-uong-dang-ve-the-thuc-va-ky-thuat-trinh-bay-van-ban-cua-dang.html?categoryId=3000525</x:v>
      </x:c>
      <x:c r="V12" s="123" t="str">
        <x:v>https://thuvienphapluat.vn/van-ban/Bo-may-hanh-chinh/Huong-dan-05-HD-VPTW-2026-the-thuc-va-ky-thuat-trinh-bay-van-ban-cua-Dang-707499.aspx</x:v>
      </x:c>
      <x:c r="W12" s="123" t="str">
        <x:v>ĐỐI CHIẾU MỘT PHẦN</x:v>
      </x:c>
      <x:c r="X12" s="123" t="str">
        <x:v>CHECK_ONLY</x:v>
      </x:c>
      <x:c r="Y12" s="123" t="str">
        <x:v>Không tự chèn/sửa khi chưa có chứng cứ về đối tượng và rule.</x:v>
      </x:c>
      <x:c r="Z12" s="135" t="str">
        <x:v>ĐẢNG CỘNG SẢN VIỆT NAM</x:v>
      </x:c>
      <x:c r="AA12" s="123" t="str">
        <x:v>HeaderNationalOrParty/RightColumn</x:v>
      </x:c>
      <x:c r="AB12" s="135" t="str">
        <x:v>DỰ THẢO — CẦN DUYỆT HD05</x:v>
      </x:c>
      <x:c r="AC12" s="123" t="str">
        <x:v>CHECK_ONLY</x:v>
      </x:c>
      <x:c r="AD12" s="123" t="str">
        <x:v>PLUGIN:HOA-TIEU-MIEN-BAC-PARTY-HD05-HEADER-2026 | NEEDS_REVIEW</x:v>
      </x:c>
      <x:c r="AE12" s="123" t="str">
        <x:v>GATE: xác minh chủ thể HD05 trước; Đối chiếu mã HD05.D.TD.TIEU_DE_DANG; so cỡ 15 pt và vùng 1; giữ nguyên nội dung ngoài phạm vi.</x:v>
      </x:c>
      <x:c r="AF12" s="123" t="str">
        <x:v>Đảng ủy: chỉ chọn khi chủ thể ban hành và phạm vi HD05 đã được xác minh.</x:v>
      </x:c>
      <x:c r="AG12" s="157" t="str">
        <x:v>Times New Roman</x:v>
      </x:c>
      <x:c r="AH12" s="157" t="str">
        <x:v>Unicode</x:v>
      </x:c>
      <x:c r="AI12" s="157" t="str">
        <x:v>#000000</x:v>
      </x:c>
      <x:c r="AJ12" s="195" t="n">
        <x:v>15</x:v>
      </x:c>
      <x:c r="AK12" s="157" t="str">
        <x:v>CÓ</x:v>
      </x:c>
      <x:c r="AL12" s="157" t="str">
        <x:v>KHÔNG</x:v>
      </x:c>
      <x:c r="AM12" s="157" t="str">
        <x:v>IN HOA</x:v>
      </x:c>
      <x:c r="AN12" s="157" t="str">
        <x:v>CENTER</x:v>
      </x:c>
      <x:c r="AO12" s="157" t="str">
        <x:v>KHỐI PHẢI</x:v>
      </x:c>
      <x:c r="AP12" s="157" t="str">
        <x:v>SINGLE</x:v>
      </x:c>
      <x:c r="AQ12" s="195" t="n">
        <x:v>1</x:v>
      </x:c>
      <x:c r="AR12" s="157" t="str">
        <x:v>lines</x:v>
      </x:c>
      <x:c r="AS12" s="195"/>
      <x:c r="AT12" s="195" t="n">
        <x:v>0</x:v>
      </x:c>
      <x:c r="AU12" s="195" t="n">
        <x:v>0</x:v>
      </x:c>
      <x:c r="AV12" s="195"/>
      <x:c r="AW12" s="195"/>
      <x:c r="AX12" s="157"/>
      <x:c r="AY12" s="157"/>
      <x:c r="AZ12" s="157"/>
      <x:c r="BA12" s="195"/>
      <x:c r="BB12" s="195"/>
      <x:c r="BC12" s="157"/>
      <x:c r="BD12" s="195"/>
      <x:c r="BE12" s="195"/>
      <x:c r="BF12" s="195"/>
      <x:c r="BG12" s="195"/>
      <x:c r="BH12" s="157"/>
      <x:c r="BI12" s="195"/>
      <x:c r="BJ12" s="195"/>
      <x:c r="BK12" s="195"/>
      <x:c r="BL12" s="157"/>
      <x:c r="BM12" s="157"/>
      <x:c r="BN12" s="157"/>
      <x:c r="BO12" s="195"/>
      <x:c r="BP12" s="195"/>
      <x:c r="BQ12" s="157"/>
      <x:c r="BR12" s="157"/>
      <x:c r="BS12" s="157"/>
      <x:c r="BT12" s="157" t="str">
        <x:v>HeaderNationalOrParty/RightColumn</x:v>
      </x:c>
      <x:c r="BU12" s="157" t="str">
        <x:v>Văn bản/OOXML: xác định đối tượng trước khi sửa</x:v>
      </x:c>
      <x:c r="BV12" s="196" t="str">
        <x:v>DỰ THẢO — CẦN DUYỆT HD05</x:v>
      </x:c>
      <x:c r="BW12" s="197" t="str">
        <x:v>ĐÃ TÁCH MỘT PHẦN</x:v>
      </x:c>
      <x:c r="BX12" s="157" t="str">
        <x:v>Cấu hình profile chưa được xác nhận; giữ nguyên chính sách CHECK_ONLY.</x:v>
      </x:c>
      <x:c r="BY12" t="str">
        <x:v>HD05.D.TD.TIEU_DE_DANG</x:v>
      </x:c>
      <x:c r="BZ12" t="n">
        <x:f>IFERROR(INDEX(HD05!$J$7:$J$300,MATCH($B12,HD05!$B$7:$B$300,0)),"UNRESOLVED")</x:f>
        <x:v>15</x:v>
      </x:c>
      <x:c r="CA12" t="str">
        <x:v>TEXT</x:v>
      </x:c>
      <x:c r="CB12" t="str">
        <x:v>party_issuer_confirmed AND issue_date&gt;=2026-05-27 AND doc_type_confirmed</x:v>
      </x:c>
      <x:c r="CC12" t="str">
        <x:f>IFERROR(INDEX(HD05!$X$7:$X$300,MATCH($B12,HD05!$B$7:$B$300,0)),"UNRESOLVED")</x:f>
        <x:v>READ_ONLY</x:v>
      </x:c>
      <x:c r="CD12" t="str">
        <x:f>IF(OR(ISNUMBER(SEARCH("READ_ONLY",CC12)),ISNUMBER(SEARCH("PROTECTED",CC12)),ISNUMBER(SEARCH("BẢO VỆ",CC12)),ISNUMBER(SEARCH("KHÔNG KÝ",CC12))),"PROTECTED","CHECK_ONLY")</x:f>
        <x:v>PROTECTED</x:v>
      </x:c>
      <x:c r="CE12" t="str">
        <x:f>IF(AND(CD12="FORMAT_APPROVED",CU12="CÓ",CV12="CÓ",CH12="CÓ",CI12="CÓ",CJ12="CÓ"),"CÓ","KHÔNG")</x:f>
        <x:v>KHÔNG</x:v>
      </x:c>
      <x:c r="CF12" t="str">
        <x:v>KHÔNG</x:v>
      </x:c>
      <x:c r="CG12" t="str">
        <x:v>CÓ</x:v>
      </x:c>
      <x:c r="CH12" t="str">
        <x:v>KHÔNG</x:v>
      </x:c>
      <x:c r="CI12" t="str">
        <x:v>KHÔNG</x:v>
      </x:c>
      <x:c r="CJ12" t="str">
        <x:v>KHÔNG</x:v>
      </x:c>
      <x:c r="CK12" t="str">
        <x:f>IF(AND(CE12="CÓ",CF12="KHÔNG",CG12="CÓ",CU12="CÓ",CV12="CÓ",CH12="CÓ",CI12="CÓ",CJ12="CÓ"),"CÓ","KHÔNG")</x:f>
        <x:v>KHÔNG</x:v>
      </x:c>
      <x:c r="CL12" t="str">
        <x:v>PILOT_NORTH_PROFILE_DRAFT; chưa có master DOCX đã duyệt</x:v>
      </x:c>
      <x:c r="CM12" t="str">
        <x:v>v1.5 (nâng từ v1.4)</x:v>
      </x:c>
      <x:c r="CN12" t="str">
        <x:v>CHƯA XÁC NHẬN CHỦ THỂ ĐẢNG</x:v>
      </x:c>
      <x:c r="CO12" t="str">
        <x:v>HD05_D_TD_TIEU_DE_DANG_FIELD_ONLY; chưa tạo trong Word</x:v>
      </x:c>
      <x:c r="CP12" t="str">
        <x:v>Preset là cấu hình Công ty; không thay thế giới hạn của nguồn NĐ30/HD05</x:v>
      </x:c>
      <x:c r="CQ12" t="str">
        <x:f>IF(OR(BH12="CÓ",BH12=TRUE),BI12,"")</x:f>
      </x:c>
      <x:c r="CR12" t="str">
        <x:f>IF(OR(BH12="CÓ",BH12=TRUE),BJ12,"")</x:f>
      </x:c>
      <x:c r="CS12" t="str">
        <x:v>FORMAT_CHECK_ONLY</x:v>
      </x:c>
      <x:c r="CT12" t="str">
        <x:v>PENDING_SOURCE_AND_DOCX_QA</x:v>
      </x:c>
      <x:c r="CU12" t="str">
        <x:v>KHÔNG</x:v>
      </x:c>
      <x:c r="CV12" t="str">
        <x:v>KHÔNG</x:v>
      </x:c>
      <x:c r="CW12" t="str"/>
    </x:row>
    <x:row r="13" ht="29" customHeight="1">
      <x:c r="A13" s="125" t="n">
        <x:v>7</x:v>
      </x:c>
      <x:c r="B13" s="123" t="str">
        <x:v>HD05.D.TD.DUONG_KE</x:v>
      </x:c>
      <x:c r="C13" s="123" t="str">
        <x:v>Đầu văn bản</x:v>
      </x:c>
      <x:c r="D13" s="123" t="str">
        <x:v>Tiêu đề Đảng</x:v>
      </x:c>
      <x:c r="E13" s="123" t="str">
        <x:v>Đường kẻ dưới tiêu đề Đảng</x:v>
      </x:c>
      <x:c r="F13" s="123" t="str">
        <x:v>1</x:v>
      </x:c>
      <x:c r="G13" s="123" t="str">
        <x:v>Chỉ khi cấp ủy/tổ chức Đảng thực sự là chủ thể ban hành và HD05 áp dụng</x:v>
      </x:c>
      <x:c r="H13" s="123" t="str">
        <x:v>Đường kẻ dưới tiêu đề Đảng</x:v>
      </x:c>
      <x:c r="I13" s="123" t="str">
        <x:v>Không áp dụng</x:v>
      </x:c>
      <x:c r="J13" s="136" t="str">
        <x:v>—</x:v>
      </x:c>
      <x:c r="K13" s="123" t="str">
        <x:v>Không áp dụng</x:v>
      </x:c>
      <x:c r="L13" s="123" t="str">
        <x:v>Không áp dụng</x:v>
      </x:c>
      <x:c r="M13" s="123" t="str">
        <x:v>Không áp dụng</x:v>
      </x:c>
      <x:c r="N13" s="123" t="str">
        <x:v>Căn giữa trong khối phải, trang 1</x:v>
      </x:c>
      <x:c r="O13" s="135" t="str">
        <x:v>Single; sau 0 pt</x:v>
      </x:c>
      <x:c r="P13" s="135" t="str">
        <x:v>Thụt dòng 0</x:v>
      </x:c>
      <x:c r="Q13" s="123" t="str">
        <x:v>Nét liền; độ dài theo Tiêu ngữ/Tiêu đề; căn giữa</x:v>
      </x:c>
      <x:c r="R13" s="123" t="str">
        <x:v>Văn bản/OOXML: xác định đối tượng trước khi sửa</x:v>
      </x:c>
      <x:c r="S13" s="123" t="str">
        <x:v>Nét liền; độ dài theo Tiêu ngữ/Tiêu đề; căn giữa</x:v>
      </x:c>
      <x:c r="T13" s="123" t="str">
        <x:v>HD05, Phần II, I.1.2</x:v>
      </x:c>
      <x:c r="U13" s="123" t="str">
        <x:v>https://dangcongsan.vn/vanphongtrunguong/van-ban-cua-dang/huong-dan-so-05-hd-vptw-ngay-27-5-2026-cua-van-phong-trung-uong-dang-ve-the-thuc-va-ky-thuat-trinh-bay-van-ban-cua-dang.html?categoryId=3000525</x:v>
      </x:c>
      <x:c r="V13" s="123" t="str">
        <x:v>https://thuvienphapluat.vn/van-ban/Bo-may-hanh-chinh/Huong-dan-05-HD-VPTW-2026-the-thuc-va-ky-thuat-trinh-bay-van-ban-cua-Dang-707499.aspx</x:v>
      </x:c>
      <x:c r="W13" s="123" t="str">
        <x:v>ĐỐI CHIẾU MỘT PHẦN</x:v>
      </x:c>
      <x:c r="X13" s="123" t="str">
        <x:v>CHECK_ONLY</x:v>
      </x:c>
      <x:c r="Y13" s="123" t="str">
        <x:v>Không tự chèn/sửa khi chưa có chứng cứ về đối tượng và rule.</x:v>
      </x:c>
      <x:c r="Z13" s="135" t="str">
        <x:v>Nét liền; độ dài theo Tiêu ngữ/Tiêu đề; căn giữa</x:v>
      </x:c>
      <x:c r="AA13" s="123" t="str">
        <x:v>HeaderNationalOrParty/RightColumn</x:v>
      </x:c>
      <x:c r="AB13" s="135" t="str">
        <x:v>CẦN QA RENDER</x:v>
      </x:c>
      <x:c r="AC13" s="123" t="str">
        <x:v>CHECK_ONLY</x:v>
      </x:c>
      <x:c r="AD13" s="123" t="str">
        <x:v>PLUGIN:HOA-TIEU-MIEN-BAC-PARTY-HD05-HEADER-2026 | NEEDS_REVIEW</x:v>
      </x:c>
      <x:c r="AE13" s="123" t="str">
        <x:v>GATE: xác minh chủ thể HD05 trước; Đối chiếu mã HD05.D.TD.DUONG_KE; so cỡ — pt và vùng 1; giữ nguyên nội dung ngoài phạm vi.</x:v>
      </x:c>
      <x:c r="AF13" s="123" t="str">
        <x:v>Đảng ủy: chỉ chọn khi chủ thể ban hành và phạm vi HD05 đã được xác minh.</x:v>
      </x:c>
      <x:c r="AG13" s="157"/>
      <x:c r="AH13" s="157"/>
      <x:c r="AI13" s="157"/>
      <x:c r="AJ13" s="195"/>
      <x:c r="AK13" s="157" t="str">
        <x:v>KHÔNG ÁP DỤNG</x:v>
      </x:c>
      <x:c r="AL13" s="157" t="str">
        <x:v>KHÔNG ÁP DỤNG</x:v>
      </x:c>
      <x:c r="AM13" s="157"/>
      <x:c r="AN13" s="157" t="str">
        <x:v>CENTER</x:v>
      </x:c>
      <x:c r="AO13" s="157" t="str">
        <x:v>KHỐI PHẢI</x:v>
      </x:c>
      <x:c r="AP13" s="157"/>
      <x:c r="AQ13" s="195"/>
      <x:c r="AR13" s="157"/>
      <x:c r="AS13" s="195"/>
      <x:c r="AT13" s="195"/>
      <x:c r="AU13" s="195"/>
      <x:c r="AV13" s="195"/>
      <x:c r="AW13" s="195"/>
      <x:c r="AX13" s="157"/>
      <x:c r="AY13" s="157"/>
      <x:c r="AZ13" s="157"/>
      <x:c r="BA13" s="195"/>
      <x:c r="BB13" s="195"/>
      <x:c r="BC13" s="157"/>
      <x:c r="BD13" s="195"/>
      <x:c r="BE13" s="195"/>
      <x:c r="BF13" s="195"/>
      <x:c r="BG13" s="195"/>
      <x:c r="BH13" s="157"/>
      <x:c r="BI13" s="195"/>
      <x:c r="BJ13" s="195"/>
      <x:c r="BK13" s="195"/>
      <x:c r="BL13" s="157"/>
      <x:c r="BM13" s="157" t="str">
        <x:v>NÉT LIỀN</x:v>
      </x:c>
      <x:c r="BN13" s="157"/>
      <x:c r="BO13" s="195"/>
      <x:c r="BP13" s="195"/>
      <x:c r="BQ13" s="157"/>
      <x:c r="BR13" s="157"/>
      <x:c r="BS13" s="157"/>
      <x:c r="BT13" s="157" t="str">
        <x:v>HeaderNationalOrParty/RightColumn</x:v>
      </x:c>
      <x:c r="BU13" s="157" t="str">
        <x:v>Văn bản/OOXML: xác định đối tượng trước khi sửa</x:v>
      </x:c>
      <x:c r="BV13" s="196" t="str">
        <x:v>CẦN QA RENDER</x:v>
      </x:c>
      <x:c r="BW13" s="197" t="str">
        <x:v>ĐÃ TÁCH MỘT PHẦN</x:v>
      </x:c>
      <x:c r="BX13" s="157" t="str">
        <x:v>Đối chiếu mô tả gốc ở I–S, Z–AF nếu thuộc tính phụ thuộc mẫu.</x:v>
      </x:c>
      <x:c r="BY13" t="str">
        <x:v>HD05.D.TD.DUONG_KE</x:v>
      </x:c>
      <x:c r="BZ13" t="str">
        <x:f>IFERROR(INDEX(HD05!$J$7:$J$300,MATCH($B13,HD05!$B$7:$B$300,0)),"UNRESOLVED")</x:f>
        <x:v>Không áp dụng</x:v>
      </x:c>
      <x:c r="CA13" t="str">
        <x:v>SEPARATOR</x:v>
      </x:c>
      <x:c r="CB13" t="str">
        <x:v>target_kind_confirmed; ký tự và đối tượng hình học không được hoán đổi</x:v>
      </x:c>
      <x:c r="CC13" t="str">
        <x:f>IFERROR(INDEX(HD05!$X$7:$X$300,MATCH($B13,HD05!$B$7:$B$300,0)),"UNRESOLVED")</x:f>
        <x:v>READ_ONLY</x:v>
      </x:c>
      <x:c r="CD13" t="str">
        <x:f>IF(OR(ISNUMBER(SEARCH("READ_ONLY",CC13)),ISNUMBER(SEARCH("PROTECTED",CC13)),ISNUMBER(SEARCH("BẢO VỆ",CC13)),ISNUMBER(SEARCH("KHÔNG KÝ",CC13))),"PROTECTED","CHECK_ONLY")</x:f>
        <x:v>PROTECTED</x:v>
      </x:c>
      <x:c r="CE13" t="str">
        <x:f>IF(AND(CD13="FORMAT_APPROVED",CU13="CÓ",CV13="CÓ",CH13="CÓ",CI13="CÓ",CJ13="CÓ"),"CÓ","KHÔNG")</x:f>
        <x:v>KHÔNG</x:v>
      </x:c>
      <x:c r="CF13" t="str">
        <x:v>KHÔNG</x:v>
      </x:c>
      <x:c r="CG13" t="str">
        <x:v>CÓ</x:v>
      </x:c>
      <x:c r="CH13" t="str">
        <x:v>KHÔNG</x:v>
      </x:c>
      <x:c r="CI13" t="str">
        <x:v>KHÔNG</x:v>
      </x:c>
      <x:c r="CJ13" t="str">
        <x:v>KHÔNG</x:v>
      </x:c>
      <x:c r="CK13" t="str">
        <x:f>IF(AND(CE13="CÓ",CF13="KHÔNG",CG13="CÓ",CU13="CÓ",CV13="CÓ",CH13="CÓ",CI13="CÓ",CJ13="CÓ"),"CÓ","KHÔNG")</x:f>
        <x:v>KHÔNG</x:v>
      </x:c>
      <x:c r="CL13" t="str">
        <x:v>PILOT_NORTH_PROFILE_DRAFT; chưa có master DOCX đã duyệt</x:v>
      </x:c>
      <x:c r="CM13" t="str">
        <x:v>v1.5 (nâng từ v1.4)</x:v>
      </x:c>
      <x:c r="CN13" t="str">
        <x:v>CHƯA XÁC NHẬN CHỦ THỂ ĐẢNG</x:v>
      </x:c>
      <x:c r="CO13" t="str">
        <x:v>HD05_D_TD_DUONG_KE_FIELD_ONLY; chưa tạo trong Word</x:v>
      </x:c>
      <x:c r="CP13" t="str">
        <x:v>Preset là cấu hình Công ty; không thay thế giới hạn của nguồn NĐ30/HD05</x:v>
      </x:c>
      <x:c r="CQ13" t="str">
        <x:f>IF(OR(BH13="CÓ",BH13=TRUE),BI13,"")</x:f>
      </x:c>
      <x:c r="CR13" t="str">
        <x:f>IF(OR(BH13="CÓ",BH13=TRUE),BJ13,"")</x:f>
      </x:c>
      <x:c r="CS13" t="str">
        <x:v>STRUCTURAL_CHECK_ONLY</x:v>
      </x:c>
      <x:c r="CT13" t="str">
        <x:v>PENDING_SOURCE_AND_DOCX_QA</x:v>
      </x:c>
      <x:c r="CU13" t="str">
        <x:v>KHÔNG</x:v>
      </x:c>
      <x:c r="CV13" t="str">
        <x:v>KHÔNG</x:v>
      </x:c>
      <x:c r="CW13" t="str"/>
    </x:row>
    <x:row r="14" ht="29" customHeight="1">
      <x:c r="A14" s="125" t="n">
        <x:v>8</x:v>
      </x:c>
      <x:c r="B14" s="123" t="str">
        <x:v>HD05.D.SK.NHAN_SO</x:v>
      </x:c>
      <x:c r="C14" s="123" t="str">
        <x:v>Đầu văn bản</x:v>
      </x:c>
      <x:c r="D14" s="123" t="str">
        <x:v>Số và ký hiệu</x:v>
      </x:c>
      <x:c r="E14" s="123" t="str">
        <x:v>Nhãn Số</x:v>
      </x:c>
      <x:c r="F14" s="123" t="str">
        <x:v>3</x:v>
      </x:c>
      <x:c r="G14" s="123" t="str">
        <x:v>Chỉ khi cấp ủy/tổ chức Đảng thực sự là chủ thể ban hành và HD05 áp dụng</x:v>
      </x:c>
      <x:c r="H14" s="123" t="str">
        <x:v>Nhãn Số (không dấu hai chấm)</x:v>
      </x:c>
      <x:c r="I14" s="123" t="str">
        <x:v>Times New Roman | Unicode | đen</x:v>
      </x:c>
      <x:c r="J14" s="136" t="str">
        <x:v>14</x:v>
      </x:c>
      <x:c r="K14" s="123" t="str">
        <x:v>Viết hoa chữ đầu</x:v>
      </x:c>
      <x:c r="L14" s="123" t="str">
        <x:v>Không</x:v>
      </x:c>
      <x:c r="M14" s="123" t="str">
        <x:v>Không</x:v>
      </x:c>
      <x:c r="N14" s="123" t="str">
        <x:v>Căn giữa trong cột trái; dưới tên cơ quan</x:v>
      </x:c>
      <x:c r="O14" s="135" t="str">
        <x:v>Single; sau 0 pt</x:v>
      </x:c>
      <x:c r="P14" s="135" t="str">
        <x:v>Thụt dòng 0</x:v>
      </x:c>
      <x:c r="Q14" s="123" t="str">
        <x:v>Không đặt dấu : sau Số</x:v>
      </x:c>
      <x:c r="R14" s="123" t="str">
        <x:v>Text runs cùng đoạn; ký hiệu cấu trúc là text, không tự tạo số</x:v>
      </x:c>
      <x:c r="S14" s="123" t="str">
        <x:v>Số</x:v>
      </x:c>
      <x:c r="T14" s="123" t="str">
        <x:v>HD05, Phần II, I.3; Phụ lục 2 mục 3</x:v>
      </x:c>
      <x:c r="U14" s="123" t="str">
        <x:v>https://dangcongsan.vn/vanphongtrunguong/van-ban-cua-dang/huong-dan-so-05-hd-vptw-ngay-27-5-2026-cua-van-phong-trung-uong-dang-ve-the-thuc-va-ky-thuat-trinh-bay-van-ban-cua-dang.html?categoryId=3000525</x:v>
      </x:c>
      <x:c r="V14" s="123" t="str">
        <x:v>https://thuvienphapluat.vn/van-ban/Bo-may-hanh-chinh/Huong-dan-05-HD-VPTW-2026-the-thuc-va-ky-thuat-trinh-bay-van-ban-cua-Dang-707499.aspx</x:v>
      </x:c>
      <x:c r="W14" s="123" t="str">
        <x:v>ĐỐI CHIẾU MỘT PHẦN</x:v>
      </x:c>
      <x:c r="X14" s="123" t="str">
        <x:v>PROTECT_CONTENT</x:v>
      </x:c>
      <x:c r="Y14" s="123" t="str">
        <x:v>Không tự chèn/sửa khi chưa có chứng cứ về đối tượng và rule.</x:v>
      </x:c>
      <x:c r="Z14" s="135" t="str">
        <x:v>Số</x:v>
      </x:c>
      <x:c r="AA14" s="123" t="str">
        <x:v>DocumentNumber/LeftColumn</x:v>
      </x:c>
      <x:c r="AB14" s="135" t="str">
        <x:v>DỰ THẢO — CẦN DUYỆT HD05</x:v>
      </x:c>
      <x:c r="AC14" s="123" t="str">
        <x:v>PROTECT_CONTENT</x:v>
      </x:c>
      <x:c r="AD14" s="123" t="str">
        <x:v>PLUGIN:HOA-TIEU-MIEN-BAC-PARTY-HD05-HEADER-2026 | NEEDS_REVIEW</x:v>
      </x:c>
      <x:c r="AE14" s="123" t="str">
        <x:v>GATE: xác minh chủ thể HD05 trước; Đối chiếu mã HD05.D.SK.NHAN_SO; so cỡ 14 pt và vùng 3; giữ nguyên nội dung ngoài phạm vi.</x:v>
      </x:c>
      <x:c r="AF14" s="123" t="str">
        <x:v>Đảng ủy: chỉ chọn khi chủ thể ban hành và phạm vi HD05 đã được xác minh.</x:v>
      </x:c>
      <x:c r="AG14" s="157" t="str">
        <x:v>Times New Roman</x:v>
      </x:c>
      <x:c r="AH14" s="157" t="str">
        <x:v>Unicode</x:v>
      </x:c>
      <x:c r="AI14" s="157" t="str">
        <x:v>#000000</x:v>
      </x:c>
      <x:c r="AJ14" s="195" t="n">
        <x:v>14</x:v>
      </x:c>
      <x:c r="AK14" s="157" t="str">
        <x:v>KHÔNG</x:v>
      </x:c>
      <x:c r="AL14" s="157" t="str">
        <x:v>KHÔNG</x:v>
      </x:c>
      <x:c r="AM14" s="157" t="str">
        <x:v>Viết hoa chữ đầu</x:v>
      </x:c>
      <x:c r="AN14" s="157" t="str">
        <x:v>CENTER</x:v>
      </x:c>
      <x:c r="AO14" s="157" t="str">
        <x:v>KHỐI/CỘT TRÁI</x:v>
      </x:c>
      <x:c r="AP14" s="157" t="str">
        <x:v>SINGLE</x:v>
      </x:c>
      <x:c r="AQ14" s="195" t="n">
        <x:v>1</x:v>
      </x:c>
      <x:c r="AR14" s="157" t="str">
        <x:v>lines</x:v>
      </x:c>
      <x:c r="AS14" s="195"/>
      <x:c r="AT14" s="195" t="n">
        <x:v>0</x:v>
      </x:c>
      <x:c r="AU14" s="195" t="n">
        <x:v>0</x:v>
      </x:c>
      <x:c r="AV14" s="195"/>
      <x:c r="AW14" s="195"/>
      <x:c r="AX14" s="157"/>
      <x:c r="AY14" s="157"/>
      <x:c r="AZ14" s="157"/>
      <x:c r="BA14" s="195"/>
      <x:c r="BB14" s="195"/>
      <x:c r="BC14" s="157"/>
      <x:c r="BD14" s="195"/>
      <x:c r="BE14" s="195"/>
      <x:c r="BF14" s="195"/>
      <x:c r="BG14" s="195"/>
      <x:c r="BH14" s="157"/>
      <x:c r="BI14" s="195"/>
      <x:c r="BJ14" s="195"/>
      <x:c r="BK14" s="195"/>
      <x:c r="BL14" s="157"/>
      <x:c r="BM14" s="157" t="str">
        <x:v>KÝ TỰ</x:v>
      </x:c>
      <x:c r="BN14" s="157" t="str">
        <x:v>:</x:v>
      </x:c>
      <x:c r="BO14" s="195"/>
      <x:c r="BP14" s="195"/>
      <x:c r="BQ14" s="157"/>
      <x:c r="BR14" s="157"/>
      <x:c r="BS14" s="157"/>
      <x:c r="BT14" s="157" t="str">
        <x:v>DocumentNumber/LeftColumn</x:v>
      </x:c>
      <x:c r="BU14" s="157" t="str">
        <x:v>Text runs cùng đoạn; ký hiệu cấu trúc là text, không tự tạo số</x:v>
      </x:c>
      <x:c r="BV14" s="196" t="str">
        <x:v>DỰ THẢO — CẦN DUYỆT HD05</x:v>
      </x:c>
      <x:c r="BW14" s="197" t="str">
        <x:v>ĐÃ TÁCH MỘT PHẦN</x:v>
      </x:c>
      <x:c r="BX14" s="157" t="str">
        <x:v>Cấu hình profile chưa được xác nhận; giữ nguyên chính sách CHECK_ONLY.</x:v>
      </x:c>
      <x:c r="BY14" t="str">
        <x:v>HD05.D.SK.NHAN_SO</x:v>
      </x:c>
      <x:c r="BZ14" t="n">
        <x:f>IFERROR(INDEX(HD05!$J$7:$J$300,MATCH($B14,HD05!$B$7:$B$300,0)),"UNRESOLVED")</x:f>
        <x:v>14</x:v>
      </x:c>
      <x:c r="CA14" t="str">
        <x:v>TEXT</x:v>
      </x:c>
      <x:c r="CB14" t="str">
        <x:v>party_issuer_confirmed AND issue_date&gt;=2026-05-27 AND doc_type_confirmed</x:v>
      </x:c>
      <x:c r="CC14" t="str">
        <x:f>IFERROR(INDEX(HD05!$X$7:$X$300,MATCH($B14,HD05!$B$7:$B$300,0)),"UNRESOLVED")</x:f>
        <x:v>READ_ONLY</x:v>
      </x:c>
      <x:c r="CD14" t="str">
        <x:f>IF(OR(ISNUMBER(SEARCH("READ_ONLY",CC14)),ISNUMBER(SEARCH("PROTECTED",CC14)),ISNUMBER(SEARCH("BẢO VỆ",CC14)),ISNUMBER(SEARCH("KHÔNG KÝ",CC14))),"PROTECTED","CHECK_ONLY")</x:f>
        <x:v>PROTECTED</x:v>
      </x:c>
      <x:c r="CE14" t="str">
        <x:f>IF(AND(CD14="FORMAT_APPROVED",CU14="CÓ",CV14="CÓ",CH14="CÓ",CI14="CÓ",CJ14="CÓ"),"CÓ","KHÔNG")</x:f>
        <x:v>KHÔNG</x:v>
      </x:c>
      <x:c r="CF14" t="str">
        <x:v>KHÔNG</x:v>
      </x:c>
      <x:c r="CG14" t="str">
        <x:v>CÓ</x:v>
      </x:c>
      <x:c r="CH14" t="str">
        <x:v>KHÔNG</x:v>
      </x:c>
      <x:c r="CI14" t="str">
        <x:v>KHÔNG</x:v>
      </x:c>
      <x:c r="CJ14" t="str">
        <x:v>KHÔNG</x:v>
      </x:c>
      <x:c r="CK14" t="str">
        <x:f>IF(AND(CE14="CÓ",CF14="KHÔNG",CG14="CÓ",CU14="CÓ",CV14="CÓ",CH14="CÓ",CI14="CÓ",CJ14="CÓ"),"CÓ","KHÔNG")</x:f>
        <x:v>KHÔNG</x:v>
      </x:c>
      <x:c r="CL14" t="str">
        <x:v>PILOT_NORTH_PROFILE_DRAFT; chưa có master DOCX đã duyệt</x:v>
      </x:c>
      <x:c r="CM14" t="str">
        <x:v>v1.5 (nâng từ v1.4)</x:v>
      </x:c>
      <x:c r="CN14" t="str">
        <x:v>CHƯA XÁC NHẬN CHỦ THỂ ĐẢNG</x:v>
      </x:c>
      <x:c r="CO14" t="str">
        <x:v>HD05_D_SK_NHAN_SO_FIELD_ONLY; chưa tạo trong Word</x:v>
      </x:c>
      <x:c r="CP14" t="str">
        <x:v>Preset là cấu hình Công ty; không thay thế giới hạn của nguồn NĐ30/HD05</x:v>
      </x:c>
      <x:c r="CQ14" t="str">
        <x:f>IF(OR(BH14="CÓ",BH14=TRUE),BI14,"")</x:f>
      </x:c>
      <x:c r="CR14" t="str">
        <x:f>IF(OR(BH14="CÓ",BH14=TRUE),BJ14,"")</x:f>
      </x:c>
      <x:c r="CS14" t="str">
        <x:v>FORMAT_CHECK_ONLY</x:v>
      </x:c>
      <x:c r="CT14" t="str">
        <x:v>PENDING_SOURCE_AND_DOCX_QA</x:v>
      </x:c>
      <x:c r="CU14" t="str">
        <x:v>KHÔNG</x:v>
      </x:c>
      <x:c r="CV14" t="str">
        <x:v>KHÔNG</x:v>
      </x:c>
      <x:c r="CW14" t="str"/>
    </x:row>
    <x:row r="15" ht="29" customHeight="1">
      <x:c r="A15" s="125" t="n">
        <x:v>9</x:v>
      </x:c>
      <x:c r="B15" s="123" t="str">
        <x:v>HD05.D.SK.SO_VAN_BAN</x:v>
      </x:c>
      <x:c r="C15" s="123" t="str">
        <x:v>Đầu văn bản</x:v>
      </x:c>
      <x:c r="D15" s="123" t="str">
        <x:v>Số và ký hiệu</x:v>
      </x:c>
      <x:c r="E15" s="123" t="str">
        <x:v>Số thứ tự văn bản</x:v>
      </x:c>
      <x:c r="F15" s="123" t="str">
        <x:v>3</x:v>
      </x:c>
      <x:c r="G15" s="123" t="str">
        <x:v>Chỉ khi cấp ủy/tổ chức Đảng thực sự là chủ thể ban hành và HD05 áp dụng</x:v>
      </x:c>
      <x:c r="H15" s="123" t="str">
        <x:v>Số văn bản lấy từ sổ văn thư; chỉ kiểm tra định dạng, không tự cấp số</x:v>
      </x:c>
      <x:c r="I15" s="123" t="str">
        <x:v>Times New Roman | Unicode | đen</x:v>
      </x:c>
      <x:c r="J15" s="136" t="str">
        <x:v>14</x:v>
      </x:c>
      <x:c r="K15" s="123" t="str">
        <x:v>Chữ số Ả Rập; không áp dụng quy tắc IN HOA</x:v>
      </x:c>
      <x:c r="L15" s="123" t="str">
        <x:v>Không</x:v>
      </x:c>
      <x:c r="M15" s="123" t="str">
        <x:v>Không</x:v>
      </x:c>
      <x:c r="N15" s="123" t="str">
        <x:v>Căn giữa trong cột trái; dưới tên cơ quan</x:v>
      </x:c>
      <x:c r="O15" s="135" t="str">
        <x:v>Single; sau 0 pt</x:v>
      </x:c>
      <x:c r="P15" s="135" t="str">
        <x:v>Thụt dòng 0</x:v>
      </x:c>
      <x:c r="Q15" s="123"/>
      <x:c r="R15" s="123" t="str">
        <x:v>Text runs cùng đoạn; ký hiệu cấu trúc là text, không tự tạo số</x:v>
      </x:c>
      <x:c r="S15" s="123" t="str">
        <x:v>Số văn bản &lt;10 ghi số 0 phía trước (01–09); KHÔNG tự cấp số</x:v>
      </x:c>
      <x:c r="T15" s="123" t="str">
        <x:v>HD05, Phần II, I.3; Phụ lục 2 mục 3</x:v>
      </x:c>
      <x:c r="U15" s="123" t="str">
        <x:v>https://dangcongsan.vn/vanphongtrunguong/van-ban-cua-dang/huong-dan-so-05-hd-vptw-ngay-27-5-2026-cua-van-phong-trung-uong-dang-ve-the-thuc-va-ky-thuat-trinh-bay-van-ban-cua-dang.html?categoryId=3000525</x:v>
      </x:c>
      <x:c r="V15" s="123" t="str">
        <x:v>https://thuvienphapluat.vn/van-ban/Bo-may-hanh-chinh/Huong-dan-05-HD-VPTW-2026-the-thuc-va-ky-thuat-trinh-bay-van-ban-cua-Dang-707499.aspx</x:v>
      </x:c>
      <x:c r="W15" s="123" t="str">
        <x:v>ĐỐI CHIẾU MỘT PHẦN</x:v>
      </x:c>
      <x:c r="X15" s="123" t="str">
        <x:v>PROTECT_CONTENT</x:v>
      </x:c>
      <x:c r="Y15" s="123" t="str">
        <x:v>Không tự chèn/sửa khi chưa có chứng cứ về đối tượng và rule.</x:v>
      </x:c>
      <x:c r="Z15" s="135" t="str">
        <x:v>[SỐ VĂN BẢN — TRỐNG, KHÔNG TỰ SINH]</x:v>
      </x:c>
      <x:c r="AA15" s="123" t="str">
        <x:v>DocumentNumber/LeftColumn</x:v>
      </x:c>
      <x:c r="AB15" s="135" t="str">
        <x:v>DỰ THẢO — CẦN DUYỆT HD05</x:v>
      </x:c>
      <x:c r="AC15" s="123" t="str">
        <x:v>PROTECT_CONTENT</x:v>
      </x:c>
      <x:c r="AD15" s="123" t="str">
        <x:v>PLUGIN:HOA-TIEU-MIEN-BAC-PARTY-HD05-HEADER-2026 | NEEDS_REVIEW</x:v>
      </x:c>
      <x:c r="AE15" s="123" t="str">
        <x:v>GATE: xác minh chủ thể HD05 trước; Đối chiếu mã HD05.D.SK.SO_VAN_BAN; so cỡ 14 pt và vùng 3; giữ nguyên nội dung ngoài phạm vi.</x:v>
      </x:c>
      <x:c r="AF15" s="123" t="str">
        <x:v>Đảng ủy: chỉ chọn khi chủ thể ban hành và phạm vi HD05 đã được xác minh.</x:v>
      </x:c>
      <x:c r="AG15" s="157" t="str">
        <x:v>Times New Roman</x:v>
      </x:c>
      <x:c r="AH15" s="157" t="str">
        <x:v>Unicode</x:v>
      </x:c>
      <x:c r="AI15" s="157" t="str">
        <x:v>#000000</x:v>
      </x:c>
      <x:c r="AJ15" s="195" t="n">
        <x:v>14</x:v>
      </x:c>
      <x:c r="AK15" s="157" t="str">
        <x:v>KHÔNG</x:v>
      </x:c>
      <x:c r="AL15" s="157" t="str">
        <x:v>KHÔNG</x:v>
      </x:c>
      <x:c r="AM15" s="157" t="str">
        <x:v>Chữ số Ả Rập; không áp dụng quy tắc IN HOA</x:v>
      </x:c>
      <x:c r="AN15" s="157" t="str">
        <x:v>CENTER</x:v>
      </x:c>
      <x:c r="AO15" s="157" t="str">
        <x:v>KHỐI/CỘT TRÁI</x:v>
      </x:c>
      <x:c r="AP15" s="157" t="str">
        <x:v>SINGLE</x:v>
      </x:c>
      <x:c r="AQ15" s="195" t="n">
        <x:v>1</x:v>
      </x:c>
      <x:c r="AR15" s="157" t="str">
        <x:v>lines</x:v>
      </x:c>
      <x:c r="AS15" s="195"/>
      <x:c r="AT15" s="195" t="n">
        <x:v>0</x:v>
      </x:c>
      <x:c r="AU15" s="195" t="n">
        <x:v>0</x:v>
      </x:c>
      <x:c r="AV15" s="195"/>
      <x:c r="AW15" s="195"/>
      <x:c r="AX15" s="157"/>
      <x:c r="AY15" s="157"/>
      <x:c r="AZ15" s="157"/>
      <x:c r="BA15" s="195"/>
      <x:c r="BB15" s="195"/>
      <x:c r="BC15" s="157"/>
      <x:c r="BD15" s="195"/>
      <x:c r="BE15" s="195"/>
      <x:c r="BF15" s="195"/>
      <x:c r="BG15" s="195"/>
      <x:c r="BH15" s="157"/>
      <x:c r="BI15" s="195"/>
      <x:c r="BJ15" s="195"/>
      <x:c r="BK15" s="195"/>
      <x:c r="BL15" s="157"/>
      <x:c r="BM15" s="157"/>
      <x:c r="BN15" s="157"/>
      <x:c r="BO15" s="195"/>
      <x:c r="BP15" s="195"/>
      <x:c r="BQ15" s="157"/>
      <x:c r="BR15" s="157"/>
      <x:c r="BS15" s="157"/>
      <x:c r="BT15" s="157" t="str">
        <x:v>DocumentNumber/LeftColumn</x:v>
      </x:c>
      <x:c r="BU15" s="157" t="str">
        <x:v>Text runs cùng đoạn; ký hiệu cấu trúc là text, không tự tạo số</x:v>
      </x:c>
      <x:c r="BV15" s="196" t="str">
        <x:v>DỰ THẢO — CẦN DUYỆT HD05</x:v>
      </x:c>
      <x:c r="BW15" s="197" t="str">
        <x:v>ĐÃ TÁCH MỘT PHẦN</x:v>
      </x:c>
      <x:c r="BX15" s="157" t="str">
        <x:v>Cấu hình profile chưa được xác nhận; giữ nguyên chính sách CHECK_ONLY.</x:v>
      </x:c>
      <x:c r="BY15" t="str">
        <x:v>HD05.D.SK.SO_VAN_BAN</x:v>
      </x:c>
      <x:c r="BZ15" t="n">
        <x:f>IFERROR(INDEX(HD05!$J$7:$J$300,MATCH($B15,HD05!$B$7:$B$300,0)),"UNRESOLVED")</x:f>
        <x:v>14</x:v>
      </x:c>
      <x:c r="CA15" t="str">
        <x:v>PROTECTED_TEXT</x:v>
      </x:c>
      <x:c r="CB15" t="str">
        <x:v>party_issuer_confirmed AND issue_date&gt;=2026-05-27 AND doc_type_confirmed</x:v>
      </x:c>
      <x:c r="CC15" t="str">
        <x:f>IFERROR(INDEX(HD05!$X$7:$X$300,MATCH($B15,HD05!$B$7:$B$300,0)),"UNRESOLVED")</x:f>
        <x:v>KHÔNG TỰ CẤP SỐ</x:v>
      </x:c>
      <x:c r="CD15" t="str">
        <x:f>IF(OR(ISNUMBER(SEARCH("READ_ONLY",CC15)),ISNUMBER(SEARCH("PROTECTED",CC15)),ISNUMBER(SEARCH("BẢO VỆ",CC15)),ISNUMBER(SEARCH("KHÔNG KÝ",CC15))),"PROTECTED","CHECK_ONLY")</x:f>
        <x:v>CHECK_ONLY</x:v>
      </x:c>
      <x:c r="CE15" t="str">
        <x:f>IF(AND(CD15="FORMAT_APPROVED",CU15="CÓ",CV15="CÓ",CH15="CÓ",CI15="CÓ",CJ15="CÓ"),"CÓ","KHÔNG")</x:f>
        <x:v>KHÔNG</x:v>
      </x:c>
      <x:c r="CF15" t="str">
        <x:v>KHÔNG</x:v>
      </x:c>
      <x:c r="CG15" t="str">
        <x:v>CÓ</x:v>
      </x:c>
      <x:c r="CH15" t="str">
        <x:v>KHÔNG</x:v>
      </x:c>
      <x:c r="CI15" t="str">
        <x:v>KHÔNG</x:v>
      </x:c>
      <x:c r="CJ15" t="str">
        <x:v>KHÔNG</x:v>
      </x:c>
      <x:c r="CK15" t="str">
        <x:f>IF(AND(CE15="CÓ",CF15="KHÔNG",CG15="CÓ",CU15="CÓ",CV15="CÓ",CH15="CÓ",CI15="CÓ",CJ15="CÓ"),"CÓ","KHÔNG")</x:f>
        <x:v>KHÔNG</x:v>
      </x:c>
      <x:c r="CL15" t="str">
        <x:v>PILOT_NORTH_PROFILE_DRAFT; chưa có master DOCX đã duyệt</x:v>
      </x:c>
      <x:c r="CM15" t="str">
        <x:v>v1.5 (nâng từ v1.4)</x:v>
      </x:c>
      <x:c r="CN15" t="str">
        <x:v>CHƯA XÁC NHẬN CHỦ THỂ ĐẢNG</x:v>
      </x:c>
      <x:c r="CO15" t="str">
        <x:v>HD05_D_SK_SO_VAN_BAN_FIELD_ONLY; chưa tạo trong Word</x:v>
      </x:c>
      <x:c r="CP15" t="str">
        <x:v>Preset là cấu hình Công ty; không thay thế giới hạn của nguồn NĐ30/HD05</x:v>
      </x:c>
      <x:c r="CQ15" t="str">
        <x:f>IF(OR(BH15="CÓ",BH15=TRUE),BI15,"")</x:f>
      </x:c>
      <x:c r="CR15" t="str">
        <x:f>IF(OR(BH15="CÓ",BH15=TRUE),BJ15,"")</x:f>
      </x:c>
      <x:c r="CS15" t="str">
        <x:v>FORMAT_CHECK_ONLY</x:v>
      </x:c>
      <x:c r="CT15" t="str">
        <x:v>PENDING_SOURCE_AND_DOCX_QA</x:v>
      </x:c>
      <x:c r="CU15" t="str">
        <x:v>KHÔNG</x:v>
      </x:c>
      <x:c r="CV15" t="str">
        <x:v>KHÔNG</x:v>
      </x:c>
      <x:c r="CW15" t="str"/>
    </x:row>
    <x:row r="16" ht="29" customHeight="1">
      <x:c r="A16" s="125" t="n">
        <x:v>10</x:v>
      </x:c>
      <x:c r="B16" s="123" t="str">
        <x:v>HD05.D.SK.KY_HIEU_LOAI</x:v>
      </x:c>
      <x:c r="C16" s="123" t="str">
        <x:v>Đầu văn bản</x:v>
      </x:c>
      <x:c r="D16" s="123" t="str">
        <x:v>Số và ký hiệu</x:v>
      </x:c>
      <x:c r="E16" s="123" t="str">
        <x:v>Ký hiệu thể loại văn bản</x:v>
      </x:c>
      <x:c r="F16" s="123" t="str">
        <x:v>3</x:v>
      </x:c>
      <x:c r="G16" s="123" t="str">
        <x:v>Văn bản có tên loại; công văn theo quy ước riêng</x:v>
      </x:c>
      <x:c r="H16" s="123" t="str">
        <x:v>Ký hiệu thể loại văn bản</x:v>
      </x:c>
      <x:c r="I16" s="123" t="str">
        <x:v>Times New Roman | Unicode | đen</x:v>
      </x:c>
      <x:c r="J16" s="136" t="str">
        <x:v>14</x:v>
      </x:c>
      <x:c r="K16" s="123" t="str">
        <x:v>Đúng dạng viết tắt trong danh mục HD05: CTr, TTr, NQ, BC…; KHÔNG ép IN HOA toàn bộ</x:v>
      </x:c>
      <x:c r="L16" s="123" t="str">
        <x:v>Không</x:v>
      </x:c>
      <x:c r="M16" s="123" t="str">
        <x:v>Không</x:v>
      </x:c>
      <x:c r="N16" s="123" t="str">
        <x:v>Căn giữa trong cột trái; dưới tên cơ quan</x:v>
      </x:c>
      <x:c r="O16" s="135" t="str">
        <x:v>Single; sau 0 pt</x:v>
      </x:c>
      <x:c r="P16" s="135" t="str">
        <x:v>Thụt dòng 0</x:v>
      </x:c>
      <x:c r="Q16" s="123"/>
      <x:c r="R16" s="123" t="str">
        <x:v>Text runs cùng đoạn; ký hiệu cấu trúc là text, không tự tạo số</x:v>
      </x:c>
      <x:c r="S16" s="123" t="str">
        <x:v>Tra chính xác mã loại theo HD05, gồm CTr và TTr; không upper-case hóa mặc định</x:v>
      </x:c>
      <x:c r="T16" s="123" t="str">
        <x:v>HD05, Phần II, I.3; Phụ lục 2 mục 3</x:v>
      </x:c>
      <x:c r="U16" s="123" t="str">
        <x:v>https://dangcongsan.vn/vanphongtrunguong/van-ban-cua-dang/huong-dan-so-05-hd-vptw-ngay-27-5-2026-cua-van-phong-trung-uong-dang-ve-the-thuc-va-ky-thuat-trinh-bay-van-ban-cua-dang.html?categoryId=3000525</x:v>
      </x:c>
      <x:c r="V16" s="123" t="str">
        <x:v>https://thuvienphapluat.vn/van-ban/Bo-may-hanh-chinh/Huong-dan-05-HD-VPTW-2026-the-thuc-va-ky-thuat-trinh-bay-van-ban-cua-Dang-707499.aspx</x:v>
      </x:c>
      <x:c r="W16" s="123" t="str">
        <x:v>ĐỐI CHIẾU MỘT PHẦN</x:v>
      </x:c>
      <x:c r="X16" s="123" t="str">
        <x:v>PROTECT_CONTENT</x:v>
      </x:c>
      <x:c r="Y16" s="123" t="str">
        <x:v>Không tự chèn/sửa khi chưa có chứng cứ về đối tượng và rule.</x:v>
      </x:c>
      <x:c r="Z16" s="135" t="str">
        <x:v>[MÃ LOẠI — TRA DANH MỤC CHÍNH THỨC]</x:v>
      </x:c>
      <x:c r="AA16" s="123" t="str">
        <x:v>DocumentNumber/LeftColumn</x:v>
      </x:c>
      <x:c r="AB16" s="135" t="str">
        <x:v>DỰ THẢO — CẦN DUYỆT HD05</x:v>
      </x:c>
      <x:c r="AC16" s="123" t="str">
        <x:v>PROTECT_CONTENT</x:v>
      </x:c>
      <x:c r="AD16" s="123" t="str">
        <x:v>PLUGIN:HOA-TIEU-MIEN-BAC-PARTY-HD05-HEADER-2026 | NEEDS_REVIEW</x:v>
      </x:c>
      <x:c r="AE16" s="123" t="str">
        <x:v>GATE: xác minh chủ thể HD05 trước; Đối chiếu mã HD05.D.SK.KY_HIEU_LOAI; so cỡ 14 pt và vùng 3; giữ nguyên nội dung ngoài phạm vi.</x:v>
      </x:c>
      <x:c r="AF16" s="123" t="str">
        <x:v>Đảng ủy: chỉ chọn khi chủ thể ban hành và phạm vi HD05 đã được xác minh.</x:v>
      </x:c>
      <x:c r="AG16" s="157" t="str">
        <x:v>Times New Roman</x:v>
      </x:c>
      <x:c r="AH16" s="157" t="str">
        <x:v>Unicode</x:v>
      </x:c>
      <x:c r="AI16" s="157" t="str">
        <x:v>#000000</x:v>
      </x:c>
      <x:c r="AJ16" s="195" t="n">
        <x:v>14</x:v>
      </x:c>
      <x:c r="AK16" s="157" t="str">
        <x:v>KHÔNG</x:v>
      </x:c>
      <x:c r="AL16" s="157" t="str">
        <x:v>KHÔNG</x:v>
      </x:c>
      <x:c r="AM16" s="157" t="str">
        <x:v>Đúng dạng viết tắt trong danh mục HD05: CTr, TTr, NQ, BC…; KHÔNG ép IN HOA toàn bộ</x:v>
      </x:c>
      <x:c r="AN16" s="157" t="str">
        <x:v>CENTER</x:v>
      </x:c>
      <x:c r="AO16" s="157" t="str">
        <x:v>KHỐI/CỘT TRÁI</x:v>
      </x:c>
      <x:c r="AP16" s="157" t="str">
        <x:v>SINGLE</x:v>
      </x:c>
      <x:c r="AQ16" s="195" t="n">
        <x:v>1</x:v>
      </x:c>
      <x:c r="AR16" s="157" t="str">
        <x:v>lines</x:v>
      </x:c>
      <x:c r="AS16" s="195"/>
      <x:c r="AT16" s="195" t="n">
        <x:v>0</x:v>
      </x:c>
      <x:c r="AU16" s="195" t="n">
        <x:v>0</x:v>
      </x:c>
      <x:c r="AV16" s="195"/>
      <x:c r="AW16" s="195"/>
      <x:c r="AX16" s="157"/>
      <x:c r="AY16" s="157"/>
      <x:c r="AZ16" s="157"/>
      <x:c r="BA16" s="195"/>
      <x:c r="BB16" s="195"/>
      <x:c r="BC16" s="157"/>
      <x:c r="BD16" s="195"/>
      <x:c r="BE16" s="195"/>
      <x:c r="BF16" s="195"/>
      <x:c r="BG16" s="195"/>
      <x:c r="BH16" s="157"/>
      <x:c r="BI16" s="195"/>
      <x:c r="BJ16" s="195"/>
      <x:c r="BK16" s="195"/>
      <x:c r="BL16" s="157"/>
      <x:c r="BM16" s="157"/>
      <x:c r="BN16" s="157"/>
      <x:c r="BO16" s="195"/>
      <x:c r="BP16" s="195"/>
      <x:c r="BQ16" s="157"/>
      <x:c r="BR16" s="157"/>
      <x:c r="BS16" s="157"/>
      <x:c r="BT16" s="157" t="str">
        <x:v>DocumentNumber/LeftColumn</x:v>
      </x:c>
      <x:c r="BU16" s="157" t="str">
        <x:v>Text runs cùng đoạn; ký hiệu cấu trúc là text, không tự tạo số</x:v>
      </x:c>
      <x:c r="BV16" s="196" t="str">
        <x:v>DỰ THẢO — CẦN DUYỆT HD05</x:v>
      </x:c>
      <x:c r="BW16" s="197" t="str">
        <x:v>ĐÃ TÁCH MỘT PHẦN</x:v>
      </x:c>
      <x:c r="BX16" s="157" t="str">
        <x:v>Cấu hình profile chưa được xác nhận; giữ nguyên chính sách CHECK_ONLY.</x:v>
      </x:c>
      <x:c r="BY16" t="str">
        <x:v>HD05.D.SK.KY_HIEU_LOAI</x:v>
      </x:c>
      <x:c r="BZ16" t="n">
        <x:f>IFERROR(INDEX(HD05!$J$7:$J$300,MATCH($B16,HD05!$B$7:$B$300,0)),"UNRESOLVED")</x:f>
        <x:v>14</x:v>
      </x:c>
      <x:c r="CA16" t="str">
        <x:v>TEXT</x:v>
      </x:c>
      <x:c r="CB16" t="str">
        <x:v>party_issuer_confirmed AND issue_date&gt;=2026-05-27 AND doc_type_confirmed</x:v>
      </x:c>
      <x:c r="CC16" t="str">
        <x:f>IFERROR(INDEX(HD05!$X$7:$X$300,MATCH($B16,HD05!$B$7:$B$300,0)),"UNRESOLVED")</x:f>
        <x:v>KHÔNG TỰ SUY DIỄN MÃ</x:v>
      </x:c>
      <x:c r="CD16" t="str">
        <x:f>IF(OR(ISNUMBER(SEARCH("READ_ONLY",CC16)),ISNUMBER(SEARCH("PROTECTED",CC16)),ISNUMBER(SEARCH("BẢO VỆ",CC16)),ISNUMBER(SEARCH("KHÔNG KÝ",CC16))),"PROTECTED","CHECK_ONLY")</x:f>
        <x:v>CHECK_ONLY</x:v>
      </x:c>
      <x:c r="CE16" t="str">
        <x:f>IF(AND(CD16="FORMAT_APPROVED",CU16="CÓ",CV16="CÓ",CH16="CÓ",CI16="CÓ",CJ16="CÓ"),"CÓ","KHÔNG")</x:f>
        <x:v>KHÔNG</x:v>
      </x:c>
      <x:c r="CF16" t="str">
        <x:v>KHÔNG</x:v>
      </x:c>
      <x:c r="CG16" t="str">
        <x:v>CÓ</x:v>
      </x:c>
      <x:c r="CH16" t="str">
        <x:v>KHÔNG</x:v>
      </x:c>
      <x:c r="CI16" t="str">
        <x:v>KHÔNG</x:v>
      </x:c>
      <x:c r="CJ16" t="str">
        <x:v>KHÔNG</x:v>
      </x:c>
      <x:c r="CK16" t="str">
        <x:f>IF(AND(CE16="CÓ",CF16="KHÔNG",CG16="CÓ",CU16="CÓ",CV16="CÓ",CH16="CÓ",CI16="CÓ",CJ16="CÓ"),"CÓ","KHÔNG")</x:f>
        <x:v>KHÔNG</x:v>
      </x:c>
      <x:c r="CL16" t="str">
        <x:v>PILOT_NORTH_PROFILE_DRAFT; chưa có master DOCX đã duyệt</x:v>
      </x:c>
      <x:c r="CM16" t="str">
        <x:v>v1.5 (nâng từ v1.4)</x:v>
      </x:c>
      <x:c r="CN16" t="str">
        <x:v>CHƯA XÁC NHẬN CHỦ THỂ ĐẢNG</x:v>
      </x:c>
      <x:c r="CO16" t="str">
        <x:v>HD05_D_SK_KY_HIEU_LOAI_FIELD_ONLY; chưa tạo trong Word</x:v>
      </x:c>
      <x:c r="CP16" t="str">
        <x:v>Preset là cấu hình Công ty; không thay thế giới hạn của nguồn NĐ30/HD05</x:v>
      </x:c>
      <x:c r="CQ16" t="str">
        <x:f>IF(OR(BH16="CÓ",BH16=TRUE),BI16,"")</x:f>
      </x:c>
      <x:c r="CR16" t="str">
        <x:f>IF(OR(BH16="CÓ",BH16=TRUE),BJ16,"")</x:f>
      </x:c>
      <x:c r="CS16" t="str">
        <x:v>FORMAT_CHECK_ONLY</x:v>
      </x:c>
      <x:c r="CT16" t="str">
        <x:v>PENDING_SOURCE_AND_DOCX_QA</x:v>
      </x:c>
      <x:c r="CU16" t="str">
        <x:v>KHÔNG</x:v>
      </x:c>
      <x:c r="CV16" t="str">
        <x:v>KHÔNG</x:v>
      </x:c>
      <x:c r="CW16" t="str"/>
    </x:row>
    <x:row r="17" ht="29" customHeight="1">
      <x:c r="A17" s="125" t="n">
        <x:v>11</x:v>
      </x:c>
      <x:c r="B17" s="123" t="str">
        <x:v>HD05.D.SK.KY_HIEU_CO_QUAN</x:v>
      </x:c>
      <x:c r="C17" s="123" t="str">
        <x:v>Đầu văn bản</x:v>
      </x:c>
      <x:c r="D17" s="123" t="str">
        <x:v>Số và ký hiệu</x:v>
      </x:c>
      <x:c r="E17" s="123" t="str">
        <x:v>Ký hiệu tổ chức/cơ quan Đảng</x:v>
      </x:c>
      <x:c r="F17" s="123" t="str">
        <x:v>3</x:v>
      </x:c>
      <x:c r="G17" s="123" t="str">
        <x:v>Chỉ điền khi đã xác minh ký hiệu thực tế từ văn bản phát hành của đúng chủ thể; tạm là đề xuất, không sinh số/ký hiệu.</x:v>
      </x:c>
      <x:c r="H17" s="123" t="str">
        <x:v>Ký hiệu tổ chức/cơ quan Đảng</x:v>
      </x:c>
      <x:c r="I17" s="123" t="str">
        <x:v>Times New Roman | Unicode | đen</x:v>
      </x:c>
      <x:c r="J17" s="136" t="str">
        <x:v>14</x:v>
      </x:c>
      <x:c r="K17" s="123" t="str">
        <x:v>Theo mã cơ quan đã xác minh, giữ nguyên chính tả ký hiệu</x:v>
      </x:c>
      <x:c r="L17" s="123" t="str">
        <x:v>Không</x:v>
      </x:c>
      <x:c r="M17" s="123" t="str">
        <x:v>Không</x:v>
      </x:c>
      <x:c r="N17" s="123" t="str">
        <x:v>Căn giữa trong cột trái; dưới tên cơ quan</x:v>
      </x:c>
      <x:c r="O17" s="135" t="str">
        <x:v>Single; sau 0 pt</x:v>
      </x:c>
      <x:c r="P17" s="135" t="str">
        <x:v>Thụt dòng 0</x:v>
      </x:c>
      <x:c r="Q17" s="123"/>
      <x:c r="R17" s="123" t="str">
        <x:v>Text runs cùng đoạn; ký hiệu cấu trúc là text, không tự tạo số</x:v>
      </x:c>
      <x:c r="S17" s="123" t="str">
        <x:v>Theo cơ quan và sổ/quy chế viết tắt đã xác minh</x:v>
      </x:c>
      <x:c r="T17" s="123" t="str">
        <x:v>HD05, Phần II, I.3; Phụ lục 2 mục 3</x:v>
      </x:c>
      <x:c r="U17" s="123" t="str">
        <x:v>https://dangcongsan.vn/vanphongtrunguong/van-ban-cua-dang/huong-dan-so-05-hd-vptw-ngay-27-5-2026-cua-van-phong-trung-uong-dang-ve-the-thuc-va-ky-thuat-trinh-bay-van-ban-cua-dang.html?categoryId=3000525</x:v>
      </x:c>
      <x:c r="V17" s="123" t="str">
        <x:v>https://thuvienphapluat.vn/van-ban/Bo-may-hanh-chinh/Huong-dan-05-HD-VPTW-2026-the-thuc-va-ky-thuat-trinh-bay-van-ban-cua-Dang-707499.aspx</x:v>
      </x:c>
      <x:c r="W17" s="123" t="str">
        <x:v>ĐỐI CHIẾU MỘT PHẦN</x:v>
      </x:c>
      <x:c r="X17" s="123" t="str">
        <x:v>PROTECT_CONTENT</x:v>
      </x:c>
      <x:c r="Y17" s="123" t="str">
        <x:v>Không tự chèn/sửa khi chưa có chứng cứ về đối tượng và rule.</x:v>
      </x:c>
      <x:c r="Z17" s="135" t="str">
        <x:v>ĐU</x:v>
      </x:c>
      <x:c r="AA17" s="123" t="str">
        <x:v>DocumentNumber/LeftColumn</x:v>
      </x:c>
      <x:c r="AB17" s="135" t="str">
        <x:v>CHO_XAC_MINH_HO_SO</x:v>
      </x:c>
      <x:c r="AC17" s="123" t="str">
        <x:v>PROTECT_CONTENT</x:v>
      </x:c>
      <x:c r="AD17" s="123" t="str">
        <x:v>https://news.vmsa.vn/vi/tin-tuc/cong-ty-hoa-tieu-hang-hai-mien-bac-hoi-nghi-so-ket-6-thang-dau-nam-2026-tao-da-hoan-thanh-xuat-sac-ke-hoach-nam | Người dùng chốt trong trao đổi 29/10/2026; PROFILE NỘI BỘ; chưa có văn bản phê duyệt doanh nghiệp</x:v>
      </x:c>
      <x:c r="AE17" s="123" t="str">
        <x:v>GATE: xác minh chủ thể HD05 trước; Đối chiếu mã HD05.D.SK.KY_HIEU_CO_QUAN; so cỡ 14 pt và vùng 3; giữ nguyên nội dung ngoài phạm vi.</x:v>
      </x:c>
      <x:c r="AF17" s="123" t="str">
        <x:v>Người dùng đưa hai phương án ĐU hoặc ĐUHTMB; chọn ĐU làm giá trị đề xuất, chưa xác minh dấu/ký hiệu trên văn bản đã phát hành.</x:v>
      </x:c>
      <x:c r="AG17" s="157" t="str">
        <x:v>Times New Roman</x:v>
      </x:c>
      <x:c r="AH17" s="157" t="str">
        <x:v>Unicode</x:v>
      </x:c>
      <x:c r="AI17" s="157" t="str">
        <x:v>#000000</x:v>
      </x:c>
      <x:c r="AJ17" s="195" t="n">
        <x:v>14</x:v>
      </x:c>
      <x:c r="AK17" s="157" t="str">
        <x:v>KHÔNG</x:v>
      </x:c>
      <x:c r="AL17" s="157" t="str">
        <x:v>KHÔNG</x:v>
      </x:c>
      <x:c r="AM17" s="157" t="str">
        <x:v>Theo mã cơ quan đã xác minh, giữ nguyên chính tả ký hiệu</x:v>
      </x:c>
      <x:c r="AN17" s="157" t="str">
        <x:v>CENTER</x:v>
      </x:c>
      <x:c r="AO17" s="157" t="str">
        <x:v>KHỐI/CỘT TRÁI</x:v>
      </x:c>
      <x:c r="AP17" s="157" t="str">
        <x:v>SINGLE</x:v>
      </x:c>
      <x:c r="AQ17" s="195" t="n">
        <x:v>1</x:v>
      </x:c>
      <x:c r="AR17" s="157" t="str">
        <x:v>lines</x:v>
      </x:c>
      <x:c r="AS17" s="195"/>
      <x:c r="AT17" s="195" t="n">
        <x:v>0</x:v>
      </x:c>
      <x:c r="AU17" s="195" t="n">
        <x:v>0</x:v>
      </x:c>
      <x:c r="AV17" s="195"/>
      <x:c r="AW17" s="195"/>
      <x:c r="AX17" s="157"/>
      <x:c r="AY17" s="157"/>
      <x:c r="AZ17" s="157"/>
      <x:c r="BA17" s="195"/>
      <x:c r="BB17" s="195"/>
      <x:c r="BC17" s="157"/>
      <x:c r="BD17" s="195"/>
      <x:c r="BE17" s="195"/>
      <x:c r="BF17" s="195"/>
      <x:c r="BG17" s="195"/>
      <x:c r="BH17" s="157"/>
      <x:c r="BI17" s="195"/>
      <x:c r="BJ17" s="195"/>
      <x:c r="BK17" s="195"/>
      <x:c r="BL17" s="157"/>
      <x:c r="BM17" s="157"/>
      <x:c r="BN17" s="157"/>
      <x:c r="BO17" s="195"/>
      <x:c r="BP17" s="195"/>
      <x:c r="BQ17" s="157"/>
      <x:c r="BR17" s="157"/>
      <x:c r="BS17" s="157"/>
      <x:c r="BT17" s="157" t="str">
        <x:v>DocumentNumber/LeftColumn</x:v>
      </x:c>
      <x:c r="BU17" s="157" t="str">
        <x:v>Text runs cùng đoạn; ký hiệu cấu trúc là text, không tự tạo số</x:v>
      </x:c>
      <x:c r="BV17" s="196" t="str">
        <x:v>CẦN XÁC NHẬN</x:v>
      </x:c>
      <x:c r="BW17" s="197" t="str">
        <x:v>ĐÃ TÁCH MỘT PHẦN</x:v>
      </x:c>
      <x:c r="BX17" s="157" t="str">
        <x:v>Cấu hình profile chưa được xác nhận; giữ nguyên chính sách CHECK_ONLY.</x:v>
      </x:c>
      <x:c r="BY17" t="str">
        <x:v>HD05.D.SK.KY_HIEU_CO_QUAN</x:v>
      </x:c>
      <x:c r="BZ17" t="n">
        <x:f>IFERROR(INDEX(HD05!$J$7:$J$300,MATCH($B17,HD05!$B$7:$B$300,0)),"UNRESOLVED")</x:f>
        <x:v>14</x:v>
      </x:c>
      <x:c r="CA17" t="str">
        <x:v>TEXT</x:v>
      </x:c>
      <x:c r="CB17" t="str">
        <x:v>party_issuer_confirmed AND issue_date&gt;=2026-05-27 AND doc_type_confirmed</x:v>
      </x:c>
      <x:c r="CC17" t="str">
        <x:f>IFERROR(INDEX(HD05!$X$7:$X$300,MATCH($B17,HD05!$B$7:$B$300,0)),"UNRESOLVED")</x:f>
        <x:v>KHÔNG TỰ ĐIỀN MÃ</x:v>
      </x:c>
      <x:c r="CD17" t="str">
        <x:f>IF(OR(ISNUMBER(SEARCH("READ_ONLY",CC17)),ISNUMBER(SEARCH("PROTECTED",CC17)),ISNUMBER(SEARCH("BẢO VỆ",CC17)),ISNUMBER(SEARCH("KHÔNG KÝ",CC17))),"PROTECTED","CHECK_ONLY")</x:f>
        <x:v>CHECK_ONLY</x:v>
      </x:c>
      <x:c r="CE17" t="str">
        <x:f>IF(AND(CD17="FORMAT_APPROVED",CU17="CÓ",CV17="CÓ",CH17="CÓ",CI17="CÓ",CJ17="CÓ"),"CÓ","KHÔNG")</x:f>
        <x:v>KHÔNG</x:v>
      </x:c>
      <x:c r="CF17" t="str">
        <x:v>KHÔNG</x:v>
      </x:c>
      <x:c r="CG17" t="str">
        <x:v>CÓ</x:v>
      </x:c>
      <x:c r="CH17" t="str">
        <x:v>KHÔNG</x:v>
      </x:c>
      <x:c r="CI17" t="str">
        <x:v>KHÔNG</x:v>
      </x:c>
      <x:c r="CJ17" t="str">
        <x:v>KHÔNG</x:v>
      </x:c>
      <x:c r="CK17" t="str">
        <x:f>IF(AND(CE17="CÓ",CF17="KHÔNG",CG17="CÓ",CU17="CÓ",CV17="CÓ",CH17="CÓ",CI17="CÓ",CJ17="CÓ"),"CÓ","KHÔNG")</x:f>
        <x:v>KHÔNG</x:v>
      </x:c>
      <x:c r="CL17" t="str">
        <x:v>https://news.vmsa.vn/vi/tin-tuc/cong-ty-hoa-tieu-hang-hai-mien-bac-hoi-nghi-so-ket-6-thang-dau-nam-2026-tao-da-hoan-thanh-xuat-sac-ke-hoach-nam | Người dùng chốt trong trao đổi 29/10/2026; PROFILE NỘI BỘ; chưa có văn bản phê duyệt doanh nghiệp</x:v>
      </x:c>
      <x:c r="CM17" t="str">
        <x:v>v1.5 (nâng từ v1.4)</x:v>
      </x:c>
      <x:c r="CN17" t="str">
        <x:v>CHƯA XÁC NHẬN CHỦ THỂ ĐẢNG</x:v>
      </x:c>
      <x:c r="CO17" t="str">
        <x:v>HD05_D_SK_KY_HIEU_CO_QUAN_FIELD_ONLY; chưa tạo trong Word</x:v>
      </x:c>
      <x:c r="CP17" t="str">
        <x:v>Khác biệt giữa giá trị profile và nguồn pháp lý phải tiếp tục được kiểm chứng; không cho tự sửa DOCX.</x:v>
      </x:c>
      <x:c r="CQ17" t="str">
        <x:f>IF(OR(BH17="CÓ",BH17=TRUE),BI17,"")</x:f>
      </x:c>
      <x:c r="CR17" t="str">
        <x:f>IF(OR(BH17="CÓ",BH17=TRUE),BJ17,"")</x:f>
      </x:c>
      <x:c r="CS17" t="str">
        <x:v>FORMAT_CHECK_ONLY</x:v>
      </x:c>
      <x:c r="CT17" t="str">
        <x:v>PROFILE_USER_SELECTED_SOURCE_PENDING</x:v>
      </x:c>
      <x:c r="CU17" t="str">
        <x:v>CÓ (GIÁ TRỊ ĐỀ XUẤT; CHỜ VĂN BẢN)</x:v>
      </x:c>
      <x:c r="CV17" t="str">
        <x:v>KHÔNG</x:v>
      </x:c>
      <x:c r="CW17" t="str"/>
    </x:row>
    <x:row r="18" ht="29" customHeight="1">
      <x:c r="A18" s="125" t="n">
        <x:v>12</x:v>
      </x:c>
      <x:c r="B18" s="123" t="str">
        <x:v>HD05.D.SK.DAU_PHAN_CACH</x:v>
      </x:c>
      <x:c r="C18" s="123" t="str">
        <x:v>Đầu văn bản</x:v>
      </x:c>
      <x:c r="D18" s="123" t="str">
        <x:v>Số và ký hiệu</x:v>
      </x:c>
      <x:c r="E18" s="123" t="str">
        <x:v>Dấu phân cách trong số, ký hiệu</x:v>
      </x:c>
      <x:c r="F18" s="123" t="str">
        <x:v>3</x:v>
      </x:c>
      <x:c r="G18" s="123" t="str">
        <x:v>Chỉ khi cấp ủy/tổ chức Đảng thực sự là chủ thể ban hành và HD05 áp dụng</x:v>
      </x:c>
      <x:c r="H18" s="123" t="str">
        <x:v>Dấu phân cách trong số, ký hiệu</x:v>
      </x:c>
      <x:c r="I18" s="123" t="str">
        <x:v>Times New Roman | Unicode | đen</x:v>
      </x:c>
      <x:c r="J18" s="136" t="str">
        <x:v>14</x:v>
      </x:c>
      <x:c r="K18" s="123" t="str">
        <x:v>Không áp dụng — dấu phân cách</x:v>
      </x:c>
      <x:c r="L18" s="123" t="str">
        <x:v>Không</x:v>
      </x:c>
      <x:c r="M18" s="123" t="str">
        <x:v>Không</x:v>
      </x:c>
      <x:c r="N18" s="123" t="str">
        <x:v>Căn giữa trong cột trái; dưới tên cơ quan</x:v>
      </x:c>
      <x:c r="O18" s="135" t="str">
        <x:v>Single; sau 0 pt</x:v>
      </x:c>
      <x:c r="P18" s="135" t="str">
        <x:v>Thụt dòng 0</x:v>
      </x:c>
      <x:c r="Q18" s="123" t="str">
        <x:v>Ký hiệu theo mẫu: Số 05-HD/VPTW; phân cách - và / đúng vị trí</x:v>
      </x:c>
      <x:c r="R18" s="123" t="str">
        <x:v>Text runs cùng đoạn; ký hiệu cấu trúc là text, không tự tạo số</x:v>
      </x:c>
      <x:c r="S18" s="123" t="str">
        <x:v>Không thêm khoảng trắng trong cụm ký hiệu</x:v>
      </x:c>
      <x:c r="T18" s="123" t="str">
        <x:v>HD05, Phần II, I.3; Phụ lục 2 mục 3</x:v>
      </x:c>
      <x:c r="U18" s="123" t="str">
        <x:v>https://dangcongsan.vn/vanphongtrunguong/van-ban-cua-dang/huong-dan-so-05-hd-vptw-ngay-27-5-2026-cua-van-phong-trung-uong-dang-ve-the-thuc-va-ky-thuat-trinh-bay-van-ban-cua-dang.html?categoryId=3000525</x:v>
      </x:c>
      <x:c r="V18" s="123" t="str">
        <x:v>https://thuvienphapluat.vn/van-ban/Bo-may-hanh-chinh/Huong-dan-05-HD-VPTW-2026-the-thuc-va-ky-thuat-trinh-bay-van-ban-cua-Dang-707499.aspx</x:v>
      </x:c>
      <x:c r="W18" s="123" t="str">
        <x:v>ĐỐI CHIẾU MỘT PHẦN</x:v>
      </x:c>
      <x:c r="X18" s="123" t="str">
        <x:v>PROTECT_CONTENT</x:v>
      </x:c>
      <x:c r="Y18" s="123" t="str">
        <x:v>Không tự chèn/sửa khi chưa có chứng cứ về đối tượng và rule.</x:v>
      </x:c>
      <x:c r="Z18" s="135" t="str">
        <x:v>Số 01-XX/ĐU (minh họa dấu - /, không dùng như số thật)</x:v>
      </x:c>
      <x:c r="AA18" s="123" t="str">
        <x:v>DocumentNumber/LeftColumn</x:v>
      </x:c>
      <x:c r="AB18" s="135" t="str">
        <x:v>DỰ THẢO — CẦN DUYỆT HD05</x:v>
      </x:c>
      <x:c r="AC18" s="123" t="str">
        <x:v>PROTECT_CONTENT</x:v>
      </x:c>
      <x:c r="AD18" s="123" t="str">
        <x:v>PLUGIN:HOA-TIEU-MIEN-BAC-PARTY-HD05-HEADER-2026 | NEEDS_REVIEW</x:v>
      </x:c>
      <x:c r="AE18" s="123" t="str">
        <x:v>GATE: xác minh chủ thể HD05 trước; Đối chiếu mã HD05.D.SK.DAU_PHAN_CACH; so cỡ 14 pt và vùng 3; giữ nguyên nội dung ngoài phạm vi.</x:v>
      </x:c>
      <x:c r="AF18" s="123" t="str">
        <x:v>Đảng ủy: chỉ chọn khi chủ thể ban hành và phạm vi HD05 đã được xác minh.</x:v>
      </x:c>
      <x:c r="AG18" s="157" t="str">
        <x:v>Times New Roman</x:v>
      </x:c>
      <x:c r="AH18" s="157" t="str">
        <x:v>Unicode</x:v>
      </x:c>
      <x:c r="AI18" s="157" t="str">
        <x:v>#000000</x:v>
      </x:c>
      <x:c r="AJ18" s="195" t="n">
        <x:v>14</x:v>
      </x:c>
      <x:c r="AK18" s="157" t="str">
        <x:v>KHÔNG</x:v>
      </x:c>
      <x:c r="AL18" s="157" t="str">
        <x:v>KHÔNG</x:v>
      </x:c>
      <x:c r="AM18" s="157" t="str">
        <x:v>Không áp dụng — dấu phân cách</x:v>
      </x:c>
      <x:c r="AN18" s="157" t="str">
        <x:v>CENTER</x:v>
      </x:c>
      <x:c r="AO18" s="157" t="str">
        <x:v>KHỐI/CỘT TRÁI</x:v>
      </x:c>
      <x:c r="AP18" s="157"/>
      <x:c r="AQ18" s="195"/>
      <x:c r="AR18" s="157"/>
      <x:c r="AS18" s="195"/>
      <x:c r="AT18" s="195"/>
      <x:c r="AU18" s="195"/>
      <x:c r="AV18" s="195"/>
      <x:c r="AW18" s="195"/>
      <x:c r="AX18" s="157"/>
      <x:c r="AY18" s="157"/>
      <x:c r="AZ18" s="157"/>
      <x:c r="BA18" s="195"/>
      <x:c r="BB18" s="195"/>
      <x:c r="BC18" s="157"/>
      <x:c r="BD18" s="195"/>
      <x:c r="BE18" s="195"/>
      <x:c r="BF18" s="195"/>
      <x:c r="BG18" s="195"/>
      <x:c r="BH18" s="157"/>
      <x:c r="BI18" s="195"/>
      <x:c r="BJ18" s="195"/>
      <x:c r="BK18" s="195"/>
      <x:c r="BL18" s="157"/>
      <x:c r="BM18" s="157" t="str">
        <x:v>KÝ TỰ</x:v>
      </x:c>
      <x:c r="BN18" s="157" t="str">
        <x:v>- /</x:v>
      </x:c>
      <x:c r="BO18" s="195"/>
      <x:c r="BP18" s="195"/>
      <x:c r="BQ18" s="157"/>
      <x:c r="BR18" s="157"/>
      <x:c r="BS18" s="157"/>
      <x:c r="BT18" s="157" t="str">
        <x:v>DocumentNumber/LeftColumn</x:v>
      </x:c>
      <x:c r="BU18" s="157" t="str">
        <x:v>Text runs cùng đoạn; ký hiệu cấu trúc là text, không tự tạo số</x:v>
      </x:c>
      <x:c r="BV18" s="196" t="str">
        <x:v>DỰ THẢO — CẦN DUYỆT HD05</x:v>
      </x:c>
      <x:c r="BW18" s="197" t="str">
        <x:v>ĐÃ TÁCH MỘT PHẦN</x:v>
      </x:c>
      <x:c r="BX18" s="157" t="str">
        <x:v>Cấu hình profile chưa được xác nhận; giữ nguyên chính sách CHECK_ONLY.</x:v>
      </x:c>
      <x:c r="BY18" t="str">
        <x:v>HD05.D.SK.DAU_PHAN_CACH</x:v>
      </x:c>
      <x:c r="BZ18" t="n">
        <x:f>IFERROR(INDEX(HD05!$J$7:$J$300,MATCH($B18,HD05!$B$7:$B$300,0)),"UNRESOLVED")</x:f>
        <x:v>14</x:v>
      </x:c>
      <x:c r="CA18" t="str">
        <x:v>SEPARATOR</x:v>
      </x:c>
      <x:c r="CB18" t="str">
        <x:v>party_issuer_confirmed AND issue_date&gt;=2026-05-27 AND doc_type_confirmed</x:v>
      </x:c>
      <x:c r="CC18" t="str">
        <x:f>IFERROR(INDEX(HD05!$X$7:$X$300,MATCH($B18,HD05!$B$7:$B$300,0)),"UNRESOLVED")</x:f>
        <x:v>READ_ONLY</x:v>
      </x:c>
      <x:c r="CD18" t="str">
        <x:f>IF(OR(ISNUMBER(SEARCH("READ_ONLY",CC18)),ISNUMBER(SEARCH("PROTECTED",CC18)),ISNUMBER(SEARCH("BẢO VỆ",CC18)),ISNUMBER(SEARCH("KHÔNG KÝ",CC18))),"PROTECTED","CHECK_ONLY")</x:f>
        <x:v>PROTECTED</x:v>
      </x:c>
      <x:c r="CE18" t="str">
        <x:f>IF(AND(CD18="FORMAT_APPROVED",CU18="CÓ",CV18="CÓ",CH18="CÓ",CI18="CÓ",CJ18="CÓ"),"CÓ","KHÔNG")</x:f>
        <x:v>KHÔNG</x:v>
      </x:c>
      <x:c r="CF18" t="str">
        <x:v>KHÔNG</x:v>
      </x:c>
      <x:c r="CG18" t="str">
        <x:v>CÓ</x:v>
      </x:c>
      <x:c r="CH18" t="str">
        <x:v>KHÔNG</x:v>
      </x:c>
      <x:c r="CI18" t="str">
        <x:v>KHÔNG</x:v>
      </x:c>
      <x:c r="CJ18" t="str">
        <x:v>KHÔNG</x:v>
      </x:c>
      <x:c r="CK18" t="str">
        <x:f>IF(AND(CE18="CÓ",CF18="KHÔNG",CG18="CÓ",CU18="CÓ",CV18="CÓ",CH18="CÓ",CI18="CÓ",CJ18="CÓ"),"CÓ","KHÔNG")</x:f>
        <x:v>KHÔNG</x:v>
      </x:c>
      <x:c r="CL18" t="str">
        <x:v>PILOT_NORTH_PROFILE_DRAFT; chưa có master DOCX đã duyệt</x:v>
      </x:c>
      <x:c r="CM18" t="str">
        <x:v>v1.5 (nâng từ v1.4)</x:v>
      </x:c>
      <x:c r="CN18" t="str">
        <x:v>CHƯA XÁC NHẬN CHỦ THỂ ĐẢNG</x:v>
      </x:c>
      <x:c r="CO18" t="str">
        <x:v>HD05_D_SK_DAU_PHAN_CACH_FIELD_ONLY; chưa tạo trong Word</x:v>
      </x:c>
      <x:c r="CP18" t="str">
        <x:v>Preset là cấu hình Công ty; không thay thế giới hạn của nguồn NĐ30/HD05</x:v>
      </x:c>
      <x:c r="CQ18" t="str">
        <x:f>IF(OR(BH18="CÓ",BH18=TRUE),BI18,"")</x:f>
      </x:c>
      <x:c r="CR18" t="str">
        <x:f>IF(OR(BH18="CÓ",BH18=TRUE),BJ18,"")</x:f>
      </x:c>
      <x:c r="CS18" t="str">
        <x:v>STRUCTURAL_CHECK_ONLY</x:v>
      </x:c>
      <x:c r="CT18" t="str">
        <x:v>PENDING_SOURCE_AND_DOCX_QA</x:v>
      </x:c>
      <x:c r="CU18" t="str">
        <x:v>KHÔNG</x:v>
      </x:c>
      <x:c r="CV18" t="str">
        <x:v>KHÔNG</x:v>
      </x:c>
      <x:c r="CW18" t="str"/>
    </x:row>
    <x:row r="19" ht="29" customHeight="1">
      <x:c r="A19" s="125" t="n">
        <x:v>13</x:v>
      </x:c>
      <x:c r="B19" s="123" t="str">
        <x:v>HD05.D.NG.DIA_DANH</x:v>
      </x:c>
      <x:c r="C19" s="123" t="str">
        <x:v>Đầu văn bản</x:v>
      </x:c>
      <x:c r="D19" s="123" t="str">
        <x:v>Địa danh và thời gian ban hành</x:v>
      </x:c>
      <x:c r="E19" s="123" t="str">
        <x:v>Địa danh</x:v>
      </x:c>
      <x:c r="F19" s="123" t="str">
        <x:v>4</x:v>
      </x:c>
      <x:c r="G19" s="123" t="str">
        <x:v>Chỉ khi cấp ủy/tổ chức Đảng thực sự là chủ thể ban hành và HD05 áp dụng</x:v>
      </x:c>
      <x:c r="H19" s="123" t="str">
        <x:v>Tên địa danh chính thức theo cơ quan/tổ chức và đơn vị hành chính tại thời điểm ban hành</x:v>
      </x:c>
      <x:c r="I19" s="123" t="str">
        <x:v>Times New Roman | Unicode | đen</x:v>
      </x:c>
      <x:c r="J19" s="136" t="str">
        <x:v>14</x:v>
      </x:c>
      <x:c r="K19" s="123" t="str">
        <x:v>Theo số/chữ địa danh</x:v>
      </x:c>
      <x:c r="L19" s="123" t="str">
        <x:v>Không</x:v>
      </x:c>
      <x:c r="M19" s="123" t="str">
        <x:v>Có</x:v>
      </x:c>
      <x:c r="N19" s="123" t="str">
        <x:v>Căn phải trong cột phải; dưới tiêu đề</x:v>
      </x:c>
      <x:c r="O19" s="135" t="str">
        <x:v>Single; sau 0 pt</x:v>
      </x:c>
      <x:c r="P19" s="135" t="str">
        <x:v>Thụt dòng 0</x:v>
      </x:c>
      <x:c r="Q19" s="123"/>
      <x:c r="R19" s="123" t="str">
        <x:v>Văn bản/OOXML: xác định đối tượng trước khi sửa</x:v>
      </x:c>
      <x:c r="S19" s="123" t="str">
        <x:v>{địa danh}, ngày {ngày} tháng {tháng} năm {năm}; riêng số 0 theo điều kiện của ngày/tháng</x:v>
      </x:c>
      <x:c r="T19" s="123" t="str">
        <x:v>HD05, Phần II, I.4; Phụ lục 2 mục 4</x:v>
      </x:c>
      <x:c r="U19" s="123" t="str">
        <x:v>https://dangcongsan.vn/vanphongtrunguong/van-ban-cua-dang/huong-dan-so-05-hd-vptw-ngay-27-5-2026-cua-van-phong-trung-uong-dang-ve-the-thuc-va-ky-thuat-trinh-bay-van-ban-cua-dang.html?categoryId=3000525</x:v>
      </x:c>
      <x:c r="V19" s="123" t="str">
        <x:v>https://thuvienphapluat.vn/van-ban/Bo-may-hanh-chinh/Huong-dan-05-HD-VPTW-2026-the-thuc-va-ky-thuat-trinh-bay-van-ban-cua-Dang-707499.aspx</x:v>
      </x:c>
      <x:c r="W19" s="123" t="str">
        <x:v>ĐỐI CHIẾU MỘT PHẦN</x:v>
      </x:c>
      <x:c r="X19" s="123" t="str">
        <x:v>PROTECT_CONTENT</x:v>
      </x:c>
      <x:c r="Y19" s="123" t="str">
        <x:v>Không tự chèn/sửa khi chưa có chứng cứ về đối tượng và rule.</x:v>
      </x:c>
      <x:c r="Z19" s="135" t="str">
        <x:v>Hải Phòng</x:v>
      </x:c>
      <x:c r="AA19" s="123" t="str">
        <x:v>PlaceDate/RightColumn</x:v>
      </x:c>
      <x:c r="AB19" s="135" t="str">
        <x:v>DỰ THẢO — CẦN DUYỆT HD05</x:v>
      </x:c>
      <x:c r="AC19" s="123" t="str">
        <x:v>PROTECT_CONTENT</x:v>
      </x:c>
      <x:c r="AD19" s="123" t="str">
        <x:v>PLUGIN:HOA-TIEU-MIEN-BAC-PARTY-HD05-HEADER-2026 | NEEDS_REVIEW</x:v>
      </x:c>
      <x:c r="AE19" s="123" t="str">
        <x:v>GATE: xác minh chủ thể HD05 trước; Đối chiếu mã HD05.D.NG.DIA_DANH; so cỡ 14 pt và vùng 4; giữ nguyên nội dung ngoài phạm vi.</x:v>
      </x:c>
      <x:c r="AF19" s="123" t="str">
        <x:v>Địa danh Hải Phòng là lựa chọn từ profile; xác nhận theo địa điểm phát hành thực tế. | Đảng ủy: chỉ chọn khi chủ thể ban hành và phạm vi HD05 đã được xác minh.</x:v>
      </x:c>
      <x:c r="AG19" s="157" t="str">
        <x:v>Times New Roman</x:v>
      </x:c>
      <x:c r="AH19" s="157" t="str">
        <x:v>Unicode</x:v>
      </x:c>
      <x:c r="AI19" s="157" t="str">
        <x:v>#000000</x:v>
      </x:c>
      <x:c r="AJ19" s="195" t="n">
        <x:v>14</x:v>
      </x:c>
      <x:c r="AK19" s="157" t="str">
        <x:v>KHÔNG</x:v>
      </x:c>
      <x:c r="AL19" s="157" t="str">
        <x:v>CÓ</x:v>
      </x:c>
      <x:c r="AM19" s="157" t="str">
        <x:v>Theo số/chữ địa danh</x:v>
      </x:c>
      <x:c r="AN19" s="157" t="str">
        <x:v>RIGHT</x:v>
      </x:c>
      <x:c r="AO19" s="157"/>
      <x:c r="AP19" s="157" t="str">
        <x:v>SINGLE</x:v>
      </x:c>
      <x:c r="AQ19" s="195" t="n">
        <x:v>1</x:v>
      </x:c>
      <x:c r="AR19" s="157" t="str">
        <x:v>lines</x:v>
      </x:c>
      <x:c r="AS19" s="195"/>
      <x:c r="AT19" s="195" t="n">
        <x:v>0</x:v>
      </x:c>
      <x:c r="AU19" s="195" t="n">
        <x:v>0</x:v>
      </x:c>
      <x:c r="AV19" s="195"/>
      <x:c r="AW19" s="195"/>
      <x:c r="AX19" s="157"/>
      <x:c r="AY19" s="157"/>
      <x:c r="AZ19" s="157"/>
      <x:c r="BA19" s="195"/>
      <x:c r="BB19" s="195"/>
      <x:c r="BC19" s="157"/>
      <x:c r="BD19" s="195"/>
      <x:c r="BE19" s="195"/>
      <x:c r="BF19" s="195"/>
      <x:c r="BG19" s="195"/>
      <x:c r="BH19" s="157"/>
      <x:c r="BI19" s="195"/>
      <x:c r="BJ19" s="195"/>
      <x:c r="BK19" s="195"/>
      <x:c r="BL19" s="157"/>
      <x:c r="BM19" s="157"/>
      <x:c r="BN19" s="157"/>
      <x:c r="BO19" s="195"/>
      <x:c r="BP19" s="195"/>
      <x:c r="BQ19" s="157"/>
      <x:c r="BR19" s="157"/>
      <x:c r="BS19" s="157"/>
      <x:c r="BT19" s="157" t="str">
        <x:v>PlaceDate/RightColumn</x:v>
      </x:c>
      <x:c r="BU19" s="157" t="str">
        <x:v>Văn bản/OOXML: xác định đối tượng trước khi sửa</x:v>
      </x:c>
      <x:c r="BV19" s="196" t="str">
        <x:v>DỰ THẢO — CẦN DUYỆT HD05</x:v>
      </x:c>
      <x:c r="BW19" s="197" t="str">
        <x:v>ĐÃ TÁCH MỘT PHẦN</x:v>
      </x:c>
      <x:c r="BX19" s="157" t="str">
        <x:v>Cấu hình profile chưa được xác nhận; giữ nguyên chính sách CHECK_ONLY.</x:v>
      </x:c>
      <x:c r="BY19" t="str">
        <x:v>HD05.D.NG.DIA_DANH</x:v>
      </x:c>
      <x:c r="BZ19" t="n">
        <x:f>IFERROR(INDEX(HD05!$J$7:$J$300,MATCH($B19,HD05!$B$7:$B$300,0)),"UNRESOLVED")</x:f>
        <x:v>14</x:v>
      </x:c>
      <x:c r="CA19" t="str">
        <x:v>TEXT</x:v>
      </x:c>
      <x:c r="CB19" t="str">
        <x:v>party_issuer_confirmed AND issue_date&gt;=2026-05-27 AND doc_type_confirmed</x:v>
      </x:c>
      <x:c r="CC19" t="str">
        <x:f>IFERROR(INDEX(HD05!$X$7:$X$300,MATCH($B19,HD05!$B$7:$B$300,0)),"UNRESOLVED")</x:f>
        <x:v>KHÔNG TỰ SINH ĐỊA DANH</x:v>
      </x:c>
      <x:c r="CD19" t="str">
        <x:f>IF(OR(ISNUMBER(SEARCH("READ_ONLY",CC19)),ISNUMBER(SEARCH("PROTECTED",CC19)),ISNUMBER(SEARCH("BẢO VỆ",CC19)),ISNUMBER(SEARCH("KHÔNG KÝ",CC19))),"PROTECTED","CHECK_ONLY")</x:f>
        <x:v>CHECK_ONLY</x:v>
      </x:c>
      <x:c r="CE19" t="str">
        <x:f>IF(AND(CD19="FORMAT_APPROVED",CU19="CÓ",CV19="CÓ",CH19="CÓ",CI19="CÓ",CJ19="CÓ"),"CÓ","KHÔNG")</x:f>
        <x:v>KHÔNG</x:v>
      </x:c>
      <x:c r="CF19" t="str">
        <x:v>KHÔNG</x:v>
      </x:c>
      <x:c r="CG19" t="str">
        <x:v>CÓ</x:v>
      </x:c>
      <x:c r="CH19" t="str">
        <x:v>KHÔNG</x:v>
      </x:c>
      <x:c r="CI19" t="str">
        <x:v>KHÔNG</x:v>
      </x:c>
      <x:c r="CJ19" t="str">
        <x:v>KHÔNG</x:v>
      </x:c>
      <x:c r="CK19" t="str">
        <x:f>IF(AND(CE19="CÓ",CF19="KHÔNG",CG19="CÓ",CU19="CÓ",CV19="CÓ",CH19="CÓ",CI19="CÓ",CJ19="CÓ"),"CÓ","KHÔNG")</x:f>
        <x:v>KHÔNG</x:v>
      </x:c>
      <x:c r="CL19" t="str">
        <x:v>PILOT_NORTH_PROFILE_DRAFT; chưa có master DOCX đã duyệt</x:v>
      </x:c>
      <x:c r="CM19" t="str">
        <x:v>v1.5 (nâng từ v1.4)</x:v>
      </x:c>
      <x:c r="CN19" t="str">
        <x:v>CHƯA XÁC NHẬN CHỦ THỂ ĐẢNG</x:v>
      </x:c>
      <x:c r="CO19" t="str">
        <x:v>HD05_D_NG_DIA_DANH_FIELD_ONLY; chưa tạo trong Word</x:v>
      </x:c>
      <x:c r="CP19" t="str">
        <x:v>Preset là cấu hình Công ty; không thay thế giới hạn của nguồn NĐ30/HD05</x:v>
      </x:c>
      <x:c r="CQ19" t="str">
        <x:f>IF(OR(BH19="CÓ",BH19=TRUE),BI19,"")</x:f>
      </x:c>
      <x:c r="CR19" t="str">
        <x:f>IF(OR(BH19="CÓ",BH19=TRUE),BJ19,"")</x:f>
      </x:c>
      <x:c r="CS19" t="str">
        <x:v>FORMAT_CHECK_ONLY</x:v>
      </x:c>
      <x:c r="CT19" t="str">
        <x:v>PENDING_SOURCE_AND_DOCX_QA</x:v>
      </x:c>
      <x:c r="CU19" t="str">
        <x:v>KHÔNG</x:v>
      </x:c>
      <x:c r="CV19" t="str">
        <x:v>KHÔNG</x:v>
      </x:c>
      <x:c r="CW19" t="str"/>
    </x:row>
    <x:row r="20" ht="29" customHeight="1">
      <x:c r="A20" s="125" t="n">
        <x:v>14</x:v>
      </x:c>
      <x:c r="B20" s="123" t="str">
        <x:v>HD05.D.NG.NGAY</x:v>
      </x:c>
      <x:c r="C20" s="123" t="str">
        <x:v>Đầu văn bản</x:v>
      </x:c>
      <x:c r="D20" s="123" t="str">
        <x:v>Địa danh và thời gian ban hành</x:v>
      </x:c>
      <x:c r="E20" s="123" t="str">
        <x:v>Ngày</x:v>
      </x:c>
      <x:c r="F20" s="123" t="str">
        <x:v>4</x:v>
      </x:c>
      <x:c r="G20" s="123" t="str">
        <x:v>Chỉ khi cấp ủy/tổ chức Đảng thực sự là chủ thể ban hành và HD05 áp dụng</x:v>
      </x:c>
      <x:c r="H20" s="123" t="str">
        <x:v>Thành phần của ngày tháng năm ban hành; không tự xác định thời điểm ký</x:v>
      </x:c>
      <x:c r="I20" s="123" t="str">
        <x:v>Times New Roman | Unicode | đen</x:v>
      </x:c>
      <x:c r="J20" s="136" t="str">
        <x:v>14</x:v>
      </x:c>
      <x:c r="K20" s="123" t="str">
        <x:v>Theo số/chữ địa danh</x:v>
      </x:c>
      <x:c r="L20" s="123" t="str">
        <x:v>Không</x:v>
      </x:c>
      <x:c r="M20" s="123" t="str">
        <x:v>Có</x:v>
      </x:c>
      <x:c r="N20" s="123" t="str">
        <x:v>Căn phải trong cột phải; dưới tiêu đề</x:v>
      </x:c>
      <x:c r="O20" s="135" t="str">
        <x:v>Single; sau 0 pt</x:v>
      </x:c>
      <x:c r="P20" s="135" t="str">
        <x:v>Thụt dòng 0</x:v>
      </x:c>
      <x:c r="Q20" s="123"/>
      <x:c r="R20" s="123" t="str">
        <x:v>Văn bản/OOXML: xác định đối tượng trước khi sửa</x:v>
      </x:c>
      <x:c r="S20" s="123" t="str">
        <x:v>Ngày 01–09 ghi số 0 phía trước; giữ nguyên ngày được cung cấp, không tự điền</x:v>
      </x:c>
      <x:c r="T20" s="123" t="str">
        <x:v>HD05, Phần II, I.4; Phụ lục 2 mục 4</x:v>
      </x:c>
      <x:c r="U20" s="123" t="str">
        <x:v>https://dangcongsan.vn/vanphongtrunguong/van-ban-cua-dang/huong-dan-so-05-hd-vptw-ngay-27-5-2026-cua-van-phong-trung-uong-dang-ve-the-thuc-va-ky-thuat-trinh-bay-van-ban-cua-dang.html?categoryId=3000525</x:v>
      </x:c>
      <x:c r="V20" s="123" t="str">
        <x:v>https://thuvienphapluat.vn/van-ban/Bo-may-hanh-chinh/Huong-dan-05-HD-VPTW-2026-the-thuc-va-ky-thuat-trinh-bay-van-ban-cua-Dang-707499.aspx</x:v>
      </x:c>
      <x:c r="W20" s="123" t="str">
        <x:v>ĐỐI CHIẾU MỘT PHẦN</x:v>
      </x:c>
      <x:c r="X20" s="123" t="str">
        <x:v>PROTECT_CONTENT</x:v>
      </x:c>
      <x:c r="Y20" s="123" t="str">
        <x:v>Không tự chèn/sửa khi chưa có chứng cứ về đối tượng và rule.</x:v>
      </x:c>
      <x:c r="Z20" s="135" t="str">
        <x:v>[CHƯA NHẬP — KHÔNG TỰ SINH]</x:v>
      </x:c>
      <x:c r="AA20" s="123" t="str">
        <x:v>PlaceDate/RightColumn</x:v>
      </x:c>
      <x:c r="AB20" s="135" t="str">
        <x:v>DỰ THẢO — CẦN DUYỆT HD05</x:v>
      </x:c>
      <x:c r="AC20" s="123" t="str">
        <x:v>PROTECT_CONTENT</x:v>
      </x:c>
      <x:c r="AD20" s="123" t="str">
        <x:v>PLUGIN:HOA-TIEU-MIEN-BAC-PARTY-HD05-HEADER-2026 | NEEDS_REVIEW</x:v>
      </x:c>
      <x:c r="AE20" s="123" t="str">
        <x:v>GATE: xác minh chủ thể HD05 trước; Đối chiếu mã HD05.D.NG.NGAY; so cỡ 14 pt và vùng 4; giữ nguyên nội dung ngoài phạm vi.</x:v>
      </x:c>
      <x:c r="AF20" s="123" t="str">
        <x:v>Đảng ủy: chỉ chọn khi chủ thể ban hành và phạm vi HD05 đã được xác minh.</x:v>
      </x:c>
      <x:c r="AG20" s="157" t="str">
        <x:v>Times New Roman</x:v>
      </x:c>
      <x:c r="AH20" s="157" t="str">
        <x:v>Unicode</x:v>
      </x:c>
      <x:c r="AI20" s="157" t="str">
        <x:v>#000000</x:v>
      </x:c>
      <x:c r="AJ20" s="195" t="n">
        <x:v>14</x:v>
      </x:c>
      <x:c r="AK20" s="157" t="str">
        <x:v>KHÔNG</x:v>
      </x:c>
      <x:c r="AL20" s="157" t="str">
        <x:v>CÓ</x:v>
      </x:c>
      <x:c r="AM20" s="157" t="str">
        <x:v>Theo số/chữ địa danh</x:v>
      </x:c>
      <x:c r="AN20" s="157" t="str">
        <x:v>RIGHT</x:v>
      </x:c>
      <x:c r="AO20" s="157"/>
      <x:c r="AP20" s="157" t="str">
        <x:v>SINGLE</x:v>
      </x:c>
      <x:c r="AQ20" s="195" t="n">
        <x:v>1</x:v>
      </x:c>
      <x:c r="AR20" s="157" t="str">
        <x:v>lines</x:v>
      </x:c>
      <x:c r="AS20" s="195"/>
      <x:c r="AT20" s="195" t="n">
        <x:v>0</x:v>
      </x:c>
      <x:c r="AU20" s="195" t="n">
        <x:v>0</x:v>
      </x:c>
      <x:c r="AV20" s="195"/>
      <x:c r="AW20" s="195"/>
      <x:c r="AX20" s="157"/>
      <x:c r="AY20" s="157"/>
      <x:c r="AZ20" s="157"/>
      <x:c r="BA20" s="195"/>
      <x:c r="BB20" s="195"/>
      <x:c r="BC20" s="157"/>
      <x:c r="BD20" s="195"/>
      <x:c r="BE20" s="195"/>
      <x:c r="BF20" s="195"/>
      <x:c r="BG20" s="195"/>
      <x:c r="BH20" s="157"/>
      <x:c r="BI20" s="195"/>
      <x:c r="BJ20" s="195"/>
      <x:c r="BK20" s="195"/>
      <x:c r="BL20" s="157"/>
      <x:c r="BM20" s="157"/>
      <x:c r="BN20" s="157"/>
      <x:c r="BO20" s="195"/>
      <x:c r="BP20" s="195"/>
      <x:c r="BQ20" s="157"/>
      <x:c r="BR20" s="157"/>
      <x:c r="BS20" s="157"/>
      <x:c r="BT20" s="157" t="str">
        <x:v>PlaceDate/RightColumn</x:v>
      </x:c>
      <x:c r="BU20" s="157" t="str">
        <x:v>Văn bản/OOXML: xác định đối tượng trước khi sửa</x:v>
      </x:c>
      <x:c r="BV20" s="196" t="str">
        <x:v>DỰ THẢO — CẦN DUYỆT HD05</x:v>
      </x:c>
      <x:c r="BW20" s="197" t="str">
        <x:v>ĐÃ TÁCH MỘT PHẦN</x:v>
      </x:c>
      <x:c r="BX20" s="157" t="str">
        <x:v>Cấu hình profile chưa được xác nhận; giữ nguyên chính sách CHECK_ONLY.</x:v>
      </x:c>
      <x:c r="BY20" t="str">
        <x:v>HD05.D.NG.NGAY</x:v>
      </x:c>
      <x:c r="BZ20" t="n">
        <x:f>IFERROR(INDEX(HD05!$J$7:$J$300,MATCH($B20,HD05!$B$7:$B$300,0)),"UNRESOLVED")</x:f>
        <x:v>14</x:v>
      </x:c>
      <x:c r="CA20" t="str">
        <x:v>PROTECTED_TEXT</x:v>
      </x:c>
      <x:c r="CB20" t="str">
        <x:v>party_issuer_confirmed AND issue_date&gt;=2026-05-27 AND doc_type_confirmed</x:v>
      </x:c>
      <x:c r="CC20" t="str">
        <x:f>IFERROR(INDEX(HD05!$X$7:$X$300,MATCH($B20,HD05!$B$7:$B$300,0)),"UNRESOLVED")</x:f>
        <x:v>KHÔNG TỰ ĐIỀN NGÀY</x:v>
      </x:c>
      <x:c r="CD20" t="str">
        <x:f>IF(OR(ISNUMBER(SEARCH("READ_ONLY",CC20)),ISNUMBER(SEARCH("PROTECTED",CC20)),ISNUMBER(SEARCH("BẢO VỆ",CC20)),ISNUMBER(SEARCH("KHÔNG KÝ",CC20))),"PROTECTED","CHECK_ONLY")</x:f>
        <x:v>CHECK_ONLY</x:v>
      </x:c>
      <x:c r="CE20" t="str">
        <x:f>IF(AND(CD20="FORMAT_APPROVED",CU20="CÓ",CV20="CÓ",CH20="CÓ",CI20="CÓ",CJ20="CÓ"),"CÓ","KHÔNG")</x:f>
        <x:v>KHÔNG</x:v>
      </x:c>
      <x:c r="CF20" t="str">
        <x:v>KHÔNG</x:v>
      </x:c>
      <x:c r="CG20" t="str">
        <x:v>CÓ</x:v>
      </x:c>
      <x:c r="CH20" t="str">
        <x:v>KHÔNG</x:v>
      </x:c>
      <x:c r="CI20" t="str">
        <x:v>KHÔNG</x:v>
      </x:c>
      <x:c r="CJ20" t="str">
        <x:v>KHÔNG</x:v>
      </x:c>
      <x:c r="CK20" t="str">
        <x:f>IF(AND(CE20="CÓ",CF20="KHÔNG",CG20="CÓ",CU20="CÓ",CV20="CÓ",CH20="CÓ",CI20="CÓ",CJ20="CÓ"),"CÓ","KHÔNG")</x:f>
        <x:v>KHÔNG</x:v>
      </x:c>
      <x:c r="CL20" t="str">
        <x:v>PILOT_NORTH_PROFILE_DRAFT; chưa có master DOCX đã duyệt</x:v>
      </x:c>
      <x:c r="CM20" t="str">
        <x:v>v1.5 (nâng từ v1.4)</x:v>
      </x:c>
      <x:c r="CN20" t="str">
        <x:v>CHƯA XÁC NHẬN CHỦ THỂ ĐẢNG</x:v>
      </x:c>
      <x:c r="CO20" t="str">
        <x:v>HD05_D_NG_NGAY_FIELD_ONLY; chưa tạo trong Word</x:v>
      </x:c>
      <x:c r="CP20" t="str">
        <x:v>Preset là cấu hình Công ty; không thay thế giới hạn của nguồn NĐ30/HD05</x:v>
      </x:c>
      <x:c r="CQ20" t="str">
        <x:f>IF(OR(BH20="CÓ",BH20=TRUE),BI20,"")</x:f>
      </x:c>
      <x:c r="CR20" t="str">
        <x:f>IF(OR(BH20="CÓ",BH20=TRUE),BJ20,"")</x:f>
      </x:c>
      <x:c r="CS20" t="str">
        <x:v>FORMAT_CHECK_ONLY</x:v>
      </x:c>
      <x:c r="CT20" t="str">
        <x:v>PENDING_SOURCE_AND_DOCX_QA</x:v>
      </x:c>
      <x:c r="CU20" t="str">
        <x:v>KHÔNG</x:v>
      </x:c>
      <x:c r="CV20" t="str">
        <x:v>KHÔNG</x:v>
      </x:c>
      <x:c r="CW20" t="str"/>
    </x:row>
    <x:row r="21" ht="29" customHeight="1">
      <x:c r="A21" s="125" t="n">
        <x:v>15</x:v>
      </x:c>
      <x:c r="B21" s="123" t="str">
        <x:v>HD05.D.NG.THANG</x:v>
      </x:c>
      <x:c r="C21" s="123" t="str">
        <x:v>Đầu văn bản</x:v>
      </x:c>
      <x:c r="D21" s="123" t="str">
        <x:v>Địa danh và thời gian ban hành</x:v>
      </x:c>
      <x:c r="E21" s="123" t="str">
        <x:v>Tháng</x:v>
      </x:c>
      <x:c r="F21" s="123" t="str">
        <x:v>4</x:v>
      </x:c>
      <x:c r="G21" s="123" t="str">
        <x:v>Chỉ khi cấp ủy/tổ chức Đảng thực sự là chủ thể ban hành và HD05 áp dụng</x:v>
      </x:c>
      <x:c r="H21" s="123" t="str">
        <x:v>Thành phần của ngày tháng năm ban hành; không tự xác định thời điểm ký</x:v>
      </x:c>
      <x:c r="I21" s="123" t="str">
        <x:v>Times New Roman | Unicode | đen</x:v>
      </x:c>
      <x:c r="J21" s="136" t="str">
        <x:v>14</x:v>
      </x:c>
      <x:c r="K21" s="123" t="str">
        <x:v>Theo số/chữ địa danh</x:v>
      </x:c>
      <x:c r="L21" s="123" t="str">
        <x:v>Không</x:v>
      </x:c>
      <x:c r="M21" s="123" t="str">
        <x:v>Có</x:v>
      </x:c>
      <x:c r="N21" s="123" t="str">
        <x:v>Căn phải trong cột phải; dưới tiêu đề</x:v>
      </x:c>
      <x:c r="O21" s="135" t="str">
        <x:v>Single; sau 0 pt</x:v>
      </x:c>
      <x:c r="P21" s="135" t="str">
        <x:v>Thụt dòng 0</x:v>
      </x:c>
      <x:c r="Q21" s="123"/>
      <x:c r="R21" s="123" t="str">
        <x:v>Văn bản/OOXML: xác định đối tượng trước khi sửa</x:v>
      </x:c>
      <x:c r="S21" s="123" t="str">
        <x:v>Tháng 01–02 ghi số 0 phía trước; không áp mẫu hai chữ số cho mọi tháng</x:v>
      </x:c>
      <x:c r="T21" s="123" t="str">
        <x:v>HD05, Phần II, I.4; Phụ lục 2 mục 4</x:v>
      </x:c>
      <x:c r="U21" s="123" t="str">
        <x:v>https://dangcongsan.vn/vanphongtrunguong/van-ban-cua-dang/huong-dan-so-05-hd-vptw-ngay-27-5-2026-cua-van-phong-trung-uong-dang-ve-the-thuc-va-ky-thuat-trinh-bay-van-ban-cua-dang.html?categoryId=3000525</x:v>
      </x:c>
      <x:c r="V21" s="123" t="str">
        <x:v>https://thuvienphapluat.vn/van-ban/Bo-may-hanh-chinh/Huong-dan-05-HD-VPTW-2026-the-thuc-va-ky-thuat-trinh-bay-van-ban-cua-Dang-707499.aspx</x:v>
      </x:c>
      <x:c r="W21" s="123" t="str">
        <x:v>ĐỐI CHIẾU MỘT PHẦN</x:v>
      </x:c>
      <x:c r="X21" s="123" t="str">
        <x:v>PROTECT_CONTENT</x:v>
      </x:c>
      <x:c r="Y21" s="123" t="str">
        <x:v>Không tự chèn/sửa khi chưa có chứng cứ về đối tượng và rule.</x:v>
      </x:c>
      <x:c r="Z21" s="135" t="str">
        <x:v>[CHƯA NHẬP — KHÔNG TỰ SINH]</x:v>
      </x:c>
      <x:c r="AA21" s="123" t="str">
        <x:v>PlaceDate/RightColumn</x:v>
      </x:c>
      <x:c r="AB21" s="135" t="str">
        <x:v>DỰ THẢO — CẦN DUYỆT HD05</x:v>
      </x:c>
      <x:c r="AC21" s="123" t="str">
        <x:v>PROTECT_CONTENT</x:v>
      </x:c>
      <x:c r="AD21" s="123" t="str">
        <x:v>PLUGIN:HOA-TIEU-MIEN-BAC-PARTY-HD05-HEADER-2026 | NEEDS_REVIEW</x:v>
      </x:c>
      <x:c r="AE21" s="123" t="str">
        <x:v>GATE: xác minh chủ thể HD05 trước; Đối chiếu mã HD05.D.NG.THANG; so cỡ 14 pt và vùng 4; giữ nguyên nội dung ngoài phạm vi.</x:v>
      </x:c>
      <x:c r="AF21" s="123" t="str">
        <x:v>Đảng ủy: chỉ chọn khi chủ thể ban hành và phạm vi HD05 đã được xác minh.</x:v>
      </x:c>
      <x:c r="AG21" s="157" t="str">
        <x:v>Times New Roman</x:v>
      </x:c>
      <x:c r="AH21" s="157" t="str">
        <x:v>Unicode</x:v>
      </x:c>
      <x:c r="AI21" s="157" t="str">
        <x:v>#000000</x:v>
      </x:c>
      <x:c r="AJ21" s="195" t="n">
        <x:v>14</x:v>
      </x:c>
      <x:c r="AK21" s="157" t="str">
        <x:v>KHÔNG</x:v>
      </x:c>
      <x:c r="AL21" s="157" t="str">
        <x:v>CÓ</x:v>
      </x:c>
      <x:c r="AM21" s="157" t="str">
        <x:v>Theo số/chữ địa danh</x:v>
      </x:c>
      <x:c r="AN21" s="157" t="str">
        <x:v>RIGHT</x:v>
      </x:c>
      <x:c r="AO21" s="157"/>
      <x:c r="AP21" s="157" t="str">
        <x:v>SINGLE</x:v>
      </x:c>
      <x:c r="AQ21" s="195" t="n">
        <x:v>1</x:v>
      </x:c>
      <x:c r="AR21" s="157" t="str">
        <x:v>lines</x:v>
      </x:c>
      <x:c r="AS21" s="195"/>
      <x:c r="AT21" s="195" t="n">
        <x:v>0</x:v>
      </x:c>
      <x:c r="AU21" s="195" t="n">
        <x:v>0</x:v>
      </x:c>
      <x:c r="AV21" s="195"/>
      <x:c r="AW21" s="195"/>
      <x:c r="AX21" s="157"/>
      <x:c r="AY21" s="157"/>
      <x:c r="AZ21" s="157"/>
      <x:c r="BA21" s="195"/>
      <x:c r="BB21" s="195"/>
      <x:c r="BC21" s="157"/>
      <x:c r="BD21" s="195"/>
      <x:c r="BE21" s="195"/>
      <x:c r="BF21" s="195"/>
      <x:c r="BG21" s="195"/>
      <x:c r="BH21" s="157"/>
      <x:c r="BI21" s="195"/>
      <x:c r="BJ21" s="195"/>
      <x:c r="BK21" s="195"/>
      <x:c r="BL21" s="157"/>
      <x:c r="BM21" s="157"/>
      <x:c r="BN21" s="157"/>
      <x:c r="BO21" s="195"/>
      <x:c r="BP21" s="195"/>
      <x:c r="BQ21" s="157"/>
      <x:c r="BR21" s="157"/>
      <x:c r="BS21" s="157"/>
      <x:c r="BT21" s="157" t="str">
        <x:v>PlaceDate/RightColumn</x:v>
      </x:c>
      <x:c r="BU21" s="157" t="str">
        <x:v>Văn bản/OOXML: xác định đối tượng trước khi sửa</x:v>
      </x:c>
      <x:c r="BV21" s="196" t="str">
        <x:v>DỰ THẢO — CẦN DUYỆT HD05</x:v>
      </x:c>
      <x:c r="BW21" s="197" t="str">
        <x:v>ĐÃ TÁCH MỘT PHẦN</x:v>
      </x:c>
      <x:c r="BX21" s="157" t="str">
        <x:v>Cấu hình profile chưa được xác nhận; giữ nguyên chính sách CHECK_ONLY.</x:v>
      </x:c>
      <x:c r="BY21" t="str">
        <x:v>HD05.D.NG.THANG</x:v>
      </x:c>
      <x:c r="BZ21" t="n">
        <x:f>IFERROR(INDEX(HD05!$J$7:$J$300,MATCH($B21,HD05!$B$7:$B$300,0)),"UNRESOLVED")</x:f>
        <x:v>14</x:v>
      </x:c>
      <x:c r="CA21" t="str">
        <x:v>PROTECTED_TEXT</x:v>
      </x:c>
      <x:c r="CB21" t="str">
        <x:v>party_issuer_confirmed AND issue_date&gt;=2026-05-27 AND doc_type_confirmed</x:v>
      </x:c>
      <x:c r="CC21" t="str">
        <x:f>IFERROR(INDEX(HD05!$X$7:$X$300,MATCH($B21,HD05!$B$7:$B$300,0)),"UNRESOLVED")</x:f>
        <x:v>KHÔNG TỰ ĐIỀN NGÀY</x:v>
      </x:c>
      <x:c r="CD21" t="str">
        <x:f>IF(OR(ISNUMBER(SEARCH("READ_ONLY",CC21)),ISNUMBER(SEARCH("PROTECTED",CC21)),ISNUMBER(SEARCH("BẢO VỆ",CC21)),ISNUMBER(SEARCH("KHÔNG KÝ",CC21))),"PROTECTED","CHECK_ONLY")</x:f>
        <x:v>CHECK_ONLY</x:v>
      </x:c>
      <x:c r="CE21" t="str">
        <x:f>IF(AND(CD21="FORMAT_APPROVED",CU21="CÓ",CV21="CÓ",CH21="CÓ",CI21="CÓ",CJ21="CÓ"),"CÓ","KHÔNG")</x:f>
        <x:v>KHÔNG</x:v>
      </x:c>
      <x:c r="CF21" t="str">
        <x:v>KHÔNG</x:v>
      </x:c>
      <x:c r="CG21" t="str">
        <x:v>CÓ</x:v>
      </x:c>
      <x:c r="CH21" t="str">
        <x:v>KHÔNG</x:v>
      </x:c>
      <x:c r="CI21" t="str">
        <x:v>KHÔNG</x:v>
      </x:c>
      <x:c r="CJ21" t="str">
        <x:v>KHÔNG</x:v>
      </x:c>
      <x:c r="CK21" t="str">
        <x:f>IF(AND(CE21="CÓ",CF21="KHÔNG",CG21="CÓ",CU21="CÓ",CV21="CÓ",CH21="CÓ",CI21="CÓ",CJ21="CÓ"),"CÓ","KHÔNG")</x:f>
        <x:v>KHÔNG</x:v>
      </x:c>
      <x:c r="CL21" t="str">
        <x:v>PILOT_NORTH_PROFILE_DRAFT; chưa có master DOCX đã duyệt</x:v>
      </x:c>
      <x:c r="CM21" t="str">
        <x:v>v1.5 (nâng từ v1.4)</x:v>
      </x:c>
      <x:c r="CN21" t="str">
        <x:v>CHƯA XÁC NHẬN CHỦ THỂ ĐẢNG</x:v>
      </x:c>
      <x:c r="CO21" t="str">
        <x:v>HD05_D_NG_THANG_FIELD_ONLY; chưa tạo trong Word</x:v>
      </x:c>
      <x:c r="CP21" t="str">
        <x:v>Preset là cấu hình Công ty; không thay thế giới hạn của nguồn NĐ30/HD05</x:v>
      </x:c>
      <x:c r="CQ21" t="str">
        <x:f>IF(OR(BH21="CÓ",BH21=TRUE),BI21,"")</x:f>
      </x:c>
      <x:c r="CR21" t="str">
        <x:f>IF(OR(BH21="CÓ",BH21=TRUE),BJ21,"")</x:f>
      </x:c>
      <x:c r="CS21" t="str">
        <x:v>FORMAT_CHECK_ONLY</x:v>
      </x:c>
      <x:c r="CT21" t="str">
        <x:v>PENDING_SOURCE_AND_DOCX_QA</x:v>
      </x:c>
      <x:c r="CU21" t="str">
        <x:v>KHÔNG</x:v>
      </x:c>
      <x:c r="CV21" t="str">
        <x:v>KHÔNG</x:v>
      </x:c>
      <x:c r="CW21" t="str"/>
    </x:row>
    <x:row r="22" ht="29" customHeight="1">
      <x:c r="A22" s="125" t="n">
        <x:v>16</x:v>
      </x:c>
      <x:c r="B22" s="123" t="str">
        <x:v>HD05.D.NG.NAM</x:v>
      </x:c>
      <x:c r="C22" s="123" t="str">
        <x:v>Đầu văn bản</x:v>
      </x:c>
      <x:c r="D22" s="123" t="str">
        <x:v>Địa danh và thời gian ban hành</x:v>
      </x:c>
      <x:c r="E22" s="123" t="str">
        <x:v>Năm</x:v>
      </x:c>
      <x:c r="F22" s="123" t="str">
        <x:v>4</x:v>
      </x:c>
      <x:c r="G22" s="123" t="str">
        <x:v>Chỉ khi cấp ủy/tổ chức Đảng thực sự là chủ thể ban hành và HD05 áp dụng</x:v>
      </x:c>
      <x:c r="H22" s="123" t="str">
        <x:v>Thành phần của ngày tháng năm ban hành; không tự xác định thời điểm ký</x:v>
      </x:c>
      <x:c r="I22" s="123" t="str">
        <x:v>Times New Roman | Unicode | đen</x:v>
      </x:c>
      <x:c r="J22" s="136" t="str">
        <x:v>14</x:v>
      </x:c>
      <x:c r="K22" s="123" t="str">
        <x:v>Theo số/chữ địa danh</x:v>
      </x:c>
      <x:c r="L22" s="123" t="str">
        <x:v>Không</x:v>
      </x:c>
      <x:c r="M22" s="123" t="str">
        <x:v>Có</x:v>
      </x:c>
      <x:c r="N22" s="123" t="str">
        <x:v>Căn phải trong cột phải; dưới tiêu đề</x:v>
      </x:c>
      <x:c r="O22" s="135" t="str">
        <x:v>Single; sau 0 pt</x:v>
      </x:c>
      <x:c r="P22" s="135" t="str">
        <x:v>Thụt dòng 0</x:v>
      </x:c>
      <x:c r="Q22" s="123"/>
      <x:c r="R22" s="123" t="str">
        <x:v>Văn bản/OOXML: xác định đối tượng trước khi sửa</x:v>
      </x:c>
      <x:c r="S22" s="123" t="str">
        <x:v>Năm viết đủ bốn chữ số; không tự xác định năm ban hành</x:v>
      </x:c>
      <x:c r="T22" s="123" t="str">
        <x:v>HD05, Phần II, I.4; Phụ lục 2 mục 4</x:v>
      </x:c>
      <x:c r="U22" s="123" t="str">
        <x:v>https://dangcongsan.vn/vanphongtrunguong/van-ban-cua-dang/huong-dan-so-05-hd-vptw-ngay-27-5-2026-cua-van-phong-trung-uong-dang-ve-the-thuc-va-ky-thuat-trinh-bay-van-ban-cua-dang.html?categoryId=3000525</x:v>
      </x:c>
      <x:c r="V22" s="123" t="str">
        <x:v>https://thuvienphapluat.vn/van-ban/Bo-may-hanh-chinh/Huong-dan-05-HD-VPTW-2026-the-thuc-va-ky-thuat-trinh-bay-van-ban-cua-Dang-707499.aspx</x:v>
      </x:c>
      <x:c r="W22" s="123" t="str">
        <x:v>ĐỐI CHIẾU MỘT PHẦN</x:v>
      </x:c>
      <x:c r="X22" s="123" t="str">
        <x:v>PROTECT_CONTENT</x:v>
      </x:c>
      <x:c r="Y22" s="123" t="str">
        <x:v>Không tự chèn/sửa khi chưa có chứng cứ về đối tượng và rule.</x:v>
      </x:c>
      <x:c r="Z22" s="135" t="str">
        <x:v>[CHƯA NHẬP — KHÔNG TỰ SINH]</x:v>
      </x:c>
      <x:c r="AA22" s="123" t="str">
        <x:v>PlaceDate/RightColumn</x:v>
      </x:c>
      <x:c r="AB22" s="135" t="str">
        <x:v>DỰ THẢO — CẦN DUYỆT HD05</x:v>
      </x:c>
      <x:c r="AC22" s="123" t="str">
        <x:v>PROTECT_CONTENT</x:v>
      </x:c>
      <x:c r="AD22" s="123" t="str">
        <x:v>PLUGIN:HOA-TIEU-MIEN-BAC-PARTY-HD05-HEADER-2026 | NEEDS_REVIEW</x:v>
      </x:c>
      <x:c r="AE22" s="123" t="str">
        <x:v>GATE: xác minh chủ thể HD05 trước; Đối chiếu mã HD05.D.NG.NAM; so cỡ 14 pt và vùng 4; giữ nguyên nội dung ngoài phạm vi.</x:v>
      </x:c>
      <x:c r="AF22" s="123" t="str">
        <x:v>Đảng ủy: chỉ chọn khi chủ thể ban hành và phạm vi HD05 đã được xác minh.</x:v>
      </x:c>
      <x:c r="AG22" s="157" t="str">
        <x:v>Times New Roman</x:v>
      </x:c>
      <x:c r="AH22" s="157" t="str">
        <x:v>Unicode</x:v>
      </x:c>
      <x:c r="AI22" s="157" t="str">
        <x:v>#000000</x:v>
      </x:c>
      <x:c r="AJ22" s="195" t="n">
        <x:v>14</x:v>
      </x:c>
      <x:c r="AK22" s="157" t="str">
        <x:v>KHÔNG</x:v>
      </x:c>
      <x:c r="AL22" s="157" t="str">
        <x:v>CÓ</x:v>
      </x:c>
      <x:c r="AM22" s="157" t="str">
        <x:v>Theo số/chữ địa danh</x:v>
      </x:c>
      <x:c r="AN22" s="157" t="str">
        <x:v>RIGHT</x:v>
      </x:c>
      <x:c r="AO22" s="157"/>
      <x:c r="AP22" s="157" t="str">
        <x:v>SINGLE</x:v>
      </x:c>
      <x:c r="AQ22" s="195" t="n">
        <x:v>1</x:v>
      </x:c>
      <x:c r="AR22" s="157" t="str">
        <x:v>lines</x:v>
      </x:c>
      <x:c r="AS22" s="195"/>
      <x:c r="AT22" s="195" t="n">
        <x:v>0</x:v>
      </x:c>
      <x:c r="AU22" s="195" t="n">
        <x:v>0</x:v>
      </x:c>
      <x:c r="AV22" s="195"/>
      <x:c r="AW22" s="195"/>
      <x:c r="AX22" s="157"/>
      <x:c r="AY22" s="157"/>
      <x:c r="AZ22" s="157"/>
      <x:c r="BA22" s="195"/>
      <x:c r="BB22" s="195"/>
      <x:c r="BC22" s="157"/>
      <x:c r="BD22" s="195"/>
      <x:c r="BE22" s="195"/>
      <x:c r="BF22" s="195"/>
      <x:c r="BG22" s="195"/>
      <x:c r="BH22" s="157"/>
      <x:c r="BI22" s="195"/>
      <x:c r="BJ22" s="195"/>
      <x:c r="BK22" s="195"/>
      <x:c r="BL22" s="157"/>
      <x:c r="BM22" s="157"/>
      <x:c r="BN22" s="157"/>
      <x:c r="BO22" s="195"/>
      <x:c r="BP22" s="195"/>
      <x:c r="BQ22" s="157"/>
      <x:c r="BR22" s="157"/>
      <x:c r="BS22" s="157"/>
      <x:c r="BT22" s="157" t="str">
        <x:v>PlaceDate/RightColumn</x:v>
      </x:c>
      <x:c r="BU22" s="157" t="str">
        <x:v>Văn bản/OOXML: xác định đối tượng trước khi sửa</x:v>
      </x:c>
      <x:c r="BV22" s="196" t="str">
        <x:v>DỰ THẢO — CẦN DUYỆT HD05</x:v>
      </x:c>
      <x:c r="BW22" s="197" t="str">
        <x:v>ĐÃ TÁCH MỘT PHẦN</x:v>
      </x:c>
      <x:c r="BX22" s="157" t="str">
        <x:v>Cấu hình profile chưa được xác nhận; giữ nguyên chính sách CHECK_ONLY.</x:v>
      </x:c>
      <x:c r="BY22" t="str">
        <x:v>HD05.D.NG.NAM</x:v>
      </x:c>
      <x:c r="BZ22" t="n">
        <x:f>IFERROR(INDEX(HD05!$J$7:$J$300,MATCH($B22,HD05!$B$7:$B$300,0)),"UNRESOLVED")</x:f>
        <x:v>14</x:v>
      </x:c>
      <x:c r="CA22" t="str">
        <x:v>PROTECTED_TEXT</x:v>
      </x:c>
      <x:c r="CB22" t="str">
        <x:v>party_issuer_confirmed AND issue_date&gt;=2026-05-27 AND doc_type_confirmed</x:v>
      </x:c>
      <x:c r="CC22" t="str">
        <x:f>IFERROR(INDEX(HD05!$X$7:$X$300,MATCH($B22,HD05!$B$7:$B$300,0)),"UNRESOLVED")</x:f>
        <x:v>KHÔNG TỰ ĐIỀN NGÀY</x:v>
      </x:c>
      <x:c r="CD22" t="str">
        <x:f>IF(OR(ISNUMBER(SEARCH("READ_ONLY",CC22)),ISNUMBER(SEARCH("PROTECTED",CC22)),ISNUMBER(SEARCH("BẢO VỆ",CC22)),ISNUMBER(SEARCH("KHÔNG KÝ",CC22))),"PROTECTED","CHECK_ONLY")</x:f>
        <x:v>CHECK_ONLY</x:v>
      </x:c>
      <x:c r="CE22" t="str">
        <x:f>IF(AND(CD22="FORMAT_APPROVED",CU22="CÓ",CV22="CÓ",CH22="CÓ",CI22="CÓ",CJ22="CÓ"),"CÓ","KHÔNG")</x:f>
        <x:v>KHÔNG</x:v>
      </x:c>
      <x:c r="CF22" t="str">
        <x:v>KHÔNG</x:v>
      </x:c>
      <x:c r="CG22" t="str">
        <x:v>CÓ</x:v>
      </x:c>
      <x:c r="CH22" t="str">
        <x:v>KHÔNG</x:v>
      </x:c>
      <x:c r="CI22" t="str">
        <x:v>KHÔNG</x:v>
      </x:c>
      <x:c r="CJ22" t="str">
        <x:v>KHÔNG</x:v>
      </x:c>
      <x:c r="CK22" t="str">
        <x:f>IF(AND(CE22="CÓ",CF22="KHÔNG",CG22="CÓ",CU22="CÓ",CV22="CÓ",CH22="CÓ",CI22="CÓ",CJ22="CÓ"),"CÓ","KHÔNG")</x:f>
        <x:v>KHÔNG</x:v>
      </x:c>
      <x:c r="CL22" t="str">
        <x:v>PILOT_NORTH_PROFILE_DRAFT; chưa có master DOCX đã duyệt</x:v>
      </x:c>
      <x:c r="CM22" t="str">
        <x:v>v1.5 (nâng từ v1.4)</x:v>
      </x:c>
      <x:c r="CN22" t="str">
        <x:v>CHƯA XÁC NHẬN CHỦ THỂ ĐẢNG</x:v>
      </x:c>
      <x:c r="CO22" t="str">
        <x:v>HD05_D_NG_NAM_FIELD_ONLY; chưa tạo trong Word</x:v>
      </x:c>
      <x:c r="CP22" t="str">
        <x:v>Preset là cấu hình Công ty; không thay thế giới hạn của nguồn NĐ30/HD05</x:v>
      </x:c>
      <x:c r="CQ22" t="str">
        <x:f>IF(OR(BH22="CÓ",BH22=TRUE),BI22,"")</x:f>
      </x:c>
      <x:c r="CR22" t="str">
        <x:f>IF(OR(BH22="CÓ",BH22=TRUE),BJ22,"")</x:f>
      </x:c>
      <x:c r="CS22" t="str">
        <x:v>FORMAT_CHECK_ONLY</x:v>
      </x:c>
      <x:c r="CT22" t="str">
        <x:v>PENDING_SOURCE_AND_DOCX_QA</x:v>
      </x:c>
      <x:c r="CU22" t="str">
        <x:v>KHÔNG</x:v>
      </x:c>
      <x:c r="CV22" t="str">
        <x:v>KHÔNG</x:v>
      </x:c>
      <x:c r="CW22" t="str"/>
    </x:row>
    <x:row r="23" ht="29" customHeight="1">
      <x:c r="A23" s="125" t="n">
        <x:v>17</x:v>
      </x:c>
      <x:c r="B23" s="123" t="str">
        <x:v>HD05.D.TY.TEN_LOAI</x:v>
      </x:c>
      <x:c r="C23" s="123" t="str">
        <x:v>Đầu văn bản</x:v>
      </x:c>
      <x:c r="D23" s="123" t="str">
        <x:v>Tên loại và trích yếu</x:v>
      </x:c>
      <x:c r="E23" s="123" t="str">
        <x:v>Tên loại văn bản Đảng</x:v>
      </x:c>
      <x:c r="F23" s="123" t="str">
        <x:v>5a</x:v>
      </x:c>
      <x:c r="G23" s="123" t="str">
        <x:v>Theo loại văn bản: có tên loại / công văn / ngoại lệ; không dùng đồng thời sai vị trí</x:v>
      </x:c>
      <x:c r="H23" s="123" t="str">
        <x:v>Tên loại văn bản hợp lệ; không ghi CÔNG VĂN như tiêu đề của công văn thông thường</x:v>
      </x:c>
      <x:c r="I23" s="123" t="str">
        <x:v>Times New Roman | Unicode | đen</x:v>
      </x:c>
      <x:c r="J23" s="136" t="str">
        <x:v>15</x:v>
      </x:c>
      <x:c r="K23" s="123" t="str">
        <x:v>IN HOA</x:v>
      </x:c>
      <x:c r="L23" s="123" t="str">
        <x:v>Có</x:v>
      </x:c>
      <x:c r="M23" s="123" t="str">
        <x:v>Không</x:v>
      </x:c>
      <x:c r="N23" s="123" t="str">
        <x:v>Căn giữa vùng nội dung</x:v>
      </x:c>
      <x:c r="O23" s="135" t="str">
        <x:v>Single; sau 6 pt (preset)</x:v>
      </x:c>
      <x:c r="P23" s="135" t="str">
        <x:v>Thụt 0; canh giữa trong vùng nội dung</x:v>
      </x:c>
      <x:c r="Q23" s="123"/>
      <x:c r="R23" s="123" t="str">
        <x:v>Văn bản/OOXML: xác định đối tượng trước khi sửa</x:v>
      </x:c>
      <x:c r="S23" s="123" t="str">
        <x:v>Không có thông số đơn trị; theo rule của thành phần và loại văn bản</x:v>
      </x:c>
      <x:c r="T23" s="123" t="str">
        <x:v>HD05, Phần II, I.5; Phụ lục 2 mục 5</x:v>
      </x:c>
      <x:c r="U23" s="123" t="str">
        <x:v>https://dangcongsan.vn/vanphongtrunguong/van-ban-cua-dang/huong-dan-so-05-hd-vptw-ngay-27-5-2026-cua-van-phong-trung-uong-dang-ve-the-thuc-va-ky-thuat-trinh-bay-van-ban-cua-dang.html?categoryId=3000525</x:v>
      </x:c>
      <x:c r="V23" s="123" t="str">
        <x:v>https://thuvienphapluat.vn/van-ban/Bo-may-hanh-chinh/Huong-dan-05-HD-VPTW-2026-the-thuc-va-ky-thuat-trinh-bay-van-ban-cua-Dang-707499.aspx</x:v>
      </x:c>
      <x:c r="W23" s="123" t="str">
        <x:v>ĐỐI CHIẾU MỘT PHẦN</x:v>
      </x:c>
      <x:c r="X23" s="123" t="str">
        <x:v>CHECK_ONLY</x:v>
      </x:c>
      <x:c r="Y23" s="123" t="str">
        <x:v>Không tự chèn/sửa khi chưa có chứng cứ về đối tượng và rule.</x:v>
      </x:c>
      <x:c r="Z23" s="135" t="str">
        <x:v>[TÊN LOẠI] — chỉ văn bản có tên loại</x:v>
      </x:c>
      <x:c r="AA23" s="123" t="str">
        <x:v>DocumentTitleOrAbstract</x:v>
      </x:c>
      <x:c r="AB23" s="135" t="str">
        <x:v>DỰ THẢO — CẦN DUYỆT HD05</x:v>
      </x:c>
      <x:c r="AC23" s="123" t="str">
        <x:v>CHECK_ONLY</x:v>
      </x:c>
      <x:c r="AD23" s="123" t="str">
        <x:v>PLUGIN:HOA-TIEU-MIEN-BAC-PARTY-HD05-HEADER-2026 | NEEDS_REVIEW</x:v>
      </x:c>
      <x:c r="AE23" s="123" t="str">
        <x:v>GATE: xác minh chủ thể HD05 trước; Đối chiếu mã HD05.D.TY.TEN_LOAI; so cỡ 15 pt và vùng 5a; giữ nguyên nội dung ngoài phạm vi.</x:v>
      </x:c>
      <x:c r="AF23" s="123" t="str">
        <x:v>Đảng ủy: chỉ chọn khi chủ thể ban hành và phạm vi HD05 đã được xác minh.</x:v>
      </x:c>
      <x:c r="AG23" s="157" t="str">
        <x:v>Times New Roman</x:v>
      </x:c>
      <x:c r="AH23" s="157" t="str">
        <x:v>Unicode</x:v>
      </x:c>
      <x:c r="AI23" s="157" t="str">
        <x:v>#000000</x:v>
      </x:c>
      <x:c r="AJ23" s="195" t="n">
        <x:v>15</x:v>
      </x:c>
      <x:c r="AK23" s="157" t="str">
        <x:v>CÓ</x:v>
      </x:c>
      <x:c r="AL23" s="157" t="str">
        <x:v>KHÔNG</x:v>
      </x:c>
      <x:c r="AM23" s="157" t="str">
        <x:v>IN HOA</x:v>
      </x:c>
      <x:c r="AN23" s="157" t="str">
        <x:v>CENTER</x:v>
      </x:c>
      <x:c r="AO23" s="157"/>
      <x:c r="AP23" s="157" t="str">
        <x:v>SINGLE</x:v>
      </x:c>
      <x:c r="AQ23" s="195" t="n">
        <x:v>1</x:v>
      </x:c>
      <x:c r="AR23" s="157" t="str">
        <x:v>lines</x:v>
      </x:c>
      <x:c r="AS23" s="195"/>
      <x:c r="AT23" s="195" t="n">
        <x:v>6</x:v>
      </x:c>
      <x:c r="AU23" s="195" t="n">
        <x:v>0</x:v>
      </x:c>
      <x:c r="AV23" s="195"/>
      <x:c r="AW23" s="195"/>
      <x:c r="AX23" s="157"/>
      <x:c r="AY23" s="157"/>
      <x:c r="AZ23" s="157"/>
      <x:c r="BA23" s="195"/>
      <x:c r="BB23" s="195"/>
      <x:c r="BC23" s="157"/>
      <x:c r="BD23" s="195"/>
      <x:c r="BE23" s="195"/>
      <x:c r="BF23" s="195"/>
      <x:c r="BG23" s="195"/>
      <x:c r="BH23" s="157"/>
      <x:c r="BI23" s="195"/>
      <x:c r="BJ23" s="195"/>
      <x:c r="BK23" s="195"/>
      <x:c r="BL23" s="157"/>
      <x:c r="BM23" s="157"/>
      <x:c r="BN23" s="157"/>
      <x:c r="BO23" s="195"/>
      <x:c r="BP23" s="195"/>
      <x:c r="BQ23" s="157"/>
      <x:c r="BR23" s="157"/>
      <x:c r="BS23" s="157"/>
      <x:c r="BT23" s="157" t="str">
        <x:v>DocumentTitleOrAbstract</x:v>
      </x:c>
      <x:c r="BU23" s="157" t="str">
        <x:v>Văn bản/OOXML: xác định đối tượng trước khi sửa</x:v>
      </x:c>
      <x:c r="BV23" s="196" t="str">
        <x:v>DỰ THẢO — CẦN DUYỆT HD05</x:v>
      </x:c>
      <x:c r="BW23" s="197" t="str">
        <x:v>ĐÃ TÁCH MỘT PHẦN</x:v>
      </x:c>
      <x:c r="BX23" s="157" t="str">
        <x:v>Cấu hình profile chưa được xác nhận; giữ nguyên chính sách CHECK_ONLY.</x:v>
      </x:c>
      <x:c r="BY23" t="str">
        <x:v>HD05.D.TY.TEN_LOAI</x:v>
      </x:c>
      <x:c r="BZ23" t="str">
        <x:f>IFERROR(INDEX(HD05!$J$7:$J$300,MATCH($B23,HD05!$B$7:$B$300,0)),"UNRESOLVED")</x:f>
        <x:v>15–16</x:v>
      </x:c>
      <x:c r="CA23" t="str">
        <x:v>TEXT</x:v>
      </x:c>
      <x:c r="CB23" t="str">
        <x:v>heading_mode_confirmed AND document_type_confirmed</x:v>
      </x:c>
      <x:c r="CC23" t="str">
        <x:f>IFERROR(INDEX(HD05!$X$7:$X$300,MATCH($B23,HD05!$B$7:$B$300,0)),"UNRESOLVED")</x:f>
        <x:v>READ_ONLY</x:v>
      </x:c>
      <x:c r="CD23" t="str">
        <x:f>IF(OR(ISNUMBER(SEARCH("READ_ONLY",CC23)),ISNUMBER(SEARCH("PROTECTED",CC23)),ISNUMBER(SEARCH("BẢO VỆ",CC23)),ISNUMBER(SEARCH("KHÔNG KÝ",CC23))),"PROTECTED","CHECK_ONLY")</x:f>
        <x:v>PROTECTED</x:v>
      </x:c>
      <x:c r="CE23" t="str">
        <x:f>IF(AND(CD23="FORMAT_APPROVED",CU23="CÓ",CV23="CÓ",CH23="CÓ",CI23="CÓ",CJ23="CÓ"),"CÓ","KHÔNG")</x:f>
        <x:v>KHÔNG</x:v>
      </x:c>
      <x:c r="CF23" t="str">
        <x:v>KHÔNG</x:v>
      </x:c>
      <x:c r="CG23" t="str">
        <x:v>CÓ</x:v>
      </x:c>
      <x:c r="CH23" t="str">
        <x:v>KHÔNG</x:v>
      </x:c>
      <x:c r="CI23" t="str">
        <x:v>KHÔNG</x:v>
      </x:c>
      <x:c r="CJ23" t="str">
        <x:v>KHÔNG</x:v>
      </x:c>
      <x:c r="CK23" t="str">
        <x:f>IF(AND(CE23="CÓ",CF23="KHÔNG",CG23="CÓ",CU23="CÓ",CV23="CÓ",CH23="CÓ",CI23="CÓ",CJ23="CÓ"),"CÓ","KHÔNG")</x:f>
        <x:v>KHÔNG</x:v>
      </x:c>
      <x:c r="CL23" t="str">
        <x:v>PILOT_NORTH_PROFILE_DRAFT; chưa có master DOCX đã duyệt</x:v>
      </x:c>
      <x:c r="CM23" t="str">
        <x:v>v1.5 (nâng từ v1.4)</x:v>
      </x:c>
      <x:c r="CN23" t="str">
        <x:v>CHƯA XÁC NHẬN CHỦ THỂ ĐẢNG</x:v>
      </x:c>
      <x:c r="CO23" t="str">
        <x:v>HD05_D_TY_TEN_LOAI_FIELD_ONLY; chưa tạo trong Word</x:v>
      </x:c>
      <x:c r="CP23" t="str">
        <x:v>Preset là cấu hình Công ty; không thay thế giới hạn của nguồn NĐ30/HD05</x:v>
      </x:c>
      <x:c r="CQ23" t="str">
        <x:f>IF(OR(BH23="CÓ",BH23=TRUE),BI23,"")</x:f>
      </x:c>
      <x:c r="CR23" t="str">
        <x:f>IF(OR(BH23="CÓ",BH23=TRUE),BJ23,"")</x:f>
      </x:c>
      <x:c r="CS23" t="str">
        <x:v>FORMAT_CHECK_ONLY</x:v>
      </x:c>
      <x:c r="CT23" t="str">
        <x:v>PENDING_SOURCE_AND_DOCX_QA</x:v>
      </x:c>
      <x:c r="CU23" t="str">
        <x:v>KHÔNG</x:v>
      </x:c>
      <x:c r="CV23" t="str">
        <x:v>KHÔNG</x:v>
      </x:c>
      <x:c r="CW23" t="str"/>
    </x:row>
    <x:row r="24" ht="29" customHeight="1">
      <x:c r="A24" s="125" t="n">
        <x:v>18</x:v>
      </x:c>
      <x:c r="B24" s="123" t="str">
        <x:v>HD05.D.TY.TRICH_YEU</x:v>
      </x:c>
      <x:c r="C24" s="123" t="str">
        <x:v>Đầu văn bản</x:v>
      </x:c>
      <x:c r="D24" s="123" t="str">
        <x:v>Tên loại và trích yếu</x:v>
      </x:c>
      <x:c r="E24" s="123" t="str">
        <x:v>Trích yếu của văn bản Đảng có tên loại</x:v>
      </x:c>
      <x:c r="F24" s="123" t="str">
        <x:v>5a</x:v>
      </x:c>
      <x:c r="G24" s="123" t="str">
        <x:v>Theo loại văn bản: có tên loại / công văn / ngoại lệ; không dùng đồng thời sai vị trí</x:v>
      </x:c>
      <x:c r="H24" s="123" t="str">
        <x:v>Trích yếu ngắn gọn phản ánh nội dung chính, tách với tên loại</x:v>
      </x:c>
      <x:c r="I24" s="123" t="str">
        <x:v>Times New Roman | Unicode | đen</x:v>
      </x:c>
      <x:c r="J24" s="136" t="str">
        <x:v>14</x:v>
      </x:c>
      <x:c r="K24" s="123" t="str">
        <x:v>In thường</x:v>
      </x:c>
      <x:c r="L24" s="123" t="str">
        <x:v>Không</x:v>
      </x:c>
      <x:c r="M24" s="123" t="str">
        <x:v>Không</x:v>
      </x:c>
      <x:c r="N24" s="123" t="str">
        <x:v>Căn giữa vùng nội dung</x:v>
      </x:c>
      <x:c r="O24" s="135" t="str">
        <x:v>Single; sau 6 pt (preset)</x:v>
      </x:c>
      <x:c r="P24" s="135" t="str">
        <x:v>Thụt 0; canh giữa trong vùng nội dung</x:v>
      </x:c>
      <x:c r="Q24" s="123"/>
      <x:c r="R24" s="123" t="str">
        <x:v>Văn bản/OOXML: xác định đối tượng trước khi sửa</x:v>
      </x:c>
      <x:c r="S24" s="123" t="str">
        <x:v>Không có thông số đơn trị; theo rule của thành phần và loại văn bản</x:v>
      </x:c>
      <x:c r="T24" s="123" t="str">
        <x:v>HD05, Phần II, I.5; Phụ lục 2 mục 5</x:v>
      </x:c>
      <x:c r="U24" s="123" t="str">
        <x:v>https://dangcongsan.vn/vanphongtrunguong/van-ban-cua-dang/huong-dan-so-05-hd-vptw-ngay-27-5-2026-cua-van-phong-trung-uong-dang-ve-the-thuc-va-ky-thuat-trinh-bay-van-ban-cua-dang.html?categoryId=3000525</x:v>
      </x:c>
      <x:c r="V24" s="123" t="str">
        <x:v>https://thuvienphapluat.vn/van-ban/Bo-may-hanh-chinh/Huong-dan-05-HD-VPTW-2026-the-thuc-va-ky-thuat-trinh-bay-van-ban-cua-Dang-707499.aspx</x:v>
      </x:c>
      <x:c r="W24" s="123" t="str">
        <x:v>ĐỐI CHIẾU MỘT PHẦN</x:v>
      </x:c>
      <x:c r="X24" s="123" t="str">
        <x:v>CHECK_ONLY</x:v>
      </x:c>
      <x:c r="Y24" s="123" t="str">
        <x:v>Không tự chèn/sửa khi chưa có chứng cứ về đối tượng và rule.</x:v>
      </x:c>
      <x:c r="Z24" s="135" t="str">
        <x:v>[TRÍCH YẾU] — theo từng loại</x:v>
      </x:c>
      <x:c r="AA24" s="123" t="str">
        <x:v>DocumentTitleOrAbstract</x:v>
      </x:c>
      <x:c r="AB24" s="135" t="str">
        <x:v>DỰ THẢO — CẦN DUYỆT HD05</x:v>
      </x:c>
      <x:c r="AC24" s="123" t="str">
        <x:v>CHECK_ONLY</x:v>
      </x:c>
      <x:c r="AD24" s="123" t="str">
        <x:v>PLUGIN:HOA-TIEU-MIEN-BAC-PARTY-HD05-HEADER-2026 | NEEDS_REVIEW</x:v>
      </x:c>
      <x:c r="AE24" s="123" t="str">
        <x:v>GATE: xác minh chủ thể HD05 trước; Đối chiếu mã HD05.D.TY.TRICH_YEU; so cỡ 14 pt và vùng 5a; giữ nguyên nội dung ngoài phạm vi.</x:v>
      </x:c>
      <x:c r="AF24" s="123" t="str">
        <x:v>Đảng ủy: chỉ chọn khi chủ thể ban hành và phạm vi HD05 đã được xác minh.</x:v>
      </x:c>
      <x:c r="AG24" s="157" t="str">
        <x:v>Times New Roman</x:v>
      </x:c>
      <x:c r="AH24" s="157" t="str">
        <x:v>Unicode</x:v>
      </x:c>
      <x:c r="AI24" s="157" t="str">
        <x:v>#000000</x:v>
      </x:c>
      <x:c r="AJ24" s="195" t="n">
        <x:v>14</x:v>
      </x:c>
      <x:c r="AK24" s="157" t="str">
        <x:v>KHÔNG</x:v>
      </x:c>
      <x:c r="AL24" s="157" t="str">
        <x:v>KHÔNG</x:v>
      </x:c>
      <x:c r="AM24" s="157" t="str">
        <x:v>In thường</x:v>
      </x:c>
      <x:c r="AN24" s="157" t="str">
        <x:v>CENTER</x:v>
      </x:c>
      <x:c r="AO24" s="157"/>
      <x:c r="AP24" s="157" t="str">
        <x:v>SINGLE</x:v>
      </x:c>
      <x:c r="AQ24" s="195" t="n">
        <x:v>1</x:v>
      </x:c>
      <x:c r="AR24" s="157" t="str">
        <x:v>lines</x:v>
      </x:c>
      <x:c r="AS24" s="195"/>
      <x:c r="AT24" s="195" t="n">
        <x:v>6</x:v>
      </x:c>
      <x:c r="AU24" s="195" t="n">
        <x:v>0</x:v>
      </x:c>
      <x:c r="AV24" s="195"/>
      <x:c r="AW24" s="195"/>
      <x:c r="AX24" s="157"/>
      <x:c r="AY24" s="157"/>
      <x:c r="AZ24" s="157"/>
      <x:c r="BA24" s="195"/>
      <x:c r="BB24" s="195"/>
      <x:c r="BC24" s="157"/>
      <x:c r="BD24" s="195"/>
      <x:c r="BE24" s="195"/>
      <x:c r="BF24" s="195"/>
      <x:c r="BG24" s="195"/>
      <x:c r="BH24" s="157"/>
      <x:c r="BI24" s="195"/>
      <x:c r="BJ24" s="195"/>
      <x:c r="BK24" s="195"/>
      <x:c r="BL24" s="157"/>
      <x:c r="BM24" s="157"/>
      <x:c r="BN24" s="157"/>
      <x:c r="BO24" s="195"/>
      <x:c r="BP24" s="195"/>
      <x:c r="BQ24" s="157"/>
      <x:c r="BR24" s="157"/>
      <x:c r="BS24" s="157"/>
      <x:c r="BT24" s="157" t="str">
        <x:v>DocumentTitleOrAbstract</x:v>
      </x:c>
      <x:c r="BU24" s="157" t="str">
        <x:v>Văn bản/OOXML: xác định đối tượng trước khi sửa</x:v>
      </x:c>
      <x:c r="BV24" s="196" t="str">
        <x:v>DỰ THẢO — CẦN DUYỆT HD05</x:v>
      </x:c>
      <x:c r="BW24" s="197" t="str">
        <x:v>ĐÃ TÁCH MỘT PHẦN</x:v>
      </x:c>
      <x:c r="BX24" s="157" t="str">
        <x:v>Cấu hình profile chưa được xác nhận; giữ nguyên chính sách CHECK_ONLY.</x:v>
      </x:c>
      <x:c r="BY24" t="str">
        <x:v>HD05.D.TY.TRICH_YEU</x:v>
      </x:c>
      <x:c r="BZ24" t="str">
        <x:f>IFERROR(INDEX(HD05!$J$7:$J$300,MATCH($B24,HD05!$B$7:$B$300,0)),"UNRESOLVED")</x:f>
        <x:v>14–15</x:v>
      </x:c>
      <x:c r="CA24" t="str">
        <x:v>TEXT</x:v>
      </x:c>
      <x:c r="CB24" t="str">
        <x:v>heading_mode_confirmed AND document_type_confirmed</x:v>
      </x:c>
      <x:c r="CC24" t="str">
        <x:f>IFERROR(INDEX(HD05!$X$7:$X$300,MATCH($B24,HD05!$B$7:$B$300,0)),"UNRESOLVED")</x:f>
        <x:v>READ_ONLY</x:v>
      </x:c>
      <x:c r="CD24" t="str">
        <x:f>IF(OR(ISNUMBER(SEARCH("READ_ONLY",CC24)),ISNUMBER(SEARCH("PROTECTED",CC24)),ISNUMBER(SEARCH("BẢO VỆ",CC24)),ISNUMBER(SEARCH("KHÔNG KÝ",CC24))),"PROTECTED","CHECK_ONLY")</x:f>
        <x:v>PROTECTED</x:v>
      </x:c>
      <x:c r="CE24" t="str">
        <x:f>IF(AND(CD24="FORMAT_APPROVED",CU24="CÓ",CV24="CÓ",CH24="CÓ",CI24="CÓ",CJ24="CÓ"),"CÓ","KHÔNG")</x:f>
        <x:v>KHÔNG</x:v>
      </x:c>
      <x:c r="CF24" t="str">
        <x:v>KHÔNG</x:v>
      </x:c>
      <x:c r="CG24" t="str">
        <x:v>CÓ</x:v>
      </x:c>
      <x:c r="CH24" t="str">
        <x:v>KHÔNG</x:v>
      </x:c>
      <x:c r="CI24" t="str">
        <x:v>KHÔNG</x:v>
      </x:c>
      <x:c r="CJ24" t="str">
        <x:v>KHÔNG</x:v>
      </x:c>
      <x:c r="CK24" t="str">
        <x:f>IF(AND(CE24="CÓ",CF24="KHÔNG",CG24="CÓ",CU24="CÓ",CV24="CÓ",CH24="CÓ",CI24="CÓ",CJ24="CÓ"),"CÓ","KHÔNG")</x:f>
        <x:v>KHÔNG</x:v>
      </x:c>
      <x:c r="CL24" t="str">
        <x:v>PILOT_NORTH_PROFILE_DRAFT; chưa có master DOCX đã duyệt</x:v>
      </x:c>
      <x:c r="CM24" t="str">
        <x:v>v1.5 (nâng từ v1.4)</x:v>
      </x:c>
      <x:c r="CN24" t="str">
        <x:v>CHƯA XÁC NHẬN CHỦ THỂ ĐẢNG</x:v>
      </x:c>
      <x:c r="CO24" t="str">
        <x:v>HD05_D_TY_TRICH_YEU_FIELD_ONLY; chưa tạo trong Word</x:v>
      </x:c>
      <x:c r="CP24" t="str">
        <x:v>Preset là cấu hình Công ty; không thay thế giới hạn của nguồn NĐ30/HD05</x:v>
      </x:c>
      <x:c r="CQ24" t="str">
        <x:f>IF(OR(BH24="CÓ",BH24=TRUE),BI24,"")</x:f>
      </x:c>
      <x:c r="CR24" t="str">
        <x:f>IF(OR(BH24="CÓ",BH24=TRUE),BJ24,"")</x:f>
      </x:c>
      <x:c r="CS24" t="str">
        <x:v>FORMAT_CHECK_ONLY</x:v>
      </x:c>
      <x:c r="CT24" t="str">
        <x:v>PENDING_SOURCE_AND_DOCX_QA</x:v>
      </x:c>
      <x:c r="CU24" t="str">
        <x:v>KHÔNG</x:v>
      </x:c>
      <x:c r="CV24" t="str">
        <x:v>KHÔNG</x:v>
      </x:c>
      <x:c r="CW24" t="str"/>
    </x:row>
    <x:row r="25" ht="29" customHeight="1">
      <x:c r="A25" s="125" t="n">
        <x:v>19</x:v>
      </x:c>
      <x:c r="B25" s="123" t="str">
        <x:v>HD05.D.TY.NAM_DAU_GACH</x:v>
      </x:c>
      <x:c r="C25" s="123" t="str">
        <x:v>Đầu văn bản</x:v>
      </x:c>
      <x:c r="D25" s="123" t="str">
        <x:v>Tên loại và trích yếu</x:v>
      </x:c>
      <x:c r="E25" s="123" t="str">
        <x:v>Đúng 5 dấu gạch nối dưới trích yếu theo mẫu</x:v>
      </x:c>
      <x:c r="F25" s="123" t="str">
        <x:v>5a</x:v>
      </x:c>
      <x:c r="G25" s="123" t="str">
        <x:v>Theo loại văn bản: có tên loại / công văn / ngoại lệ; không dùng đồng thời sai vị trí</x:v>
      </x:c>
      <x:c r="H25" s="123" t="str">
        <x:v>Đúng 5 dấu gạch nối dưới trích yếu theo mẫu</x:v>
      </x:c>
      <x:c r="I25" s="123" t="str">
        <x:v>Không áp dụng</x:v>
      </x:c>
      <x:c r="J25" s="136" t="str">
        <x:v>—</x:v>
      </x:c>
      <x:c r="K25" s="123" t="str">
        <x:v>Không áp dụng</x:v>
      </x:c>
      <x:c r="L25" s="123" t="str">
        <x:v>Không áp dụng</x:v>
      </x:c>
      <x:c r="M25" s="123" t="str">
        <x:v>Không áp dụng</x:v>
      </x:c>
      <x:c r="N25" s="123" t="str">
        <x:v>Căn giữa vùng nội dung</x:v>
      </x:c>
      <x:c r="O25" s="135" t="str">
        <x:v>Single; sau 6 pt (preset)</x:v>
      </x:c>
      <x:c r="P25" s="135" t="str">
        <x:v>Thụt 0; canh giữa trong vùng nội dung</x:v>
      </x:c>
      <x:c r="Q25" s="123" t="str">
        <x:v>-----</x:v>
      </x:c>
      <x:c r="R25" s="123" t="str">
        <x:v>Text run; kiểm tra literal; không biến thành Shape</x:v>
      </x:c>
      <x:c r="S25" s="123" t="str">
        <x:v>Số dấu phải là 5, không suy ra chiều dài đường Shape</x:v>
      </x:c>
      <x:c r="T25" s="123" t="str">
        <x:v>HD05, Phần II, I.5; Phụ lục 2 mục 5</x:v>
      </x:c>
      <x:c r="U25" s="123" t="str">
        <x:v>https://dangcongsan.vn/vanphongtrunguong/van-ban-cua-dang/huong-dan-so-05-hd-vptw-ngay-27-5-2026-cua-van-phong-trung-uong-dang-ve-the-thuc-va-ky-thuat-trinh-bay-van-ban-cua-dang.html?categoryId=3000525</x:v>
      </x:c>
      <x:c r="V25" s="123" t="str">
        <x:v>https://thuvienphapluat.vn/van-ban/Bo-may-hanh-chinh/Huong-dan-05-HD-VPTW-2026-the-thuc-va-ky-thuat-trinh-bay-van-ban-cua-Dang-707499.aspx</x:v>
      </x:c>
      <x:c r="W25" s="123" t="str">
        <x:v>ĐỐI CHIẾU MỘT PHẦN</x:v>
      </x:c>
      <x:c r="X25" s="123" t="str">
        <x:v>CHECK_ONLY</x:v>
      </x:c>
      <x:c r="Y25" s="123" t="str">
        <x:v>Không tự chèn/sửa khi chưa có chứng cứ về đối tượng và rule.</x:v>
      </x:c>
      <x:c r="Z25" s="135" t="str">
        <x:v>----- (đúng 05 ký tự gạch nối ASCII)</x:v>
      </x:c>
      <x:c r="AA25" s="123" t="str">
        <x:v>DocumentTitleOrAbstract</x:v>
      </x:c>
      <x:c r="AB25" s="135" t="str">
        <x:v>DỰ THẢO — CẦN DUYỆT HD05</x:v>
      </x:c>
      <x:c r="AC25" s="123" t="str">
        <x:v>CHECK_ONLY</x:v>
      </x:c>
      <x:c r="AD25" s="123" t="str">
        <x:v>PLUGIN:HOA-TIEU-MIEN-BAC-PARTY-HD05-HEADER-2026 | NEEDS_REVIEW</x:v>
      </x:c>
      <x:c r="AE25" s="123" t="str">
        <x:v>GATE: xác minh chủ thể HD05 trước; Đối chiếu mã HD05.D.TY.NAM_DAU_GACH; so cỡ — pt và vùng 5a; giữ nguyên nội dung ngoài phạm vi.</x:v>
      </x:c>
      <x:c r="AF25" s="123" t="str">
        <x:v>Đảng ủy: chỉ chọn khi chủ thể ban hành và phạm vi HD05 đã được xác minh.</x:v>
      </x:c>
      <x:c r="AG25" s="157"/>
      <x:c r="AH25" s="157"/>
      <x:c r="AI25" s="157"/>
      <x:c r="AJ25" s="195"/>
      <x:c r="AK25" s="157" t="str">
        <x:v>KHÔNG ÁP DỤNG</x:v>
      </x:c>
      <x:c r="AL25" s="157" t="str">
        <x:v>KHÔNG ÁP DỤNG</x:v>
      </x:c>
      <x:c r="AM25" s="157"/>
      <x:c r="AN25" s="157" t="str">
        <x:v>CENTER</x:v>
      </x:c>
      <x:c r="AO25" s="157"/>
      <x:c r="AP25" s="157"/>
      <x:c r="AQ25" s="195"/>
      <x:c r="AR25" s="157"/>
      <x:c r="AS25" s="195"/>
      <x:c r="AT25" s="195"/>
      <x:c r="AU25" s="195"/>
      <x:c r="AV25" s="195"/>
      <x:c r="AW25" s="195"/>
      <x:c r="AX25" s="157"/>
      <x:c r="AY25" s="157"/>
      <x:c r="AZ25" s="157"/>
      <x:c r="BA25" s="195"/>
      <x:c r="BB25" s="195"/>
      <x:c r="BC25" s="157"/>
      <x:c r="BD25" s="195"/>
      <x:c r="BE25" s="195"/>
      <x:c r="BF25" s="195"/>
      <x:c r="BG25" s="195"/>
      <x:c r="BH25" s="157"/>
      <x:c r="BI25" s="195"/>
      <x:c r="BJ25" s="195"/>
      <x:c r="BK25" s="195"/>
      <x:c r="BL25" s="157"/>
      <x:c r="BM25" s="157" t="str">
        <x:v>CHUỖI KÝ TỰ</x:v>
      </x:c>
      <x:c r="BN25" s="157" t="str">
        <x:v>-----</x:v>
      </x:c>
      <x:c r="BO25" s="195"/>
      <x:c r="BP25" s="195"/>
      <x:c r="BQ25" s="157"/>
      <x:c r="BR25" s="157"/>
      <x:c r="BS25" s="157"/>
      <x:c r="BT25" s="157" t="str">
        <x:v>DocumentTitleOrAbstract</x:v>
      </x:c>
      <x:c r="BU25" s="157" t="str">
        <x:v>Text run; kiểm tra literal; không biến thành Shape</x:v>
      </x:c>
      <x:c r="BV25" s="196" t="str">
        <x:v>DỰ THẢO — CẦN DUYỆT HD05</x:v>
      </x:c>
      <x:c r="BW25" s="197" t="str">
        <x:v>ĐÃ TÁCH MỘT PHẦN</x:v>
      </x:c>
      <x:c r="BX25" s="157" t="str">
        <x:v>Cấu hình profile chưa được xác nhận; giữ nguyên chính sách CHECK_ONLY.</x:v>
      </x:c>
      <x:c r="BY25" t="str">
        <x:v>HD05.D.TY.NAM_DAU_GACH</x:v>
      </x:c>
      <x:c r="BZ25" t="str">
        <x:f>IFERROR(INDEX(HD05!$J$7:$J$300,MATCH($B25,HD05!$B$7:$B$300,0)),"UNRESOLVED")</x:f>
        <x:v>Theo mẫu</x:v>
      </x:c>
      <x:c r="CA25" t="str">
        <x:v>SEPARATOR</x:v>
      </x:c>
      <x:c r="CB25" t="str">
        <x:v>target_kind_confirmed; ký tự và đối tượng hình học không được hoán đổi</x:v>
      </x:c>
      <x:c r="CC25" t="str">
        <x:f>IFERROR(INDEX(HD05!$X$7:$X$300,MATCH($B25,HD05!$B$7:$B$300,0)),"UNRESOLVED")</x:f>
        <x:v>REVIEW TRƯỚC KHI SỬA</x:v>
      </x:c>
      <x:c r="CD25" t="str">
        <x:f>IF(OR(ISNUMBER(SEARCH("READ_ONLY",CC25)),ISNUMBER(SEARCH("PROTECTED",CC25)),ISNUMBER(SEARCH("BẢO VỆ",CC25)),ISNUMBER(SEARCH("KHÔNG KÝ",CC25))),"PROTECTED","CHECK_ONLY")</x:f>
        <x:v>CHECK_ONLY</x:v>
      </x:c>
      <x:c r="CE25" t="str">
        <x:f>IF(AND(CD25="FORMAT_APPROVED",CU25="CÓ",CV25="CÓ",CH25="CÓ",CI25="CÓ",CJ25="CÓ"),"CÓ","KHÔNG")</x:f>
        <x:v>KHÔNG</x:v>
      </x:c>
      <x:c r="CF25" t="str">
        <x:v>KHÔNG</x:v>
      </x:c>
      <x:c r="CG25" t="str">
        <x:v>CÓ</x:v>
      </x:c>
      <x:c r="CH25" t="str">
        <x:v>KHÔNG</x:v>
      </x:c>
      <x:c r="CI25" t="str">
        <x:v>KHÔNG</x:v>
      </x:c>
      <x:c r="CJ25" t="str">
        <x:v>KHÔNG</x:v>
      </x:c>
      <x:c r="CK25" t="str">
        <x:f>IF(AND(CE25="CÓ",CF25="KHÔNG",CG25="CÓ",CU25="CÓ",CV25="CÓ",CH25="CÓ",CI25="CÓ",CJ25="CÓ"),"CÓ","KHÔNG")</x:f>
        <x:v>KHÔNG</x:v>
      </x:c>
      <x:c r="CL25" t="str">
        <x:v>PILOT_NORTH_PROFILE_DRAFT; chưa có master DOCX đã duyệt</x:v>
      </x:c>
      <x:c r="CM25" t="str">
        <x:v>v1.5 (nâng từ v1.4)</x:v>
      </x:c>
      <x:c r="CN25" t="str">
        <x:v>CHƯA XÁC NHẬN CHỦ THỂ ĐẢNG</x:v>
      </x:c>
      <x:c r="CO25" t="str">
        <x:v>HD05_D_TY_NAM_DAU_GACH_FIELD_ONLY; chưa tạo trong Word</x:v>
      </x:c>
      <x:c r="CP25" t="str">
        <x:v>Preset là cấu hình Công ty; không thay thế giới hạn của nguồn NĐ30/HD05</x:v>
      </x:c>
      <x:c r="CQ25" t="str">
        <x:f>IF(OR(BH25="CÓ",BH25=TRUE),BI25,"")</x:f>
      </x:c>
      <x:c r="CR25" t="str">
        <x:f>IF(OR(BH25="CÓ",BH25=TRUE),BJ25,"")</x:f>
      </x:c>
      <x:c r="CS25" t="str">
        <x:v>STRUCTURAL_CHECK_ONLY</x:v>
      </x:c>
      <x:c r="CT25" t="str">
        <x:v>PENDING_SOURCE_AND_DOCX_QA</x:v>
      </x:c>
      <x:c r="CU25" t="str">
        <x:v>KHÔNG</x:v>
      </x:c>
      <x:c r="CV25" t="str">
        <x:v>KHÔNG</x:v>
      </x:c>
      <x:c r="CW25" t="str"/>
    </x:row>
    <x:row r="26" ht="29" customHeight="1">
      <x:c r="A26" s="125" t="n">
        <x:v>20</x:v>
      </x:c>
      <x:c r="B26" s="123" t="str">
        <x:v>HD05.D.TY.TRICH_YEU_CV</x:v>
      </x:c>
      <x:c r="C26" s="123" t="str">
        <x:v>Đầu văn bản</x:v>
      </x:c>
      <x:c r="D26" s="123" t="str">
        <x:v>Tên loại và trích yếu</x:v>
      </x:c>
      <x:c r="E26" s="123" t="str">
        <x:v>Trích yếu công văn Đảng dưới số/ký hiệu</x:v>
      </x:c>
      <x:c r="F26" s="123" t="str">
        <x:v>5b</x:v>
      </x:c>
      <x:c r="G26" s="123" t="str">
        <x:v>Theo loại văn bản: có tên loại / công văn / ngoại lệ; không dùng đồng thời sai vị trí</x:v>
      </x:c>
      <x:c r="H26" s="123" t="str">
        <x:v>Trích yếu công văn Đảng dưới số/ký hiệu</x:v>
      </x:c>
      <x:c r="I26" s="123" t="str">
        <x:v>Times New Roman | Unicode | đen</x:v>
      </x:c>
      <x:c r="J26" s="136" t="str">
        <x:v>12</x:v>
      </x:c>
      <x:c r="K26" s="123" t="str">
        <x:v>In thường</x:v>
      </x:c>
      <x:c r="L26" s="123" t="str">
        <x:v>Không</x:v>
      </x:c>
      <x:c r="M26" s="123" t="str">
        <x:v>Có</x:v>
      </x:c>
      <x:c r="N26" s="123" t="str">
        <x:v>Dưới số/ký hiệu khối trái</x:v>
      </x:c>
      <x:c r="O26" s="135" t="str">
        <x:v>Single; sau 6 pt (preset)</x:v>
      </x:c>
      <x:c r="P26" s="135" t="str">
        <x:v>Thụt 0; canh dưới số/ký hiệu</x:v>
      </x:c>
      <x:c r="Q26" s="123"/>
      <x:c r="R26" s="123" t="str">
        <x:v>Một/một số text run bên dưới số và ký hiệu</x:v>
      </x:c>
      <x:c r="S26" s="123" t="str">
        <x:v>HD05: ví dụ bằng “về việc”; chữ nghiêng, không tự chuyển V/v khi chưa xác minh</x:v>
      </x:c>
      <x:c r="T26" s="123" t="str">
        <x:v>HD05, Phần II, I.5; Phụ lục 2 mục 5</x:v>
      </x:c>
      <x:c r="U26" s="123" t="str">
        <x:v>https://dangcongsan.vn/vanphongtrunguong/van-ban-cua-dang/huong-dan-so-05-hd-vptw-ngay-27-5-2026-cua-van-phong-trung-uong-dang-ve-the-thuc-va-ky-thuat-trinh-bay-van-ban-cua-dang.html?categoryId=3000525</x:v>
      </x:c>
      <x:c r="V26" s="123" t="str">
        <x:v>https://thuvienphapluat.vn/van-ban/Bo-may-hanh-chinh/Huong-dan-05-HD-VPTW-2026-the-thuc-va-ky-thuat-trinh-bay-van-ban-cua-Dang-707499.aspx</x:v>
      </x:c>
      <x:c r="W26" s="123" t="str">
        <x:v>ĐỐI CHIẾU MỘT PHẦN</x:v>
      </x:c>
      <x:c r="X26" s="123" t="str">
        <x:v>CHECK_ONLY</x:v>
      </x:c>
      <x:c r="Y26" s="123" t="str">
        <x:v>HD05 Phụ lục 2: trích yếu công văn cỡ 12, NGHIÊNG (khác ND30: chữ đứng). Kiểm tra đúng thể loại công văn.</x:v>
      </x:c>
      <x:c r="Z26" s="135" t="str">
        <x:v>[NỘI DUNG TRÍCH YẾU CÔNG VĂN]</x:v>
      </x:c>
      <x:c r="AA26" s="123" t="str">
        <x:v>DocumentTitleOrAbstract</x:v>
      </x:c>
      <x:c r="AB26" s="135" t="str">
        <x:v>DỰ THẢO — CẦN DUYỆT HD05</x:v>
      </x:c>
      <x:c r="AC26" s="123" t="str">
        <x:v>CHECK_ONLY</x:v>
      </x:c>
      <x:c r="AD26" s="123" t="str">
        <x:v>PLUGIN:HOA-TIEU-MIEN-BAC-PARTY-HD05-HEADER-2026 | NEEDS_REVIEW</x:v>
      </x:c>
      <x:c r="AE26" s="123" t="str">
        <x:v>GATE: xác minh chủ thể HD05 trước; Đối chiếu mã HD05.D.TY.TRICH_YEU_CV; so cỡ 12 pt và vùng 5b; giữ nguyên nội dung ngoài phạm vi.</x:v>
      </x:c>
      <x:c r="AF26" s="123" t="str">
        <x:v>HD05: không ép sang 'V/v' nếu nguyên mẫu sử dụng 'về việc'. | Đảng ủy: chỉ chọn khi chủ thể ban hành và phạm vi HD05 đã được xác minh.</x:v>
      </x:c>
      <x:c r="AG26" s="157" t="str">
        <x:v>Times New Roman</x:v>
      </x:c>
      <x:c r="AH26" s="157" t="str">
        <x:v>Unicode</x:v>
      </x:c>
      <x:c r="AI26" s="157" t="str">
        <x:v>#000000</x:v>
      </x:c>
      <x:c r="AJ26" s="195" t="n">
        <x:v>12</x:v>
      </x:c>
      <x:c r="AK26" s="157" t="str">
        <x:v>KHÔNG</x:v>
      </x:c>
      <x:c r="AL26" s="157" t="str">
        <x:v>CÓ</x:v>
      </x:c>
      <x:c r="AM26" s="157" t="str">
        <x:v>In thường</x:v>
      </x:c>
      <x:c r="AN26" s="157"/>
      <x:c r="AO26" s="157" t="str">
        <x:v>KHỐI/CỘT TRÁI</x:v>
      </x:c>
      <x:c r="AP26" s="157" t="str">
        <x:v>SINGLE</x:v>
      </x:c>
      <x:c r="AQ26" s="195" t="n">
        <x:v>1</x:v>
      </x:c>
      <x:c r="AR26" s="157" t="str">
        <x:v>lines</x:v>
      </x:c>
      <x:c r="AS26" s="195"/>
      <x:c r="AT26" s="195" t="n">
        <x:v>6</x:v>
      </x:c>
      <x:c r="AU26" s="195" t="n">
        <x:v>0</x:v>
      </x:c>
      <x:c r="AV26" s="195"/>
      <x:c r="AW26" s="195"/>
      <x:c r="AX26" s="157"/>
      <x:c r="AY26" s="157"/>
      <x:c r="AZ26" s="157"/>
      <x:c r="BA26" s="195"/>
      <x:c r="BB26" s="195"/>
      <x:c r="BC26" s="157"/>
      <x:c r="BD26" s="195"/>
      <x:c r="BE26" s="195"/>
      <x:c r="BF26" s="195"/>
      <x:c r="BG26" s="195"/>
      <x:c r="BH26" s="157"/>
      <x:c r="BI26" s="195"/>
      <x:c r="BJ26" s="195"/>
      <x:c r="BK26" s="195"/>
      <x:c r="BL26" s="157"/>
      <x:c r="BM26" s="157"/>
      <x:c r="BN26" s="157"/>
      <x:c r="BO26" s="195"/>
      <x:c r="BP26" s="195"/>
      <x:c r="BQ26" s="157"/>
      <x:c r="BR26" s="157"/>
      <x:c r="BS26" s="157"/>
      <x:c r="BT26" s="157" t="str">
        <x:v>DocumentTitleOrAbstract</x:v>
      </x:c>
      <x:c r="BU26" s="157" t="str">
        <x:v>Một/một số text run bên dưới số và ký hiệu</x:v>
      </x:c>
      <x:c r="BV26" s="196" t="str">
        <x:v>DỰ THẢO — CẦN DUYỆT HD05</x:v>
      </x:c>
      <x:c r="BW26" s="197" t="str">
        <x:v>ĐÃ TÁCH MỘT PHẦN</x:v>
      </x:c>
      <x:c r="BX26" s="157" t="str">
        <x:v>Cấu hình profile chưa được xác nhận; giữ nguyên chính sách CHECK_ONLY.</x:v>
      </x:c>
      <x:c r="BY26" t="str">
        <x:v>HD05.D.TY.TRICH_YEU_CV</x:v>
      </x:c>
      <x:c r="BZ26" t="n">
        <x:f>IFERROR(INDEX(HD05!$J$7:$J$300,MATCH($B26,HD05!$B$7:$B$300,0)),"UNRESOLVED")</x:f>
        <x:v>12</x:v>
      </x:c>
      <x:c r="CA26" t="str">
        <x:v>TEXT</x:v>
      </x:c>
      <x:c r="CB26" t="str">
        <x:v>heading_mode_confirmed AND document_type_confirmed</x:v>
      </x:c>
      <x:c r="CC26" t="str">
        <x:f>IFERROR(INDEX(HD05!$X$7:$X$300,MATCH($B26,HD05!$B$7:$B$300,0)),"UNRESOLVED")</x:f>
        <x:v>READ_ONLY</x:v>
      </x:c>
      <x:c r="CD26" t="str">
        <x:f>IF(OR(ISNUMBER(SEARCH("READ_ONLY",CC26)),ISNUMBER(SEARCH("PROTECTED",CC26)),ISNUMBER(SEARCH("BẢO VỆ",CC26)),ISNUMBER(SEARCH("KHÔNG KÝ",CC26))),"PROTECTED","CHECK_ONLY")</x:f>
        <x:v>PROTECTED</x:v>
      </x:c>
      <x:c r="CE26" t="str">
        <x:f>IF(AND(CD26="FORMAT_APPROVED",CU26="CÓ",CV26="CÓ",CH26="CÓ",CI26="CÓ",CJ26="CÓ"),"CÓ","KHÔNG")</x:f>
        <x:v>KHÔNG</x:v>
      </x:c>
      <x:c r="CF26" t="str">
        <x:v>KHÔNG</x:v>
      </x:c>
      <x:c r="CG26" t="str">
        <x:v>CÓ</x:v>
      </x:c>
      <x:c r="CH26" t="str">
        <x:v>KHÔNG</x:v>
      </x:c>
      <x:c r="CI26" t="str">
        <x:v>KHÔNG</x:v>
      </x:c>
      <x:c r="CJ26" t="str">
        <x:v>KHÔNG</x:v>
      </x:c>
      <x:c r="CK26" t="str">
        <x:f>IF(AND(CE26="CÓ",CF26="KHÔNG",CG26="CÓ",CU26="CÓ",CV26="CÓ",CH26="CÓ",CI26="CÓ",CJ26="CÓ"),"CÓ","KHÔNG")</x:f>
        <x:v>KHÔNG</x:v>
      </x:c>
      <x:c r="CL26" t="str">
        <x:v>PILOT_NORTH_PROFILE_DRAFT; chưa có master DOCX đã duyệt</x:v>
      </x:c>
      <x:c r="CM26" t="str">
        <x:v>v1.5 (nâng từ v1.4)</x:v>
      </x:c>
      <x:c r="CN26" t="str">
        <x:v>CHƯA XÁC NHẬN CHỦ THỂ ĐẢNG</x:v>
      </x:c>
      <x:c r="CO26" t="str">
        <x:v>HD05_D_TY_TRICH_YEU_CV_FIELD_ONLY; chưa tạo trong Word</x:v>
      </x:c>
      <x:c r="CP26" t="str">
        <x:v>Preset là cấu hình Công ty; không thay thế giới hạn của nguồn NĐ30/HD05</x:v>
      </x:c>
      <x:c r="CQ26" t="str">
        <x:f>IF(OR(BH26="CÓ",BH26=TRUE),BI26,"")</x:f>
      </x:c>
      <x:c r="CR26" t="str">
        <x:f>IF(OR(BH26="CÓ",BH26=TRUE),BJ26,"")</x:f>
      </x:c>
      <x:c r="CS26" t="str">
        <x:v>FORMAT_CHECK_ONLY</x:v>
      </x:c>
      <x:c r="CT26" t="str">
        <x:v>PENDING_SOURCE_AND_DOCX_QA</x:v>
      </x:c>
      <x:c r="CU26" t="str">
        <x:v>KHÔNG</x:v>
      </x:c>
      <x:c r="CV26" t="str">
        <x:v>KHÔNG</x:v>
      </x:c>
      <x:c r="CW26" t="str"/>
    </x:row>
    <x:row r="27" ht="29" customHeight="1">
      <x:c r="A27" s="125" t="n">
        <x:v>21</x:v>
      </x:c>
      <x:c r="B27" s="123" t="str">
        <x:v>HD05.D.TY.CHU_DE_DAI_HOI</x:v>
      </x:c>
      <x:c r="C27" s="123" t="str">
        <x:v>Đầu văn bản</x:v>
      </x:c>
      <x:c r="D27" s="123" t="str">
        <x:v>Tên loại và trích yếu</x:v>
      </x:c>
      <x:c r="E27" s="123" t="str">
        <x:v>Chủ đề thay thế theo ngoại lệ báo cáo chính trị đại hội</x:v>
      </x:c>
      <x:c r="F27" s="123" t="str">
        <x:v>5a</x:v>
      </x:c>
      <x:c r="G27" s="123" t="str">
        <x:v>Theo loại văn bản: có tên loại / công văn / ngoại lệ; không dùng đồng thời sai vị trí</x:v>
      </x:c>
      <x:c r="H27" s="123" t="str">
        <x:v>Chủ đề thay thế theo ngoại lệ báo cáo chính trị đại hội</x:v>
      </x:c>
      <x:c r="I27" s="123" t="str">
        <x:v>Không áp dụng</x:v>
      </x:c>
      <x:c r="J27" s="136" t="str">
        <x:v>—</x:v>
      </x:c>
      <x:c r="K27" s="123" t="str">
        <x:v>Không áp dụng</x:v>
      </x:c>
      <x:c r="L27" s="123" t="str">
        <x:v>Không áp dụng</x:v>
      </x:c>
      <x:c r="M27" s="123" t="str">
        <x:v>Không áp dụng</x:v>
      </x:c>
      <x:c r="N27" s="123" t="str">
        <x:v>Căn giữa vùng nội dung</x:v>
      </x:c>
      <x:c r="O27" s="135" t="str">
        <x:v>Single; sau 6 pt (preset)</x:v>
      </x:c>
      <x:c r="P27" s="135" t="str">
        <x:v>Thụt 0; canh giữa trong vùng nội dung</x:v>
      </x:c>
      <x:c r="Q27" s="123"/>
      <x:c r="R27" s="123" t="str">
        <x:v>Văn bản/OOXML: xác định đối tượng trước khi sửa</x:v>
      </x:c>
      <x:c r="S27" s="123" t="str">
        <x:v>Không áp dụng cho mọi văn bản đại hội</x:v>
      </x:c>
      <x:c r="T27" s="123" t="str">
        <x:v>HD05, Phần II, I.5; Phụ lục 2 mục 5</x:v>
      </x:c>
      <x:c r="U27" s="123" t="str">
        <x:v>https://dangcongsan.vn/vanphongtrunguong/van-ban-cua-dang/huong-dan-so-05-hd-vptw-ngay-27-5-2026-cua-van-phong-trung-uong-dang-ve-the-thuc-va-ky-thuat-trinh-bay-van-ban-cua-dang.html?categoryId=3000525</x:v>
      </x:c>
      <x:c r="V27" s="123" t="str">
        <x:v>https://thuvienphapluat.vn/van-ban/Bo-may-hanh-chinh/Huong-dan-05-HD-VPTW-2026-the-thuc-va-ky-thuat-trinh-bay-van-ban-cua-Dang-707499.aspx</x:v>
      </x:c>
      <x:c r="W27" s="123" t="str">
        <x:v>CHƯA ĐỦ BẰNG CHỨNG</x:v>
      </x:c>
      <x:c r="X27" s="123" t="str">
        <x:v>CHECK_ONLY</x:v>
      </x:c>
      <x:c r="Y27" s="123" t="str">
        <x:v>Không tự chèn/sửa khi chưa có chứng cứ về đối tượng và rule. | Trạng thái v1.0: CÓ ĐIỀU KIỆN</x:v>
      </x:c>
      <x:c r="Z27" s="135" t="str">
        <x:v>[CHỦ ĐỀ ĐẠI HỘI — CHƯA XÁC MINH]</x:v>
      </x:c>
      <x:c r="AA27" s="123" t="str">
        <x:v>DocumentTitleOrAbstract</x:v>
      </x:c>
      <x:c r="AB27" s="135" t="str">
        <x:v>CẦN XÁC NHẬN</x:v>
      </x:c>
      <x:c r="AC27" s="123" t="str">
        <x:v>CHECK_ONLY</x:v>
      </x:c>
      <x:c r="AD27" s="123" t="str">
        <x:v>PLUGIN:HOA-TIEU-MIEN-BAC-PARTY-HD05-HEADER-2026 | NEEDS_REVIEW</x:v>
      </x:c>
      <x:c r="AE27" s="123" t="str">
        <x:v>GATE: xác minh chủ thể HD05 trước; Đối chiếu mã HD05.D.TY.CHU_DE_DAI_HOI; so cỡ — pt và vùng 5a; giữ nguyên nội dung ngoài phạm vi.</x:v>
      </x:c>
      <x:c r="AF27" s="123" t="str">
        <x:v>Đảng ủy: chỉ chọn khi chủ thể ban hành và phạm vi HD05 đã được xác minh.</x:v>
      </x:c>
      <x:c r="AG27" s="157"/>
      <x:c r="AH27" s="157"/>
      <x:c r="AI27" s="157"/>
      <x:c r="AJ27" s="195"/>
      <x:c r="AK27" s="157" t="str">
        <x:v>KHÔNG ÁP DỤNG</x:v>
      </x:c>
      <x:c r="AL27" s="157" t="str">
        <x:v>KHÔNG ÁP DỤNG</x:v>
      </x:c>
      <x:c r="AM27" s="157"/>
      <x:c r="AN27" s="157" t="str">
        <x:v>CENTER</x:v>
      </x:c>
      <x:c r="AO27" s="157"/>
      <x:c r="AP27" s="157" t="str">
        <x:v>SINGLE</x:v>
      </x:c>
      <x:c r="AQ27" s="195" t="n">
        <x:v>1</x:v>
      </x:c>
      <x:c r="AR27" s="157" t="str">
        <x:v>lines</x:v>
      </x:c>
      <x:c r="AS27" s="195"/>
      <x:c r="AT27" s="195" t="n">
        <x:v>6</x:v>
      </x:c>
      <x:c r="AU27" s="195" t="n">
        <x:v>0</x:v>
      </x:c>
      <x:c r="AV27" s="195"/>
      <x:c r="AW27" s="195"/>
      <x:c r="AX27" s="157"/>
      <x:c r="AY27" s="157"/>
      <x:c r="AZ27" s="157"/>
      <x:c r="BA27" s="195"/>
      <x:c r="BB27" s="195"/>
      <x:c r="BC27" s="157"/>
      <x:c r="BD27" s="195"/>
      <x:c r="BE27" s="195"/>
      <x:c r="BF27" s="195"/>
      <x:c r="BG27" s="195"/>
      <x:c r="BH27" s="157"/>
      <x:c r="BI27" s="195"/>
      <x:c r="BJ27" s="195"/>
      <x:c r="BK27" s="195"/>
      <x:c r="BL27" s="157"/>
      <x:c r="BM27" s="157"/>
      <x:c r="BN27" s="157"/>
      <x:c r="BO27" s="195"/>
      <x:c r="BP27" s="195"/>
      <x:c r="BQ27" s="157"/>
      <x:c r="BR27" s="157"/>
      <x:c r="BS27" s="157"/>
      <x:c r="BT27" s="157" t="str">
        <x:v>DocumentTitleOrAbstract</x:v>
      </x:c>
      <x:c r="BU27" s="157" t="str">
        <x:v>Văn bản/OOXML: xác định đối tượng trước khi sửa</x:v>
      </x:c>
      <x:c r="BV27" s="196" t="str">
        <x:v>CẦN XÁC NHẬN</x:v>
      </x:c>
      <x:c r="BW27" s="197" t="str">
        <x:v>ĐÃ TÁCH MỘT PHẦN</x:v>
      </x:c>
      <x:c r="BX27" s="157" t="str">
        <x:v>Cấu hình profile chưa được xác nhận; giữ nguyên chính sách CHECK_ONLY.</x:v>
      </x:c>
      <x:c r="BY27" t="str">
        <x:v>HD05.D.TY.CHU_DE_DAI_HOI</x:v>
      </x:c>
      <x:c r="BZ27" t="str">
        <x:f>IFERROR(INDEX(HD05!$J$7:$J$300,MATCH($B27,HD05!$B$7:$B$300,0)),"UNRESOLVED")</x:f>
        <x:v>Theo mẫu riêng</x:v>
      </x:c>
      <x:c r="CA27" t="str">
        <x:v>TEXT</x:v>
      </x:c>
      <x:c r="CB27" t="str">
        <x:v>heading_mode_confirmed AND document_type_confirmed</x:v>
      </x:c>
      <x:c r="CC27" t="str">
        <x:f>IFERROR(INDEX(HD05!$X$7:$X$300,MATCH($B27,HD05!$B$7:$B$300,0)),"UNRESOLVED")</x:f>
        <x:v>KHÔNG TỰ SUY DIỄN</x:v>
      </x:c>
      <x:c r="CD27" t="str">
        <x:f>IF(OR(ISNUMBER(SEARCH("READ_ONLY",CC27)),ISNUMBER(SEARCH("PROTECTED",CC27)),ISNUMBER(SEARCH("BẢO VỆ",CC27)),ISNUMBER(SEARCH("KHÔNG KÝ",CC27))),"PROTECTED","CHECK_ONLY")</x:f>
        <x:v>CHECK_ONLY</x:v>
      </x:c>
      <x:c r="CE27" t="str">
        <x:f>IF(AND(CD27="FORMAT_APPROVED",CU27="CÓ",CV27="CÓ",CH27="CÓ",CI27="CÓ",CJ27="CÓ"),"CÓ","KHÔNG")</x:f>
        <x:v>KHÔNG</x:v>
      </x:c>
      <x:c r="CF27" t="str">
        <x:v>KHÔNG</x:v>
      </x:c>
      <x:c r="CG27" t="str">
        <x:v>CÓ</x:v>
      </x:c>
      <x:c r="CH27" t="str">
        <x:v>KHÔNG</x:v>
      </x:c>
      <x:c r="CI27" t="str">
        <x:v>KHÔNG</x:v>
      </x:c>
      <x:c r="CJ27" t="str">
        <x:v>KHÔNG</x:v>
      </x:c>
      <x:c r="CK27" t="str">
        <x:f>IF(AND(CE27="CÓ",CF27="KHÔNG",CG27="CÓ",CU27="CÓ",CV27="CÓ",CH27="CÓ",CI27="CÓ",CJ27="CÓ"),"CÓ","KHÔNG")</x:f>
        <x:v>KHÔNG</x:v>
      </x:c>
      <x:c r="CL27" t="str">
        <x:v>PILOT_NORTH_PROFILE_DRAFT; chưa có master DOCX đã duyệt</x:v>
      </x:c>
      <x:c r="CM27" t="str">
        <x:v>v1.5 (nâng từ v1.4)</x:v>
      </x:c>
      <x:c r="CN27" t="str">
        <x:v>CHƯA XÁC NHẬN CHỦ THỂ ĐẢNG</x:v>
      </x:c>
      <x:c r="CO27" t="str">
        <x:v>HD05_D_TY_CHU_DE_DAI_HOI_FIELD_ONLY; chưa tạo trong Word</x:v>
      </x:c>
      <x:c r="CP27" t="str">
        <x:v>Preset là cấu hình Công ty; không thay thế giới hạn của nguồn NĐ30/HD05</x:v>
      </x:c>
      <x:c r="CQ27" t="str">
        <x:f>IF(OR(BH27="CÓ",BH27=TRUE),BI27,"")</x:f>
      </x:c>
      <x:c r="CR27" t="str">
        <x:f>IF(OR(BH27="CÓ",BH27=TRUE),BJ27,"")</x:f>
      </x:c>
      <x:c r="CS27" t="str">
        <x:v>FORMAT_CHECK_ONLY</x:v>
      </x:c>
      <x:c r="CT27" t="str">
        <x:v>PENDING_SOURCE_AND_DOCX_QA</x:v>
      </x:c>
      <x:c r="CU27" t="str">
        <x:v>KHÔNG</x:v>
      </x:c>
      <x:c r="CV27" t="str">
        <x:v>KHÔNG</x:v>
      </x:c>
      <x:c r="CW27" t="str"/>
    </x:row>
    <x:row r="28" ht="29" customHeight="1">
      <x:c r="A28" s="125" t="n">
        <x:v>22</x:v>
      </x:c>
      <x:c r="B28" s="123" t="str">
        <x:v>HD05.D.NHAN.KINH_GUI</x:v>
      </x:c>
      <x:c r="C28" s="123" t="str">
        <x:v>Đầu văn bản</x:v>
      </x:c>
      <x:c r="D28" s="123" t="str">
        <x:v>Người nhận trực tiếp đầu văn bản</x:v>
      </x:c>
      <x:c r="E28" s="123" t="str">
        <x:v>Nhãn Kính gửi:</x:v>
      </x:c>
      <x:c r="F28" s="123" t="str">
        <x:v>5a</x:v>
      </x:c>
      <x:c r="G28" s="123" t="str">
        <x:v>Công văn: Kính gửi; Tờ trình: Kính trình; nhóm khác theo mẫu quy định</x:v>
      </x:c>
      <x:c r="H28" s="123" t="str">
        <x:v>Nhãn người nhận trực tiếp với dấu hai chấm</x:v>
      </x:c>
      <x:c r="I28" s="123" t="str">
        <x:v>Times New Roman | Unicode | đen</x:v>
      </x:c>
      <x:c r="J28" s="136" t="str">
        <x:v>14</x:v>
      </x:c>
      <x:c r="K28" s="123" t="str">
        <x:v>In thường</x:v>
      </x:c>
      <x:c r="L28" s="123" t="str">
        <x:v>Không</x:v>
      </x:c>
      <x:c r="M28" s="123" t="str">
        <x:v>Có</x:v>
      </x:c>
      <x:c r="N28" s="123" t="str">
        <x:v>Cân đối dưới trích yếu/đầu nội dung theo mẫu loại văn bản</x:v>
      </x:c>
      <x:c r="O28" s="135" t="str">
        <x:v>Single; sau 3 pt</x:v>
      </x:c>
      <x:c r="P28" s="135" t="str">
        <x:v>Thụt 0</x:v>
      </x:c>
      <x:c r="Q28" s="123"/>
      <x:c r="R28" s="123" t="str">
        <x:v>Paragraph/text run; không tự đổi nhãn khác chế độ</x:v>
      </x:c>
      <x:c r="S28" s="123" t="str">
        <x:v>“Kính gửi:” đối với công văn, ô 5a; không phải lỗi trùng định danh với tên loại; áp theo loại văn bản</x:v>
      </x:c>
      <x:c r="T28" s="123" t="str">
        <x:v>HD05, Phần II, I.9; Phụ lục 2 mục 9</x:v>
      </x:c>
      <x:c r="U28" s="123" t="str">
        <x:v>https://dangcongsan.vn/vanphongtrunguong/van-ban-cua-dang/huong-dan-so-05-hd-vptw-ngay-27-5-2026-cua-van-phong-trung-uong-dang-ve-the-thuc-va-ky-thuat-trinh-bay-van-ban-cua-dang.html?categoryId=3000525</x:v>
      </x:c>
      <x:c r="V28" s="123" t="str">
        <x:v>https://thuvienphapluat.vn/van-ban/Bo-may-hanh-chinh/Huong-dan-05-HD-VPTW-2026-the-thuc-va-ky-thuat-trinh-bay-van-ban-cua-Dang-707499.aspx</x:v>
      </x:c>
      <x:c r="W28" s="123" t="str">
        <x:v>ĐỐI CHIẾU MỘT PHẦN</x:v>
      </x:c>
      <x:c r="X28" s="123" t="str">
        <x:v>CHECK_ONLY</x:v>
      </x:c>
      <x:c r="Y28" s="123" t="str">
        <x:v>Không tự chèn/sửa khi chưa có chứng cứ về đối tượng và rule.</x:v>
      </x:c>
      <x:c r="Z28" s="135" t="str">
        <x:v>Kính gửi:</x:v>
      </x:c>
      <x:c r="AA28" s="123" t="str">
        <x:v>RecipientIntro</x:v>
      </x:c>
      <x:c r="AB28" s="135" t="str">
        <x:v>DỰ THẢO — CẦN DUYỆT HD05</x:v>
      </x:c>
      <x:c r="AC28" s="123" t="str">
        <x:v>CHECK_ONLY</x:v>
      </x:c>
      <x:c r="AD28" s="123" t="str">
        <x:v>PLUGIN:HOA-TIEU-MIEN-BAC-PARTY-HD05-HEADER-2026 | NEEDS_REVIEW</x:v>
      </x:c>
      <x:c r="AE28" s="123" t="str">
        <x:v>GATE: xác minh chủ thể HD05 trước; Đối chiếu mã HD05.D.NHAN.KINH_GUI; so cỡ 14 pt và vùng 5a; giữ nguyên nội dung ngoài phạm vi.</x:v>
      </x:c>
      <x:c r="AF28" s="123" t="str">
        <x:v>HD05: Kính gửi chỉ cho công văn, Kính trình chỉ cho tờ trình; ô pháp lý khác nhau. | Đảng ủy: chỉ chọn khi chủ thể ban hành và phạm vi HD05 đã được xác minh.</x:v>
      </x:c>
      <x:c r="AG28" s="157" t="str">
        <x:v>Times New Roman</x:v>
      </x:c>
      <x:c r="AH28" s="157" t="str">
        <x:v>Unicode</x:v>
      </x:c>
      <x:c r="AI28" s="157" t="str">
        <x:v>#000000</x:v>
      </x:c>
      <x:c r="AJ28" s="195" t="n">
        <x:v>14</x:v>
      </x:c>
      <x:c r="AK28" s="157" t="str">
        <x:v>KHÔNG</x:v>
      </x:c>
      <x:c r="AL28" s="157" t="str">
        <x:v>CÓ</x:v>
      </x:c>
      <x:c r="AM28" s="157" t="str">
        <x:v>In thường</x:v>
      </x:c>
      <x:c r="AN28" s="157"/>
      <x:c r="AO28" s="157"/>
      <x:c r="AP28" s="157" t="str">
        <x:v>SINGLE</x:v>
      </x:c>
      <x:c r="AQ28" s="195" t="n">
        <x:v>1</x:v>
      </x:c>
      <x:c r="AR28" s="157" t="str">
        <x:v>lines</x:v>
      </x:c>
      <x:c r="AS28" s="195"/>
      <x:c r="AT28" s="195" t="n">
        <x:v>3</x:v>
      </x:c>
      <x:c r="AU28" s="195" t="n">
        <x:v>0</x:v>
      </x:c>
      <x:c r="AV28" s="195"/>
      <x:c r="AW28" s="195"/>
      <x:c r="AX28" s="157"/>
      <x:c r="AY28" s="157"/>
      <x:c r="AZ28" s="157"/>
      <x:c r="BA28" s="195"/>
      <x:c r="BB28" s="195"/>
      <x:c r="BC28" s="157"/>
      <x:c r="BD28" s="195"/>
      <x:c r="BE28" s="195"/>
      <x:c r="BF28" s="195"/>
      <x:c r="BG28" s="195"/>
      <x:c r="BH28" s="157"/>
      <x:c r="BI28" s="195"/>
      <x:c r="BJ28" s="195"/>
      <x:c r="BK28" s="195"/>
      <x:c r="BL28" s="157"/>
      <x:c r="BM28" s="157"/>
      <x:c r="BN28" s="157"/>
      <x:c r="BO28" s="195"/>
      <x:c r="BP28" s="195"/>
      <x:c r="BQ28" s="157"/>
      <x:c r="BR28" s="157"/>
      <x:c r="BS28" s="157"/>
      <x:c r="BT28" s="157" t="str">
        <x:v>RecipientIntro</x:v>
      </x:c>
      <x:c r="BU28" s="157" t="str">
        <x:v>Paragraph/text run; không tự đổi nhãn khác chế độ</x:v>
      </x:c>
      <x:c r="BV28" s="196" t="str">
        <x:v>DỰ THẢO — CẦN DUYỆT HD05</x:v>
      </x:c>
      <x:c r="BW28" s="197" t="str">
        <x:v>ĐÃ TÁCH MỘT PHẦN</x:v>
      </x:c>
      <x:c r="BX28" s="157" t="str">
        <x:v>Cấu hình profile chưa được xác nhận; giữ nguyên chính sách CHECK_ONLY.</x:v>
      </x:c>
      <x:c r="BY28" t="str">
        <x:v>HD05.D.NHAN.KINH_GUI</x:v>
      </x:c>
      <x:c r="BZ28" t="n">
        <x:f>IFERROR(INDEX(HD05!$J$7:$J$300,MATCH($B28,HD05!$B$7:$B$300,0)),"UNRESOLVED")</x:f>
        <x:v>14</x:v>
      </x:c>
      <x:c r="CA28" t="str">
        <x:v>TEXT</x:v>
      </x:c>
      <x:c r="CB28" t="str">
        <x:v>document_type_confirmed AND recipient_role_confirmed</x:v>
      </x:c>
      <x:c r="CC28" t="str">
        <x:f>IFERROR(INDEX(HD05!$X$7:$X$300,MATCH($B28,HD05!$B$7:$B$300,0)),"UNRESOLVED")</x:f>
        <x:v>READ_ONLY</x:v>
      </x:c>
      <x:c r="CD28" t="str">
        <x:f>IF(OR(ISNUMBER(SEARCH("READ_ONLY",CC28)),ISNUMBER(SEARCH("PROTECTED",CC28)),ISNUMBER(SEARCH("BẢO VỆ",CC28)),ISNUMBER(SEARCH("KHÔNG KÝ",CC28))),"PROTECTED","CHECK_ONLY")</x:f>
        <x:v>PROTECTED</x:v>
      </x:c>
      <x:c r="CE28" t="str">
        <x:f>IF(AND(CD28="FORMAT_APPROVED",CU28="CÓ",CV28="CÓ",CH28="CÓ",CI28="CÓ",CJ28="CÓ"),"CÓ","KHÔNG")</x:f>
        <x:v>KHÔNG</x:v>
      </x:c>
      <x:c r="CF28" t="str">
        <x:v>KHÔNG</x:v>
      </x:c>
      <x:c r="CG28" t="str">
        <x:v>CÓ</x:v>
      </x:c>
      <x:c r="CH28" t="str">
        <x:v>KHÔNG</x:v>
      </x:c>
      <x:c r="CI28" t="str">
        <x:v>KHÔNG</x:v>
      </x:c>
      <x:c r="CJ28" t="str">
        <x:v>KHÔNG</x:v>
      </x:c>
      <x:c r="CK28" t="str">
        <x:f>IF(AND(CE28="CÓ",CF28="KHÔNG",CG28="CÓ",CU28="CÓ",CV28="CÓ",CH28="CÓ",CI28="CÓ",CJ28="CÓ"),"CÓ","KHÔNG")</x:f>
        <x:v>KHÔNG</x:v>
      </x:c>
      <x:c r="CL28" t="str">
        <x:v>PILOT_NORTH_PROFILE_DRAFT; chưa có master DOCX đã duyệt</x:v>
      </x:c>
      <x:c r="CM28" t="str">
        <x:v>v1.5 (nâng từ v1.4)</x:v>
      </x:c>
      <x:c r="CN28" t="str">
        <x:v>CHƯA XÁC NHẬN CHỦ THỂ ĐẢNG</x:v>
      </x:c>
      <x:c r="CO28" t="str">
        <x:v>HD05_D_NHAN_KINH_GUI_FIELD_ONLY; chưa tạo trong Word</x:v>
      </x:c>
      <x:c r="CP28" t="str">
        <x:v>Preset là cấu hình Công ty; không thay thế giới hạn của nguồn NĐ30/HD05</x:v>
      </x:c>
      <x:c r="CQ28" t="str">
        <x:f>IF(OR(BH28="CÓ",BH28=TRUE),BI28,"")</x:f>
      </x:c>
      <x:c r="CR28" t="str">
        <x:f>IF(OR(BH28="CÓ",BH28=TRUE),BJ28,"")</x:f>
      </x:c>
      <x:c r="CS28" t="str">
        <x:v>FORMAT_CHECK_ONLY</x:v>
      </x:c>
      <x:c r="CT28" t="str">
        <x:v>PENDING_SOURCE_AND_DOCX_QA</x:v>
      </x:c>
      <x:c r="CU28" t="str">
        <x:v>KHÔNG</x:v>
      </x:c>
      <x:c r="CV28" t="str">
        <x:v>KHÔNG</x:v>
      </x:c>
      <x:c r="CW28" t="str"/>
    </x:row>
    <x:row r="29" ht="29" customHeight="1">
      <x:c r="A29" s="125" t="n">
        <x:v>23</x:v>
      </x:c>
      <x:c r="B29" s="123" t="str">
        <x:v>HD05.D.NHAN.DS_KINH_GUI</x:v>
      </x:c>
      <x:c r="C29" s="123" t="str">
        <x:v>Đầu văn bản</x:v>
      </x:c>
      <x:c r="D29" s="123" t="str">
        <x:v>Người nhận trực tiếp đầu văn bản</x:v>
      </x:c>
      <x:c r="E29" s="123" t="str">
        <x:v>Danh sách người nhận của công văn</x:v>
      </x:c>
      <x:c r="F29" s="123" t="str">
        <x:v>5a</x:v>
      </x:c>
      <x:c r="G29" s="123" t="str">
        <x:v>Công văn: Kính gửi; Tờ trình: Kính trình; nhóm khác theo mẫu quy định</x:v>
      </x:c>
      <x:c r="H29" s="123" t="str">
        <x:v>Danh sách đối tượng nhận trực tiếp theo chủ thể đã xác minh</x:v>
      </x:c>
      <x:c r="I29" s="123" t="str">
        <x:v>Times New Roman | Unicode | đen</x:v>
      </x:c>
      <x:c r="J29" s="136" t="str">
        <x:v>14</x:v>
      </x:c>
      <x:c r="K29" s="123" t="str">
        <x:v>In thường</x:v>
      </x:c>
      <x:c r="L29" s="123" t="str">
        <x:v>Không</x:v>
      </x:c>
      <x:c r="M29" s="123" t="str">
        <x:v>Có</x:v>
      </x:c>
      <x:c r="N29" s="123" t="str">
        <x:v>Cân đối dưới trích yếu/đầu nội dung theo mẫu loại văn bản</x:v>
      </x:c>
      <x:c r="O29" s="135" t="str">
        <x:v>Single; sau 3 pt</x:v>
      </x:c>
      <x:c r="P29" s="135" t="str">
        <x:v>Thụt 0</x:v>
      </x:c>
      <x:c r="Q29" s="123"/>
      <x:c r="R29" s="123" t="str">
        <x:v>Văn bản/OOXML: xác định đối tượng trước khi sửa</x:v>
      </x:c>
      <x:c r="S29" s="123" t="str">
        <x:v>Nhiều nơi: chấm phẩy giữa các nơi, dấu kết thúc theo mẫu</x:v>
      </x:c>
      <x:c r="T29" s="123" t="str">
        <x:v>HD05, Phần II, I.9; Phụ lục 2 mục 9</x:v>
      </x:c>
      <x:c r="U29" s="123" t="str">
        <x:v>https://dangcongsan.vn/vanphongtrunguong/van-ban-cua-dang/huong-dan-so-05-hd-vptw-ngay-27-5-2026-cua-van-phong-trung-uong-dang-ve-the-thuc-va-ky-thuat-trinh-bay-van-ban-cua-dang.html?categoryId=3000525</x:v>
      </x:c>
      <x:c r="V29" s="123" t="str">
        <x:v>https://thuvienphapluat.vn/van-ban/Bo-may-hanh-chinh/Huong-dan-05-HD-VPTW-2026-the-thuc-va-ky-thuat-trinh-bay-van-ban-cua-Dang-707499.aspx</x:v>
      </x:c>
      <x:c r="W29" s="123" t="str">
        <x:v>ĐỐI CHIẾU MỘT PHẦN</x:v>
      </x:c>
      <x:c r="X29" s="123" t="str">
        <x:v>CHECK_ONLY</x:v>
      </x:c>
      <x:c r="Y29" s="123" t="str">
        <x:v>Không tự chèn/sửa khi chưa có chứng cứ về đối tượng và rule.</x:v>
      </x:c>
      <x:c r="Z29" s="135" t="str">
        <x:v>Kính gửi:</x:v>
      </x:c>
      <x:c r="AA29" s="123" t="str">
        <x:v>RecipientIntro</x:v>
      </x:c>
      <x:c r="AB29" s="135" t="str">
        <x:v>DỰ THẢO — CẦN DUYỆT HD05</x:v>
      </x:c>
      <x:c r="AC29" s="123" t="str">
        <x:v>CHECK_ONLY</x:v>
      </x:c>
      <x:c r="AD29" s="123" t="str">
        <x:v>PLUGIN:HOA-TIEU-MIEN-BAC-PARTY-HD05-HEADER-2026 | NEEDS_REVIEW</x:v>
      </x:c>
      <x:c r="AE29" s="123" t="str">
        <x:v>GATE: xác minh chủ thể HD05 trước; Đối chiếu mã HD05.D.NHAN.DS_KINH_GUI; so cỡ 14 pt và vùng 5a; giữ nguyên nội dung ngoài phạm vi.</x:v>
      </x:c>
      <x:c r="AF29" s="123" t="str">
        <x:v>HD05: Kính gửi chỉ cho công văn, Kính trình chỉ cho tờ trình; ô pháp lý khác nhau. | Đảng ủy: chỉ chọn khi chủ thể ban hành và phạm vi HD05 đã được xác minh.</x:v>
      </x:c>
      <x:c r="AG29" s="157" t="str">
        <x:v>Times New Roman</x:v>
      </x:c>
      <x:c r="AH29" s="157" t="str">
        <x:v>Unicode</x:v>
      </x:c>
      <x:c r="AI29" s="157" t="str">
        <x:v>#000000</x:v>
      </x:c>
      <x:c r="AJ29" s="195" t="n">
        <x:v>14</x:v>
      </x:c>
      <x:c r="AK29" s="157" t="str">
        <x:v>KHÔNG</x:v>
      </x:c>
      <x:c r="AL29" s="157" t="str">
        <x:v>CÓ</x:v>
      </x:c>
      <x:c r="AM29" s="157" t="str">
        <x:v>In thường</x:v>
      </x:c>
      <x:c r="AN29" s="157"/>
      <x:c r="AO29" s="157"/>
      <x:c r="AP29" s="157" t="str">
        <x:v>SINGLE</x:v>
      </x:c>
      <x:c r="AQ29" s="195" t="n">
        <x:v>1</x:v>
      </x:c>
      <x:c r="AR29" s="157" t="str">
        <x:v>lines</x:v>
      </x:c>
      <x:c r="AS29" s="195"/>
      <x:c r="AT29" s="195" t="n">
        <x:v>3</x:v>
      </x:c>
      <x:c r="AU29" s="195" t="n">
        <x:v>0</x:v>
      </x:c>
      <x:c r="AV29" s="195"/>
      <x:c r="AW29" s="195"/>
      <x:c r="AX29" s="157"/>
      <x:c r="AY29" s="157"/>
      <x:c r="AZ29" s="157"/>
      <x:c r="BA29" s="195"/>
      <x:c r="BB29" s="195"/>
      <x:c r="BC29" s="157"/>
      <x:c r="BD29" s="195"/>
      <x:c r="BE29" s="195"/>
      <x:c r="BF29" s="195"/>
      <x:c r="BG29" s="195"/>
      <x:c r="BH29" s="157"/>
      <x:c r="BI29" s="195"/>
      <x:c r="BJ29" s="195"/>
      <x:c r="BK29" s="195"/>
      <x:c r="BL29" s="157"/>
      <x:c r="BM29" s="157"/>
      <x:c r="BN29" s="157"/>
      <x:c r="BO29" s="195"/>
      <x:c r="BP29" s="195"/>
      <x:c r="BQ29" s="157"/>
      <x:c r="BR29" s="157"/>
      <x:c r="BS29" s="157"/>
      <x:c r="BT29" s="157" t="str">
        <x:v>RecipientIntro</x:v>
      </x:c>
      <x:c r="BU29" s="157" t="str">
        <x:v>Văn bản/OOXML: xác định đối tượng trước khi sửa</x:v>
      </x:c>
      <x:c r="BV29" s="196" t="str">
        <x:v>DỰ THẢO — CẦN DUYỆT HD05</x:v>
      </x:c>
      <x:c r="BW29" s="197" t="str">
        <x:v>ĐÃ TÁCH MỘT PHẦN</x:v>
      </x:c>
      <x:c r="BX29" s="157" t="str">
        <x:v>Cấu hình profile chưa được xác nhận; giữ nguyên chính sách CHECK_ONLY.</x:v>
      </x:c>
      <x:c r="BY29" t="str">
        <x:v>HD05.D.NHAN.DS_KINH_GUI</x:v>
      </x:c>
      <x:c r="BZ29" t="str">
        <x:f>IFERROR(INDEX(HD05!$J$7:$J$300,MATCH($B29,HD05!$B$7:$B$300,0)),"UNRESOLVED")</x:f>
        <x:v>14–15</x:v>
      </x:c>
      <x:c r="CA29" t="str">
        <x:v>PROTECTED_TEXT</x:v>
      </x:c>
      <x:c r="CB29" t="str">
        <x:v>document_type_confirmed AND recipient_role_confirmed</x:v>
      </x:c>
      <x:c r="CC29" t="str">
        <x:f>IFERROR(INDEX(HD05!$X$7:$X$300,MATCH($B29,HD05!$B$7:$B$300,0)),"UNRESOLVED")</x:f>
        <x:v>KHÔNG TỰ ĐIỀN NGƯỜI NHẬN</x:v>
      </x:c>
      <x:c r="CD29" t="str">
        <x:f>IF(OR(ISNUMBER(SEARCH("READ_ONLY",CC29)),ISNUMBER(SEARCH("PROTECTED",CC29)),ISNUMBER(SEARCH("BẢO VỆ",CC29)),ISNUMBER(SEARCH("KHÔNG KÝ",CC29))),"PROTECTED","CHECK_ONLY")</x:f>
        <x:v>CHECK_ONLY</x:v>
      </x:c>
      <x:c r="CE29" t="str">
        <x:f>IF(AND(CD29="FORMAT_APPROVED",CU29="CÓ",CV29="CÓ",CH29="CÓ",CI29="CÓ",CJ29="CÓ"),"CÓ","KHÔNG")</x:f>
        <x:v>KHÔNG</x:v>
      </x:c>
      <x:c r="CF29" t="str">
        <x:v>KHÔNG</x:v>
      </x:c>
      <x:c r="CG29" t="str">
        <x:v>CÓ</x:v>
      </x:c>
      <x:c r="CH29" t="str">
        <x:v>KHÔNG</x:v>
      </x:c>
      <x:c r="CI29" t="str">
        <x:v>KHÔNG</x:v>
      </x:c>
      <x:c r="CJ29" t="str">
        <x:v>KHÔNG</x:v>
      </x:c>
      <x:c r="CK29" t="str">
        <x:f>IF(AND(CE29="CÓ",CF29="KHÔNG",CG29="CÓ",CU29="CÓ",CV29="CÓ",CH29="CÓ",CI29="CÓ",CJ29="CÓ"),"CÓ","KHÔNG")</x:f>
        <x:v>KHÔNG</x:v>
      </x:c>
      <x:c r="CL29" t="str">
        <x:v>PILOT_NORTH_PROFILE_DRAFT; chưa có master DOCX đã duyệt</x:v>
      </x:c>
      <x:c r="CM29" t="str">
        <x:v>v1.5 (nâng từ v1.4)</x:v>
      </x:c>
      <x:c r="CN29" t="str">
        <x:v>CHƯA XÁC NHẬN CHỦ THỂ ĐẢNG</x:v>
      </x:c>
      <x:c r="CO29" t="str">
        <x:v>HD05_D_NHAN_DS_KINH_GUI_FIELD_ONLY; chưa tạo trong Word</x:v>
      </x:c>
      <x:c r="CP29" t="str">
        <x:v>Preset là cấu hình Công ty; không thay thế giới hạn của nguồn NĐ30/HD05</x:v>
      </x:c>
      <x:c r="CQ29" t="str">
        <x:f>IF(OR(BH29="CÓ",BH29=TRUE),BI29,"")</x:f>
      </x:c>
      <x:c r="CR29" t="str">
        <x:f>IF(OR(BH29="CÓ",BH29=TRUE),BJ29,"")</x:f>
      </x:c>
      <x:c r="CS29" t="str">
        <x:v>FORMAT_CHECK_ONLY</x:v>
      </x:c>
      <x:c r="CT29" t="str">
        <x:v>PENDING_SOURCE_AND_DOCX_QA</x:v>
      </x:c>
      <x:c r="CU29" t="str">
        <x:v>KHÔNG</x:v>
      </x:c>
      <x:c r="CV29" t="str">
        <x:v>KHÔNG</x:v>
      </x:c>
      <x:c r="CW29" t="str"/>
    </x:row>
    <x:row r="30" ht="29" customHeight="1">
      <x:c r="A30" s="125" t="n">
        <x:v>24</x:v>
      </x:c>
      <x:c r="B30" s="123" t="str">
        <x:v>HD05.D.NHAN.KINH_TRINH</x:v>
      </x:c>
      <x:c r="C30" s="123" t="str">
        <x:v>Đầu văn bản</x:v>
      </x:c>
      <x:c r="D30" s="123" t="str">
        <x:v>Người nhận trực tiếp đầu văn bản</x:v>
      </x:c>
      <x:c r="E30" s="123" t="str">
        <x:v>Nhãn Kính trình:</x:v>
      </x:c>
      <x:c r="F30" s="123" t="str">
        <x:v>9b</x:v>
      </x:c>
      <x:c r="G30" s="123" t="str">
        <x:v>Công văn: Kính gửi; Tờ trình: Kính trình; nhóm khác theo mẫu quy định</x:v>
      </x:c>
      <x:c r="H30" s="123" t="str">
        <x:v>Nhãn người nhận trực tiếp với dấu hai chấm</x:v>
      </x:c>
      <x:c r="I30" s="123" t="str">
        <x:v>Times New Roman | Unicode | đen</x:v>
      </x:c>
      <x:c r="J30" s="136" t="str">
        <x:v>14</x:v>
      </x:c>
      <x:c r="K30" s="123" t="str">
        <x:v>In thường</x:v>
      </x:c>
      <x:c r="L30" s="123" t="str">
        <x:v>Không</x:v>
      </x:c>
      <x:c r="M30" s="123" t="str">
        <x:v>Có</x:v>
      </x:c>
      <x:c r="N30" s="123" t="str">
        <x:v>Cân đối dưới trích yếu/đầu nội dung theo mẫu loại văn bản</x:v>
      </x:c>
      <x:c r="O30" s="135" t="str">
        <x:v>Single; sau 3 pt</x:v>
      </x:c>
      <x:c r="P30" s="135" t="str">
        <x:v>Thụt 0</x:v>
      </x:c>
      <x:c r="Q30" s="123"/>
      <x:c r="R30" s="123" t="str">
        <x:v>Paragraph/text run; không tự đổi nhãn khác chế độ</x:v>
      </x:c>
      <x:c r="S30" s="123" t="str">
        <x:v>“Kính trình:” đối với tờ trình, ô 9b; phân biệt với “Nơi nhận” cuối tại 9a</x:v>
      </x:c>
      <x:c r="T30" s="123" t="str">
        <x:v>HD05, Phần II, I.9; Phụ lục 2 mục 9</x:v>
      </x:c>
      <x:c r="U30" s="123" t="str">
        <x:v>https://dangcongsan.vn/vanphongtrunguong/van-ban-cua-dang/huong-dan-so-05-hd-vptw-ngay-27-5-2026-cua-van-phong-trung-uong-dang-ve-the-thuc-va-ky-thuat-trinh-bay-van-ban-cua-dang.html?categoryId=3000525</x:v>
      </x:c>
      <x:c r="V30" s="123" t="str">
        <x:v>https://thuvienphapluat.vn/van-ban/Bo-may-hanh-chinh/Huong-dan-05-HD-VPTW-2026-the-thuc-va-ky-thuat-trinh-bay-van-ban-cua-Dang-707499.aspx</x:v>
      </x:c>
      <x:c r="W30" s="123" t="str">
        <x:v>ĐỐI CHIẾU MỘT PHẦN</x:v>
      </x:c>
      <x:c r="X30" s="123" t="str">
        <x:v>CHECK_ONLY</x:v>
      </x:c>
      <x:c r="Y30" s="123" t="str">
        <x:v>Không tự chèn/sửa khi chưa có chứng cứ về đối tượng và rule.</x:v>
      </x:c>
      <x:c r="Z30" s="135" t="str">
        <x:v>Kính trình:</x:v>
      </x:c>
      <x:c r="AA30" s="123" t="str">
        <x:v>RecipientIntro</x:v>
      </x:c>
      <x:c r="AB30" s="135" t="str">
        <x:v>DỰ THẢO — CẦN DUYỆT HD05</x:v>
      </x:c>
      <x:c r="AC30" s="123" t="str">
        <x:v>CHECK_ONLY</x:v>
      </x:c>
      <x:c r="AD30" s="123" t="str">
        <x:v>PLUGIN:HOA-TIEU-MIEN-BAC-PARTY-HD05-HEADER-2026 | NEEDS_REVIEW</x:v>
      </x:c>
      <x:c r="AE30" s="123" t="str">
        <x:v>GATE: xác minh chủ thể HD05 trước; Đối chiếu mã HD05.D.NHAN.KINH_TRINH; so cỡ 14 pt và vùng 9b; giữ nguyên nội dung ngoài phạm vi.</x:v>
      </x:c>
      <x:c r="AF30" s="123" t="str">
        <x:v>HD05: Kính gửi chỉ cho công văn, Kính trình chỉ cho tờ trình; ô pháp lý khác nhau. | Đảng ủy: chỉ chọn khi chủ thể ban hành và phạm vi HD05 đã được xác minh.</x:v>
      </x:c>
      <x:c r="AG30" s="157" t="str">
        <x:v>Times New Roman</x:v>
      </x:c>
      <x:c r="AH30" s="157" t="str">
        <x:v>Unicode</x:v>
      </x:c>
      <x:c r="AI30" s="157" t="str">
        <x:v>#000000</x:v>
      </x:c>
      <x:c r="AJ30" s="195" t="n">
        <x:v>14</x:v>
      </x:c>
      <x:c r="AK30" s="157" t="str">
        <x:v>KHÔNG</x:v>
      </x:c>
      <x:c r="AL30" s="157" t="str">
        <x:v>CÓ</x:v>
      </x:c>
      <x:c r="AM30" s="157" t="str">
        <x:v>In thường</x:v>
      </x:c>
      <x:c r="AN30" s="157"/>
      <x:c r="AO30" s="157"/>
      <x:c r="AP30" s="157" t="str">
        <x:v>SINGLE</x:v>
      </x:c>
      <x:c r="AQ30" s="195" t="n">
        <x:v>1</x:v>
      </x:c>
      <x:c r="AR30" s="157" t="str">
        <x:v>lines</x:v>
      </x:c>
      <x:c r="AS30" s="195"/>
      <x:c r="AT30" s="195" t="n">
        <x:v>3</x:v>
      </x:c>
      <x:c r="AU30" s="195" t="n">
        <x:v>0</x:v>
      </x:c>
      <x:c r="AV30" s="195"/>
      <x:c r="AW30" s="195"/>
      <x:c r="AX30" s="157"/>
      <x:c r="AY30" s="157"/>
      <x:c r="AZ30" s="157"/>
      <x:c r="BA30" s="195"/>
      <x:c r="BB30" s="195"/>
      <x:c r="BC30" s="157"/>
      <x:c r="BD30" s="195"/>
      <x:c r="BE30" s="195"/>
      <x:c r="BF30" s="195"/>
      <x:c r="BG30" s="195"/>
      <x:c r="BH30" s="157"/>
      <x:c r="BI30" s="195"/>
      <x:c r="BJ30" s="195"/>
      <x:c r="BK30" s="195"/>
      <x:c r="BL30" s="157"/>
      <x:c r="BM30" s="157"/>
      <x:c r="BN30" s="157"/>
      <x:c r="BO30" s="195"/>
      <x:c r="BP30" s="195"/>
      <x:c r="BQ30" s="157"/>
      <x:c r="BR30" s="157"/>
      <x:c r="BS30" s="157"/>
      <x:c r="BT30" s="157" t="str">
        <x:v>RecipientIntro</x:v>
      </x:c>
      <x:c r="BU30" s="157" t="str">
        <x:v>Paragraph/text run; không tự đổi nhãn khác chế độ</x:v>
      </x:c>
      <x:c r="BV30" s="196" t="str">
        <x:v>DỰ THẢO — CẦN DUYỆT HD05</x:v>
      </x:c>
      <x:c r="BW30" s="197" t="str">
        <x:v>ĐÃ TÁCH MỘT PHẦN</x:v>
      </x:c>
      <x:c r="BX30" s="157" t="str">
        <x:v>Cấu hình profile chưa được xác nhận; giữ nguyên chính sách CHECK_ONLY.</x:v>
      </x:c>
      <x:c r="BY30" t="str">
        <x:v>HD05.D.NHAN.KINH_TRINH</x:v>
      </x:c>
      <x:c r="BZ30" t="n">
        <x:f>IFERROR(INDEX(HD05!$J$7:$J$300,MATCH($B30,HD05!$B$7:$B$300,0)),"UNRESOLVED")</x:f>
        <x:v>14</x:v>
      </x:c>
      <x:c r="CA30" t="str">
        <x:v>TEXT</x:v>
      </x:c>
      <x:c r="CB30" t="str">
        <x:v>document_type_confirmed AND recipient_role_confirmed</x:v>
      </x:c>
      <x:c r="CC30" t="str">
        <x:f>IFERROR(INDEX(HD05!$X$7:$X$300,MATCH($B30,HD05!$B$7:$B$300,0)),"UNRESOLVED")</x:f>
        <x:v>READ_ONLY</x:v>
      </x:c>
      <x:c r="CD30" t="str">
        <x:f>IF(OR(ISNUMBER(SEARCH("READ_ONLY",CC30)),ISNUMBER(SEARCH("PROTECTED",CC30)),ISNUMBER(SEARCH("BẢO VỆ",CC30)),ISNUMBER(SEARCH("KHÔNG KÝ",CC30))),"PROTECTED","CHECK_ONLY")</x:f>
        <x:v>PROTECTED</x:v>
      </x:c>
      <x:c r="CE30" t="str">
        <x:f>IF(AND(CD30="FORMAT_APPROVED",CU30="CÓ",CV30="CÓ",CH30="CÓ",CI30="CÓ",CJ30="CÓ"),"CÓ","KHÔNG")</x:f>
        <x:v>KHÔNG</x:v>
      </x:c>
      <x:c r="CF30" t="str">
        <x:v>KHÔNG</x:v>
      </x:c>
      <x:c r="CG30" t="str">
        <x:v>CÓ</x:v>
      </x:c>
      <x:c r="CH30" t="str">
        <x:v>KHÔNG</x:v>
      </x:c>
      <x:c r="CI30" t="str">
        <x:v>KHÔNG</x:v>
      </x:c>
      <x:c r="CJ30" t="str">
        <x:v>KHÔNG</x:v>
      </x:c>
      <x:c r="CK30" t="str">
        <x:f>IF(AND(CE30="CÓ",CF30="KHÔNG",CG30="CÓ",CU30="CÓ",CV30="CÓ",CH30="CÓ",CI30="CÓ",CJ30="CÓ"),"CÓ","KHÔNG")</x:f>
        <x:v>KHÔNG</x:v>
      </x:c>
      <x:c r="CL30" t="str">
        <x:v>PILOT_NORTH_PROFILE_DRAFT; chưa có master DOCX đã duyệt</x:v>
      </x:c>
      <x:c r="CM30" t="str">
        <x:v>v1.5 (nâng từ v1.4)</x:v>
      </x:c>
      <x:c r="CN30" t="str">
        <x:v>CHƯA XÁC NHẬN CHỦ THỂ ĐẢNG</x:v>
      </x:c>
      <x:c r="CO30" t="str">
        <x:v>HD05_D_NHAN_KINH_TRINH_FIELD_ONLY; chưa tạo trong Word</x:v>
      </x:c>
      <x:c r="CP30" t="str">
        <x:v>Preset là cấu hình Công ty; không thay thế giới hạn của nguồn NĐ30/HD05</x:v>
      </x:c>
      <x:c r="CQ30" t="str">
        <x:f>IF(OR(BH30="CÓ",BH30=TRUE),BI30,"")</x:f>
      </x:c>
      <x:c r="CR30" t="str">
        <x:f>IF(OR(BH30="CÓ",BH30=TRUE),BJ30,"")</x:f>
      </x:c>
      <x:c r="CS30" t="str">
        <x:v>FORMAT_CHECK_ONLY</x:v>
      </x:c>
      <x:c r="CT30" t="str">
        <x:v>PENDING_SOURCE_AND_DOCX_QA</x:v>
      </x:c>
      <x:c r="CU30" t="str">
        <x:v>KHÔNG</x:v>
      </x:c>
      <x:c r="CV30" t="str">
        <x:v>KHÔNG</x:v>
      </x:c>
      <x:c r="CW30" t="str"/>
    </x:row>
    <x:row r="31" ht="29" customHeight="1">
      <x:c r="A31" s="125" t="n">
        <x:v>25</x:v>
      </x:c>
      <x:c r="B31" s="123" t="str">
        <x:v>HD05.D.NHAN.DS_KINH_TRINH</x:v>
      </x:c>
      <x:c r="C31" s="123" t="str">
        <x:v>Đầu văn bản</x:v>
      </x:c>
      <x:c r="D31" s="123" t="str">
        <x:v>Người nhận trực tiếp đầu văn bản</x:v>
      </x:c>
      <x:c r="E31" s="123" t="str">
        <x:v>Danh sách đối tượng được trình</x:v>
      </x:c>
      <x:c r="F31" s="123" t="str">
        <x:v>9b</x:v>
      </x:c>
      <x:c r="G31" s="123" t="str">
        <x:v>Công văn: Kính gửi; Tờ trình: Kính trình; nhóm khác theo mẫu quy định</x:v>
      </x:c>
      <x:c r="H31" s="123" t="str">
        <x:v>Danh sách đối tượng nhận trực tiếp theo chủ thể đã xác minh</x:v>
      </x:c>
      <x:c r="I31" s="123" t="str">
        <x:v>Times New Roman | Unicode | đen</x:v>
      </x:c>
      <x:c r="J31" s="136" t="str">
        <x:v>14</x:v>
      </x:c>
      <x:c r="K31" s="123" t="str">
        <x:v>In thường</x:v>
      </x:c>
      <x:c r="L31" s="123" t="str">
        <x:v>Không</x:v>
      </x:c>
      <x:c r="M31" s="123" t="str">
        <x:v>Có</x:v>
      </x:c>
      <x:c r="N31" s="123" t="str">
        <x:v>Cân đối dưới trích yếu/đầu nội dung theo mẫu loại văn bản</x:v>
      </x:c>
      <x:c r="O31" s="135" t="str">
        <x:v>Single; sau 3 pt</x:v>
      </x:c>
      <x:c r="P31" s="135" t="str">
        <x:v>Thụt 0</x:v>
      </x:c>
      <x:c r="Q31" s="123"/>
      <x:c r="R31" s="123" t="str">
        <x:v>Văn bản/OOXML: xác định đối tượng trước khi sửa</x:v>
      </x:c>
      <x:c r="S31" s="123" t="str">
        <x:v>Nhiều nơi: chấm phẩy giữa các nơi, dấu kết thúc theo mẫu</x:v>
      </x:c>
      <x:c r="T31" s="123" t="str">
        <x:v>HD05, Phần II, I.9; Phụ lục 2 mục 9</x:v>
      </x:c>
      <x:c r="U31" s="123" t="str">
        <x:v>https://dangcongsan.vn/vanphongtrunguong/van-ban-cua-dang/huong-dan-so-05-hd-vptw-ngay-27-5-2026-cua-van-phong-trung-uong-dang-ve-the-thuc-va-ky-thuat-trinh-bay-van-ban-cua-dang.html?categoryId=3000525</x:v>
      </x:c>
      <x:c r="V31" s="123" t="str">
        <x:v>https://thuvienphapluat.vn/van-ban/Bo-may-hanh-chinh/Huong-dan-05-HD-VPTW-2026-the-thuc-va-ky-thuat-trinh-bay-van-ban-cua-Dang-707499.aspx</x:v>
      </x:c>
      <x:c r="W31" s="123" t="str">
        <x:v>ĐỐI CHIẾU MỘT PHẦN</x:v>
      </x:c>
      <x:c r="X31" s="123" t="str">
        <x:v>CHECK_ONLY</x:v>
      </x:c>
      <x:c r="Y31" s="123" t="str">
        <x:v>Không tự chèn/sửa khi chưa có chứng cứ về đối tượng và rule.</x:v>
      </x:c>
      <x:c r="Z31" s="135" t="str">
        <x:v>Kính trình:</x:v>
      </x:c>
      <x:c r="AA31" s="123" t="str">
        <x:v>RecipientIntro</x:v>
      </x:c>
      <x:c r="AB31" s="135" t="str">
        <x:v>DỰ THẢO — CẦN DUYỆT HD05</x:v>
      </x:c>
      <x:c r="AC31" s="123" t="str">
        <x:v>CHECK_ONLY</x:v>
      </x:c>
      <x:c r="AD31" s="123" t="str">
        <x:v>PLUGIN:HOA-TIEU-MIEN-BAC-PARTY-HD05-HEADER-2026 | NEEDS_REVIEW</x:v>
      </x:c>
      <x:c r="AE31" s="123" t="str">
        <x:v>GATE: xác minh chủ thể HD05 trước; Đối chiếu mã HD05.D.NHAN.DS_KINH_TRINH; so cỡ 14 pt và vùng 9b; giữ nguyên nội dung ngoài phạm vi.</x:v>
      </x:c>
      <x:c r="AF31" s="123" t="str">
        <x:v>HD05: Kính gửi chỉ cho công văn, Kính trình chỉ cho tờ trình; ô pháp lý khác nhau. | Đảng ủy: chỉ chọn khi chủ thể ban hành và phạm vi HD05 đã được xác minh.</x:v>
      </x:c>
      <x:c r="AG31" s="157" t="str">
        <x:v>Times New Roman</x:v>
      </x:c>
      <x:c r="AH31" s="157" t="str">
        <x:v>Unicode</x:v>
      </x:c>
      <x:c r="AI31" s="157" t="str">
        <x:v>#000000</x:v>
      </x:c>
      <x:c r="AJ31" s="195" t="n">
        <x:v>14</x:v>
      </x:c>
      <x:c r="AK31" s="157" t="str">
        <x:v>KHÔNG</x:v>
      </x:c>
      <x:c r="AL31" s="157" t="str">
        <x:v>CÓ</x:v>
      </x:c>
      <x:c r="AM31" s="157" t="str">
        <x:v>In thường</x:v>
      </x:c>
      <x:c r="AN31" s="157"/>
      <x:c r="AO31" s="157"/>
      <x:c r="AP31" s="157" t="str">
        <x:v>SINGLE</x:v>
      </x:c>
      <x:c r="AQ31" s="195" t="n">
        <x:v>1</x:v>
      </x:c>
      <x:c r="AR31" s="157" t="str">
        <x:v>lines</x:v>
      </x:c>
      <x:c r="AS31" s="195"/>
      <x:c r="AT31" s="195" t="n">
        <x:v>3</x:v>
      </x:c>
      <x:c r="AU31" s="195" t="n">
        <x:v>0</x:v>
      </x:c>
      <x:c r="AV31" s="195"/>
      <x:c r="AW31" s="195"/>
      <x:c r="AX31" s="157"/>
      <x:c r="AY31" s="157"/>
      <x:c r="AZ31" s="157"/>
      <x:c r="BA31" s="195"/>
      <x:c r="BB31" s="195"/>
      <x:c r="BC31" s="157"/>
      <x:c r="BD31" s="195"/>
      <x:c r="BE31" s="195"/>
      <x:c r="BF31" s="195"/>
      <x:c r="BG31" s="195"/>
      <x:c r="BH31" s="157"/>
      <x:c r="BI31" s="195"/>
      <x:c r="BJ31" s="195"/>
      <x:c r="BK31" s="195"/>
      <x:c r="BL31" s="157"/>
      <x:c r="BM31" s="157"/>
      <x:c r="BN31" s="157"/>
      <x:c r="BO31" s="195"/>
      <x:c r="BP31" s="195"/>
      <x:c r="BQ31" s="157"/>
      <x:c r="BR31" s="157"/>
      <x:c r="BS31" s="157"/>
      <x:c r="BT31" s="157" t="str">
        <x:v>RecipientIntro</x:v>
      </x:c>
      <x:c r="BU31" s="157" t="str">
        <x:v>Văn bản/OOXML: xác định đối tượng trước khi sửa</x:v>
      </x:c>
      <x:c r="BV31" s="196" t="str">
        <x:v>DỰ THẢO — CẦN DUYỆT HD05</x:v>
      </x:c>
      <x:c r="BW31" s="197" t="str">
        <x:v>ĐÃ TÁCH MỘT PHẦN</x:v>
      </x:c>
      <x:c r="BX31" s="157" t="str">
        <x:v>Cấu hình profile chưa được xác nhận; giữ nguyên chính sách CHECK_ONLY.</x:v>
      </x:c>
      <x:c r="BY31" t="str">
        <x:v>HD05.D.NHAN.DS_KINH_TRINH</x:v>
      </x:c>
      <x:c r="BZ31" t="str">
        <x:f>IFERROR(INDEX(HD05!$J$7:$J$300,MATCH($B31,HD05!$B$7:$B$300,0)),"UNRESOLVED")</x:f>
        <x:v>14–15</x:v>
      </x:c>
      <x:c r="CA31" t="str">
        <x:v>PROTECTED_TEXT</x:v>
      </x:c>
      <x:c r="CB31" t="str">
        <x:v>document_type_confirmed AND recipient_role_confirmed</x:v>
      </x:c>
      <x:c r="CC31" t="str">
        <x:f>IFERROR(INDEX(HD05!$X$7:$X$300,MATCH($B31,HD05!$B$7:$B$300,0)),"UNRESOLVED")</x:f>
        <x:v>KHÔNG TỰ ĐIỀN NGƯỜI NHẬN</x:v>
      </x:c>
      <x:c r="CD31" t="str">
        <x:f>IF(OR(ISNUMBER(SEARCH("READ_ONLY",CC31)),ISNUMBER(SEARCH("PROTECTED",CC31)),ISNUMBER(SEARCH("BẢO VỆ",CC31)),ISNUMBER(SEARCH("KHÔNG KÝ",CC31))),"PROTECTED","CHECK_ONLY")</x:f>
        <x:v>CHECK_ONLY</x:v>
      </x:c>
      <x:c r="CE31" t="str">
        <x:f>IF(AND(CD31="FORMAT_APPROVED",CU31="CÓ",CV31="CÓ",CH31="CÓ",CI31="CÓ",CJ31="CÓ"),"CÓ","KHÔNG")</x:f>
        <x:v>KHÔNG</x:v>
      </x:c>
      <x:c r="CF31" t="str">
        <x:v>KHÔNG</x:v>
      </x:c>
      <x:c r="CG31" t="str">
        <x:v>CÓ</x:v>
      </x:c>
      <x:c r="CH31" t="str">
        <x:v>KHÔNG</x:v>
      </x:c>
      <x:c r="CI31" t="str">
        <x:v>KHÔNG</x:v>
      </x:c>
      <x:c r="CJ31" t="str">
        <x:v>KHÔNG</x:v>
      </x:c>
      <x:c r="CK31" t="str">
        <x:f>IF(AND(CE31="CÓ",CF31="KHÔNG",CG31="CÓ",CU31="CÓ",CV31="CÓ",CH31="CÓ",CI31="CÓ",CJ31="CÓ"),"CÓ","KHÔNG")</x:f>
        <x:v>KHÔNG</x:v>
      </x:c>
      <x:c r="CL31" t="str">
        <x:v>PILOT_NORTH_PROFILE_DRAFT; chưa có master DOCX đã duyệt</x:v>
      </x:c>
      <x:c r="CM31" t="str">
        <x:v>v1.5 (nâng từ v1.4)</x:v>
      </x:c>
      <x:c r="CN31" t="str">
        <x:v>CHƯA XÁC NHẬN CHỦ THỂ ĐẢNG</x:v>
      </x:c>
      <x:c r="CO31" t="str">
        <x:v>HD05_D_NHAN_DS_KINH_TRINH_FIELD_ONLY; chưa tạo trong Word</x:v>
      </x:c>
      <x:c r="CP31" t="str">
        <x:v>Preset là cấu hình Công ty; không thay thế giới hạn của nguồn NĐ30/HD05</x:v>
      </x:c>
      <x:c r="CQ31" t="str">
        <x:f>IF(OR(BH31="CÓ",BH31=TRUE),BI31,"")</x:f>
      </x:c>
      <x:c r="CR31" t="str">
        <x:f>IF(OR(BH31="CÓ",BH31=TRUE),BJ31,"")</x:f>
      </x:c>
      <x:c r="CS31" t="str">
        <x:v>FORMAT_CHECK_ONLY</x:v>
      </x:c>
      <x:c r="CT31" t="str">
        <x:v>PENDING_SOURCE_AND_DOCX_QA</x:v>
      </x:c>
      <x:c r="CU31" t="str">
        <x:v>KHÔNG</x:v>
      </x:c>
      <x:c r="CV31" t="str">
        <x:v>KHÔNG</x:v>
      </x:c>
      <x:c r="CW31" t="str"/>
    </x:row>
    <x:row r="32" ht="29" customHeight="1">
      <x:c r="A32" s="125" t="n">
        <x:v>26</x:v>
      </x:c>
      <x:c r="B32" s="123" t="str">
        <x:v>HD05.N.MD.MO_DAU</x:v>
      </x:c>
      <x:c r="C32" s="123" t="str">
        <x:v>Nội dung</x:v>
      </x:c>
      <x:c r="D32" s="123" t="str">
        <x:v>Mở đầu và căn cứ</x:v>
      </x:c>
      <x:c r="E32" s="123" t="str">
        <x:v>Đoạn dẫn nhập</x:v>
      </x:c>
      <x:c r="F32" s="123" t="str">
        <x:v>6</x:v>
      </x:c>
      <x:c r="G32" s="123" t="str">
        <x:v>Theo loại văn bản và sự hiện diện thực tế; không áp dụng đồng loạt</x:v>
      </x:c>
      <x:c r="H32" s="123" t="str">
        <x:v>Dẫn nhập/câu mở đầu theo loại văn bản và nghĩa vụ nội dung</x:v>
      </x:c>
      <x:c r="I32" s="123" t="str">
        <x:v>Times New Roman | Unicode | đen</x:v>
      </x:c>
      <x:c r="J32" s="136" t="str">
        <x:v>14</x:v>
      </x:c>
      <x:c r="K32" s="123" t="str">
        <x:v>In thường (trừ tiêu đề)</x:v>
      </x:c>
      <x:c r="L32" s="123" t="str">
        <x:v>Không</x:v>
      </x:c>
      <x:c r="M32" s="123" t="str">
        <x:v>Không mặc định</x:v>
      </x:c>
      <x:c r="N32" s="123" t="str">
        <x:v>Căn đều hai lề (justify)</x:v>
      </x:c>
      <x:c r="O32" s="135" t="str">
        <x:v>Exactly 19 pt; after 6 pt; before 0 pt</x:v>
      </x:c>
      <x:c r="P32" s="135" t="str">
        <x:v>First line 10 mm (~567 twip)</x:v>
      </x:c>
      <x:c r="Q32" s="123"/>
      <x:c r="R32" s="123" t="str">
        <x:v>Paragraph/Run theo kiểu khối MD; preserve list numbering/table/drawing nếu có</x:v>
      </x:c>
      <x:c r="S32" s="123" t="str">
        <x:v>TNR 14 pt; căn đều; Exactly 19 pt; trước 0/sau 6 pt; thụt dòng đầu 10 mm</x:v>
      </x:c>
      <x:c r="T32" s="123" t="str">
        <x:v>HD05, Phần II, I.6 và IV; Phụ lục 2 mục 6</x:v>
      </x:c>
      <x:c r="U32" s="123" t="str">
        <x:v>https://dangcongsan.vn/vanphongtrunguong/van-ban-cua-dang/huong-dan-so-05-hd-vptw-ngay-27-5-2026-cua-van-phong-trung-uong-dang-ve-the-thuc-va-ky-thuat-trinh-bay-van-ban-cua-dang.html?categoryId=3000525</x:v>
      </x:c>
      <x:c r="V32" s="123" t="str">
        <x:v>https://thuvienphapluat.vn/van-ban/Bo-may-hanh-chinh/Huong-dan-05-HD-VPTW-2026-the-thuc-va-ky-thuat-trinh-bay-van-ban-cua-Dang-707499.aspx</x:v>
      </x:c>
      <x:c r="W32" s="123" t="str">
        <x:v>CHƯA ĐỦ BẰNG CHỨNG</x:v>
      </x:c>
      <x:c r="X32" s="123" t="str">
        <x:v>CHECK_ONLY</x:v>
      </x:c>
      <x:c r="Y32" s="123" t="str">
        <x:v>Không tự chèn/sửa khi chưa có chứng cứ về đối tượng và rule. | Trạng thái v1.0: CÓ ĐIỀU KIỆN</x:v>
      </x:c>
      <x:c r="Z32" s="135" t="str">
        <x:v>TNR 14 pt; căn đều; Exactly 19 pt; trước 0/sau 6 pt; thụt dòng đầu 10 mm</x:v>
      </x:c>
      <x:c r="AA32" s="123" t="str">
        <x:v>BodyText-14</x:v>
      </x:c>
      <x:c r="AB32" s="135" t="str">
        <x:v>DỰ THẢO — CẦN DUYỆT HD05</x:v>
      </x:c>
      <x:c r="AC32" s="123" t="str">
        <x:v>CHECK_ONLY</x:v>
      </x:c>
      <x:c r="AD32" s="123" t="str">
        <x:v>PLUGIN:HOA-TIEU-MIEN-BAC-PARTY-HD05-HEADER-2026 | NEEDS_REVIEW</x:v>
      </x:c>
      <x:c r="AE32" s="123" t="str">
        <x:v>GATE: xác minh chủ thể HD05 trước; Render 1–3 trang: so TNR 14 pt, spacing Exactly 19 pt; after 6 pt; before 0 pt, indent First line 10 mm (~567 twip); kiểm tra không tràn chữ.</x:v>
      </x:c>
      <x:c r="AF32" s="123" t="str">
        <x:v>Đảng ủy: chỉ chọn khi chủ thể ban hành và phạm vi HD05 đã được xác minh.</x:v>
      </x:c>
      <x:c r="AG32" s="157" t="str">
        <x:v>Times New Roman</x:v>
      </x:c>
      <x:c r="AH32" s="157" t="str">
        <x:v>Unicode</x:v>
      </x:c>
      <x:c r="AI32" s="157" t="str">
        <x:v>#000000</x:v>
      </x:c>
      <x:c r="AJ32" s="195" t="n">
        <x:v>14</x:v>
      </x:c>
      <x:c r="AK32" s="157" t="str">
        <x:v>KHÔNG</x:v>
      </x:c>
      <x:c r="AL32" s="157" t="str">
        <x:v>CÓ ĐIỀU KIỆN</x:v>
      </x:c>
      <x:c r="AM32" s="157" t="str">
        <x:v>In thường (trừ tiêu đề)</x:v>
      </x:c>
      <x:c r="AN32" s="157" t="str">
        <x:v>JUSTIFY</x:v>
      </x:c>
      <x:c r="AO32" s="157"/>
      <x:c r="AP32" s="157" t="str">
        <x:v>EXACT</x:v>
      </x:c>
      <x:c r="AQ32" s="195" t="n">
        <x:v>19</x:v>
      </x:c>
      <x:c r="AR32" s="157" t="str">
        <x:v>pt</x:v>
      </x:c>
      <x:c r="AS32" s="195" t="n">
        <x:v>0</x:v>
      </x:c>
      <x:c r="AT32" s="195" t="n">
        <x:v>6</x:v>
      </x:c>
      <x:c r="AU32" s="195" t="n">
        <x:v>10</x:v>
      </x:c>
      <x:c r="AV32" s="195"/>
      <x:c r="AW32" s="195"/>
      <x:c r="AX32" s="157"/>
      <x:c r="AY32" s="157"/>
      <x:c r="AZ32" s="157"/>
      <x:c r="BA32" s="195"/>
      <x:c r="BB32" s="195"/>
      <x:c r="BC32" s="157"/>
      <x:c r="BD32" s="195"/>
      <x:c r="BE32" s="195"/>
      <x:c r="BF32" s="195"/>
      <x:c r="BG32" s="195"/>
      <x:c r="BH32" s="157"/>
      <x:c r="BI32" s="195"/>
      <x:c r="BJ32" s="195"/>
      <x:c r="BK32" s="195"/>
      <x:c r="BL32" s="157"/>
      <x:c r="BM32" s="157"/>
      <x:c r="BN32" s="157"/>
      <x:c r="BO32" s="195"/>
      <x:c r="BP32" s="195"/>
      <x:c r="BQ32" s="157"/>
      <x:c r="BR32" s="157"/>
      <x:c r="BS32" s="157"/>
      <x:c r="BT32" s="157" t="str">
        <x:v>BodyText-14</x:v>
      </x:c>
      <x:c r="BU32" s="157" t="str">
        <x:v>Paragraph/Run theo kiểu khối MD; preserve list numbering/table/drawing nếu có</x:v>
      </x:c>
      <x:c r="BV32" s="196" t="str">
        <x:v>DỰ THẢO — CẦN DUYỆT HD05</x:v>
      </x:c>
      <x:c r="BW32" s="197" t="str">
        <x:v>ĐÃ TÁCH MỘT PHẦN</x:v>
      </x:c>
      <x:c r="BX32" s="157" t="str">
        <x:v>Cấu hình profile chưa được xác nhận; giữ nguyên chính sách CHECK_ONLY.</x:v>
      </x:c>
      <x:c r="BY32" t="str">
        <x:v>HD05.N.MD.MO_DAU</x:v>
      </x:c>
      <x:c r="BZ32" t="str">
        <x:f>IFERROR(INDEX(HD05!$J$7:$J$300,MATCH($B32,HD05!$B$7:$B$300,0)),"UNRESOLVED")</x:f>
        <x:v>14–15</x:v>
      </x:c>
      <x:c r="CA32" t="str">
        <x:v>TEXT</x:v>
      </x:c>
      <x:c r="CB32" t="str">
        <x:v>party_issuer_confirmed AND issue_date&gt;=2026-05-27 AND doc_type_confirmed</x:v>
      </x:c>
      <x:c r="CC32" t="str">
        <x:f>IFERROR(INDEX(HD05!$X$7:$X$300,MATCH($B32,HD05!$B$7:$B$300,0)),"UNRESOLVED")</x:f>
        <x:v>CHỈ SAU REVIEW</x:v>
      </x:c>
      <x:c r="CD32" t="str">
        <x:f>IF(OR(ISNUMBER(SEARCH("READ_ONLY",CC32)),ISNUMBER(SEARCH("PROTECTED",CC32)),ISNUMBER(SEARCH("BẢO VỆ",CC32)),ISNUMBER(SEARCH("KHÔNG KÝ",CC32))),"PROTECTED","CHECK_ONLY")</x:f>
        <x:v>CHECK_ONLY</x:v>
      </x:c>
      <x:c r="CE32" t="str">
        <x:f>IF(AND(CD32="FORMAT_APPROVED",CU32="CÓ",CV32="CÓ",CH32="CÓ",CI32="CÓ",CJ32="CÓ"),"CÓ","KHÔNG")</x:f>
        <x:v>KHÔNG</x:v>
      </x:c>
      <x:c r="CF32" t="str">
        <x:v>KHÔNG</x:v>
      </x:c>
      <x:c r="CG32" t="str">
        <x:v>CÓ</x:v>
      </x:c>
      <x:c r="CH32" t="str">
        <x:v>KHÔNG</x:v>
      </x:c>
      <x:c r="CI32" t="str">
        <x:v>KHÔNG</x:v>
      </x:c>
      <x:c r="CJ32" t="str">
        <x:v>KHÔNG</x:v>
      </x:c>
      <x:c r="CK32" t="str">
        <x:f>IF(AND(CE32="CÓ",CF32="KHÔNG",CG32="CÓ",CU32="CÓ",CV32="CÓ",CH32="CÓ",CI32="CÓ",CJ32="CÓ"),"CÓ","KHÔNG")</x:f>
        <x:v>KHÔNG</x:v>
      </x:c>
      <x:c r="CL32" t="str">
        <x:v>PILOT_NORTH_PROFILE_DRAFT; chưa có master DOCX đã duyệt</x:v>
      </x:c>
      <x:c r="CM32" t="str">
        <x:v>v1.5 (nâng từ v1.4)</x:v>
      </x:c>
      <x:c r="CN32" t="str">
        <x:v>CHƯA XÁC NHẬN CHỦ THỂ ĐẢNG</x:v>
      </x:c>
      <x:c r="CO32" t="str">
        <x:v>HD05_N_MD_MO_DAU_FIELD_ONLY; chưa tạo trong Word</x:v>
      </x:c>
      <x:c r="CP32" t="str">
        <x:v>Preset là cấu hình Công ty; không thay thế giới hạn của nguồn NĐ30/HD05</x:v>
      </x:c>
      <x:c r="CQ32" t="str">
        <x:f>IF(OR(BH32="CÓ",BH32=TRUE),BI32,"")</x:f>
      </x:c>
      <x:c r="CR32" t="str">
        <x:f>IF(OR(BH32="CÓ",BH32=TRUE),BJ32,"")</x:f>
      </x:c>
      <x:c r="CS32" t="str">
        <x:v>FORMAT_CHECK_ONLY</x:v>
      </x:c>
      <x:c r="CT32" t="str">
        <x:v>PENDING_SOURCE_AND_DOCX_QA</x:v>
      </x:c>
      <x:c r="CU32" t="str">
        <x:v>KHÔNG</x:v>
      </x:c>
      <x:c r="CV32" t="str">
        <x:v>KHÔNG</x:v>
      </x:c>
      <x:c r="CW32" t="str"/>
    </x:row>
    <x:row r="33" ht="29" customHeight="1">
      <x:c r="A33" s="125" t="n">
        <x:v>27</x:v>
      </x:c>
      <x:c r="B33" s="123" t="str">
        <x:v>HD05.N.MD.CAN_CU</x:v>
      </x:c>
      <x:c r="C33" s="123" t="str">
        <x:v>Nội dung</x:v>
      </x:c>
      <x:c r="D33" s="123" t="str">
        <x:v>Mở đầu và căn cứ</x:v>
      </x:c>
      <x:c r="E33" s="123" t="str">
        <x:v>Căn cứ ban hành</x:v>
      </x:c>
      <x:c r="F33" s="123" t="str">
        <x:v>6</x:v>
      </x:c>
      <x:c r="G33" s="123" t="str">
        <x:v>Theo loại văn bản và sự hiện diện thực tế; không áp dụng đồng loạt</x:v>
      </x:c>
      <x:c r="H33" s="123" t="str">
        <x:v>Căn cứ theo loại văn bản; không áp dụng một style cho mọi loại</x:v>
      </x:c>
      <x:c r="I33" s="123" t="str">
        <x:v>Times New Roman | Unicode | đen</x:v>
      </x:c>
      <x:c r="J33" s="136" t="str">
        <x:v>14</x:v>
      </x:c>
      <x:c r="K33" s="123" t="str">
        <x:v>In thường (trừ tiêu đề)</x:v>
      </x:c>
      <x:c r="L33" s="123" t="str">
        <x:v>Không mặc định</x:v>
      </x:c>
      <x:c r="M33" s="123" t="str">
        <x:v>Theo HD05 (không tự sửa nội dung)</x:v>
      </x:c>
      <x:c r="N33" s="123" t="str">
        <x:v>Căn đều hai lề (justify)</x:v>
      </x:c>
      <x:c r="O33" s="135" t="str">
        <x:v>Exactly 19 pt; after 6 pt; before 0 pt</x:v>
      </x:c>
      <x:c r="P33" s="135" t="str">
        <x:v>First line 10 mm (~567 twip)</x:v>
      </x:c>
      <x:c r="Q33" s="123" t="str">
        <x:v>Trước mỗi căn cứ có một dấu gạch ngang (-); các căn cứ ngăn theo dấu câu quy định</x:v>
      </x:c>
      <x:c r="R33" s="123" t="str">
        <x:v>Paragraph/Run theo kiểu khối MD; preserve list numbering/table/drawing nếu có</x:v>
      </x:c>
      <x:c r="S33" s="123" t="str">
        <x:v>TNR 14; exactly 19; after 6; dấu câu theo quy định và loại văn bản</x:v>
      </x:c>
      <x:c r="T33" s="123" t="str">
        <x:v>HD05, Phần II mục 6.2.3</x:v>
      </x:c>
      <x:c r="U33" s="123" t="str">
        <x:v>https://dangcongsan.vn/vanphongtrunguong/van-ban-cua-dang/huong-dan-so-05-hd-vptw-ngay-27-5-2026-cua-van-phong-trung-uong-dang-ve-the-thuc-va-ky-thuat-trinh-bay-van-ban-cua-dang.html?categoryId=3000525</x:v>
      </x:c>
      <x:c r="V33" s="123" t="str">
        <x:v>https://thuvienphapluat.vn/van-ban/Bo-may-hanh-chinh/Huong-dan-05-HD-VPTW-2026-the-thuc-va-ky-thuat-trinh-bay-van-ban-cua-Dang-707499.aspx</x:v>
      </x:c>
      <x:c r="W33" s="123" t="str">
        <x:v>CHƯA ĐỦ BẰNG CHỨNG</x:v>
      </x:c>
      <x:c r="X33" s="123" t="str">
        <x:v>CHECK_ONLY</x:v>
      </x:c>
      <x:c r="Y33" s="123" t="str">
        <x:v>Không tự chèn/sửa khi chưa có chứng cứ về đối tượng và rule. | Trạng thái v1.0: CÓ ĐIỀU KIỆN</x:v>
      </x:c>
      <x:c r="Z33" s="135" t="str">
        <x:v>TNR 14; exactly 19; after 6; dấu câu theo quy định và loại văn bản</x:v>
      </x:c>
      <x:c r="AA33" s="123" t="str">
        <x:v>LegalBases</x:v>
      </x:c>
      <x:c r="AB33" s="135" t="str">
        <x:v>DỰ THẢO — CẦN DUYỆT HD05</x:v>
      </x:c>
      <x:c r="AC33" s="123" t="str">
        <x:v>CHECK_ONLY</x:v>
      </x:c>
      <x:c r="AD33" s="123" t="str">
        <x:v>PLUGIN:HOA-TIEU-MIEN-BAC-PARTY-HD05-HEADER-2026 | NEEDS_REVIEW</x:v>
      </x:c>
      <x:c r="AE33" s="123" t="str">
        <x:v>GATE: xác minh chủ thể HD05 trước; Render 1–3 trang: so TNR 14 pt, spacing Exactly 19 pt; after 6 pt; before 0 pt, indent First line 10 mm (~567 twip); kiểm tra không tràn chữ.</x:v>
      </x:c>
      <x:c r="AF33" s="123" t="str">
        <x:v>HD05: mỗi căn cứ có '-' và dấu kết thúc theo hướng dẫn, không thay văn bản nguồn. | Đảng ủy: chỉ chọn khi chủ thể ban hành và phạm vi HD05 đã được xác minh.</x:v>
      </x:c>
      <x:c r="AG33" s="157" t="str">
        <x:v>Times New Roman</x:v>
      </x:c>
      <x:c r="AH33" s="157" t="str">
        <x:v>Unicode</x:v>
      </x:c>
      <x:c r="AI33" s="157" t="str">
        <x:v>#000000</x:v>
      </x:c>
      <x:c r="AJ33" s="195" t="n">
        <x:v>14</x:v>
      </x:c>
      <x:c r="AK33" s="157" t="str">
        <x:v>CÓ ĐIỀU KIỆN</x:v>
      </x:c>
      <x:c r="AL33" s="157" t="str">
        <x:v>CÓ ĐIỀU KIỆN</x:v>
      </x:c>
      <x:c r="AM33" s="157" t="str">
        <x:v>In thường (trừ tiêu đề)</x:v>
      </x:c>
      <x:c r="AN33" s="157" t="str">
        <x:v>JUSTIFY</x:v>
      </x:c>
      <x:c r="AO33" s="157"/>
      <x:c r="AP33" s="157" t="str">
        <x:v>EXACT</x:v>
      </x:c>
      <x:c r="AQ33" s="195" t="n">
        <x:v>19</x:v>
      </x:c>
      <x:c r="AR33" s="157" t="str">
        <x:v>pt</x:v>
      </x:c>
      <x:c r="AS33" s="195" t="n">
        <x:v>0</x:v>
      </x:c>
      <x:c r="AT33" s="195" t="n">
        <x:v>6</x:v>
      </x:c>
      <x:c r="AU33" s="195" t="n">
        <x:v>10</x:v>
      </x:c>
      <x:c r="AV33" s="195"/>
      <x:c r="AW33" s="195"/>
      <x:c r="AX33" s="157"/>
      <x:c r="AY33" s="157"/>
      <x:c r="AZ33" s="157"/>
      <x:c r="BA33" s="195"/>
      <x:c r="BB33" s="195"/>
      <x:c r="BC33" s="157"/>
      <x:c r="BD33" s="195"/>
      <x:c r="BE33" s="195"/>
      <x:c r="BF33" s="195"/>
      <x:c r="BG33" s="195"/>
      <x:c r="BH33" s="157"/>
      <x:c r="BI33" s="195"/>
      <x:c r="BJ33" s="195"/>
      <x:c r="BK33" s="195"/>
      <x:c r="BL33" s="157"/>
      <x:c r="BM33" s="157" t="str">
        <x:v>KÝ TỰ</x:v>
      </x:c>
      <x:c r="BN33" s="157" t="str">
        <x:v>-</x:v>
      </x:c>
      <x:c r="BO33" s="195"/>
      <x:c r="BP33" s="195"/>
      <x:c r="BQ33" s="157"/>
      <x:c r="BR33" s="157"/>
      <x:c r="BS33" s="157"/>
      <x:c r="BT33" s="157" t="str">
        <x:v>LegalBases</x:v>
      </x:c>
      <x:c r="BU33" s="157" t="str">
        <x:v>Paragraph/Run theo kiểu khối MD; preserve list numbering/table/drawing nếu có</x:v>
      </x:c>
      <x:c r="BV33" s="196" t="str">
        <x:v>DỰ THẢO — CẦN DUYỆT HD05</x:v>
      </x:c>
      <x:c r="BW33" s="197" t="str">
        <x:v>ĐÃ TÁCH MỘT PHẦN</x:v>
      </x:c>
      <x:c r="BX33" s="157" t="str">
        <x:v>Cấu hình profile chưa được xác nhận; giữ nguyên chính sách CHECK_ONLY.</x:v>
      </x:c>
      <x:c r="BY33" t="str">
        <x:v>HD05.N.MD.CAN_CU</x:v>
      </x:c>
      <x:c r="BZ33" t="str">
        <x:f>IFERROR(INDEX(HD05!$J$7:$J$300,MATCH($B33,HD05!$B$7:$B$300,0)),"UNRESOLVED")</x:f>
        <x:v>14–15</x:v>
      </x:c>
      <x:c r="CA33" t="str">
        <x:v>TEXT</x:v>
      </x:c>
      <x:c r="CB33" t="str">
        <x:v>party_issuer_confirmed AND issue_date&gt;=2026-05-27 AND doc_type_confirmed</x:v>
      </x:c>
      <x:c r="CC33" t="str">
        <x:f>IFERROR(INDEX(HD05!$X$7:$X$300,MATCH($B33,HD05!$B$7:$B$300,0)),"UNRESOLVED")</x:f>
        <x:v>CHỈ SAU REVIEW</x:v>
      </x:c>
      <x:c r="CD33" t="str">
        <x:f>IF(OR(ISNUMBER(SEARCH("READ_ONLY",CC33)),ISNUMBER(SEARCH("PROTECTED",CC33)),ISNUMBER(SEARCH("BẢO VỆ",CC33)),ISNUMBER(SEARCH("KHÔNG KÝ",CC33))),"PROTECTED","CHECK_ONLY")</x:f>
        <x:v>CHECK_ONLY</x:v>
      </x:c>
      <x:c r="CE33" t="str">
        <x:f>IF(AND(CD33="FORMAT_APPROVED",CU33="CÓ",CV33="CÓ",CH33="CÓ",CI33="CÓ",CJ33="CÓ"),"CÓ","KHÔNG")</x:f>
        <x:v>KHÔNG</x:v>
      </x:c>
      <x:c r="CF33" t="str">
        <x:v>KHÔNG</x:v>
      </x:c>
      <x:c r="CG33" t="str">
        <x:v>CÓ</x:v>
      </x:c>
      <x:c r="CH33" t="str">
        <x:v>KHÔNG</x:v>
      </x:c>
      <x:c r="CI33" t="str">
        <x:v>KHÔNG</x:v>
      </x:c>
      <x:c r="CJ33" t="str">
        <x:v>KHÔNG</x:v>
      </x:c>
      <x:c r="CK33" t="str">
        <x:f>IF(AND(CE33="CÓ",CF33="KHÔNG",CG33="CÓ",CU33="CÓ",CV33="CÓ",CH33="CÓ",CI33="CÓ",CJ33="CÓ"),"CÓ","KHÔNG")</x:f>
        <x:v>KHÔNG</x:v>
      </x:c>
      <x:c r="CL33" t="str">
        <x:v>PILOT_NORTH_PROFILE_DRAFT; chưa có master DOCX đã duyệt</x:v>
      </x:c>
      <x:c r="CM33" t="str">
        <x:v>v1.5 (nâng từ v1.4)</x:v>
      </x:c>
      <x:c r="CN33" t="str">
        <x:v>CHƯA XÁC NHẬN CHỦ THỂ ĐẢNG</x:v>
      </x:c>
      <x:c r="CO33" t="str">
        <x:v>HD05_N_MD_CAN_CU_FIELD_ONLY; chưa tạo trong Word</x:v>
      </x:c>
      <x:c r="CP33" t="str">
        <x:v>Preset là cấu hình Công ty; không thay thế giới hạn của nguồn NĐ30/HD05</x:v>
      </x:c>
      <x:c r="CQ33" t="str">
        <x:f>IF(OR(BH33="CÓ",BH33=TRUE),BI33,"")</x:f>
      </x:c>
      <x:c r="CR33" t="str">
        <x:f>IF(OR(BH33="CÓ",BH33=TRUE),BJ33,"")</x:f>
      </x:c>
      <x:c r="CS33" t="str">
        <x:v>FORMAT_CHECK_ONLY</x:v>
      </x:c>
      <x:c r="CT33" t="str">
        <x:v>PENDING_SOURCE_AND_DOCX_QA</x:v>
      </x:c>
      <x:c r="CU33" t="str">
        <x:v>KHÔNG</x:v>
      </x:c>
      <x:c r="CV33" t="str">
        <x:v>KHÔNG</x:v>
      </x:c>
      <x:c r="CW33" t="str"/>
    </x:row>
    <x:row r="34" ht="29" customHeight="1">
      <x:c r="A34" s="125" t="n">
        <x:v>28</x:v>
      </x:c>
      <x:c r="B34" s="123" t="str">
        <x:v>HD05.N.DM.PHAN</x:v>
      </x:c>
      <x:c r="C34" s="123" t="str">
        <x:v>Nội dung</x:v>
      </x:c>
      <x:c r="D34" s="123" t="str">
        <x:v>Đề mục</x:v>
      </x:c>
      <x:c r="E34" s="123" t="str">
        <x:v>Phần</x:v>
      </x:c>
      <x:c r="F34" s="123" t="str">
        <x:v>6</x:v>
      </x:c>
      <x:c r="G34" s="123" t="str">
        <x:v>Theo loại văn bản và sự hiện diện thực tế; không áp dụng đồng loạt</x:v>
      </x:c>
      <x:c r="H34" s="123" t="str">
        <x:v>Nhận diện số thứ tự và tiêu đề; tiêu đề phần/chương in hoa, đậm</x:v>
      </x:c>
      <x:c r="I34" s="123" t="str">
        <x:v>Times New Roman | Unicode | đen</x:v>
      </x:c>
      <x:c r="J34" s="136" t="str">
        <x:v>14</x:v>
      </x:c>
      <x:c r="K34" s="123" t="str">
        <x:v>Nhãn thường; tiêu đề IN HOA</x:v>
      </x:c>
      <x:c r="L34" s="123" t="str">
        <x:v>Có</x:v>
      </x:c>
      <x:c r="M34" s="123" t="str">
        <x:v>Không mặc định</x:v>
      </x:c>
      <x:c r="N34" s="123" t="str">
        <x:v>Căn giữa</x:v>
      </x:c>
      <x:c r="O34" s="135" t="str">
        <x:v>Exactly 19 pt; trước 6 pt; sau 6 pt; keepNext=true (preset)</x:v>
      </x:c>
      <x:c r="P34" s="135" t="str">
        <x:v>Thụt 0; keepNext=true</x:v>
      </x:c>
      <x:c r="Q34" s="123"/>
      <x:c r="R34" s="123" t="str">
        <x:v>Paragraph/Run theo kiểu khối DM; preserve list numbering/table/drawing nếu có</x:v>
      </x:c>
      <x:c r="S34" s="123" t="str">
        <x:v>TNR 14 pt; đậm; các mức viết hoa/đánh số theo loại văn bản</x:v>
      </x:c>
      <x:c r="T34" s="123" t="str">
        <x:v>HD05, Phần II, I.6 và IV; Phụ lục 2 mục 6</x:v>
      </x:c>
      <x:c r="U34" s="123" t="str">
        <x:v>https://dangcongsan.vn/vanphongtrunguong/van-ban-cua-dang/huong-dan-so-05-hd-vptw-ngay-27-5-2026-cua-van-phong-trung-uong-dang-ve-the-thuc-va-ky-thuat-trinh-bay-van-ban-cua-dang.html?categoryId=3000525</x:v>
      </x:c>
      <x:c r="V34" s="123" t="str">
        <x:v>https://thuvienphapluat.vn/van-ban/Bo-may-hanh-chinh/Huong-dan-05-HD-VPTW-2026-the-thuc-va-ky-thuat-trinh-bay-van-ban-cua-Dang-707499.aspx</x:v>
      </x:c>
      <x:c r="W34" s="123" t="str">
        <x:v>CHƯA ĐỦ BẰNG CHỨNG</x:v>
      </x:c>
      <x:c r="X34" s="123" t="str">
        <x:v>CHECK_ONLY</x:v>
      </x:c>
      <x:c r="Y34" s="123" t="str">
        <x:v>Không tự chèn/sửa khi chưa có chứng cứ về đối tượng và rule. | Trạng thái v1.0: CÓ ĐIỀU KIỆN | So sánh chéo cũ (không dùng làm rule): NĐ30 dùng số La Mã cho Phần/Chương; HD05 theo dạng văn bản</x:v>
      </x:c>
      <x:c r="Z34" s="135" t="str">
        <x:v>TNR 14 pt; đậm; các mức viết hoa/đánh số theo loại văn bản</x:v>
      </x:c>
      <x:c r="AA34" s="123" t="str">
        <x:v>Heading-PHAN</x:v>
      </x:c>
      <x:c r="AB34" s="135" t="str">
        <x:v>DỰ THẢO — CẦN DUYỆT HD05</x:v>
      </x:c>
      <x:c r="AC34" s="123" t="str">
        <x:v>CHECK_ONLY</x:v>
      </x:c>
      <x:c r="AD34" s="123" t="str">
        <x:v>PLUGIN:HOA-TIEU-MIEN-BAC-PARTY-HD05-HEADER-2026 | NEEDS_REVIEW</x:v>
      </x:c>
      <x:c r="AE34" s="123" t="str">
        <x:v>GATE: xác minh chủ thể HD05 trước; Render 1–3 trang: so TNR 14 pt, spacing Exactly 19 pt; trước 6 pt; sau 6 pt; keepNext=true (preset), indent Thụt 0; keepNext=true; kiểm tra không tràn chữ.</x:v>
      </x:c>
      <x:c r="AF34" s="123" t="str">
        <x:v>Không áp style lời văn cho nhãn/tên mục; riêng tiểu mục cần kiểm tra mẫu. | Đảng ủy: chỉ chọn khi chủ thể ban hành và phạm vi HD05 đã được xác minh.</x:v>
      </x:c>
      <x:c r="AG34" s="157" t="str">
        <x:v>Times New Roman</x:v>
      </x:c>
      <x:c r="AH34" s="157" t="str">
        <x:v>Unicode</x:v>
      </x:c>
      <x:c r="AI34" s="157" t="str">
        <x:v>#000000</x:v>
      </x:c>
      <x:c r="AJ34" s="195" t="n">
        <x:v>14</x:v>
      </x:c>
      <x:c r="AK34" s="157" t="str">
        <x:v>CÓ</x:v>
      </x:c>
      <x:c r="AL34" s="157" t="str">
        <x:v>CÓ ĐIỀU KIỆN</x:v>
      </x:c>
      <x:c r="AM34" s="157" t="str">
        <x:v>Nhãn thường; tiêu đề IN HOA</x:v>
      </x:c>
      <x:c r="AN34" s="157" t="str">
        <x:v>CENTER</x:v>
      </x:c>
      <x:c r="AO34" s="157"/>
      <x:c r="AP34" s="157" t="str">
        <x:v>EXACT</x:v>
      </x:c>
      <x:c r="AQ34" s="195" t="n">
        <x:v>19</x:v>
      </x:c>
      <x:c r="AR34" s="157" t="str">
        <x:v>pt</x:v>
      </x:c>
      <x:c r="AS34" s="195" t="n">
        <x:v>6</x:v>
      </x:c>
      <x:c r="AT34" s="195" t="n">
        <x:v>6</x:v>
      </x:c>
      <x:c r="AU34" s="195" t="n">
        <x:v>0</x:v>
      </x:c>
      <x:c r="AV34" s="195"/>
      <x:c r="AW34" s="195"/>
      <x:c r="AX34" s="157" t="str">
        <x:v>CÓ</x:v>
      </x:c>
      <x:c r="AY34" s="157"/>
      <x:c r="AZ34" s="157"/>
      <x:c r="BA34" s="195"/>
      <x:c r="BB34" s="195"/>
      <x:c r="BC34" s="157"/>
      <x:c r="BD34" s="195"/>
      <x:c r="BE34" s="195"/>
      <x:c r="BF34" s="195"/>
      <x:c r="BG34" s="195"/>
      <x:c r="BH34" s="157"/>
      <x:c r="BI34" s="195"/>
      <x:c r="BJ34" s="195"/>
      <x:c r="BK34" s="195"/>
      <x:c r="BL34" s="157"/>
      <x:c r="BM34" s="157"/>
      <x:c r="BN34" s="157"/>
      <x:c r="BO34" s="195"/>
      <x:c r="BP34" s="195"/>
      <x:c r="BQ34" s="157"/>
      <x:c r="BR34" s="157"/>
      <x:c r="BS34" s="157"/>
      <x:c r="BT34" s="157" t="str">
        <x:v>Heading-PHAN</x:v>
      </x:c>
      <x:c r="BU34" s="157" t="str">
        <x:v>Paragraph/Run theo kiểu khối DM; preserve list numbering/table/drawing nếu có</x:v>
      </x:c>
      <x:c r="BV34" s="196" t="str">
        <x:v>DỰ THẢO — CẦN DUYỆT HD05</x:v>
      </x:c>
      <x:c r="BW34" s="197" t="str">
        <x:v>ĐÃ TÁCH MỘT PHẦN</x:v>
      </x:c>
      <x:c r="BX34" s="157" t="str">
        <x:v>Cấu hình profile chưa được xác nhận; giữ nguyên chính sách CHECK_ONLY.</x:v>
      </x:c>
      <x:c r="BY34" t="str">
        <x:v>HD05.N.DM.PHAN</x:v>
      </x:c>
      <x:c r="BZ34" t="str">
        <x:f>IFERROR(INDEX(HD05!$J$7:$J$300,MATCH($B34,HD05!$B$7:$B$300,0)),"UNRESOLVED")</x:f>
        <x:v>14–15</x:v>
      </x:c>
      <x:c r="CA34" t="str">
        <x:v>TEXT</x:v>
      </x:c>
      <x:c r="CB34" t="str">
        <x:v>party_issuer_confirmed AND issue_date&gt;=2026-05-27 AND doc_type_confirmed</x:v>
      </x:c>
      <x:c r="CC34" t="str">
        <x:f>IFERROR(INDEX(HD05!$X$7:$X$300,MATCH($B34,HD05!$B$7:$B$300,0)),"UNRESOLVED")</x:f>
        <x:v>CHỈ SAU REVIEW</x:v>
      </x:c>
      <x:c r="CD34" t="str">
        <x:f>IF(OR(ISNUMBER(SEARCH("READ_ONLY",CC34)),ISNUMBER(SEARCH("PROTECTED",CC34)),ISNUMBER(SEARCH("BẢO VỆ",CC34)),ISNUMBER(SEARCH("KHÔNG KÝ",CC34))),"PROTECTED","CHECK_ONLY")</x:f>
        <x:v>CHECK_ONLY</x:v>
      </x:c>
      <x:c r="CE34" t="str">
        <x:f>IF(AND(CD34="FORMAT_APPROVED",CU34="CÓ",CV34="CÓ",CH34="CÓ",CI34="CÓ",CJ34="CÓ"),"CÓ","KHÔNG")</x:f>
        <x:v>KHÔNG</x:v>
      </x:c>
      <x:c r="CF34" t="str">
        <x:v>KHÔNG</x:v>
      </x:c>
      <x:c r="CG34" t="str">
        <x:v>CÓ</x:v>
      </x:c>
      <x:c r="CH34" t="str">
        <x:v>KHÔNG</x:v>
      </x:c>
      <x:c r="CI34" t="str">
        <x:v>KHÔNG</x:v>
      </x:c>
      <x:c r="CJ34" t="str">
        <x:v>KHÔNG</x:v>
      </x:c>
      <x:c r="CK34" t="str">
        <x:f>IF(AND(CE34="CÓ",CF34="KHÔNG",CG34="CÓ",CU34="CÓ",CV34="CÓ",CH34="CÓ",CI34="CÓ",CJ34="CÓ"),"CÓ","KHÔNG")</x:f>
        <x:v>KHÔNG</x:v>
      </x:c>
      <x:c r="CL34" t="str">
        <x:v>PILOT_NORTH_PROFILE_DRAFT; chưa có master DOCX đã duyệt</x:v>
      </x:c>
      <x:c r="CM34" t="str">
        <x:v>v1.5 (nâng từ v1.4)</x:v>
      </x:c>
      <x:c r="CN34" t="str">
        <x:v>CHƯA XÁC NHẬN CHỦ THỂ ĐẢNG</x:v>
      </x:c>
      <x:c r="CO34" t="str">
        <x:v>HD05_N_DM_PHAN_FIELD_ONLY; chưa tạo trong Word</x:v>
      </x:c>
      <x:c r="CP34" t="str">
        <x:v>Preset là cấu hình Công ty; không thay thế giới hạn của nguồn NĐ30/HD05</x:v>
      </x:c>
      <x:c r="CQ34" t="str">
        <x:f>IF(OR(BH34="CÓ",BH34=TRUE),BI34,"")</x:f>
      </x:c>
      <x:c r="CR34" t="str">
        <x:f>IF(OR(BH34="CÓ",BH34=TRUE),BJ34,"")</x:f>
      </x:c>
      <x:c r="CS34" t="str">
        <x:v>FORMAT_CHECK_ONLY</x:v>
      </x:c>
      <x:c r="CT34" t="str">
        <x:v>PENDING_SOURCE_AND_DOCX_QA</x:v>
      </x:c>
      <x:c r="CU34" t="str">
        <x:v>KHÔNG</x:v>
      </x:c>
      <x:c r="CV34" t="str">
        <x:v>KHÔNG</x:v>
      </x:c>
      <x:c r="CW34" t="str"/>
    </x:row>
    <x:row r="35" ht="29" customHeight="1">
      <x:c r="A35" s="125" t="n">
        <x:v>29</x:v>
      </x:c>
      <x:c r="B35" s="123" t="str">
        <x:v>HD05.N.DM.CHUONG</x:v>
      </x:c>
      <x:c r="C35" s="123" t="str">
        <x:v>Nội dung</x:v>
      </x:c>
      <x:c r="D35" s="123" t="str">
        <x:v>Đề mục</x:v>
      </x:c>
      <x:c r="E35" s="123" t="str">
        <x:v>Chương</x:v>
      </x:c>
      <x:c r="F35" s="123" t="str">
        <x:v>6</x:v>
      </x:c>
      <x:c r="G35" s="123" t="str">
        <x:v>Theo loại văn bản và sự hiện diện thực tế; không áp dụng đồng loạt</x:v>
      </x:c>
      <x:c r="H35" s="123" t="str">
        <x:v>Nhận diện số thứ tự và tiêu đề; tiêu đề phần/chương in hoa, đậm</x:v>
      </x:c>
      <x:c r="I35" s="123" t="str">
        <x:v>Times New Roman | Unicode | đen</x:v>
      </x:c>
      <x:c r="J35" s="136" t="str">
        <x:v>14</x:v>
      </x:c>
      <x:c r="K35" s="123" t="str">
        <x:v>Nhãn thường; tiêu đề IN HOA</x:v>
      </x:c>
      <x:c r="L35" s="123" t="str">
        <x:v>Có</x:v>
      </x:c>
      <x:c r="M35" s="123" t="str">
        <x:v>Không mặc định</x:v>
      </x:c>
      <x:c r="N35" s="123" t="str">
        <x:v>Căn giữa</x:v>
      </x:c>
      <x:c r="O35" s="135" t="str">
        <x:v>Exactly 19 pt; trước 6 pt; sau 6 pt; keepNext=true (preset)</x:v>
      </x:c>
      <x:c r="P35" s="135" t="str">
        <x:v>Thụt 0; keepNext=true</x:v>
      </x:c>
      <x:c r="Q35" s="123"/>
      <x:c r="R35" s="123" t="str">
        <x:v>Paragraph/Run theo kiểu khối DM; preserve list numbering/table/drawing nếu có</x:v>
      </x:c>
      <x:c r="S35" s="123" t="str">
        <x:v>TNR 14 pt; đậm; các mức viết hoa/đánh số theo loại văn bản</x:v>
      </x:c>
      <x:c r="T35" s="123" t="str">
        <x:v>HD05, Phần II, I.6 và IV; Phụ lục 2 mục 6</x:v>
      </x:c>
      <x:c r="U35" s="123" t="str">
        <x:v>https://dangcongsan.vn/vanphongtrunguong/van-ban-cua-dang/huong-dan-so-05-hd-vptw-ngay-27-5-2026-cua-van-phong-trung-uong-dang-ve-the-thuc-va-ky-thuat-trinh-bay-van-ban-cua-dang.html?categoryId=3000525</x:v>
      </x:c>
      <x:c r="V35" s="123" t="str">
        <x:v>https://thuvienphapluat.vn/van-ban/Bo-may-hanh-chinh/Huong-dan-05-HD-VPTW-2026-the-thuc-va-ky-thuat-trinh-bay-van-ban-cua-Dang-707499.aspx</x:v>
      </x:c>
      <x:c r="W35" s="123" t="str">
        <x:v>CHƯA ĐỦ BẰNG CHỨNG</x:v>
      </x:c>
      <x:c r="X35" s="123" t="str">
        <x:v>CHECK_ONLY</x:v>
      </x:c>
      <x:c r="Y35" s="123" t="str">
        <x:v>Không tự chèn/sửa khi chưa có chứng cứ về đối tượng và rule. | Trạng thái v1.0: CÓ ĐIỀU KIỆN | So sánh chéo cũ (không dùng làm rule): NĐ30 dùng số La Mã cho Phần/Chương; HD05 theo dạng văn bản</x:v>
      </x:c>
      <x:c r="Z35" s="135" t="str">
        <x:v>TNR 14 pt; đậm; các mức viết hoa/đánh số theo loại văn bản</x:v>
      </x:c>
      <x:c r="AA35" s="123" t="str">
        <x:v>Heading-CHUONG</x:v>
      </x:c>
      <x:c r="AB35" s="135" t="str">
        <x:v>DỰ THẢO — CẦN DUYỆT HD05</x:v>
      </x:c>
      <x:c r="AC35" s="123" t="str">
        <x:v>CHECK_ONLY</x:v>
      </x:c>
      <x:c r="AD35" s="123" t="str">
        <x:v>PLUGIN:HOA-TIEU-MIEN-BAC-PARTY-HD05-HEADER-2026 | NEEDS_REVIEW</x:v>
      </x:c>
      <x:c r="AE35" s="123" t="str">
        <x:v>GATE: xác minh chủ thể HD05 trước; Render 1–3 trang: so TNR 14 pt, spacing Exactly 19 pt; trước 6 pt; sau 6 pt; keepNext=true (preset), indent Thụt 0; keepNext=true; kiểm tra không tràn chữ.</x:v>
      </x:c>
      <x:c r="AF35" s="123" t="str">
        <x:v>Không áp style lời văn cho nhãn/tên mục; riêng tiểu mục cần kiểm tra mẫu. | Đảng ủy: chỉ chọn khi chủ thể ban hành và phạm vi HD05 đã được xác minh.</x:v>
      </x:c>
      <x:c r="AG35" s="157" t="str">
        <x:v>Times New Roman</x:v>
      </x:c>
      <x:c r="AH35" s="157" t="str">
        <x:v>Unicode</x:v>
      </x:c>
      <x:c r="AI35" s="157" t="str">
        <x:v>#000000</x:v>
      </x:c>
      <x:c r="AJ35" s="195" t="n">
        <x:v>14</x:v>
      </x:c>
      <x:c r="AK35" s="157" t="str">
        <x:v>CÓ</x:v>
      </x:c>
      <x:c r="AL35" s="157" t="str">
        <x:v>CÓ ĐIỀU KIỆN</x:v>
      </x:c>
      <x:c r="AM35" s="157" t="str">
        <x:v>Nhãn thường; tiêu đề IN HOA</x:v>
      </x:c>
      <x:c r="AN35" s="157" t="str">
        <x:v>CENTER</x:v>
      </x:c>
      <x:c r="AO35" s="157"/>
      <x:c r="AP35" s="157" t="str">
        <x:v>EXACT</x:v>
      </x:c>
      <x:c r="AQ35" s="195" t="n">
        <x:v>19</x:v>
      </x:c>
      <x:c r="AR35" s="157" t="str">
        <x:v>pt</x:v>
      </x:c>
      <x:c r="AS35" s="195" t="n">
        <x:v>6</x:v>
      </x:c>
      <x:c r="AT35" s="195" t="n">
        <x:v>6</x:v>
      </x:c>
      <x:c r="AU35" s="195" t="n">
        <x:v>0</x:v>
      </x:c>
      <x:c r="AV35" s="195"/>
      <x:c r="AW35" s="195"/>
      <x:c r="AX35" s="157" t="str">
        <x:v>CÓ</x:v>
      </x:c>
      <x:c r="AY35" s="157"/>
      <x:c r="AZ35" s="157"/>
      <x:c r="BA35" s="195"/>
      <x:c r="BB35" s="195"/>
      <x:c r="BC35" s="157"/>
      <x:c r="BD35" s="195"/>
      <x:c r="BE35" s="195"/>
      <x:c r="BF35" s="195"/>
      <x:c r="BG35" s="195"/>
      <x:c r="BH35" s="157"/>
      <x:c r="BI35" s="195"/>
      <x:c r="BJ35" s="195"/>
      <x:c r="BK35" s="195"/>
      <x:c r="BL35" s="157"/>
      <x:c r="BM35" s="157"/>
      <x:c r="BN35" s="157"/>
      <x:c r="BO35" s="195"/>
      <x:c r="BP35" s="195"/>
      <x:c r="BQ35" s="157"/>
      <x:c r="BR35" s="157"/>
      <x:c r="BS35" s="157"/>
      <x:c r="BT35" s="157" t="str">
        <x:v>Heading-CHUONG</x:v>
      </x:c>
      <x:c r="BU35" s="157" t="str">
        <x:v>Paragraph/Run theo kiểu khối DM; preserve list numbering/table/drawing nếu có</x:v>
      </x:c>
      <x:c r="BV35" s="196" t="str">
        <x:v>DỰ THẢO — CẦN DUYỆT HD05</x:v>
      </x:c>
      <x:c r="BW35" s="197" t="str">
        <x:v>ĐÃ TÁCH MỘT PHẦN</x:v>
      </x:c>
      <x:c r="BX35" s="157" t="str">
        <x:v>Cấu hình profile chưa được xác nhận; giữ nguyên chính sách CHECK_ONLY.</x:v>
      </x:c>
      <x:c r="BY35" t="str">
        <x:v>HD05.N.DM.CHUONG</x:v>
      </x:c>
      <x:c r="BZ35" t="str">
        <x:f>IFERROR(INDEX(HD05!$J$7:$J$300,MATCH($B35,HD05!$B$7:$B$300,0)),"UNRESOLVED")</x:f>
        <x:v>14–15</x:v>
      </x:c>
      <x:c r="CA35" t="str">
        <x:v>TEXT</x:v>
      </x:c>
      <x:c r="CB35" t="str">
        <x:v>party_issuer_confirmed AND issue_date&gt;=2026-05-27 AND doc_type_confirmed</x:v>
      </x:c>
      <x:c r="CC35" t="str">
        <x:f>IFERROR(INDEX(HD05!$X$7:$X$300,MATCH($B35,HD05!$B$7:$B$300,0)),"UNRESOLVED")</x:f>
        <x:v>CHỈ SAU REVIEW</x:v>
      </x:c>
      <x:c r="CD35" t="str">
        <x:f>IF(OR(ISNUMBER(SEARCH("READ_ONLY",CC35)),ISNUMBER(SEARCH("PROTECTED",CC35)),ISNUMBER(SEARCH("BẢO VỆ",CC35)),ISNUMBER(SEARCH("KHÔNG KÝ",CC35))),"PROTECTED","CHECK_ONLY")</x:f>
        <x:v>CHECK_ONLY</x:v>
      </x:c>
      <x:c r="CE35" t="str">
        <x:f>IF(AND(CD35="FORMAT_APPROVED",CU35="CÓ",CV35="CÓ",CH35="CÓ",CI35="CÓ",CJ35="CÓ"),"CÓ","KHÔNG")</x:f>
        <x:v>KHÔNG</x:v>
      </x:c>
      <x:c r="CF35" t="str">
        <x:v>KHÔNG</x:v>
      </x:c>
      <x:c r="CG35" t="str">
        <x:v>CÓ</x:v>
      </x:c>
      <x:c r="CH35" t="str">
        <x:v>KHÔNG</x:v>
      </x:c>
      <x:c r="CI35" t="str">
        <x:v>KHÔNG</x:v>
      </x:c>
      <x:c r="CJ35" t="str">
        <x:v>KHÔNG</x:v>
      </x:c>
      <x:c r="CK35" t="str">
        <x:f>IF(AND(CE35="CÓ",CF35="KHÔNG",CG35="CÓ",CU35="CÓ",CV35="CÓ",CH35="CÓ",CI35="CÓ",CJ35="CÓ"),"CÓ","KHÔNG")</x:f>
        <x:v>KHÔNG</x:v>
      </x:c>
      <x:c r="CL35" t="str">
        <x:v>PILOT_NORTH_PROFILE_DRAFT; chưa có master DOCX đã duyệt</x:v>
      </x:c>
      <x:c r="CM35" t="str">
        <x:v>v1.5 (nâng từ v1.4)</x:v>
      </x:c>
      <x:c r="CN35" t="str">
        <x:v>CHƯA XÁC NHẬN CHỦ THỂ ĐẢNG</x:v>
      </x:c>
      <x:c r="CO35" t="str">
        <x:v>HD05_N_DM_CHUONG_FIELD_ONLY; chưa tạo trong Word</x:v>
      </x:c>
      <x:c r="CP35" t="str">
        <x:v>Preset là cấu hình Công ty; không thay thế giới hạn của nguồn NĐ30/HD05</x:v>
      </x:c>
      <x:c r="CQ35" t="str">
        <x:f>IF(OR(BH35="CÓ",BH35=TRUE),BI35,"")</x:f>
      </x:c>
      <x:c r="CR35" t="str">
        <x:f>IF(OR(BH35="CÓ",BH35=TRUE),BJ35,"")</x:f>
      </x:c>
      <x:c r="CS35" t="str">
        <x:v>FORMAT_CHECK_ONLY</x:v>
      </x:c>
      <x:c r="CT35" t="str">
        <x:v>PENDING_SOURCE_AND_DOCX_QA</x:v>
      </x:c>
      <x:c r="CU35" t="str">
        <x:v>KHÔNG</x:v>
      </x:c>
      <x:c r="CV35" t="str">
        <x:v>KHÔNG</x:v>
      </x:c>
      <x:c r="CW35" t="str"/>
    </x:row>
    <x:row r="36" ht="29" customHeight="1">
      <x:c r="A36" s="125" t="n">
        <x:v>30</x:v>
      </x:c>
      <x:c r="B36" s="123" t="str">
        <x:v>HD05.N.DM.MUC</x:v>
      </x:c>
      <x:c r="C36" s="123" t="str">
        <x:v>Nội dung</x:v>
      </x:c>
      <x:c r="D36" s="123" t="str">
        <x:v>Đề mục</x:v>
      </x:c>
      <x:c r="E36" s="123" t="str">
        <x:v>Mục</x:v>
      </x:c>
      <x:c r="F36" s="123" t="str">
        <x:v>6</x:v>
      </x:c>
      <x:c r="G36" s="123" t="str">
        <x:v>Theo loại văn bản và sự hiện diện thực tế; không áp dụng đồng loạt</x:v>
      </x:c>
      <x:c r="H36" s="123" t="str">
        <x:v>Nhận diện số/tên Mục, Tiểu mục; xác minh biến thể</x:v>
      </x:c>
      <x:c r="I36" s="123" t="str">
        <x:v>Times New Roman | Unicode | đen</x:v>
      </x:c>
      <x:c r="J36" s="136" t="str">
        <x:v>14</x:v>
      </x:c>
      <x:c r="K36" s="123" t="str">
        <x:v>Nhãn thường; tiêu đề IN HOA</x:v>
      </x:c>
      <x:c r="L36" s="123" t="str">
        <x:v>Có</x:v>
      </x:c>
      <x:c r="M36" s="123" t="str">
        <x:v>Không mặc định</x:v>
      </x:c>
      <x:c r="N36" s="123" t="str">
        <x:v>Căn giữa</x:v>
      </x:c>
      <x:c r="O36" s="135" t="str">
        <x:v>Exactly 19 pt; trước 6 pt; sau 6 pt; keepNext=true (preset)</x:v>
      </x:c>
      <x:c r="P36" s="135" t="str">
        <x:v>Thụt 0; keepNext=true</x:v>
      </x:c>
      <x:c r="Q36" s="123"/>
      <x:c r="R36" s="123" t="str">
        <x:v>Paragraph/Run theo kiểu khối DM; preserve list numbering/table/drawing nếu có</x:v>
      </x:c>
      <x:c r="S36" s="123" t="str">
        <x:v>TNR 14 pt; đậm; các mức viết hoa/đánh số theo loại văn bản</x:v>
      </x:c>
      <x:c r="T36" s="123" t="str">
        <x:v>HD05, Phần II, I.6 và IV; Phụ lục 2 mục 6</x:v>
      </x:c>
      <x:c r="U36" s="123" t="str">
        <x:v>https://dangcongsan.vn/vanphongtrunguong/van-ban-cua-dang/huong-dan-so-05-hd-vptw-ngay-27-5-2026-cua-van-phong-trung-uong-dang-ve-the-thuc-va-ky-thuat-trinh-bay-van-ban-cua-dang.html?categoryId=3000525</x:v>
      </x:c>
      <x:c r="V36" s="123" t="str">
        <x:v>https://thuvienphapluat.vn/van-ban/Bo-may-hanh-chinh/Huong-dan-05-HD-VPTW-2026-the-thuc-va-ky-thuat-trinh-bay-van-ban-cua-Dang-707499.aspx</x:v>
      </x:c>
      <x:c r="W36" s="123" t="str">
        <x:v>CHƯA ĐỦ BẰNG CHỨNG</x:v>
      </x:c>
      <x:c r="X36" s="123" t="str">
        <x:v>CHECK_ONLY</x:v>
      </x:c>
      <x:c r="Y36" s="123" t="str">
        <x:v>Không tự chèn/sửa khi chưa có chứng cứ về đối tượng và rule. | Trạng thái v1.0: CÓ ĐIỀU KIỆN | So sánh chéo cũ (không dùng làm rule): NĐ30 nhãn số Ả Rập và title IN HOA khi áp bố cục có Chương/Mục</x:v>
      </x:c>
      <x:c r="Z36" s="135" t="str">
        <x:v>TNR 14 pt; đậm; các mức viết hoa/đánh số theo loại văn bản</x:v>
      </x:c>
      <x:c r="AA36" s="123" t="str">
        <x:v>Heading-MUC</x:v>
      </x:c>
      <x:c r="AB36" s="135" t="str">
        <x:v>DỰ THẢO — CẦN DUYỆT HD05</x:v>
      </x:c>
      <x:c r="AC36" s="123" t="str">
        <x:v>CHECK_ONLY</x:v>
      </x:c>
      <x:c r="AD36" s="123" t="str">
        <x:v>PLUGIN:HOA-TIEU-MIEN-BAC-PARTY-HD05-HEADER-2026 | NEEDS_REVIEW</x:v>
      </x:c>
      <x:c r="AE36" s="123" t="str">
        <x:v>GATE: xác minh chủ thể HD05 trước; Render 1–3 trang: so TNR 14 pt, spacing Exactly 19 pt; trước 6 pt; sau 6 pt; keepNext=true (preset), indent Thụt 0; keepNext=true; kiểm tra không tràn chữ.</x:v>
      </x:c>
      <x:c r="AF36" s="123" t="str">
        <x:v>Không áp style lời văn cho nhãn/tên mục; riêng tiểu mục cần kiểm tra mẫu. | Đảng ủy: chỉ chọn khi chủ thể ban hành và phạm vi HD05 đã được xác minh.</x:v>
      </x:c>
      <x:c r="AG36" s="157" t="str">
        <x:v>Times New Roman</x:v>
      </x:c>
      <x:c r="AH36" s="157" t="str">
        <x:v>Unicode</x:v>
      </x:c>
      <x:c r="AI36" s="157" t="str">
        <x:v>#000000</x:v>
      </x:c>
      <x:c r="AJ36" s="195" t="n">
        <x:v>14</x:v>
      </x:c>
      <x:c r="AK36" s="157" t="str">
        <x:v>CÓ</x:v>
      </x:c>
      <x:c r="AL36" s="157" t="str">
        <x:v>CÓ ĐIỀU KIỆN</x:v>
      </x:c>
      <x:c r="AM36" s="157" t="str">
        <x:v>Nhãn thường; tiêu đề IN HOA</x:v>
      </x:c>
      <x:c r="AN36" s="157" t="str">
        <x:v>CENTER</x:v>
      </x:c>
      <x:c r="AO36" s="157"/>
      <x:c r="AP36" s="157" t="str">
        <x:v>EXACT</x:v>
      </x:c>
      <x:c r="AQ36" s="195" t="n">
        <x:v>19</x:v>
      </x:c>
      <x:c r="AR36" s="157" t="str">
        <x:v>pt</x:v>
      </x:c>
      <x:c r="AS36" s="195" t="n">
        <x:v>6</x:v>
      </x:c>
      <x:c r="AT36" s="195" t="n">
        <x:v>6</x:v>
      </x:c>
      <x:c r="AU36" s="195" t="n">
        <x:v>0</x:v>
      </x:c>
      <x:c r="AV36" s="195"/>
      <x:c r="AW36" s="195"/>
      <x:c r="AX36" s="157" t="str">
        <x:v>CÓ</x:v>
      </x:c>
      <x:c r="AY36" s="157"/>
      <x:c r="AZ36" s="157"/>
      <x:c r="BA36" s="195"/>
      <x:c r="BB36" s="195"/>
      <x:c r="BC36" s="157"/>
      <x:c r="BD36" s="195"/>
      <x:c r="BE36" s="195"/>
      <x:c r="BF36" s="195"/>
      <x:c r="BG36" s="195"/>
      <x:c r="BH36" s="157"/>
      <x:c r="BI36" s="195"/>
      <x:c r="BJ36" s="195"/>
      <x:c r="BK36" s="195"/>
      <x:c r="BL36" s="157"/>
      <x:c r="BM36" s="157"/>
      <x:c r="BN36" s="157"/>
      <x:c r="BO36" s="195"/>
      <x:c r="BP36" s="195"/>
      <x:c r="BQ36" s="157"/>
      <x:c r="BR36" s="157"/>
      <x:c r="BS36" s="157"/>
      <x:c r="BT36" s="157" t="str">
        <x:v>Heading-MUC</x:v>
      </x:c>
      <x:c r="BU36" s="157" t="str">
        <x:v>Paragraph/Run theo kiểu khối DM; preserve list numbering/table/drawing nếu có</x:v>
      </x:c>
      <x:c r="BV36" s="196" t="str">
        <x:v>DỰ THẢO — CẦN DUYỆT HD05</x:v>
      </x:c>
      <x:c r="BW36" s="197" t="str">
        <x:v>ĐÃ TÁCH MỘT PHẦN</x:v>
      </x:c>
      <x:c r="BX36" s="157" t="str">
        <x:v>Cấu hình profile chưa được xác nhận; giữ nguyên chính sách CHECK_ONLY.</x:v>
      </x:c>
      <x:c r="BY36" t="str">
        <x:v>HD05.N.DM.MUC</x:v>
      </x:c>
      <x:c r="BZ36" t="str">
        <x:f>IFERROR(INDEX(HD05!$J$7:$J$300,MATCH($B36,HD05!$B$7:$B$300,0)),"UNRESOLVED")</x:f>
        <x:v>14–15</x:v>
      </x:c>
      <x:c r="CA36" t="str">
        <x:v>TEXT</x:v>
      </x:c>
      <x:c r="CB36" t="str">
        <x:v>party_issuer_confirmed AND issue_date&gt;=2026-05-27 AND doc_type_confirmed</x:v>
      </x:c>
      <x:c r="CC36" t="str">
        <x:f>IFERROR(INDEX(HD05!$X$7:$X$300,MATCH($B36,HD05!$B$7:$B$300,0)),"UNRESOLVED")</x:f>
        <x:v>CHỈ SAU REVIEW</x:v>
      </x:c>
      <x:c r="CD36" t="str">
        <x:f>IF(OR(ISNUMBER(SEARCH("READ_ONLY",CC36)),ISNUMBER(SEARCH("PROTECTED",CC36)),ISNUMBER(SEARCH("BẢO VỆ",CC36)),ISNUMBER(SEARCH("KHÔNG KÝ",CC36))),"PROTECTED","CHECK_ONLY")</x:f>
        <x:v>CHECK_ONLY</x:v>
      </x:c>
      <x:c r="CE36" t="str">
        <x:f>IF(AND(CD36="FORMAT_APPROVED",CU36="CÓ",CV36="CÓ",CH36="CÓ",CI36="CÓ",CJ36="CÓ"),"CÓ","KHÔNG")</x:f>
        <x:v>KHÔNG</x:v>
      </x:c>
      <x:c r="CF36" t="str">
        <x:v>KHÔNG</x:v>
      </x:c>
      <x:c r="CG36" t="str">
        <x:v>CÓ</x:v>
      </x:c>
      <x:c r="CH36" t="str">
        <x:v>KHÔNG</x:v>
      </x:c>
      <x:c r="CI36" t="str">
        <x:v>KHÔNG</x:v>
      </x:c>
      <x:c r="CJ36" t="str">
        <x:v>KHÔNG</x:v>
      </x:c>
      <x:c r="CK36" t="str">
        <x:f>IF(AND(CE36="CÓ",CF36="KHÔNG",CG36="CÓ",CU36="CÓ",CV36="CÓ",CH36="CÓ",CI36="CÓ",CJ36="CÓ"),"CÓ","KHÔNG")</x:f>
        <x:v>KHÔNG</x:v>
      </x:c>
      <x:c r="CL36" t="str">
        <x:v>PILOT_NORTH_PROFILE_DRAFT; chưa có master DOCX đã duyệt</x:v>
      </x:c>
      <x:c r="CM36" t="str">
        <x:v>v1.5 (nâng từ v1.4)</x:v>
      </x:c>
      <x:c r="CN36" t="str">
        <x:v>CHƯA XÁC NHẬN CHỦ THỂ ĐẢNG</x:v>
      </x:c>
      <x:c r="CO36" t="str">
        <x:v>HD05_N_DM_MUC_FIELD_ONLY; chưa tạo trong Word</x:v>
      </x:c>
      <x:c r="CP36" t="str">
        <x:v>Preset là cấu hình Công ty; không thay thế giới hạn của nguồn NĐ30/HD05</x:v>
      </x:c>
      <x:c r="CQ36" t="str">
        <x:f>IF(OR(BH36="CÓ",BH36=TRUE),BI36,"")</x:f>
      </x:c>
      <x:c r="CR36" t="str">
        <x:f>IF(OR(BH36="CÓ",BH36=TRUE),BJ36,"")</x:f>
      </x:c>
      <x:c r="CS36" t="str">
        <x:v>FORMAT_CHECK_ONLY</x:v>
      </x:c>
      <x:c r="CT36" t="str">
        <x:v>PENDING_SOURCE_AND_DOCX_QA</x:v>
      </x:c>
      <x:c r="CU36" t="str">
        <x:v>KHÔNG</x:v>
      </x:c>
      <x:c r="CV36" t="str">
        <x:v>KHÔNG</x:v>
      </x:c>
      <x:c r="CW36" t="str"/>
    </x:row>
    <x:row r="37" ht="29" customHeight="1">
      <x:c r="A37" s="125" t="n">
        <x:v>31</x:v>
      </x:c>
      <x:c r="B37" s="123" t="str">
        <x:v>HD05.N.DM.TIEU_MUC</x:v>
      </x:c>
      <x:c r="C37" s="123" t="str">
        <x:v>Nội dung</x:v>
      </x:c>
      <x:c r="D37" s="123" t="str">
        <x:v>Đề mục</x:v>
      </x:c>
      <x:c r="E37" s="123" t="str">
        <x:v>Tiểu mục</x:v>
      </x:c>
      <x:c r="F37" s="123" t="str">
        <x:v>6</x:v>
      </x:c>
      <x:c r="G37" s="123" t="str">
        <x:v>Theo loại văn bản và sự hiện diện thực tế; không áp dụng đồng loạt</x:v>
      </x:c>
      <x:c r="H37" s="123" t="str">
        <x:v>Nhận diện số/tên Mục, Tiểu mục; xác minh biến thể</x:v>
      </x:c>
      <x:c r="I37" s="123" t="str">
        <x:v>Times New Roman | Unicode | đen</x:v>
      </x:c>
      <x:c r="J37" s="136" t="str">
        <x:v>14</x:v>
      </x:c>
      <x:c r="K37" s="123" t="str">
        <x:v>Nhãn thường; tiêu đề IN HOA</x:v>
      </x:c>
      <x:c r="L37" s="123" t="str">
        <x:v>Có</x:v>
      </x:c>
      <x:c r="M37" s="123" t="str">
        <x:v>Không mặc định</x:v>
      </x:c>
      <x:c r="N37" s="123" t="str">
        <x:v>Căn giữa</x:v>
      </x:c>
      <x:c r="O37" s="135" t="str">
        <x:v>Exactly 19 pt; trước 6 pt; sau 6 pt; keepNext=true (preset)</x:v>
      </x:c>
      <x:c r="P37" s="135" t="str">
        <x:v>Thụt 0; keepNext=true</x:v>
      </x:c>
      <x:c r="Q37" s="123"/>
      <x:c r="R37" s="123" t="str">
        <x:v>Paragraph/Run theo kiểu khối DM; preserve list numbering/table/drawing nếu có</x:v>
      </x:c>
      <x:c r="S37" s="123" t="str">
        <x:v>TNR 14 pt; đậm; các mức viết hoa/đánh số theo loại văn bản</x:v>
      </x:c>
      <x:c r="T37" s="123" t="str">
        <x:v>HD05, Phần II, I.6 và IV; Phụ lục 2 mục 6</x:v>
      </x:c>
      <x:c r="U37" s="123" t="str">
        <x:v>https://dangcongsan.vn/vanphongtrunguong/van-ban-cua-dang/huong-dan-so-05-hd-vptw-ngay-27-5-2026-cua-van-phong-trung-uong-dang-ve-the-thuc-va-ky-thuat-trinh-bay-van-ban-cua-dang.html?categoryId=3000525</x:v>
      </x:c>
      <x:c r="V37" s="123" t="str">
        <x:v>https://thuvienphapluat.vn/van-ban/Bo-may-hanh-chinh/Huong-dan-05-HD-VPTW-2026-the-thuc-va-ky-thuat-trinh-bay-van-ban-cua-Dang-707499.aspx</x:v>
      </x:c>
      <x:c r="W37" s="123" t="str">
        <x:v>CẦN RÀ SOÁT</x:v>
      </x:c>
      <x:c r="X37" s="123" t="str">
        <x:v>CHECK_ONLY</x:v>
      </x:c>
      <x:c r="Y37" s="123" t="str">
        <x:v>Không tự chèn/sửa khi chưa có chứng cứ về đối tượng và rule. | Trạng thái v1.0: CÓ ĐIỀU KIỆN | So sánh chéo cũ (không dùng làm rule): NĐ30 nhãn số Ả Rập và title IN HOA khi áp bố cục có Chương/Mục</x:v>
      </x:c>
      <x:c r="Z37" s="135" t="str">
        <x:v>TNR 14 pt; đậm; các mức viết hoa/đánh số theo loại văn bản</x:v>
      </x:c>
      <x:c r="AA37" s="123" t="str">
        <x:v>Heading-TIEU_MUC</x:v>
      </x:c>
      <x:c r="AB37" s="135" t="str">
        <x:v>DỰ THẢO — CẦN DUYỆT HD05</x:v>
      </x:c>
      <x:c r="AC37" s="123" t="str">
        <x:v>CHECK_ONLY</x:v>
      </x:c>
      <x:c r="AD37" s="123" t="str">
        <x:v>PLUGIN:HOA-TIEU-MIEN-BAC-PARTY-HD05-HEADER-2026 | NEEDS_REVIEW</x:v>
      </x:c>
      <x:c r="AE37" s="123" t="str">
        <x:v>GATE: xác minh chủ thể HD05 trước; Render 1–3 trang: so TNR 14 pt, spacing Exactly 19 pt; trước 6 pt; sau 6 pt; keepNext=true (preset), indent Thụt 0; keepNext=true; kiểm tra không tràn chữ.</x:v>
      </x:c>
      <x:c r="AF37" s="123" t="str">
        <x:v>Không áp style lời văn cho nhãn/tên mục; riêng tiểu mục cần kiểm tra mẫu. | Đảng ủy: chỉ chọn khi chủ thể ban hành và phạm vi HD05 đã được xác minh.</x:v>
      </x:c>
      <x:c r="AG37" s="157" t="str">
        <x:v>Times New Roman</x:v>
      </x:c>
      <x:c r="AH37" s="157" t="str">
        <x:v>Unicode</x:v>
      </x:c>
      <x:c r="AI37" s="157" t="str">
        <x:v>#000000</x:v>
      </x:c>
      <x:c r="AJ37" s="195" t="n">
        <x:v>14</x:v>
      </x:c>
      <x:c r="AK37" s="157" t="str">
        <x:v>CÓ</x:v>
      </x:c>
      <x:c r="AL37" s="157" t="str">
        <x:v>CÓ ĐIỀU KIỆN</x:v>
      </x:c>
      <x:c r="AM37" s="157" t="str">
        <x:v>Nhãn thường; tiêu đề IN HOA</x:v>
      </x:c>
      <x:c r="AN37" s="157" t="str">
        <x:v>CENTER</x:v>
      </x:c>
      <x:c r="AO37" s="157"/>
      <x:c r="AP37" s="157" t="str">
        <x:v>EXACT</x:v>
      </x:c>
      <x:c r="AQ37" s="195" t="n">
        <x:v>19</x:v>
      </x:c>
      <x:c r="AR37" s="157" t="str">
        <x:v>pt</x:v>
      </x:c>
      <x:c r="AS37" s="195" t="n">
        <x:v>6</x:v>
      </x:c>
      <x:c r="AT37" s="195" t="n">
        <x:v>6</x:v>
      </x:c>
      <x:c r="AU37" s="195" t="n">
        <x:v>0</x:v>
      </x:c>
      <x:c r="AV37" s="195"/>
      <x:c r="AW37" s="195"/>
      <x:c r="AX37" s="157" t="str">
        <x:v>CÓ</x:v>
      </x:c>
      <x:c r="AY37" s="157"/>
      <x:c r="AZ37" s="157"/>
      <x:c r="BA37" s="195"/>
      <x:c r="BB37" s="195"/>
      <x:c r="BC37" s="157"/>
      <x:c r="BD37" s="195"/>
      <x:c r="BE37" s="195"/>
      <x:c r="BF37" s="195"/>
      <x:c r="BG37" s="195"/>
      <x:c r="BH37" s="157"/>
      <x:c r="BI37" s="195"/>
      <x:c r="BJ37" s="195"/>
      <x:c r="BK37" s="195"/>
      <x:c r="BL37" s="157"/>
      <x:c r="BM37" s="157"/>
      <x:c r="BN37" s="157"/>
      <x:c r="BO37" s="195"/>
      <x:c r="BP37" s="195"/>
      <x:c r="BQ37" s="157"/>
      <x:c r="BR37" s="157"/>
      <x:c r="BS37" s="157"/>
      <x:c r="BT37" s="157" t="str">
        <x:v>Heading-TIEU_MUC</x:v>
      </x:c>
      <x:c r="BU37" s="157" t="str">
        <x:v>Paragraph/Run theo kiểu khối DM; preserve list numbering/table/drawing nếu có</x:v>
      </x:c>
      <x:c r="BV37" s="196" t="str">
        <x:v>DỰ THẢO — CẦN DUYỆT HD05</x:v>
      </x:c>
      <x:c r="BW37" s="197" t="str">
        <x:v>ĐÃ TÁCH MỘT PHẦN</x:v>
      </x:c>
      <x:c r="BX37" s="157" t="str">
        <x:v>Cấu hình profile chưa được xác nhận; giữ nguyên chính sách CHECK_ONLY.</x:v>
      </x:c>
      <x:c r="BY37" t="str">
        <x:v>HD05.N.DM.TIEU_MUC</x:v>
      </x:c>
      <x:c r="BZ37" t="str">
        <x:f>IFERROR(INDEX(HD05!$J$7:$J$300,MATCH($B37,HD05!$B$7:$B$300,0)),"UNRESOLVED")</x:f>
        <x:v>14–15</x:v>
      </x:c>
      <x:c r="CA37" t="str">
        <x:v>TEXT</x:v>
      </x:c>
      <x:c r="CB37" t="str">
        <x:v>party_issuer_confirmed AND issue_date&gt;=2026-05-27 AND doc_type_confirmed</x:v>
      </x:c>
      <x:c r="CC37" t="str">
        <x:f>IFERROR(INDEX(HD05!$X$7:$X$300,MATCH($B37,HD05!$B$7:$B$300,0)),"UNRESOLVED")</x:f>
        <x:v>READ_ONLY / KHÔNG TỰ SỬA</x:v>
      </x:c>
      <x:c r="CD37" t="str">
        <x:f>IF(OR(ISNUMBER(SEARCH("READ_ONLY",CC37)),ISNUMBER(SEARCH("PROTECTED",CC37)),ISNUMBER(SEARCH("BẢO VỆ",CC37)),ISNUMBER(SEARCH("KHÔNG KÝ",CC37))),"PROTECTED","CHECK_ONLY")</x:f>
        <x:v>PROTECTED</x:v>
      </x:c>
      <x:c r="CE37" t="str">
        <x:f>IF(AND(CD37="FORMAT_APPROVED",CU37="CÓ",CV37="CÓ",CH37="CÓ",CI37="CÓ",CJ37="CÓ"),"CÓ","KHÔNG")</x:f>
        <x:v>KHÔNG</x:v>
      </x:c>
      <x:c r="CF37" t="str">
        <x:v>KHÔNG</x:v>
      </x:c>
      <x:c r="CG37" t="str">
        <x:v>CÓ</x:v>
      </x:c>
      <x:c r="CH37" t="str">
        <x:v>KHÔNG</x:v>
      </x:c>
      <x:c r="CI37" t="str">
        <x:v>KHÔNG</x:v>
      </x:c>
      <x:c r="CJ37" t="str">
        <x:v>KHÔNG</x:v>
      </x:c>
      <x:c r="CK37" t="str">
        <x:f>IF(AND(CE37="CÓ",CF37="KHÔNG",CG37="CÓ",CU37="CÓ",CV37="CÓ",CH37="CÓ",CI37="CÓ",CJ37="CÓ"),"CÓ","KHÔNG")</x:f>
        <x:v>KHÔNG</x:v>
      </x:c>
      <x:c r="CL37" t="str">
        <x:v>PILOT_NORTH_PROFILE_DRAFT; chưa có master DOCX đã duyệt</x:v>
      </x:c>
      <x:c r="CM37" t="str">
        <x:v>v1.5 (nâng từ v1.4)</x:v>
      </x:c>
      <x:c r="CN37" t="str">
        <x:v>CHƯA XÁC NHẬN CHỦ THỂ ĐẢNG</x:v>
      </x:c>
      <x:c r="CO37" t="str">
        <x:v>HD05_N_DM_TIEU_MUC_FIELD_ONLY; chưa tạo trong Word</x:v>
      </x:c>
      <x:c r="CP37" t="str">
        <x:v>Preset là cấu hình Công ty; không thay thế giới hạn của nguồn NĐ30/HD05</x:v>
      </x:c>
      <x:c r="CQ37" t="str">
        <x:f>IF(OR(BH37="CÓ",BH37=TRUE),BI37,"")</x:f>
      </x:c>
      <x:c r="CR37" t="str">
        <x:f>IF(OR(BH37="CÓ",BH37=TRUE),BJ37,"")</x:f>
      </x:c>
      <x:c r="CS37" t="str">
        <x:v>FORMAT_CHECK_ONLY</x:v>
      </x:c>
      <x:c r="CT37" t="str">
        <x:v>PENDING_SOURCE_AND_DOCX_QA</x:v>
      </x:c>
      <x:c r="CU37" t="str">
        <x:v>KHÔNG</x:v>
      </x:c>
      <x:c r="CV37" t="str">
        <x:v>KHÔNG</x:v>
      </x:c>
      <x:c r="CW37" t="str"/>
    </x:row>
    <x:row r="38" ht="29" customHeight="1">
      <x:c r="A38" s="125" t="n">
        <x:v>32</x:v>
      </x:c>
      <x:c r="B38" s="123" t="str">
        <x:v>HD05.N.DIEU.SO_DIEU</x:v>
      </x:c>
      <x:c r="C38" s="123" t="str">
        <x:v>Nội dung</x:v>
      </x:c>
      <x:c r="D38" s="123" t="str">
        <x:v>Điều</x:v>
      </x:c>
      <x:c r="E38" s="123" t="str">
        <x:v>Số điều</x:v>
      </x:c>
      <x:c r="F38" s="123" t="str">
        <x:v>6</x:v>
      </x:c>
      <x:c r="G38" s="123" t="str">
        <x:v>Theo loại văn bản và sự hiện diện thực tế; không áp dụng đồng loạt</x:v>
      </x:c>
      <x:c r="H38" s="123" t="str">
        <x:v>Số điều</x:v>
      </x:c>
      <x:c r="I38" s="123" t="str">
        <x:v>Times New Roman | Unicode | đen</x:v>
      </x:c>
      <x:c r="J38" s="136" t="str">
        <x:v>14</x:v>
      </x:c>
      <x:c r="K38" s="123" t="str">
        <x:v>In thường</x:v>
      </x:c>
      <x:c r="L38" s="123" t="str">
        <x:v>Có</x:v>
      </x:c>
      <x:c r="M38" s="123" t="str">
        <x:v>Không mặc định</x:v>
      </x:c>
      <x:c r="N38" s="123" t="str">
        <x:v>Căn đều hai lề (justify)</x:v>
      </x:c>
      <x:c r="O38" s="135" t="str">
        <x:v>Exactly 19 pt; after 6 pt; before 0 pt</x:v>
      </x:c>
      <x:c r="P38" s="135" t="str">
        <x:v>First line 10 mm (~567 twip)</x:v>
      </x:c>
      <x:c r="Q38" s="123"/>
      <x:c r="R38" s="123" t="str">
        <x:v>Paragraph/Run theo kiểu khối DIEU; preserve list numbering/table/drawing nếu có</x:v>
      </x:c>
      <x:c r="S38" s="123" t="str">
        <x:v>TNR 14 pt; nội dung 19/6; nhãn/số/tên điều có style riêng</x:v>
      </x:c>
      <x:c r="T38" s="123" t="str">
        <x:v>HD05, Phần II, I.6 và IV; Phụ lục 2 mục 6</x:v>
      </x:c>
      <x:c r="U38" s="123" t="str">
        <x:v>https://dangcongsan.vn/vanphongtrunguong/van-ban-cua-dang/huong-dan-so-05-hd-vptw-ngay-27-5-2026-cua-van-phong-trung-uong-dang-ve-the-thuc-va-ky-thuat-trinh-bay-van-ban-cua-dang.html?categoryId=3000525</x:v>
      </x:c>
      <x:c r="V38" s="123" t="str">
        <x:v>https://thuvienphapluat.vn/van-ban/Bo-may-hanh-chinh/Huong-dan-05-HD-VPTW-2026-the-thuc-va-ky-thuat-trinh-bay-van-ban-cua-Dang-707499.aspx</x:v>
      </x:c>
      <x:c r="W38" s="123" t="str">
        <x:v>CHƯA ĐỦ BẰNG CHỨNG</x:v>
      </x:c>
      <x:c r="X38" s="123" t="str">
        <x:v>CHECK_ONLY</x:v>
      </x:c>
      <x:c r="Y38" s="123" t="str">
        <x:v>Không tự chèn/sửa khi chưa có chứng cứ về đối tượng và rule. | Trạng thái v1.0: CÓ ĐIỀU KIỆN | So sánh chéo cũ (không dùng làm rule): NĐ30: “Điều 1.”; phần nhãn/tên đậm; HD05 tương ứng Phụ lục 2</x:v>
      </x:c>
      <x:c r="Z38" s="135" t="str">
        <x:v>TNR 14 pt; nội dung 19/6; nhãn/số/tên điều có style riêng</x:v>
      </x:c>
      <x:c r="AA38" s="123" t="str">
        <x:v>LegalArticle</x:v>
      </x:c>
      <x:c r="AB38" s="135" t="str">
        <x:v>DỰ THẢO — CẦN DUYỆT HD05</x:v>
      </x:c>
      <x:c r="AC38" s="123" t="str">
        <x:v>CHECK_ONLY</x:v>
      </x:c>
      <x:c r="AD38" s="123" t="str">
        <x:v>PLUGIN:HOA-TIEU-MIEN-BAC-PARTY-HD05-HEADER-2026 | NEEDS_REVIEW</x:v>
      </x:c>
      <x:c r="AE38" s="123" t="str">
        <x:v>GATE: xác minh chủ thể HD05 trước; Render 1–3 trang: so TNR 14 pt, spacing Exactly 19 pt; after 6 pt; before 0 pt, indent First line 10 mm (~567 twip); kiểm tra không tràn chữ.</x:v>
      </x:c>
      <x:c r="AF38" s="123" t="str">
        <x:v>Đảng ủy: chỉ chọn khi chủ thể ban hành và phạm vi HD05 đã được xác minh.</x:v>
      </x:c>
      <x:c r="AG38" s="157" t="str">
        <x:v>Times New Roman</x:v>
      </x:c>
      <x:c r="AH38" s="157" t="str">
        <x:v>Unicode</x:v>
      </x:c>
      <x:c r="AI38" s="157" t="str">
        <x:v>#000000</x:v>
      </x:c>
      <x:c r="AJ38" s="195" t="n">
        <x:v>14</x:v>
      </x:c>
      <x:c r="AK38" s="157" t="str">
        <x:v>CÓ</x:v>
      </x:c>
      <x:c r="AL38" s="157" t="str">
        <x:v>CÓ ĐIỀU KIỆN</x:v>
      </x:c>
      <x:c r="AM38" s="157" t="str">
        <x:v>In thường</x:v>
      </x:c>
      <x:c r="AN38" s="157" t="str">
        <x:v>JUSTIFY</x:v>
      </x:c>
      <x:c r="AO38" s="157"/>
      <x:c r="AP38" s="157" t="str">
        <x:v>EXACT</x:v>
      </x:c>
      <x:c r="AQ38" s="195" t="n">
        <x:v>19</x:v>
      </x:c>
      <x:c r="AR38" s="157" t="str">
        <x:v>pt</x:v>
      </x:c>
      <x:c r="AS38" s="195" t="n">
        <x:v>0</x:v>
      </x:c>
      <x:c r="AT38" s="195" t="n">
        <x:v>6</x:v>
      </x:c>
      <x:c r="AU38" s="195" t="n">
        <x:v>10</x:v>
      </x:c>
      <x:c r="AV38" s="195"/>
      <x:c r="AW38" s="195"/>
      <x:c r="AX38" s="157"/>
      <x:c r="AY38" s="157"/>
      <x:c r="AZ38" s="157"/>
      <x:c r="BA38" s="195"/>
      <x:c r="BB38" s="195"/>
      <x:c r="BC38" s="157"/>
      <x:c r="BD38" s="195"/>
      <x:c r="BE38" s="195"/>
      <x:c r="BF38" s="195"/>
      <x:c r="BG38" s="195"/>
      <x:c r="BH38" s="157"/>
      <x:c r="BI38" s="195"/>
      <x:c r="BJ38" s="195"/>
      <x:c r="BK38" s="195"/>
      <x:c r="BL38" s="157"/>
      <x:c r="BM38" s="157"/>
      <x:c r="BN38" s="157"/>
      <x:c r="BO38" s="195"/>
      <x:c r="BP38" s="195"/>
      <x:c r="BQ38" s="157"/>
      <x:c r="BR38" s="157"/>
      <x:c r="BS38" s="157"/>
      <x:c r="BT38" s="157" t="str">
        <x:v>LegalArticle</x:v>
      </x:c>
      <x:c r="BU38" s="157" t="str">
        <x:v>Paragraph/Run theo kiểu khối DIEU; preserve list numbering/table/drawing nếu có</x:v>
      </x:c>
      <x:c r="BV38" s="196" t="str">
        <x:v>DỰ THẢO — CẦN DUYỆT HD05</x:v>
      </x:c>
      <x:c r="BW38" s="197" t="str">
        <x:v>ĐÃ TÁCH MỘT PHẦN</x:v>
      </x:c>
      <x:c r="BX38" s="157" t="str">
        <x:v>Cấu hình profile chưa được xác nhận; giữ nguyên chính sách CHECK_ONLY.</x:v>
      </x:c>
      <x:c r="BY38" t="str">
        <x:v>HD05.N.DIEU.SO_DIEU</x:v>
      </x:c>
      <x:c r="BZ38" t="str">
        <x:f>IFERROR(INDEX(HD05!$J$7:$J$300,MATCH($B38,HD05!$B$7:$B$300,0)),"UNRESOLVED")</x:f>
        <x:v>14–15</x:v>
      </x:c>
      <x:c r="CA38" t="str">
        <x:v>TEXT</x:v>
      </x:c>
      <x:c r="CB38" t="str">
        <x:v>party_issuer_confirmed AND issue_date&gt;=2026-05-27 AND doc_type_confirmed</x:v>
      </x:c>
      <x:c r="CC38" t="str">
        <x:f>IFERROR(INDEX(HD05!$X$7:$X$300,MATCH($B38,HD05!$B$7:$B$300,0)),"UNRESOLVED")</x:f>
        <x:v>CHỈ SAU REVIEW</x:v>
      </x:c>
      <x:c r="CD38" t="str">
        <x:f>IF(OR(ISNUMBER(SEARCH("READ_ONLY",CC38)),ISNUMBER(SEARCH("PROTECTED",CC38)),ISNUMBER(SEARCH("BẢO VỆ",CC38)),ISNUMBER(SEARCH("KHÔNG KÝ",CC38))),"PROTECTED","CHECK_ONLY")</x:f>
        <x:v>CHECK_ONLY</x:v>
      </x:c>
      <x:c r="CE38" t="str">
        <x:f>IF(AND(CD38="FORMAT_APPROVED",CU38="CÓ",CV38="CÓ",CH38="CÓ",CI38="CÓ",CJ38="CÓ"),"CÓ","KHÔNG")</x:f>
        <x:v>KHÔNG</x:v>
      </x:c>
      <x:c r="CF38" t="str">
        <x:v>KHÔNG</x:v>
      </x:c>
      <x:c r="CG38" t="str">
        <x:v>CÓ</x:v>
      </x:c>
      <x:c r="CH38" t="str">
        <x:v>KHÔNG</x:v>
      </x:c>
      <x:c r="CI38" t="str">
        <x:v>KHÔNG</x:v>
      </x:c>
      <x:c r="CJ38" t="str">
        <x:v>KHÔNG</x:v>
      </x:c>
      <x:c r="CK38" t="str">
        <x:f>IF(AND(CE38="CÓ",CF38="KHÔNG",CG38="CÓ",CU38="CÓ",CV38="CÓ",CH38="CÓ",CI38="CÓ",CJ38="CÓ"),"CÓ","KHÔNG")</x:f>
        <x:v>KHÔNG</x:v>
      </x:c>
      <x:c r="CL38" t="str">
        <x:v>PILOT_NORTH_PROFILE_DRAFT; chưa có master DOCX đã duyệt</x:v>
      </x:c>
      <x:c r="CM38" t="str">
        <x:v>v1.5 (nâng từ v1.4)</x:v>
      </x:c>
      <x:c r="CN38" t="str">
        <x:v>CHƯA XÁC NHẬN CHỦ THỂ ĐẢNG</x:v>
      </x:c>
      <x:c r="CO38" t="str">
        <x:v>HD05_N_DIEU_SO_DIEU_FIELD_ONLY; chưa tạo trong Word</x:v>
      </x:c>
      <x:c r="CP38" t="str">
        <x:v>Preset là cấu hình Công ty; không thay thế giới hạn của nguồn NĐ30/HD05</x:v>
      </x:c>
      <x:c r="CQ38" t="str">
        <x:f>IF(OR(BH38="CÓ",BH38=TRUE),BI38,"")</x:f>
      </x:c>
      <x:c r="CR38" t="str">
        <x:f>IF(OR(BH38="CÓ",BH38=TRUE),BJ38,"")</x:f>
      </x:c>
      <x:c r="CS38" t="str">
        <x:v>FORMAT_CHECK_ONLY</x:v>
      </x:c>
      <x:c r="CT38" t="str">
        <x:v>PENDING_SOURCE_AND_DOCX_QA</x:v>
      </x:c>
      <x:c r="CU38" t="str">
        <x:v>KHÔNG</x:v>
      </x:c>
      <x:c r="CV38" t="str">
        <x:v>KHÔNG</x:v>
      </x:c>
      <x:c r="CW38" t="str"/>
    </x:row>
    <x:row r="39" ht="29" customHeight="1">
      <x:c r="A39" s="125" t="n">
        <x:v>33</x:v>
      </x:c>
      <x:c r="B39" s="123" t="str">
        <x:v>HD05.N.DIEU.TEN_DIEU</x:v>
      </x:c>
      <x:c r="C39" s="123" t="str">
        <x:v>Nội dung</x:v>
      </x:c>
      <x:c r="D39" s="123" t="str">
        <x:v>Điều</x:v>
      </x:c>
      <x:c r="E39" s="123" t="str">
        <x:v>Tên điều</x:v>
      </x:c>
      <x:c r="F39" s="123" t="str">
        <x:v>6</x:v>
      </x:c>
      <x:c r="G39" s="123" t="str">
        <x:v>Theo loại văn bản và sự hiện diện thực tế; không áp dụng đồng loạt</x:v>
      </x:c>
      <x:c r="H39" s="123" t="str">
        <x:v>Tên điều</x:v>
      </x:c>
      <x:c r="I39" s="123" t="str">
        <x:v>Times New Roman | Unicode | đen</x:v>
      </x:c>
      <x:c r="J39" s="136" t="str">
        <x:v>14</x:v>
      </x:c>
      <x:c r="K39" s="123" t="str">
        <x:v>In thường</x:v>
      </x:c>
      <x:c r="L39" s="123" t="str">
        <x:v>Có</x:v>
      </x:c>
      <x:c r="M39" s="123" t="str">
        <x:v>Không mặc định</x:v>
      </x:c>
      <x:c r="N39" s="123" t="str">
        <x:v>Căn đều hai lề (justify)</x:v>
      </x:c>
      <x:c r="O39" s="135" t="str">
        <x:v>Exactly 19 pt; after 6 pt; before 0 pt</x:v>
      </x:c>
      <x:c r="P39" s="135" t="str">
        <x:v>First line 10 mm (~567 twip)</x:v>
      </x:c>
      <x:c r="Q39" s="123"/>
      <x:c r="R39" s="123" t="str">
        <x:v>Paragraph/Run theo kiểu khối DIEU; preserve list numbering/table/drawing nếu có</x:v>
      </x:c>
      <x:c r="S39" s="123" t="str">
        <x:v>TNR 14 pt; nội dung 19/6; nhãn/số/tên điều có style riêng</x:v>
      </x:c>
      <x:c r="T39" s="123" t="str">
        <x:v>HD05, Phần II, I.6 và IV; Phụ lục 2 mục 6</x:v>
      </x:c>
      <x:c r="U39" s="123" t="str">
        <x:v>https://dangcongsan.vn/vanphongtrunguong/van-ban-cua-dang/huong-dan-so-05-hd-vptw-ngay-27-5-2026-cua-van-phong-trung-uong-dang-ve-the-thuc-va-ky-thuat-trinh-bay-van-ban-cua-dang.html?categoryId=3000525</x:v>
      </x:c>
      <x:c r="V39" s="123" t="str">
        <x:v>https://thuvienphapluat.vn/van-ban/Bo-may-hanh-chinh/Huong-dan-05-HD-VPTW-2026-the-thuc-va-ky-thuat-trinh-bay-van-ban-cua-Dang-707499.aspx</x:v>
      </x:c>
      <x:c r="W39" s="123" t="str">
        <x:v>CHƯA ĐỦ BẰNG CHỨNG</x:v>
      </x:c>
      <x:c r="X39" s="123" t="str">
        <x:v>CHECK_ONLY</x:v>
      </x:c>
      <x:c r="Y39" s="123" t="str">
        <x:v>Không tự chèn/sửa khi chưa có chứng cứ về đối tượng và rule. | Trạng thái v1.0: CÓ ĐIỀU KIỆN | So sánh chéo cũ (không dùng làm rule): NĐ30: “Điều 1.”; phần nhãn/tên đậm; HD05 tương ứng Phụ lục 2</x:v>
      </x:c>
      <x:c r="Z39" s="135" t="str">
        <x:v>TNR 14 pt; nội dung 19/6; nhãn/số/tên điều có style riêng</x:v>
      </x:c>
      <x:c r="AA39" s="123" t="str">
        <x:v>LegalArticle</x:v>
      </x:c>
      <x:c r="AB39" s="135" t="str">
        <x:v>DỰ THẢO — CẦN DUYỆT HD05</x:v>
      </x:c>
      <x:c r="AC39" s="123" t="str">
        <x:v>CHECK_ONLY</x:v>
      </x:c>
      <x:c r="AD39" s="123" t="str">
        <x:v>PLUGIN:HOA-TIEU-MIEN-BAC-PARTY-HD05-HEADER-2026 | NEEDS_REVIEW</x:v>
      </x:c>
      <x:c r="AE39" s="123" t="str">
        <x:v>GATE: xác minh chủ thể HD05 trước; Render 1–3 trang: so TNR 14 pt, spacing Exactly 19 pt; after 6 pt; before 0 pt, indent First line 10 mm (~567 twip); kiểm tra không tràn chữ.</x:v>
      </x:c>
      <x:c r="AF39" s="123" t="str">
        <x:v>Đảng ủy: chỉ chọn khi chủ thể ban hành và phạm vi HD05 đã được xác minh.</x:v>
      </x:c>
      <x:c r="AG39" s="157" t="str">
        <x:v>Times New Roman</x:v>
      </x:c>
      <x:c r="AH39" s="157" t="str">
        <x:v>Unicode</x:v>
      </x:c>
      <x:c r="AI39" s="157" t="str">
        <x:v>#000000</x:v>
      </x:c>
      <x:c r="AJ39" s="195" t="n">
        <x:v>14</x:v>
      </x:c>
      <x:c r="AK39" s="157" t="str">
        <x:v>CÓ</x:v>
      </x:c>
      <x:c r="AL39" s="157" t="str">
        <x:v>CÓ ĐIỀU KIỆN</x:v>
      </x:c>
      <x:c r="AM39" s="157" t="str">
        <x:v>In thường</x:v>
      </x:c>
      <x:c r="AN39" s="157" t="str">
        <x:v>JUSTIFY</x:v>
      </x:c>
      <x:c r="AO39" s="157"/>
      <x:c r="AP39" s="157" t="str">
        <x:v>EXACT</x:v>
      </x:c>
      <x:c r="AQ39" s="195" t="n">
        <x:v>19</x:v>
      </x:c>
      <x:c r="AR39" s="157" t="str">
        <x:v>pt</x:v>
      </x:c>
      <x:c r="AS39" s="195" t="n">
        <x:v>0</x:v>
      </x:c>
      <x:c r="AT39" s="195" t="n">
        <x:v>6</x:v>
      </x:c>
      <x:c r="AU39" s="195" t="n">
        <x:v>10</x:v>
      </x:c>
      <x:c r="AV39" s="195"/>
      <x:c r="AW39" s="195"/>
      <x:c r="AX39" s="157"/>
      <x:c r="AY39" s="157"/>
      <x:c r="AZ39" s="157"/>
      <x:c r="BA39" s="195"/>
      <x:c r="BB39" s="195"/>
      <x:c r="BC39" s="157"/>
      <x:c r="BD39" s="195"/>
      <x:c r="BE39" s="195"/>
      <x:c r="BF39" s="195"/>
      <x:c r="BG39" s="195"/>
      <x:c r="BH39" s="157"/>
      <x:c r="BI39" s="195"/>
      <x:c r="BJ39" s="195"/>
      <x:c r="BK39" s="195"/>
      <x:c r="BL39" s="157"/>
      <x:c r="BM39" s="157"/>
      <x:c r="BN39" s="157"/>
      <x:c r="BO39" s="195"/>
      <x:c r="BP39" s="195"/>
      <x:c r="BQ39" s="157"/>
      <x:c r="BR39" s="157"/>
      <x:c r="BS39" s="157"/>
      <x:c r="BT39" s="157" t="str">
        <x:v>LegalArticle</x:v>
      </x:c>
      <x:c r="BU39" s="157" t="str">
        <x:v>Paragraph/Run theo kiểu khối DIEU; preserve list numbering/table/drawing nếu có</x:v>
      </x:c>
      <x:c r="BV39" s="196" t="str">
        <x:v>DỰ THẢO — CẦN DUYỆT HD05</x:v>
      </x:c>
      <x:c r="BW39" s="197" t="str">
        <x:v>ĐÃ TÁCH MỘT PHẦN</x:v>
      </x:c>
      <x:c r="BX39" s="157" t="str">
        <x:v>Cấu hình profile chưa được xác nhận; giữ nguyên chính sách CHECK_ONLY.</x:v>
      </x:c>
      <x:c r="BY39" t="str">
        <x:v>HD05.N.DIEU.TEN_DIEU</x:v>
      </x:c>
      <x:c r="BZ39" t="str">
        <x:f>IFERROR(INDEX(HD05!$J$7:$J$300,MATCH($B39,HD05!$B$7:$B$300,0)),"UNRESOLVED")</x:f>
        <x:v>14–15</x:v>
      </x:c>
      <x:c r="CA39" t="str">
        <x:v>TEXT</x:v>
      </x:c>
      <x:c r="CB39" t="str">
        <x:v>party_issuer_confirmed AND issue_date&gt;=2026-05-27 AND doc_type_confirmed</x:v>
      </x:c>
      <x:c r="CC39" t="str">
        <x:f>IFERROR(INDEX(HD05!$X$7:$X$300,MATCH($B39,HD05!$B$7:$B$300,0)),"UNRESOLVED")</x:f>
        <x:v>CHỈ SAU REVIEW</x:v>
      </x:c>
      <x:c r="CD39" t="str">
        <x:f>IF(OR(ISNUMBER(SEARCH("READ_ONLY",CC39)),ISNUMBER(SEARCH("PROTECTED",CC39)),ISNUMBER(SEARCH("BẢO VỆ",CC39)),ISNUMBER(SEARCH("KHÔNG KÝ",CC39))),"PROTECTED","CHECK_ONLY")</x:f>
        <x:v>CHECK_ONLY</x:v>
      </x:c>
      <x:c r="CE39" t="str">
        <x:f>IF(AND(CD39="FORMAT_APPROVED",CU39="CÓ",CV39="CÓ",CH39="CÓ",CI39="CÓ",CJ39="CÓ"),"CÓ","KHÔNG")</x:f>
        <x:v>KHÔNG</x:v>
      </x:c>
      <x:c r="CF39" t="str">
        <x:v>KHÔNG</x:v>
      </x:c>
      <x:c r="CG39" t="str">
        <x:v>CÓ</x:v>
      </x:c>
      <x:c r="CH39" t="str">
        <x:v>KHÔNG</x:v>
      </x:c>
      <x:c r="CI39" t="str">
        <x:v>KHÔNG</x:v>
      </x:c>
      <x:c r="CJ39" t="str">
        <x:v>KHÔNG</x:v>
      </x:c>
      <x:c r="CK39" t="str">
        <x:f>IF(AND(CE39="CÓ",CF39="KHÔNG",CG39="CÓ",CU39="CÓ",CV39="CÓ",CH39="CÓ",CI39="CÓ",CJ39="CÓ"),"CÓ","KHÔNG")</x:f>
        <x:v>KHÔNG</x:v>
      </x:c>
      <x:c r="CL39" t="str">
        <x:v>PILOT_NORTH_PROFILE_DRAFT; chưa có master DOCX đã duyệt</x:v>
      </x:c>
      <x:c r="CM39" t="str">
        <x:v>v1.5 (nâng từ v1.4)</x:v>
      </x:c>
      <x:c r="CN39" t="str">
        <x:v>CHƯA XÁC NHẬN CHỦ THỂ ĐẢNG</x:v>
      </x:c>
      <x:c r="CO39" t="str">
        <x:v>HD05_N_DIEU_TEN_DIEU_FIELD_ONLY; chưa tạo trong Word</x:v>
      </x:c>
      <x:c r="CP39" t="str">
        <x:v>Preset là cấu hình Công ty; không thay thế giới hạn của nguồn NĐ30/HD05</x:v>
      </x:c>
      <x:c r="CQ39" t="str">
        <x:f>IF(OR(BH39="CÓ",BH39=TRUE),BI39,"")</x:f>
      </x:c>
      <x:c r="CR39" t="str">
        <x:f>IF(OR(BH39="CÓ",BH39=TRUE),BJ39,"")</x:f>
      </x:c>
      <x:c r="CS39" t="str">
        <x:v>FORMAT_CHECK_ONLY</x:v>
      </x:c>
      <x:c r="CT39" t="str">
        <x:v>PENDING_SOURCE_AND_DOCX_QA</x:v>
      </x:c>
      <x:c r="CU39" t="str">
        <x:v>KHÔNG</x:v>
      </x:c>
      <x:c r="CV39" t="str">
        <x:v>KHÔNG</x:v>
      </x:c>
      <x:c r="CW39" t="str"/>
    </x:row>
    <x:row r="40" ht="29" customHeight="1">
      <x:c r="A40" s="125" t="n">
        <x:v>34</x:v>
      </x:c>
      <x:c r="B40" s="123" t="str">
        <x:v>HD05.N.DIEU.NOI_DUNG_DIEU</x:v>
      </x:c>
      <x:c r="C40" s="123" t="str">
        <x:v>Nội dung</x:v>
      </x:c>
      <x:c r="D40" s="123" t="str">
        <x:v>Điều</x:v>
      </x:c>
      <x:c r="E40" s="123" t="str">
        <x:v>Nội dung điều</x:v>
      </x:c>
      <x:c r="F40" s="123" t="str">
        <x:v>6</x:v>
      </x:c>
      <x:c r="G40" s="123" t="str">
        <x:v>Theo loại văn bản và sự hiện diện thực tế; không áp dụng đồng loạt</x:v>
      </x:c>
      <x:c r="H40" s="123" t="str">
        <x:v>Lời văn sau tên điều theo style body đã xác minh</x:v>
      </x:c>
      <x:c r="I40" s="123" t="str">
        <x:v>Times New Roman | Unicode | đen</x:v>
      </x:c>
      <x:c r="J40" s="136" t="str">
        <x:v>14</x:v>
      </x:c>
      <x:c r="K40" s="123" t="str">
        <x:v>In thường</x:v>
      </x:c>
      <x:c r="L40" s="123" t="str">
        <x:v>Không</x:v>
      </x:c>
      <x:c r="M40" s="123" t="str">
        <x:v>Không mặc định</x:v>
      </x:c>
      <x:c r="N40" s="123" t="str">
        <x:v>Căn đều hai lề (justify)</x:v>
      </x:c>
      <x:c r="O40" s="135" t="str">
        <x:v>Exactly 19 pt; after 6 pt; before 0 pt</x:v>
      </x:c>
      <x:c r="P40" s="135" t="str">
        <x:v>First line 10 mm (~567 twip)</x:v>
      </x:c>
      <x:c r="Q40" s="123"/>
      <x:c r="R40" s="123" t="str">
        <x:v>Paragraph/Run theo kiểu khối DIEU; preserve list numbering/table/drawing nếu có</x:v>
      </x:c>
      <x:c r="S40" s="123" t="str">
        <x:v>TNR 14 pt; nội dung 19/6; nhãn/số/tên điều có style riêng</x:v>
      </x:c>
      <x:c r="T40" s="123" t="str">
        <x:v>HD05, Phần II, I.6 và IV; Phụ lục 2 mục 6</x:v>
      </x:c>
      <x:c r="U40" s="123" t="str">
        <x:v>https://dangcongsan.vn/vanphongtrunguong/van-ban-cua-dang/huong-dan-so-05-hd-vptw-ngay-27-5-2026-cua-van-phong-trung-uong-dang-ve-the-thuc-va-ky-thuat-trinh-bay-van-ban-cua-dang.html?categoryId=3000525</x:v>
      </x:c>
      <x:c r="V40" s="123" t="str">
        <x:v>https://thuvienphapluat.vn/van-ban/Bo-may-hanh-chinh/Huong-dan-05-HD-VPTW-2026-the-thuc-va-ky-thuat-trinh-bay-van-ban-cua-Dang-707499.aspx</x:v>
      </x:c>
      <x:c r="W40" s="123" t="str">
        <x:v>CHƯA ĐỦ BẰNG CHỨNG</x:v>
      </x:c>
      <x:c r="X40" s="123" t="str">
        <x:v>CHECK_ONLY</x:v>
      </x:c>
      <x:c r="Y40" s="123" t="str">
        <x:v>Không tự chèn/sửa khi chưa có chứng cứ về đối tượng và rule. | Trạng thái v1.0: CÓ ĐIỀU KIỆN | So sánh chéo cũ (không dùng làm rule): NĐ30: “Điều 1.”; phần nhãn/tên đậm; HD05 tương ứng Phụ lục 2</x:v>
      </x:c>
      <x:c r="Z40" s="135" t="str">
        <x:v>TNR 14 pt; nội dung 19/6; nhãn/số/tên điều có style riêng</x:v>
      </x:c>
      <x:c r="AA40" s="123" t="str">
        <x:v>LegalArticle</x:v>
      </x:c>
      <x:c r="AB40" s="135" t="str">
        <x:v>DỰ THẢO — CẦN DUYỆT HD05</x:v>
      </x:c>
      <x:c r="AC40" s="123" t="str">
        <x:v>CHECK_ONLY</x:v>
      </x:c>
      <x:c r="AD40" s="123" t="str">
        <x:v>PLUGIN:HOA-TIEU-MIEN-BAC-PARTY-HD05-HEADER-2026 | NEEDS_REVIEW</x:v>
      </x:c>
      <x:c r="AE40" s="123" t="str">
        <x:v>GATE: xác minh chủ thể HD05 trước; Render 1–3 trang: so TNR 14 pt, spacing Exactly 19 pt; after 6 pt; before 0 pt, indent First line 10 mm (~567 twip); kiểm tra không tràn chữ.</x:v>
      </x:c>
      <x:c r="AF40" s="123" t="str">
        <x:v>Đảng ủy: chỉ chọn khi chủ thể ban hành và phạm vi HD05 đã được xác minh.</x:v>
      </x:c>
      <x:c r="AG40" s="157" t="str">
        <x:v>Times New Roman</x:v>
      </x:c>
      <x:c r="AH40" s="157" t="str">
        <x:v>Unicode</x:v>
      </x:c>
      <x:c r="AI40" s="157" t="str">
        <x:v>#000000</x:v>
      </x:c>
      <x:c r="AJ40" s="195" t="n">
        <x:v>14</x:v>
      </x:c>
      <x:c r="AK40" s="157" t="str">
        <x:v>KHÔNG</x:v>
      </x:c>
      <x:c r="AL40" s="157" t="str">
        <x:v>CÓ ĐIỀU KIỆN</x:v>
      </x:c>
      <x:c r="AM40" s="157" t="str">
        <x:v>In thường</x:v>
      </x:c>
      <x:c r="AN40" s="157" t="str">
        <x:v>JUSTIFY</x:v>
      </x:c>
      <x:c r="AO40" s="157"/>
      <x:c r="AP40" s="157" t="str">
        <x:v>EXACT</x:v>
      </x:c>
      <x:c r="AQ40" s="195" t="n">
        <x:v>19</x:v>
      </x:c>
      <x:c r="AR40" s="157" t="str">
        <x:v>pt</x:v>
      </x:c>
      <x:c r="AS40" s="195" t="n">
        <x:v>0</x:v>
      </x:c>
      <x:c r="AT40" s="195" t="n">
        <x:v>6</x:v>
      </x:c>
      <x:c r="AU40" s="195" t="n">
        <x:v>10</x:v>
      </x:c>
      <x:c r="AV40" s="195"/>
      <x:c r="AW40" s="195"/>
      <x:c r="AX40" s="157"/>
      <x:c r="AY40" s="157"/>
      <x:c r="AZ40" s="157"/>
      <x:c r="BA40" s="195"/>
      <x:c r="BB40" s="195"/>
      <x:c r="BC40" s="157"/>
      <x:c r="BD40" s="195"/>
      <x:c r="BE40" s="195"/>
      <x:c r="BF40" s="195"/>
      <x:c r="BG40" s="195"/>
      <x:c r="BH40" s="157"/>
      <x:c r="BI40" s="195"/>
      <x:c r="BJ40" s="195"/>
      <x:c r="BK40" s="195"/>
      <x:c r="BL40" s="157"/>
      <x:c r="BM40" s="157"/>
      <x:c r="BN40" s="157"/>
      <x:c r="BO40" s="195"/>
      <x:c r="BP40" s="195"/>
      <x:c r="BQ40" s="157"/>
      <x:c r="BR40" s="157"/>
      <x:c r="BS40" s="157"/>
      <x:c r="BT40" s="157" t="str">
        <x:v>LegalArticle</x:v>
      </x:c>
      <x:c r="BU40" s="157" t="str">
        <x:v>Paragraph/Run theo kiểu khối DIEU; preserve list numbering/table/drawing nếu có</x:v>
      </x:c>
      <x:c r="BV40" s="196" t="str">
        <x:v>DỰ THẢO — CẦN DUYỆT HD05</x:v>
      </x:c>
      <x:c r="BW40" s="197" t="str">
        <x:v>ĐÃ TÁCH MỘT PHẦN</x:v>
      </x:c>
      <x:c r="BX40" s="157" t="str">
        <x:v>Cấu hình profile chưa được xác nhận; giữ nguyên chính sách CHECK_ONLY.</x:v>
      </x:c>
      <x:c r="BY40" t="str">
        <x:v>HD05.N.DIEU.NOI_DUNG_DIEU</x:v>
      </x:c>
      <x:c r="BZ40" t="str">
        <x:f>IFERROR(INDEX(HD05!$J$7:$J$300,MATCH($B40,HD05!$B$7:$B$300,0)),"UNRESOLVED")</x:f>
        <x:v>14–15</x:v>
      </x:c>
      <x:c r="CA40" t="str">
        <x:v>TEXT</x:v>
      </x:c>
      <x:c r="CB40" t="str">
        <x:v>party_issuer_confirmed AND issue_date&gt;=2026-05-27 AND doc_type_confirmed</x:v>
      </x:c>
      <x:c r="CC40" t="str">
        <x:f>IFERROR(INDEX(HD05!$X$7:$X$300,MATCH($B40,HD05!$B$7:$B$300,0)),"UNRESOLVED")</x:f>
        <x:v>CHỈ SAU REVIEW</x:v>
      </x:c>
      <x:c r="CD40" t="str">
        <x:f>IF(OR(ISNUMBER(SEARCH("READ_ONLY",CC40)),ISNUMBER(SEARCH("PROTECTED",CC40)),ISNUMBER(SEARCH("BẢO VỆ",CC40)),ISNUMBER(SEARCH("KHÔNG KÝ",CC40))),"PROTECTED","CHECK_ONLY")</x:f>
        <x:v>CHECK_ONLY</x:v>
      </x:c>
      <x:c r="CE40" t="str">
        <x:f>IF(AND(CD40="FORMAT_APPROVED",CU40="CÓ",CV40="CÓ",CH40="CÓ",CI40="CÓ",CJ40="CÓ"),"CÓ","KHÔNG")</x:f>
        <x:v>KHÔNG</x:v>
      </x:c>
      <x:c r="CF40" t="str">
        <x:v>KHÔNG</x:v>
      </x:c>
      <x:c r="CG40" t="str">
        <x:v>CÓ</x:v>
      </x:c>
      <x:c r="CH40" t="str">
        <x:v>KHÔNG</x:v>
      </x:c>
      <x:c r="CI40" t="str">
        <x:v>KHÔNG</x:v>
      </x:c>
      <x:c r="CJ40" t="str">
        <x:v>KHÔNG</x:v>
      </x:c>
      <x:c r="CK40" t="str">
        <x:f>IF(AND(CE40="CÓ",CF40="KHÔNG",CG40="CÓ",CU40="CÓ",CV40="CÓ",CH40="CÓ",CI40="CÓ",CJ40="CÓ"),"CÓ","KHÔNG")</x:f>
        <x:v>KHÔNG</x:v>
      </x:c>
      <x:c r="CL40" t="str">
        <x:v>PILOT_NORTH_PROFILE_DRAFT; chưa có master DOCX đã duyệt</x:v>
      </x:c>
      <x:c r="CM40" t="str">
        <x:v>v1.5 (nâng từ v1.4)</x:v>
      </x:c>
      <x:c r="CN40" t="str">
        <x:v>CHƯA XÁC NHẬN CHỦ THỂ ĐẢNG</x:v>
      </x:c>
      <x:c r="CO40" t="str">
        <x:v>HD05_N_DIEU_NOI_DUNG_DIEU_FIELD_ONLY; chưa tạo trong Word</x:v>
      </x:c>
      <x:c r="CP40" t="str">
        <x:v>Preset là cấu hình Công ty; không thay thế giới hạn của nguồn NĐ30/HD05</x:v>
      </x:c>
      <x:c r="CQ40" t="str">
        <x:f>IF(OR(BH40="CÓ",BH40=TRUE),BI40,"")</x:f>
      </x:c>
      <x:c r="CR40" t="str">
        <x:f>IF(OR(BH40="CÓ",BH40=TRUE),BJ40,"")</x:f>
      </x:c>
      <x:c r="CS40" t="str">
        <x:v>FORMAT_CHECK_ONLY</x:v>
      </x:c>
      <x:c r="CT40" t="str">
        <x:v>PENDING_SOURCE_AND_DOCX_QA</x:v>
      </x:c>
      <x:c r="CU40" t="str">
        <x:v>KHÔNG</x:v>
      </x:c>
      <x:c r="CV40" t="str">
        <x:v>KHÔNG</x:v>
      </x:c>
      <x:c r="CW40" t="str"/>
    </x:row>
    <x:row r="41" ht="29" customHeight="1">
      <x:c r="A41" s="125" t="n">
        <x:v>35</x:v>
      </x:c>
      <x:c r="B41" s="123" t="str">
        <x:v>HD05.N.KD.KHOAN</x:v>
      </x:c>
      <x:c r="C41" s="123" t="str">
        <x:v>Nội dung</x:v>
      </x:c>
      <x:c r="D41" s="123" t="str">
        <x:v>Khoản, điểm và liệt kê</x:v>
      </x:c>
      <x:c r="E41" s="123" t="str">
        <x:v>Khoản</x:v>
      </x:c>
      <x:c r="F41" s="123" t="str">
        <x:v>6</x:v>
      </x:c>
      <x:c r="G41" s="123" t="str">
        <x:v>Theo loại văn bản và sự hiện diện thực tế; không áp dụng đồng loạt</x:v>
      </x:c>
      <x:c r="H41" s="123" t="str">
        <x:v>Khoản</x:v>
      </x:c>
      <x:c r="I41" s="123" t="str">
        <x:v>Times New Roman | Unicode | đen</x:v>
      </x:c>
      <x:c r="J41" s="136" t="str">
        <x:v>14</x:v>
      </x:c>
      <x:c r="K41" s="123" t="str">
        <x:v>In thường</x:v>
      </x:c>
      <x:c r="L41" s="123" t="str">
        <x:v>Không; khoản có tiêu đề thì tiêu đề đậm</x:v>
      </x:c>
      <x:c r="M41" s="123" t="str">
        <x:v>Không mặc định</x:v>
      </x:c>
      <x:c r="N41" s="123" t="str">
        <x:v>Căn đều hai lề (justify)</x:v>
      </x:c>
      <x:c r="O41" s="135" t="str">
        <x:v>Exactly 19 pt; after 6 pt; before 0 pt</x:v>
      </x:c>
      <x:c r="P41" s="135" t="str">
        <x:v>Theo numbering/list template; body first-line 12,7/10 mm không ép vào số tự động</x:v>
      </x:c>
      <x:c r="Q41" s="123"/>
      <x:c r="R41" s="123" t="str">
        <x:v>Paragraph/Run theo kiểu khối KD; preserve list numbering/table/drawing nếu có</x:v>
      </x:c>
      <x:c r="S41" s="123" t="str">
        <x:v>TNR 14 pt; exactly 19 pt; sau 6 pt; giữ nguyên cấp số/ký hiệu</x:v>
      </x:c>
      <x:c r="T41" s="123" t="str">
        <x:v>HD05, Phần II, I.6 và IV; Phụ lục 2 mục 6</x:v>
      </x:c>
      <x:c r="U41" s="123" t="str">
        <x:v>https://dangcongsan.vn/vanphongtrunguong/van-ban-cua-dang/huong-dan-so-05-hd-vptw-ngay-27-5-2026-cua-van-phong-trung-uong-dang-ve-the-thuc-va-ky-thuat-trinh-bay-van-ban-cua-dang.html?categoryId=3000525</x:v>
      </x:c>
      <x:c r="V41" s="123" t="str">
        <x:v>https://thuvienphapluat.vn/van-ban/Bo-may-hanh-chinh/Huong-dan-05-HD-VPTW-2026-the-thuc-va-ky-thuat-trinh-bay-van-ban-cua-Dang-707499.aspx</x:v>
      </x:c>
      <x:c r="W41" s="123" t="str">
        <x:v>CHƯA ĐỦ BẰNG CHỨNG</x:v>
      </x:c>
      <x:c r="X41" s="123" t="str">
        <x:v>CHECK_ONLY</x:v>
      </x:c>
      <x:c r="Y41" s="123" t="str">
        <x:v>Không tự chèn/sửa khi chưa có chứng cứ về đối tượng và rule. | Trạng thái v1.0: CÓ ĐIỀU KIỆN</x:v>
      </x:c>
      <x:c r="Z41" s="135" t="str">
        <x:v>TNR 14 pt; exactly 19 pt; sau 6 pt; giữ nguyên cấp số/ký hiệu</x:v>
      </x:c>
      <x:c r="AA41" s="123" t="str">
        <x:v>NumberedList</x:v>
      </x:c>
      <x:c r="AB41" s="135" t="str">
        <x:v>DỰ THẢO — CẦN DUYỆT HD05</x:v>
      </x:c>
      <x:c r="AC41" s="123" t="str">
        <x:v>CHECK_ONLY</x:v>
      </x:c>
      <x:c r="AD41" s="123" t="str">
        <x:v>PLUGIN:HOA-TIEU-MIEN-BAC-PARTY-HD05-HEADER-2026 | NEEDS_REVIEW</x:v>
      </x:c>
      <x:c r="AE41" s="123" t="str">
        <x:v>GATE: xác minh chủ thể HD05 trước; Render 1–3 trang: so TNR 14 pt, spacing Exactly 19 pt; after 6 pt; before 0 pt, indent Theo numbering/list template; body first-line 12,7/10 mm không ép vào số tự động; kiểm tra không tràn chữ.</x:v>
      </x:c>
      <x:c r="AF41" s="123" t="str">
        <x:v>Đảng ủy: chỉ chọn khi chủ thể ban hành và phạm vi HD05 đã được xác minh.</x:v>
      </x:c>
      <x:c r="AG41" s="157" t="str">
        <x:v>Times New Roman</x:v>
      </x:c>
      <x:c r="AH41" s="157" t="str">
        <x:v>Unicode</x:v>
      </x:c>
      <x:c r="AI41" s="157" t="str">
        <x:v>#000000</x:v>
      </x:c>
      <x:c r="AJ41" s="195" t="n">
        <x:v>14</x:v>
      </x:c>
      <x:c r="AK41" s="157" t="str">
        <x:v>CÓ ĐIỀU KIỆN</x:v>
      </x:c>
      <x:c r="AL41" s="157" t="str">
        <x:v>CÓ ĐIỀU KIỆN</x:v>
      </x:c>
      <x:c r="AM41" s="157" t="str">
        <x:v>In thường</x:v>
      </x:c>
      <x:c r="AN41" s="157" t="str">
        <x:v>JUSTIFY</x:v>
      </x:c>
      <x:c r="AO41" s="157"/>
      <x:c r="AP41" s="157" t="str">
        <x:v>EXACT</x:v>
      </x:c>
      <x:c r="AQ41" s="195" t="n">
        <x:v>19</x:v>
      </x:c>
      <x:c r="AR41" s="157" t="str">
        <x:v>pt</x:v>
      </x:c>
      <x:c r="AS41" s="195" t="n">
        <x:v>0</x:v>
      </x:c>
      <x:c r="AT41" s="195" t="n">
        <x:v>6</x:v>
      </x:c>
      <x:c r="AU41" s="195"/>
      <x:c r="AV41" s="195"/>
      <x:c r="AW41" s="195"/>
      <x:c r="AX41" s="157"/>
      <x:c r="AY41" s="157"/>
      <x:c r="AZ41" s="157"/>
      <x:c r="BA41" s="195"/>
      <x:c r="BB41" s="195"/>
      <x:c r="BC41" s="157"/>
      <x:c r="BD41" s="195"/>
      <x:c r="BE41" s="195"/>
      <x:c r="BF41" s="195"/>
      <x:c r="BG41" s="195"/>
      <x:c r="BH41" s="157"/>
      <x:c r="BI41" s="195"/>
      <x:c r="BJ41" s="195"/>
      <x:c r="BK41" s="195"/>
      <x:c r="BL41" s="157"/>
      <x:c r="BM41" s="157"/>
      <x:c r="BN41" s="157"/>
      <x:c r="BO41" s="195"/>
      <x:c r="BP41" s="195"/>
      <x:c r="BQ41" s="157"/>
      <x:c r="BR41" s="157"/>
      <x:c r="BS41" s="157"/>
      <x:c r="BT41" s="157" t="str">
        <x:v>NumberedList</x:v>
      </x:c>
      <x:c r="BU41" s="157" t="str">
        <x:v>Paragraph/Run theo kiểu khối KD; preserve list numbering/table/drawing nếu có</x:v>
      </x:c>
      <x:c r="BV41" s="196" t="str">
        <x:v>DỰ THẢO — CẦN DUYỆT HD05</x:v>
      </x:c>
      <x:c r="BW41" s="197" t="str">
        <x:v>ĐÃ TÁCH MỘT PHẦN</x:v>
      </x:c>
      <x:c r="BX41" s="157" t="str">
        <x:v>Cấu hình profile chưa được xác nhận; giữ nguyên chính sách CHECK_ONLY.</x:v>
      </x:c>
      <x:c r="BY41" t="str">
        <x:v>HD05.N.KD.KHOAN</x:v>
      </x:c>
      <x:c r="BZ41" t="str">
        <x:f>IFERROR(INDEX(HD05!$J$7:$J$300,MATCH($B41,HD05!$B$7:$B$300,0)),"UNRESOLVED")</x:f>
        <x:v>14–15</x:v>
      </x:c>
      <x:c r="CA41" t="str">
        <x:v>TEXT</x:v>
      </x:c>
      <x:c r="CB41" t="str">
        <x:v>party_issuer_confirmed AND issue_date&gt;=2026-05-27 AND doc_type_confirmed</x:v>
      </x:c>
      <x:c r="CC41" t="str">
        <x:f>IFERROR(INDEX(HD05!$X$7:$X$300,MATCH($B41,HD05!$B$7:$B$300,0)),"UNRESOLVED")</x:f>
        <x:v>CHỈ SAU REVIEW</x:v>
      </x:c>
      <x:c r="CD41" t="str">
        <x:f>IF(OR(ISNUMBER(SEARCH("READ_ONLY",CC41)),ISNUMBER(SEARCH("PROTECTED",CC41)),ISNUMBER(SEARCH("BẢO VỆ",CC41)),ISNUMBER(SEARCH("KHÔNG KÝ",CC41))),"PROTECTED","CHECK_ONLY")</x:f>
        <x:v>CHECK_ONLY</x:v>
      </x:c>
      <x:c r="CE41" t="str">
        <x:f>IF(AND(CD41="FORMAT_APPROVED",CU41="CÓ",CV41="CÓ",CH41="CÓ",CI41="CÓ",CJ41="CÓ"),"CÓ","KHÔNG")</x:f>
        <x:v>KHÔNG</x:v>
      </x:c>
      <x:c r="CF41" t="str">
        <x:v>KHÔNG</x:v>
      </x:c>
      <x:c r="CG41" t="str">
        <x:v>CÓ</x:v>
      </x:c>
      <x:c r="CH41" t="str">
        <x:v>KHÔNG</x:v>
      </x:c>
      <x:c r="CI41" t="str">
        <x:v>KHÔNG</x:v>
      </x:c>
      <x:c r="CJ41" t="str">
        <x:v>KHÔNG</x:v>
      </x:c>
      <x:c r="CK41" t="str">
        <x:f>IF(AND(CE41="CÓ",CF41="KHÔNG",CG41="CÓ",CU41="CÓ",CV41="CÓ",CH41="CÓ",CI41="CÓ",CJ41="CÓ"),"CÓ","KHÔNG")</x:f>
        <x:v>KHÔNG</x:v>
      </x:c>
      <x:c r="CL41" t="str">
        <x:v>PILOT_NORTH_PROFILE_DRAFT; chưa có master DOCX đã duyệt</x:v>
      </x:c>
      <x:c r="CM41" t="str">
        <x:v>v1.5 (nâng từ v1.4)</x:v>
      </x:c>
      <x:c r="CN41" t="str">
        <x:v>CHƯA XÁC NHẬN CHỦ THỂ ĐẢNG</x:v>
      </x:c>
      <x:c r="CO41" t="str">
        <x:v>HD05_N_KD_KHOAN_FIELD_ONLY; chưa tạo trong Word</x:v>
      </x:c>
      <x:c r="CP41" t="str">
        <x:v>Preset là cấu hình Công ty; không thay thế giới hạn của nguồn NĐ30/HD05</x:v>
      </x:c>
      <x:c r="CQ41" t="str">
        <x:f>IF(OR(BH41="CÓ",BH41=TRUE),BI41,"")</x:f>
      </x:c>
      <x:c r="CR41" t="str">
        <x:f>IF(OR(BH41="CÓ",BH41=TRUE),BJ41,"")</x:f>
      </x:c>
      <x:c r="CS41" t="str">
        <x:v>FORMAT_CHECK_ONLY</x:v>
      </x:c>
      <x:c r="CT41" t="str">
        <x:v>PENDING_SOURCE_AND_DOCX_QA</x:v>
      </x:c>
      <x:c r="CU41" t="str">
        <x:v>KHÔNG</x:v>
      </x:c>
      <x:c r="CV41" t="str">
        <x:v>KHÔNG</x:v>
      </x:c>
      <x:c r="CW41" t="str"/>
    </x:row>
    <x:row r="42" ht="29" customHeight="1">
      <x:c r="A42" s="125" t="n">
        <x:v>36</x:v>
      </x:c>
      <x:c r="B42" s="123" t="str">
        <x:v>HD05.N.KD.DIEM</x:v>
      </x:c>
      <x:c r="C42" s="123" t="str">
        <x:v>Nội dung</x:v>
      </x:c>
      <x:c r="D42" s="123" t="str">
        <x:v>Khoản, điểm và liệt kê</x:v>
      </x:c>
      <x:c r="E42" s="123" t="str">
        <x:v>Điểm</x:v>
      </x:c>
      <x:c r="F42" s="123" t="str">
        <x:v>6</x:v>
      </x:c>
      <x:c r="G42" s="123" t="str">
        <x:v>Theo loại văn bản và sự hiện diện thực tế; không áp dụng đồng loạt</x:v>
      </x:c>
      <x:c r="H42" s="123" t="str">
        <x:v>Điểm</x:v>
      </x:c>
      <x:c r="I42" s="123" t="str">
        <x:v>Times New Roman | Unicode | đen</x:v>
      </x:c>
      <x:c r="J42" s="136" t="str">
        <x:v>14</x:v>
      </x:c>
      <x:c r="K42" s="123" t="str">
        <x:v>In thường</x:v>
      </x:c>
      <x:c r="L42" s="123" t="str">
        <x:v>Không; khoản có tiêu đề thì tiêu đề đậm</x:v>
      </x:c>
      <x:c r="M42" s="123" t="str">
        <x:v>Không mặc định</x:v>
      </x:c>
      <x:c r="N42" s="123" t="str">
        <x:v>Căn đều hai lề (justify)</x:v>
      </x:c>
      <x:c r="O42" s="135" t="str">
        <x:v>Exactly 19 pt; after 6 pt; before 0 pt</x:v>
      </x:c>
      <x:c r="P42" s="135" t="str">
        <x:v>Theo numbering/list template; body first-line 12,7/10 mm không ép vào số tự động</x:v>
      </x:c>
      <x:c r="Q42" s="123"/>
      <x:c r="R42" s="123" t="str">
        <x:v>Paragraph/Run theo kiểu khối KD; preserve list numbering/table/drawing nếu có</x:v>
      </x:c>
      <x:c r="S42" s="123" t="str">
        <x:v>TNR 14 pt; exactly 19 pt; sau 6 pt; giữ nguyên cấp số/ký hiệu</x:v>
      </x:c>
      <x:c r="T42" s="123" t="str">
        <x:v>HD05, Phần II, I.6 và IV; Phụ lục 2 mục 6</x:v>
      </x:c>
      <x:c r="U42" s="123" t="str">
        <x:v>https://dangcongsan.vn/vanphongtrunguong/van-ban-cua-dang/huong-dan-so-05-hd-vptw-ngay-27-5-2026-cua-van-phong-trung-uong-dang-ve-the-thuc-va-ky-thuat-trinh-bay-van-ban-cua-dang.html?categoryId=3000525</x:v>
      </x:c>
      <x:c r="V42" s="123" t="str">
        <x:v>https://thuvienphapluat.vn/van-ban/Bo-may-hanh-chinh/Huong-dan-05-HD-VPTW-2026-the-thuc-va-ky-thuat-trinh-bay-van-ban-cua-Dang-707499.aspx</x:v>
      </x:c>
      <x:c r="W42" s="123" t="str">
        <x:v>CHƯA ĐỦ BẰNG CHỨNG</x:v>
      </x:c>
      <x:c r="X42" s="123" t="str">
        <x:v>CHECK_ONLY</x:v>
      </x:c>
      <x:c r="Y42" s="123" t="str">
        <x:v>Không tự chèn/sửa khi chưa có chứng cứ về đối tượng và rule. | Trạng thái v1.0: CÓ ĐIỀU KIỆN</x:v>
      </x:c>
      <x:c r="Z42" s="135" t="str">
        <x:v>TNR 14 pt; exactly 19 pt; sau 6 pt; giữ nguyên cấp số/ký hiệu</x:v>
      </x:c>
      <x:c r="AA42" s="123" t="str">
        <x:v>NumberedList</x:v>
      </x:c>
      <x:c r="AB42" s="135" t="str">
        <x:v>DỰ THẢO — CẦN DUYỆT HD05</x:v>
      </x:c>
      <x:c r="AC42" s="123" t="str">
        <x:v>CHECK_ONLY</x:v>
      </x:c>
      <x:c r="AD42" s="123" t="str">
        <x:v>PLUGIN:HOA-TIEU-MIEN-BAC-PARTY-HD05-HEADER-2026 | NEEDS_REVIEW</x:v>
      </x:c>
      <x:c r="AE42" s="123" t="str">
        <x:v>GATE: xác minh chủ thể HD05 trước; Render 1–3 trang: so TNR 14 pt, spacing Exactly 19 pt; after 6 pt; before 0 pt, indent Theo numbering/list template; body first-line 12,7/10 mm không ép vào số tự động; kiểm tra không tràn chữ.</x:v>
      </x:c>
      <x:c r="AF42" s="123" t="str">
        <x:v>Đảng ủy: chỉ chọn khi chủ thể ban hành và phạm vi HD05 đã được xác minh.</x:v>
      </x:c>
      <x:c r="AG42" s="157" t="str">
        <x:v>Times New Roman</x:v>
      </x:c>
      <x:c r="AH42" s="157" t="str">
        <x:v>Unicode</x:v>
      </x:c>
      <x:c r="AI42" s="157" t="str">
        <x:v>#000000</x:v>
      </x:c>
      <x:c r="AJ42" s="195" t="n">
        <x:v>14</x:v>
      </x:c>
      <x:c r="AK42" s="157" t="str">
        <x:v>CÓ ĐIỀU KIỆN</x:v>
      </x:c>
      <x:c r="AL42" s="157" t="str">
        <x:v>CÓ ĐIỀU KIỆN</x:v>
      </x:c>
      <x:c r="AM42" s="157" t="str">
        <x:v>In thường</x:v>
      </x:c>
      <x:c r="AN42" s="157" t="str">
        <x:v>JUSTIFY</x:v>
      </x:c>
      <x:c r="AO42" s="157"/>
      <x:c r="AP42" s="157" t="str">
        <x:v>EXACT</x:v>
      </x:c>
      <x:c r="AQ42" s="195" t="n">
        <x:v>19</x:v>
      </x:c>
      <x:c r="AR42" s="157" t="str">
        <x:v>pt</x:v>
      </x:c>
      <x:c r="AS42" s="195" t="n">
        <x:v>0</x:v>
      </x:c>
      <x:c r="AT42" s="195" t="n">
        <x:v>6</x:v>
      </x:c>
      <x:c r="AU42" s="195"/>
      <x:c r="AV42" s="195"/>
      <x:c r="AW42" s="195"/>
      <x:c r="AX42" s="157"/>
      <x:c r="AY42" s="157"/>
      <x:c r="AZ42" s="157"/>
      <x:c r="BA42" s="195"/>
      <x:c r="BB42" s="195"/>
      <x:c r="BC42" s="157"/>
      <x:c r="BD42" s="195"/>
      <x:c r="BE42" s="195"/>
      <x:c r="BF42" s="195"/>
      <x:c r="BG42" s="195"/>
      <x:c r="BH42" s="157"/>
      <x:c r="BI42" s="195"/>
      <x:c r="BJ42" s="195"/>
      <x:c r="BK42" s="195"/>
      <x:c r="BL42" s="157"/>
      <x:c r="BM42" s="157"/>
      <x:c r="BN42" s="157"/>
      <x:c r="BO42" s="195"/>
      <x:c r="BP42" s="195"/>
      <x:c r="BQ42" s="157"/>
      <x:c r="BR42" s="157"/>
      <x:c r="BS42" s="157"/>
      <x:c r="BT42" s="157" t="str">
        <x:v>NumberedList</x:v>
      </x:c>
      <x:c r="BU42" s="157" t="str">
        <x:v>Paragraph/Run theo kiểu khối KD; preserve list numbering/table/drawing nếu có</x:v>
      </x:c>
      <x:c r="BV42" s="196" t="str">
        <x:v>DỰ THẢO — CẦN DUYỆT HD05</x:v>
      </x:c>
      <x:c r="BW42" s="197" t="str">
        <x:v>ĐÃ TÁCH MỘT PHẦN</x:v>
      </x:c>
      <x:c r="BX42" s="157" t="str">
        <x:v>Cấu hình profile chưa được xác nhận; giữ nguyên chính sách CHECK_ONLY.</x:v>
      </x:c>
      <x:c r="BY42" t="str">
        <x:v>HD05.N.KD.DIEM</x:v>
      </x:c>
      <x:c r="BZ42" t="str">
        <x:f>IFERROR(INDEX(HD05!$J$7:$J$300,MATCH($B42,HD05!$B$7:$B$300,0)),"UNRESOLVED")</x:f>
        <x:v>14–15</x:v>
      </x:c>
      <x:c r="CA42" t="str">
        <x:v>TEXT</x:v>
      </x:c>
      <x:c r="CB42" t="str">
        <x:v>party_issuer_confirmed AND issue_date&gt;=2026-05-27 AND doc_type_confirmed</x:v>
      </x:c>
      <x:c r="CC42" t="str">
        <x:f>IFERROR(INDEX(HD05!$X$7:$X$300,MATCH($B42,HD05!$B$7:$B$300,0)),"UNRESOLVED")</x:f>
        <x:v>CHỈ SAU REVIEW</x:v>
      </x:c>
      <x:c r="CD42" t="str">
        <x:f>IF(OR(ISNUMBER(SEARCH("READ_ONLY",CC42)),ISNUMBER(SEARCH("PROTECTED",CC42)),ISNUMBER(SEARCH("BẢO VỆ",CC42)),ISNUMBER(SEARCH("KHÔNG KÝ",CC42))),"PROTECTED","CHECK_ONLY")</x:f>
        <x:v>CHECK_ONLY</x:v>
      </x:c>
      <x:c r="CE42" t="str">
        <x:f>IF(AND(CD42="FORMAT_APPROVED",CU42="CÓ",CV42="CÓ",CH42="CÓ",CI42="CÓ",CJ42="CÓ"),"CÓ","KHÔNG")</x:f>
        <x:v>KHÔNG</x:v>
      </x:c>
      <x:c r="CF42" t="str">
        <x:v>KHÔNG</x:v>
      </x:c>
      <x:c r="CG42" t="str">
        <x:v>CÓ</x:v>
      </x:c>
      <x:c r="CH42" t="str">
        <x:v>KHÔNG</x:v>
      </x:c>
      <x:c r="CI42" t="str">
        <x:v>KHÔNG</x:v>
      </x:c>
      <x:c r="CJ42" t="str">
        <x:v>KHÔNG</x:v>
      </x:c>
      <x:c r="CK42" t="str">
        <x:f>IF(AND(CE42="CÓ",CF42="KHÔNG",CG42="CÓ",CU42="CÓ",CV42="CÓ",CH42="CÓ",CI42="CÓ",CJ42="CÓ"),"CÓ","KHÔNG")</x:f>
        <x:v>KHÔNG</x:v>
      </x:c>
      <x:c r="CL42" t="str">
        <x:v>PILOT_NORTH_PROFILE_DRAFT; chưa có master DOCX đã duyệt</x:v>
      </x:c>
      <x:c r="CM42" t="str">
        <x:v>v1.5 (nâng từ v1.4)</x:v>
      </x:c>
      <x:c r="CN42" t="str">
        <x:v>CHƯA XÁC NHẬN CHỦ THỂ ĐẢNG</x:v>
      </x:c>
      <x:c r="CO42" t="str">
        <x:v>HD05_N_KD_DIEM_FIELD_ONLY; chưa tạo trong Word</x:v>
      </x:c>
      <x:c r="CP42" t="str">
        <x:v>Preset là cấu hình Công ty; không thay thế giới hạn của nguồn NĐ30/HD05</x:v>
      </x:c>
      <x:c r="CQ42" t="str">
        <x:f>IF(OR(BH42="CÓ",BH42=TRUE),BI42,"")</x:f>
      </x:c>
      <x:c r="CR42" t="str">
        <x:f>IF(OR(BH42="CÓ",BH42=TRUE),BJ42,"")</x:f>
      </x:c>
      <x:c r="CS42" t="str">
        <x:v>FORMAT_CHECK_ONLY</x:v>
      </x:c>
      <x:c r="CT42" t="str">
        <x:v>PENDING_SOURCE_AND_DOCX_QA</x:v>
      </x:c>
      <x:c r="CU42" t="str">
        <x:v>KHÔNG</x:v>
      </x:c>
      <x:c r="CV42" t="str">
        <x:v>KHÔNG</x:v>
      </x:c>
      <x:c r="CW42" t="str"/>
    </x:row>
    <x:row r="43" ht="29" customHeight="1">
      <x:c r="A43" s="125" t="n">
        <x:v>37</x:v>
      </x:c>
      <x:c r="B43" s="123" t="str">
        <x:v>HD05.N.KD.DANH_SACH</x:v>
      </x:c>
      <x:c r="C43" s="123" t="str">
        <x:v>Nội dung</x:v>
      </x:c>
      <x:c r="D43" s="123" t="str">
        <x:v>Khoản, điểm và liệt kê</x:v>
      </x:c>
      <x:c r="E43" s="123" t="str">
        <x:v>Danh sách liệt kê</x:v>
      </x:c>
      <x:c r="F43" s="123" t="str">
        <x:v>6</x:v>
      </x:c>
      <x:c r="G43" s="123" t="str">
        <x:v>Theo loại văn bản và sự hiện diện thực tế; không áp dụng đồng loạt</x:v>
      </x:c>
      <x:c r="H43" s="123" t="str">
        <x:v>Danh sách nghiệp vụ; phải xác định numbering/list contract trước khi sửa</x:v>
      </x:c>
      <x:c r="I43" s="123" t="str">
        <x:v>Times New Roman | Unicode | đen</x:v>
      </x:c>
      <x:c r="J43" s="136" t="str">
        <x:v>14</x:v>
      </x:c>
      <x:c r="K43" s="123" t="str">
        <x:v>In thường</x:v>
      </x:c>
      <x:c r="L43" s="123" t="str">
        <x:v>Không; khoản có tiêu đề thì tiêu đề đậm</x:v>
      </x:c>
      <x:c r="M43" s="123" t="str">
        <x:v>Không mặc định</x:v>
      </x:c>
      <x:c r="N43" s="123" t="str">
        <x:v>Căn đều hai lề (justify)</x:v>
      </x:c>
      <x:c r="O43" s="135" t="str">
        <x:v>Exactly 19 pt; after 6 pt; before 0 pt</x:v>
      </x:c>
      <x:c r="P43" s="135" t="str">
        <x:v>Theo numbering/list template; body first-line 12,7/10 mm không ép vào số tự động</x:v>
      </x:c>
      <x:c r="Q43" s="123"/>
      <x:c r="R43" s="123" t="str">
        <x:v>Paragraph/Run theo kiểu khối KD; preserve list numbering/table/drawing nếu có</x:v>
      </x:c>
      <x:c r="S43" s="123" t="str">
        <x:v>TNR 14 pt; exactly 19 pt; sau 6 pt; giữ nguyên cấp số/ký hiệu</x:v>
      </x:c>
      <x:c r="T43" s="123" t="str">
        <x:v>HD05, Phần II, I.6 và IV; Phụ lục 2 mục 6</x:v>
      </x:c>
      <x:c r="U43" s="123" t="str">
        <x:v>https://dangcongsan.vn/vanphongtrunguong/van-ban-cua-dang/huong-dan-so-05-hd-vptw-ngay-27-5-2026-cua-van-phong-trung-uong-dang-ve-the-thuc-va-ky-thuat-trinh-bay-van-ban-cua-dang.html?categoryId=3000525</x:v>
      </x:c>
      <x:c r="V43" s="123" t="str">
        <x:v>https://thuvienphapluat.vn/van-ban/Bo-may-hanh-chinh/Huong-dan-05-HD-VPTW-2026-the-thuc-va-ky-thuat-trinh-bay-van-ban-cua-Dang-707499.aspx</x:v>
      </x:c>
      <x:c r="W43" s="123" t="str">
        <x:v>CẦN RÀ SOÁT</x:v>
      </x:c>
      <x:c r="X43" s="123" t="str">
        <x:v>CHECK_ONLY</x:v>
      </x:c>
      <x:c r="Y43" s="123" t="str">
        <x:v>Không tự chèn/sửa khi chưa có chứng cứ về đối tượng và rule.</x:v>
      </x:c>
      <x:c r="Z43" s="135" t="str">
        <x:v>TNR 14 pt; exactly 19 pt; sau 6 pt; giữ nguyên cấp số/ký hiệu</x:v>
      </x:c>
      <x:c r="AA43" s="123" t="str">
        <x:v>NumberedList</x:v>
      </x:c>
      <x:c r="AB43" s="135" t="str">
        <x:v>DỰ THẢO — CẦN DUYỆT HD05</x:v>
      </x:c>
      <x:c r="AC43" s="123" t="str">
        <x:v>CHECK_ONLY</x:v>
      </x:c>
      <x:c r="AD43" s="123" t="str">
        <x:v>PLUGIN:HOA-TIEU-MIEN-BAC-PARTY-HD05-HEADER-2026 | NEEDS_REVIEW</x:v>
      </x:c>
      <x:c r="AE43" s="123" t="str">
        <x:v>GATE: xác minh chủ thể HD05 trước; Render 1–3 trang: so TNR 14 pt, spacing Exactly 19 pt; after 6 pt; before 0 pt, indent Theo numbering/list template; body first-line 12,7/10 mm không ép vào số tự động; kiểm tra không tràn chữ.</x:v>
      </x:c>
      <x:c r="AF43" s="123" t="str">
        <x:v>Đảng ủy: chỉ chọn khi chủ thể ban hành và phạm vi HD05 đã được xác minh.</x:v>
      </x:c>
      <x:c r="AG43" s="157" t="str">
        <x:v>Times New Roman</x:v>
      </x:c>
      <x:c r="AH43" s="157" t="str">
        <x:v>Unicode</x:v>
      </x:c>
      <x:c r="AI43" s="157" t="str">
        <x:v>#000000</x:v>
      </x:c>
      <x:c r="AJ43" s="195" t="n">
        <x:v>14</x:v>
      </x:c>
      <x:c r="AK43" s="157" t="str">
        <x:v>CÓ ĐIỀU KIỆN</x:v>
      </x:c>
      <x:c r="AL43" s="157" t="str">
        <x:v>CÓ ĐIỀU KIỆN</x:v>
      </x:c>
      <x:c r="AM43" s="157" t="str">
        <x:v>In thường</x:v>
      </x:c>
      <x:c r="AN43" s="157" t="str">
        <x:v>JUSTIFY</x:v>
      </x:c>
      <x:c r="AO43" s="157"/>
      <x:c r="AP43" s="157" t="str">
        <x:v>EXACT</x:v>
      </x:c>
      <x:c r="AQ43" s="195" t="n">
        <x:v>19</x:v>
      </x:c>
      <x:c r="AR43" s="157" t="str">
        <x:v>pt</x:v>
      </x:c>
      <x:c r="AS43" s="195" t="n">
        <x:v>0</x:v>
      </x:c>
      <x:c r="AT43" s="195" t="n">
        <x:v>6</x:v>
      </x:c>
      <x:c r="AU43" s="195"/>
      <x:c r="AV43" s="195"/>
      <x:c r="AW43" s="195"/>
      <x:c r="AX43" s="157"/>
      <x:c r="AY43" s="157"/>
      <x:c r="AZ43" s="157"/>
      <x:c r="BA43" s="195"/>
      <x:c r="BB43" s="195"/>
      <x:c r="BC43" s="157"/>
      <x:c r="BD43" s="195"/>
      <x:c r="BE43" s="195"/>
      <x:c r="BF43" s="195"/>
      <x:c r="BG43" s="195"/>
      <x:c r="BH43" s="157"/>
      <x:c r="BI43" s="195"/>
      <x:c r="BJ43" s="195"/>
      <x:c r="BK43" s="195"/>
      <x:c r="BL43" s="157"/>
      <x:c r="BM43" s="157"/>
      <x:c r="BN43" s="157"/>
      <x:c r="BO43" s="195"/>
      <x:c r="BP43" s="195"/>
      <x:c r="BQ43" s="157"/>
      <x:c r="BR43" s="157"/>
      <x:c r="BS43" s="157"/>
      <x:c r="BT43" s="157" t="str">
        <x:v>NumberedList</x:v>
      </x:c>
      <x:c r="BU43" s="157" t="str">
        <x:v>Paragraph/Run theo kiểu khối KD; preserve list numbering/table/drawing nếu có</x:v>
      </x:c>
      <x:c r="BV43" s="196" t="str">
        <x:v>DỰ THẢO — CẦN DUYỆT HD05</x:v>
      </x:c>
      <x:c r="BW43" s="197" t="str">
        <x:v>ĐÃ TÁCH MỘT PHẦN</x:v>
      </x:c>
      <x:c r="BX43" s="157" t="str">
        <x:v>Cấu hình profile chưa được xác nhận; giữ nguyên chính sách CHECK_ONLY.</x:v>
      </x:c>
      <x:c r="BY43" t="str">
        <x:v>HD05.N.KD.DANH_SACH</x:v>
      </x:c>
      <x:c r="BZ43" t="str">
        <x:f>IFERROR(INDEX(HD05!$J$7:$J$300,MATCH($B43,HD05!$B$7:$B$300,0)),"UNRESOLVED")</x:f>
        <x:v>14–15</x:v>
      </x:c>
      <x:c r="CA43" t="str">
        <x:v>TEXT</x:v>
      </x:c>
      <x:c r="CB43" t="str">
        <x:v>party_issuer_confirmed AND issue_date&gt;=2026-05-27 AND doc_type_confirmed</x:v>
      </x:c>
      <x:c r="CC43" t="str">
        <x:f>IFERROR(INDEX(HD05!$X$7:$X$300,MATCH($B43,HD05!$B$7:$B$300,0)),"UNRESOLVED")</x:f>
        <x:v>CHỈ SAU REVIEW</x:v>
      </x:c>
      <x:c r="CD43" t="str">
        <x:f>IF(OR(ISNUMBER(SEARCH("READ_ONLY",CC43)),ISNUMBER(SEARCH("PROTECTED",CC43)),ISNUMBER(SEARCH("BẢO VỆ",CC43)),ISNUMBER(SEARCH("KHÔNG KÝ",CC43))),"PROTECTED","CHECK_ONLY")</x:f>
        <x:v>CHECK_ONLY</x:v>
      </x:c>
      <x:c r="CE43" t="str">
        <x:f>IF(AND(CD43="FORMAT_APPROVED",CU43="CÓ",CV43="CÓ",CH43="CÓ",CI43="CÓ",CJ43="CÓ"),"CÓ","KHÔNG")</x:f>
        <x:v>KHÔNG</x:v>
      </x:c>
      <x:c r="CF43" t="str">
        <x:v>KHÔNG</x:v>
      </x:c>
      <x:c r="CG43" t="str">
        <x:v>CÓ</x:v>
      </x:c>
      <x:c r="CH43" t="str">
        <x:v>KHÔNG</x:v>
      </x:c>
      <x:c r="CI43" t="str">
        <x:v>KHÔNG</x:v>
      </x:c>
      <x:c r="CJ43" t="str">
        <x:v>KHÔNG</x:v>
      </x:c>
      <x:c r="CK43" t="str">
        <x:f>IF(AND(CE43="CÓ",CF43="KHÔNG",CG43="CÓ",CU43="CÓ",CV43="CÓ",CH43="CÓ",CI43="CÓ",CJ43="CÓ"),"CÓ","KHÔNG")</x:f>
        <x:v>KHÔNG</x:v>
      </x:c>
      <x:c r="CL43" t="str">
        <x:v>PILOT_NORTH_PROFILE_DRAFT; chưa có master DOCX đã duyệt</x:v>
      </x:c>
      <x:c r="CM43" t="str">
        <x:v>v1.5 (nâng từ v1.4)</x:v>
      </x:c>
      <x:c r="CN43" t="str">
        <x:v>CHƯA XÁC NHẬN CHỦ THỂ ĐẢNG</x:v>
      </x:c>
      <x:c r="CO43" t="str">
        <x:v>HD05_N_KD_DANH_SACH_FIELD_ONLY; chưa tạo trong Word</x:v>
      </x:c>
      <x:c r="CP43" t="str">
        <x:v>Preset là cấu hình Công ty; không thay thế giới hạn của nguồn NĐ30/HD05</x:v>
      </x:c>
      <x:c r="CQ43" t="str">
        <x:f>IF(OR(BH43="CÓ",BH43=TRUE),BI43,"")</x:f>
      </x:c>
      <x:c r="CR43" t="str">
        <x:f>IF(OR(BH43="CÓ",BH43=TRUE),BJ43,"")</x:f>
      </x:c>
      <x:c r="CS43" t="str">
        <x:v>FORMAT_CHECK_ONLY</x:v>
      </x:c>
      <x:c r="CT43" t="str">
        <x:v>PENDING_SOURCE_AND_DOCX_QA</x:v>
      </x:c>
      <x:c r="CU43" t="str">
        <x:v>KHÔNG</x:v>
      </x:c>
      <x:c r="CV43" t="str">
        <x:v>KHÔNG</x:v>
      </x:c>
      <x:c r="CW43" t="str"/>
    </x:row>
    <x:row r="44" ht="29" customHeight="1">
      <x:c r="A44" s="125" t="n">
        <x:v>38</x:v>
      </x:c>
      <x:c r="B44" s="123" t="str">
        <x:v>HD05.N.DOAN.VAN_BAN</x:v>
      </x:c>
      <x:c r="C44" s="123" t="str">
        <x:v>Nội dung</x:v>
      </x:c>
      <x:c r="D44" s="123" t="str">
        <x:v>Đoạn văn</x:v>
      </x:c>
      <x:c r="E44" s="123" t="str">
        <x:v>Nội dung đoạn văn thông thường</x:v>
      </x:c>
      <x:c r="F44" s="123" t="str">
        <x:v>6</x:v>
      </x:c>
      <x:c r="G44" s="123" t="str">
        <x:v>Theo loại văn bản và sự hiện diện thực tế; không áp dụng đồng loạt</x:v>
      </x:c>
      <x:c r="H44" s="123" t="str">
        <x:v>Đoạn văn thông thường: chữ đứng, căn đều 2 lề</x:v>
      </x:c>
      <x:c r="I44" s="123" t="str">
        <x:v>Times New Roman | Unicode | đen</x:v>
      </x:c>
      <x:c r="J44" s="136" t="str">
        <x:v>14</x:v>
      </x:c>
      <x:c r="K44" s="123" t="str">
        <x:v>In thường (trừ tiêu đề)</x:v>
      </x:c>
      <x:c r="L44" s="123" t="str">
        <x:v>Không</x:v>
      </x:c>
      <x:c r="M44" s="123" t="str">
        <x:v>Không mặc định</x:v>
      </x:c>
      <x:c r="N44" s="123" t="str">
        <x:v>Căn đều hai lề (justify)</x:v>
      </x:c>
      <x:c r="O44" s="135" t="str">
        <x:v>Exactly 19 pt; after 6 pt; before 0 pt</x:v>
      </x:c>
      <x:c r="P44" s="135" t="str">
        <x:v>First line 10 mm (~567 twip)</x:v>
      </x:c>
      <x:c r="Q44" s="123"/>
      <x:c r="R44" s="123" t="str">
        <x:v>Paragraph/Run theo kiểu khối DOAN; preserve list numbering/table/drawing nếu có</x:v>
      </x:c>
      <x:c r="S44" s="123" t="str">
        <x:v>TNR 14 pt; căn đều; Exactly 19 pt; trước 0/sau 6 pt; thụt dòng đầu 10 mm</x:v>
      </x:c>
      <x:c r="T44" s="123" t="str">
        <x:v>HD05, Phần II, I.6 và IV; Phụ lục 2 mục 6</x:v>
      </x:c>
      <x:c r="U44" s="123" t="str">
        <x:v>https://dangcongsan.vn/vanphongtrunguong/van-ban-cua-dang/huong-dan-so-05-hd-vptw-ngay-27-5-2026-cua-van-phong-trung-uong-dang-ve-the-thuc-va-ky-thuat-trinh-bay-van-ban-cua-dang.html?categoryId=3000525</x:v>
      </x:c>
      <x:c r="V44" s="123" t="str">
        <x:v>https://thuvienphapluat.vn/van-ban/Bo-may-hanh-chinh/Huong-dan-05-HD-VPTW-2026-the-thuc-va-ky-thuat-trinh-bay-van-ban-cua-Dang-707499.aspx</x:v>
      </x:c>
      <x:c r="W44" s="123" t="str">
        <x:v>ĐỐI CHIẾU MỘT PHẦN</x:v>
      </x:c>
      <x:c r="X44" s="123" t="str">
        <x:v>CHECK_ONLY</x:v>
      </x:c>
      <x:c r="Y44" s="123" t="str">
        <x:v>Không tự chèn/sửa khi chưa có chứng cứ về đối tượng và rule.</x:v>
      </x:c>
      <x:c r="Z44" s="135" t="str">
        <x:v>TNR 14 pt; căn đều; Exactly 19 pt; trước 0/sau 6 pt; thụt dòng đầu 10 mm</x:v>
      </x:c>
      <x:c r="AA44" s="123" t="str">
        <x:v>BodyText-14</x:v>
      </x:c>
      <x:c r="AB44" s="135" t="str">
        <x:v>DỰ THẢO — CẦN DUYỆT HD05</x:v>
      </x:c>
      <x:c r="AC44" s="123" t="str">
        <x:v>CHECK_ONLY</x:v>
      </x:c>
      <x:c r="AD44" s="123" t="str">
        <x:v>PLUGIN:HOA-TIEU-MIEN-BAC-PARTY-HD05-HEADER-2026 | NEEDS_REVIEW</x:v>
      </x:c>
      <x:c r="AE44" s="123" t="str">
        <x:v>GATE: xác minh chủ thể HD05 trước; Render 1–3 trang: so TNR 14 pt, spacing Exactly 19 pt; after 6 pt; before 0 pt, indent First line 10 mm (~567 twip); kiểm tra không tràn chữ.</x:v>
      </x:c>
      <x:c r="AF44" s="123" t="str">
        <x:v>Đảng ủy: chỉ chọn khi chủ thể ban hành và phạm vi HD05 đã được xác minh.</x:v>
      </x:c>
      <x:c r="AG44" s="157" t="str">
        <x:v>Times New Roman</x:v>
      </x:c>
      <x:c r="AH44" s="157" t="str">
        <x:v>Unicode</x:v>
      </x:c>
      <x:c r="AI44" s="157" t="str">
        <x:v>#000000</x:v>
      </x:c>
      <x:c r="AJ44" s="195" t="n">
        <x:v>14</x:v>
      </x:c>
      <x:c r="AK44" s="157" t="str">
        <x:v>KHÔNG</x:v>
      </x:c>
      <x:c r="AL44" s="157" t="str">
        <x:v>CÓ ĐIỀU KIỆN</x:v>
      </x:c>
      <x:c r="AM44" s="157" t="str">
        <x:v>In thường (trừ tiêu đề)</x:v>
      </x:c>
      <x:c r="AN44" s="157" t="str">
        <x:v>JUSTIFY</x:v>
      </x:c>
      <x:c r="AO44" s="157"/>
      <x:c r="AP44" s="157" t="str">
        <x:v>EXACT</x:v>
      </x:c>
      <x:c r="AQ44" s="195" t="n">
        <x:v>19</x:v>
      </x:c>
      <x:c r="AR44" s="157" t="str">
        <x:v>pt</x:v>
      </x:c>
      <x:c r="AS44" s="195" t="n">
        <x:v>0</x:v>
      </x:c>
      <x:c r="AT44" s="195" t="n">
        <x:v>6</x:v>
      </x:c>
      <x:c r="AU44" s="195" t="n">
        <x:v>10</x:v>
      </x:c>
      <x:c r="AV44" s="195"/>
      <x:c r="AW44" s="195"/>
      <x:c r="AX44" s="157"/>
      <x:c r="AY44" s="157"/>
      <x:c r="AZ44" s="157"/>
      <x:c r="BA44" s="195"/>
      <x:c r="BB44" s="195"/>
      <x:c r="BC44" s="157"/>
      <x:c r="BD44" s="195"/>
      <x:c r="BE44" s="195"/>
      <x:c r="BF44" s="195"/>
      <x:c r="BG44" s="195"/>
      <x:c r="BH44" s="157"/>
      <x:c r="BI44" s="195"/>
      <x:c r="BJ44" s="195"/>
      <x:c r="BK44" s="195"/>
      <x:c r="BL44" s="157"/>
      <x:c r="BM44" s="157"/>
      <x:c r="BN44" s="157"/>
      <x:c r="BO44" s="195"/>
      <x:c r="BP44" s="195"/>
      <x:c r="BQ44" s="157"/>
      <x:c r="BR44" s="157"/>
      <x:c r="BS44" s="157"/>
      <x:c r="BT44" s="157" t="str">
        <x:v>BodyText-14</x:v>
      </x:c>
      <x:c r="BU44" s="157" t="str">
        <x:v>Paragraph/Run theo kiểu khối DOAN; preserve list numbering/table/drawing nếu có</x:v>
      </x:c>
      <x:c r="BV44" s="196" t="str">
        <x:v>DỰ THẢO — CẦN DUYỆT HD05</x:v>
      </x:c>
      <x:c r="BW44" s="197" t="str">
        <x:v>ĐÃ TÁCH MỘT PHẦN</x:v>
      </x:c>
      <x:c r="BX44" s="157" t="str">
        <x:v>Cấu hình profile chưa được xác nhận; giữ nguyên chính sách CHECK_ONLY.</x:v>
      </x:c>
      <x:c r="BY44" t="str">
        <x:v>HD05.N.DOAN.VAN_BAN</x:v>
      </x:c>
      <x:c r="BZ44" t="str">
        <x:f>IFERROR(INDEX(HD05!$J$7:$J$300,MATCH($B44,HD05!$B$7:$B$300,0)),"UNRESOLVED")</x:f>
        <x:v>14–15</x:v>
      </x:c>
      <x:c r="CA44" t="str">
        <x:v>TEXT</x:v>
      </x:c>
      <x:c r="CB44" t="str">
        <x:v>party_issuer_confirmed AND issue_date&gt;=2026-05-27 AND doc_type_confirmed</x:v>
      </x:c>
      <x:c r="CC44" t="str">
        <x:f>IFERROR(INDEX(HD05!$X$7:$X$300,MATCH($B44,HD05!$B$7:$B$300,0)),"UNRESOLVED")</x:f>
        <x:v>CHỈ SAU REVIEW</x:v>
      </x:c>
      <x:c r="CD44" t="str">
        <x:f>IF(OR(ISNUMBER(SEARCH("READ_ONLY",CC44)),ISNUMBER(SEARCH("PROTECTED",CC44)),ISNUMBER(SEARCH("BẢO VỆ",CC44)),ISNUMBER(SEARCH("KHÔNG KÝ",CC44))),"PROTECTED","CHECK_ONLY")</x:f>
        <x:v>CHECK_ONLY</x:v>
      </x:c>
      <x:c r="CE44" t="str">
        <x:f>IF(AND(CD44="FORMAT_APPROVED",CU44="CÓ",CV44="CÓ",CH44="CÓ",CI44="CÓ",CJ44="CÓ"),"CÓ","KHÔNG")</x:f>
        <x:v>KHÔNG</x:v>
      </x:c>
      <x:c r="CF44" t="str">
        <x:v>KHÔNG</x:v>
      </x:c>
      <x:c r="CG44" t="str">
        <x:v>CÓ</x:v>
      </x:c>
      <x:c r="CH44" t="str">
        <x:v>KHÔNG</x:v>
      </x:c>
      <x:c r="CI44" t="str">
        <x:v>KHÔNG</x:v>
      </x:c>
      <x:c r="CJ44" t="str">
        <x:v>KHÔNG</x:v>
      </x:c>
      <x:c r="CK44" t="str">
        <x:f>IF(AND(CE44="CÓ",CF44="KHÔNG",CG44="CÓ",CU44="CÓ",CV44="CÓ",CH44="CÓ",CI44="CÓ",CJ44="CÓ"),"CÓ","KHÔNG")</x:f>
        <x:v>KHÔNG</x:v>
      </x:c>
      <x:c r="CL44" t="str">
        <x:v>PILOT_NORTH_PROFILE_DRAFT; chưa có master DOCX đã duyệt</x:v>
      </x:c>
      <x:c r="CM44" t="str">
        <x:v>v1.5 (nâng từ v1.4)</x:v>
      </x:c>
      <x:c r="CN44" t="str">
        <x:v>CHƯA XÁC NHẬN CHỦ THỂ ĐẢNG</x:v>
      </x:c>
      <x:c r="CO44" t="str">
        <x:v>HD05_N_DOAN_VAN_BAN_FIELD_ONLY; chưa tạo trong Word</x:v>
      </x:c>
      <x:c r="CP44" t="str">
        <x:v>Preset là cấu hình Công ty; không thay thế giới hạn của nguồn NĐ30/HD05</x:v>
      </x:c>
      <x:c r="CQ44" t="str">
        <x:f>IF(OR(BH44="CÓ",BH44=TRUE),BI44,"")</x:f>
      </x:c>
      <x:c r="CR44" t="str">
        <x:f>IF(OR(BH44="CÓ",BH44=TRUE),BJ44,"")</x:f>
      </x:c>
      <x:c r="CS44" t="str">
        <x:v>FORMAT_CHECK_ONLY</x:v>
      </x:c>
      <x:c r="CT44" t="str">
        <x:v>PENDING_SOURCE_AND_DOCX_QA</x:v>
      </x:c>
      <x:c r="CU44" t="str">
        <x:v>KHÔNG</x:v>
      </x:c>
      <x:c r="CV44" t="str">
        <x:v>KHÔNG</x:v>
      </x:c>
      <x:c r="CW44" t="str"/>
    </x:row>
    <x:row r="45" ht="29" customHeight="1">
      <x:c r="A45" s="125" t="n">
        <x:v>39</x:v>
      </x:c>
      <x:c r="B45" s="123" t="str">
        <x:v>HD05.N.BANG.TIEU_DE</x:v>
      </x:c>
      <x:c r="C45" s="123" t="str">
        <x:v>Nội dung</x:v>
      </x:c>
      <x:c r="D45" s="123" t="str">
        <x:v>Bảng trong nội dung</x:v>
      </x:c>
      <x:c r="E45" s="123" t="str">
        <x:v>Tiêu đề bảng</x:v>
      </x:c>
      <x:c r="F45" s="123" t="str">
        <x:v>6</x:v>
      </x:c>
      <x:c r="G45" s="123" t="str">
        <x:v>Khi tài liệu có bảng dữ liệu thực tế; không dùng cho bảng bố cục header</x:v>
      </x:c>
      <x:c r="H45" s="123" t="str">
        <x:v>Bảng trong nội dung: giữ dữ liệu, tiêu đề, đường viền, ô gộp, chiều cao hàng, ngắt trang</x:v>
      </x:c>
      <x:c r="I45" s="123" t="str">
        <x:v>Times New Roman | Unicode | đen</x:v>
      </x:c>
      <x:c r="J45" s="136" t="str">
        <x:v>13</x:v>
      </x:c>
      <x:c r="K45" s="123" t="str">
        <x:v>Theo nội dung</x:v>
      </x:c>
      <x:c r="L45" s="123" t="str">
        <x:v>Có</x:v>
      </x:c>
      <x:c r="M45" s="123" t="str">
        <x:v>Không</x:v>
      </x:c>
      <x:c r="N45" s="123" t="str">
        <x:v>Trái với ô chữ; giữa với ô số và tiêu đề (theo kiểu cột)</x:v>
      </x:c>
      <x:c r="O45" s="135" t="str">
        <x:v>Multiple 1,0; before 0 / after 0 pt (preset bảng)</x:v>
      </x:c>
      <x:c r="P45" s="135" t="str">
        <x:v>First line 0; padding ô 1,5 mm (preset)</x:v>
      </x:c>
      <x:c r="Q45" s="123"/>
      <x:c r="R45" s="123" t="str">
        <x:v>w:tbl/w:tr/w:tc; không dùng AI để tự gộp hoặc tái bố cục</x:v>
      </x:c>
      <x:c r="S45" s="123" t="str">
        <x:v>TNR 13 pt; ô tiêu đề đậm, căn giữa; hàng dữ liệu 13 pt</x:v>
      </x:c>
      <x:c r="T45" s="123" t="str">
        <x:v>HD05, Phần II, I.6 và IV; Phụ lục 2 mục 6</x:v>
      </x:c>
      <x:c r="U45" s="123" t="str">
        <x:v>https://dangcongsan.vn/vanphongtrunguong/van-ban-cua-dang/huong-dan-so-05-hd-vptw-ngay-27-5-2026-cua-van-phong-trung-uong-dang-ve-the-thuc-va-ky-thuat-trinh-bay-van-ban-cua-dang.html?categoryId=3000525</x:v>
      </x:c>
      <x:c r="V45" s="123" t="str">
        <x:v>https://thuvienphapluat.vn/van-ban/Bo-may-hanh-chinh/Huong-dan-05-HD-VPTW-2026-the-thuc-va-ky-thuat-trinh-bay-van-ban-cua-Dang-707499.aspx</x:v>
      </x:c>
      <x:c r="W45" s="123" t="str">
        <x:v>CẦN RÀ SOÁT</x:v>
      </x:c>
      <x:c r="X45" s="123" t="str">
        <x:v>CHECK_ONLY</x:v>
      </x:c>
      <x:c r="Y45" s="123" t="str">
        <x:v>Kỹ thuật tự động fit bảng chỉ là workflow của dự án; không suy thành thông số bắt buộc của NĐ30/HD05.</x:v>
      </x:c>
      <x:c r="Z45" s="135" t="str">
        <x:v>TNR 13 pt; ô tiêu đề đậm, căn giữa; hàng dữ liệu 13 pt</x:v>
      </x:c>
      <x:c r="AA45" s="123" t="str">
        <x:v>TableBody-13</x:v>
      </x:c>
      <x:c r="AB45" s="135" t="str">
        <x:v>CẦN QA RENDER</x:v>
      </x:c>
      <x:c r="AC45" s="123" t="str">
        <x:v>CHECK_ONLY</x:v>
      </x:c>
      <x:c r="AD45" s="123" t="str">
        <x:v>PLUGIN:HOA-TIEU-MIEN-BAC-PARTY-HD05-HEADER-2026 | NEEDS_REVIEW</x:v>
      </x:c>
      <x:c r="AE45" s="123" t="str">
        <x:v>GATE: xác minh chủ thể HD05 trước; Render 1–3 trang: so TNR 13 pt, spacing Multiple 1,0; before 0 / after 0 pt (preset bảng), indent First line 0; padding ô 1,5 mm (preset); kiểm tra không tràn chữ.</x:v>
      </x:c>
      <x:c r="AF45" s="123" t="str">
        <x:v>AutoFit Window → AutoFit Contents → chỉnh tay nếu cần; preset kỹ thuật, không phải luật. | Đảng ủy: chỉ chọn khi chủ thể ban hành và phạm vi HD05 đã được xác minh.</x:v>
      </x:c>
      <x:c r="AG45" s="157" t="str">
        <x:v>Times New Roman</x:v>
      </x:c>
      <x:c r="AH45" s="157" t="str">
        <x:v>Unicode</x:v>
      </x:c>
      <x:c r="AI45" s="157" t="str">
        <x:v>#000000</x:v>
      </x:c>
      <x:c r="AJ45" s="195" t="n">
        <x:v>13</x:v>
      </x:c>
      <x:c r="AK45" s="157" t="str">
        <x:v>CÓ</x:v>
      </x:c>
      <x:c r="AL45" s="157" t="str">
        <x:v>KHÔNG</x:v>
      </x:c>
      <x:c r="AM45" s="157" t="str">
        <x:v>Theo nội dung</x:v>
      </x:c>
      <x:c r="AN45" s="157" t="str">
        <x:v>THEO TỪNG Ô</x:v>
      </x:c>
      <x:c r="AO45" s="157"/>
      <x:c r="AP45" s="157" t="str">
        <x:v>MULTIPLE</x:v>
      </x:c>
      <x:c r="AQ45" s="195" t="n">
        <x:v>1</x:v>
      </x:c>
      <x:c r="AR45" s="157" t="str">
        <x:v>lines</x:v>
      </x:c>
      <x:c r="AS45" s="195" t="n">
        <x:v>0</x:v>
      </x:c>
      <x:c r="AT45" s="195" t="n">
        <x:v>0</x:v>
      </x:c>
      <x:c r="AU45" s="195" t="n">
        <x:v>0</x:v>
      </x:c>
      <x:c r="AV45" s="195"/>
      <x:c r="AW45" s="195"/>
      <x:c r="AX45" s="157"/>
      <x:c r="AY45" s="157"/>
      <x:c r="AZ45" s="157"/>
      <x:c r="BA45" s="195"/>
      <x:c r="BB45" s="195"/>
      <x:c r="BC45" s="157"/>
      <x:c r="BD45" s="195"/>
      <x:c r="BE45" s="195"/>
      <x:c r="BF45" s="195"/>
      <x:c r="BG45" s="195"/>
      <x:c r="BH45" s="157"/>
      <x:c r="BI45" s="195"/>
      <x:c r="BJ45" s="195"/>
      <x:c r="BK45" s="195" t="n">
        <x:v>1.5</x:v>
      </x:c>
      <x:c r="BL45" s="157"/>
      <x:c r="BM45" s="157"/>
      <x:c r="BN45" s="157"/>
      <x:c r="BO45" s="195"/>
      <x:c r="BP45" s="195"/>
      <x:c r="BQ45" s="157"/>
      <x:c r="BR45" s="157"/>
      <x:c r="BS45" s="157"/>
      <x:c r="BT45" s="157" t="str">
        <x:v>TableBody-13</x:v>
      </x:c>
      <x:c r="BU45" s="157" t="str">
        <x:v>w:tbl/w:tr/w:tc; không dùng AI để tự gộp hoặc tái bố cục</x:v>
      </x:c>
      <x:c r="BV45" s="196" t="str">
        <x:v>CẦN QA RENDER</x:v>
      </x:c>
      <x:c r="BW45" s="197" t="str">
        <x:v>ĐÃ TÁCH MỘT PHẦN</x:v>
      </x:c>
      <x:c r="BX45" s="157" t="str">
        <x:v>Đối chiếu mô tả gốc ở I–S, Z–AF nếu thuộc tính phụ thuộc mẫu.</x:v>
      </x:c>
      <x:c r="BY45" t="str">
        <x:v>HD05.N.BANG.TIEU_DE</x:v>
      </x:c>
      <x:c r="BZ45" t="str">
        <x:f>IFERROR(INDEX(HD05!$J$7:$J$300,MATCH($B45,HD05!$B$7:$B$300,0)),"UNRESOLVED")</x:f>
        <x:v>Theo khối/bảng đã xác minh</x:v>
      </x:c>
      <x:c r="CA45" t="str">
        <x:v>TABLE</x:v>
      </x:c>
      <x:c r="CB45" t="str">
        <x:v>target_is_actual_table AND table_structure_confirmed</x:v>
      </x:c>
      <x:c r="CC45" t="str">
        <x:f>IFERROR(INDEX(HD05!$X$7:$X$300,MATCH($B45,HD05!$B$7:$B$300,0)),"UNRESOLVED")</x:f>
        <x:v>READ_ONLY</x:v>
      </x:c>
      <x:c r="CD45" t="str">
        <x:f>IF(OR(ISNUMBER(SEARCH("READ_ONLY",CC45)),ISNUMBER(SEARCH("PROTECTED",CC45)),ISNUMBER(SEARCH("BẢO VỆ",CC45)),ISNUMBER(SEARCH("KHÔNG KÝ",CC45))),"PROTECTED","CHECK_ONLY")</x:f>
        <x:v>PROTECTED</x:v>
      </x:c>
      <x:c r="CE45" t="str">
        <x:f>IF(AND(CD45="FORMAT_APPROVED",CU45="CÓ",CV45="CÓ",CH45="CÓ",CI45="CÓ",CJ45="CÓ"),"CÓ","KHÔNG")</x:f>
        <x:v>KHÔNG</x:v>
      </x:c>
      <x:c r="CF45" t="str">
        <x:v>KHÔNG</x:v>
      </x:c>
      <x:c r="CG45" t="str">
        <x:v>CÓ</x:v>
      </x:c>
      <x:c r="CH45" t="str">
        <x:v>KHÔNG</x:v>
      </x:c>
      <x:c r="CI45" t="str">
        <x:v>KHÔNG</x:v>
      </x:c>
      <x:c r="CJ45" t="str">
        <x:v>KHÔNG</x:v>
      </x:c>
      <x:c r="CK45" t="str">
        <x:f>IF(AND(CE45="CÓ",CF45="KHÔNG",CG45="CÓ",CU45="CÓ",CV45="CÓ",CH45="CÓ",CI45="CÓ",CJ45="CÓ"),"CÓ","KHÔNG")</x:f>
        <x:v>KHÔNG</x:v>
      </x:c>
      <x:c r="CL45" t="str">
        <x:v>PILOT_NORTH_PROFILE_DRAFT; chưa có master DOCX đã duyệt</x:v>
      </x:c>
      <x:c r="CM45" t="str">
        <x:v>v1.5 (nâng từ v1.4)</x:v>
      </x:c>
      <x:c r="CN45" t="str">
        <x:v>CHƯA XÁC NHẬN CHỦ THỂ ĐẢNG</x:v>
      </x:c>
      <x:c r="CO45" t="str">
        <x:v>HD05_N_BANG_TIEU_DE_FIELD_ONLY; chưa tạo trong Word</x:v>
      </x:c>
      <x:c r="CP45" t="str">
        <x:v>Preset là cấu hình Công ty; không thay thế giới hạn của nguồn NĐ30/HD05</x:v>
      </x:c>
      <x:c r="CQ45" t="str">
        <x:f>IF(OR(BH45="CÓ",BH45=TRUE),BI45,"")</x:f>
      </x:c>
      <x:c r="CR45" t="str">
        <x:f>IF(OR(BH45="CÓ",BH45=TRUE),BJ45,"")</x:f>
      </x:c>
      <x:c r="CS45" t="str">
        <x:v>FORMAT_CHECK_ONLY</x:v>
      </x:c>
      <x:c r="CT45" t="str">
        <x:v>PENDING_SOURCE_AND_DOCX_QA</x:v>
      </x:c>
      <x:c r="CU45" t="str">
        <x:v>KHÔNG</x:v>
      </x:c>
      <x:c r="CV45" t="str">
        <x:v>KHÔNG</x:v>
      </x:c>
      <x:c r="CW45" t="str"/>
    </x:row>
    <x:row r="46" ht="29" customHeight="1">
      <x:c r="A46" s="125" t="n">
        <x:v>40</x:v>
      </x:c>
      <x:c r="B46" s="123" t="str">
        <x:v>HD05.N.BANG.DAU_BANG</x:v>
      </x:c>
      <x:c r="C46" s="123" t="str">
        <x:v>Nội dung</x:v>
      </x:c>
      <x:c r="D46" s="123" t="str">
        <x:v>Bảng trong nội dung</x:v>
      </x:c>
      <x:c r="E46" s="123" t="str">
        <x:v>Hàng đầu bảng</x:v>
      </x:c>
      <x:c r="F46" s="123" t="str">
        <x:v>6</x:v>
      </x:c>
      <x:c r="G46" s="123" t="str">
        <x:v>Khi tài liệu có bảng dữ liệu thực tế; không dùng cho bảng bố cục header</x:v>
      </x:c>
      <x:c r="H46" s="123" t="str">
        <x:v>Bảng trong nội dung: giữ dữ liệu, tiêu đề, đường viền, ô gộp, chiều cao hàng, ngắt trang</x:v>
      </x:c>
      <x:c r="I46" s="123" t="str">
        <x:v>Times New Roman | Unicode | đen</x:v>
      </x:c>
      <x:c r="J46" s="136" t="str">
        <x:v>13</x:v>
      </x:c>
      <x:c r="K46" s="123" t="str">
        <x:v>Theo nội dung</x:v>
      </x:c>
      <x:c r="L46" s="123" t="str">
        <x:v>Có</x:v>
      </x:c>
      <x:c r="M46" s="123" t="str">
        <x:v>Không</x:v>
      </x:c>
      <x:c r="N46" s="123" t="str">
        <x:v>Trái với ô chữ; giữa với ô số và tiêu đề (theo kiểu cột)</x:v>
      </x:c>
      <x:c r="O46" s="135" t="str">
        <x:v>Multiple 1,0; before 0 / after 0 pt (preset bảng)</x:v>
      </x:c>
      <x:c r="P46" s="135" t="str">
        <x:v>First line 0; padding ô 1,5 mm (preset)</x:v>
      </x:c>
      <x:c r="Q46" s="123"/>
      <x:c r="R46" s="123" t="str">
        <x:v>w:tbl/w:tr/w:tc; không dùng AI để tự gộp hoặc tái bố cục</x:v>
      </x:c>
      <x:c r="S46" s="123" t="str">
        <x:v>Hàng đầu: đậm, căn giữa; repeat header; keep row together</x:v>
      </x:c>
      <x:c r="T46" s="123" t="str">
        <x:v>HD05, Phần II, I.6 và IV; Phụ lục 2 mục 6</x:v>
      </x:c>
      <x:c r="U46" s="123" t="str">
        <x:v>https://dangcongsan.vn/vanphongtrunguong/van-ban-cua-dang/huong-dan-so-05-hd-vptw-ngay-27-5-2026-cua-van-phong-trung-uong-dang-ve-the-thuc-va-ky-thuat-trinh-bay-van-ban-cua-dang.html?categoryId=3000525</x:v>
      </x:c>
      <x:c r="V46" s="123" t="str">
        <x:v>https://thuvienphapluat.vn/van-ban/Bo-may-hanh-chinh/Huong-dan-05-HD-VPTW-2026-the-thuc-va-ky-thuat-trinh-bay-van-ban-cua-Dang-707499.aspx</x:v>
      </x:c>
      <x:c r="W46" s="123" t="str">
        <x:v>CẦN RÀ SOÁT</x:v>
      </x:c>
      <x:c r="X46" s="123" t="str">
        <x:v>CHECK_ONLY</x:v>
      </x:c>
      <x:c r="Y46" s="123" t="str">
        <x:v>Kỹ thuật tự động fit bảng chỉ là workflow của dự án; không suy thành thông số bắt buộc của NĐ30/HD05.</x:v>
      </x:c>
      <x:c r="Z46" s="135" t="str">
        <x:v>Hàng đầu: đậm, căn giữa; repeat header; keep row together</x:v>
      </x:c>
      <x:c r="AA46" s="123" t="str">
        <x:v>TableBody-13</x:v>
      </x:c>
      <x:c r="AB46" s="135" t="str">
        <x:v>CẦN QA RENDER</x:v>
      </x:c>
      <x:c r="AC46" s="123" t="str">
        <x:v>CHECK_ONLY</x:v>
      </x:c>
      <x:c r="AD46" s="123" t="str">
        <x:v>PLUGIN:HOA-TIEU-MIEN-BAC-PARTY-HD05-HEADER-2026 | NEEDS_REVIEW</x:v>
      </x:c>
      <x:c r="AE46" s="123" t="str">
        <x:v>GATE: xác minh chủ thể HD05 trước; Render 1–3 trang: so TNR 13 pt, spacing Multiple 1,0; before 0 / after 0 pt (preset bảng), indent First line 0; padding ô 1,5 mm (preset); kiểm tra không tràn chữ.</x:v>
      </x:c>
      <x:c r="AF46" s="123" t="str">
        <x:v>AutoFit Window → AutoFit Contents → chỉnh tay nếu cần; preset kỹ thuật, không phải luật. | Đảng ủy: chỉ chọn khi chủ thể ban hành và phạm vi HD05 đã được xác minh.</x:v>
      </x:c>
      <x:c r="AG46" s="157" t="str">
        <x:v>Times New Roman</x:v>
      </x:c>
      <x:c r="AH46" s="157" t="str">
        <x:v>Unicode</x:v>
      </x:c>
      <x:c r="AI46" s="157" t="str">
        <x:v>#000000</x:v>
      </x:c>
      <x:c r="AJ46" s="195" t="n">
        <x:v>13</x:v>
      </x:c>
      <x:c r="AK46" s="157" t="str">
        <x:v>CÓ</x:v>
      </x:c>
      <x:c r="AL46" s="157" t="str">
        <x:v>KHÔNG</x:v>
      </x:c>
      <x:c r="AM46" s="157" t="str">
        <x:v>Theo nội dung</x:v>
      </x:c>
      <x:c r="AN46" s="157" t="str">
        <x:v>THEO TỪNG Ô</x:v>
      </x:c>
      <x:c r="AO46" s="157"/>
      <x:c r="AP46" s="157" t="str">
        <x:v>MULTIPLE</x:v>
      </x:c>
      <x:c r="AQ46" s="195" t="n">
        <x:v>1</x:v>
      </x:c>
      <x:c r="AR46" s="157" t="str">
        <x:v>lines</x:v>
      </x:c>
      <x:c r="AS46" s="195" t="n">
        <x:v>0</x:v>
      </x:c>
      <x:c r="AT46" s="195" t="n">
        <x:v>0</x:v>
      </x:c>
      <x:c r="AU46" s="195" t="n">
        <x:v>0</x:v>
      </x:c>
      <x:c r="AV46" s="195"/>
      <x:c r="AW46" s="195"/>
      <x:c r="AX46" s="157"/>
      <x:c r="AY46" s="157"/>
      <x:c r="AZ46" s="157"/>
      <x:c r="BA46" s="195"/>
      <x:c r="BB46" s="195"/>
      <x:c r="BC46" s="157"/>
      <x:c r="BD46" s="195"/>
      <x:c r="BE46" s="195"/>
      <x:c r="BF46" s="195"/>
      <x:c r="BG46" s="195"/>
      <x:c r="BH46" s="157"/>
      <x:c r="BI46" s="195"/>
      <x:c r="BJ46" s="195"/>
      <x:c r="BK46" s="195" t="n">
        <x:v>1.5</x:v>
      </x:c>
      <x:c r="BL46" s="157"/>
      <x:c r="BM46" s="157"/>
      <x:c r="BN46" s="157"/>
      <x:c r="BO46" s="195"/>
      <x:c r="BP46" s="195"/>
      <x:c r="BQ46" s="157"/>
      <x:c r="BR46" s="157"/>
      <x:c r="BS46" s="157"/>
      <x:c r="BT46" s="157" t="str">
        <x:v>TableBody-13</x:v>
      </x:c>
      <x:c r="BU46" s="157" t="str">
        <x:v>w:tbl/w:tr/w:tc; không dùng AI để tự gộp hoặc tái bố cục</x:v>
      </x:c>
      <x:c r="BV46" s="196" t="str">
        <x:v>CẦN QA RENDER</x:v>
      </x:c>
      <x:c r="BW46" s="197" t="str">
        <x:v>ĐÃ TÁCH MỘT PHẦN</x:v>
      </x:c>
      <x:c r="BX46" s="157" t="str">
        <x:v>Đối chiếu mô tả gốc ở I–S, Z–AF nếu thuộc tính phụ thuộc mẫu.</x:v>
      </x:c>
      <x:c r="BY46" t="str">
        <x:v>HD05.N.BANG.DAU_BANG</x:v>
      </x:c>
      <x:c r="BZ46" t="str">
        <x:f>IFERROR(INDEX(HD05!$J$7:$J$300,MATCH($B46,HD05!$B$7:$B$300,0)),"UNRESOLVED")</x:f>
        <x:v>Theo khối/bảng đã xác minh</x:v>
      </x:c>
      <x:c r="CA46" t="str">
        <x:v>TABLE</x:v>
      </x:c>
      <x:c r="CB46" t="str">
        <x:v>target_is_actual_table AND table_structure_confirmed</x:v>
      </x:c>
      <x:c r="CC46" t="str">
        <x:f>IFERROR(INDEX(HD05!$X$7:$X$300,MATCH($B46,HD05!$B$7:$B$300,0)),"UNRESOLVED")</x:f>
        <x:v>READ_ONLY</x:v>
      </x:c>
      <x:c r="CD46" t="str">
        <x:f>IF(OR(ISNUMBER(SEARCH("READ_ONLY",CC46)),ISNUMBER(SEARCH("PROTECTED",CC46)),ISNUMBER(SEARCH("BẢO VỆ",CC46)),ISNUMBER(SEARCH("KHÔNG KÝ",CC46))),"PROTECTED","CHECK_ONLY")</x:f>
        <x:v>PROTECTED</x:v>
      </x:c>
      <x:c r="CE46" t="str">
        <x:f>IF(AND(CD46="FORMAT_APPROVED",CU46="CÓ",CV46="CÓ",CH46="CÓ",CI46="CÓ",CJ46="CÓ"),"CÓ","KHÔNG")</x:f>
        <x:v>KHÔNG</x:v>
      </x:c>
      <x:c r="CF46" t="str">
        <x:v>KHÔNG</x:v>
      </x:c>
      <x:c r="CG46" t="str">
        <x:v>CÓ</x:v>
      </x:c>
      <x:c r="CH46" t="str">
        <x:v>KHÔNG</x:v>
      </x:c>
      <x:c r="CI46" t="str">
        <x:v>KHÔNG</x:v>
      </x:c>
      <x:c r="CJ46" t="str">
        <x:v>KHÔNG</x:v>
      </x:c>
      <x:c r="CK46" t="str">
        <x:f>IF(AND(CE46="CÓ",CF46="KHÔNG",CG46="CÓ",CU46="CÓ",CV46="CÓ",CH46="CÓ",CI46="CÓ",CJ46="CÓ"),"CÓ","KHÔNG")</x:f>
        <x:v>KHÔNG</x:v>
      </x:c>
      <x:c r="CL46" t="str">
        <x:v>PILOT_NORTH_PROFILE_DRAFT; chưa có master DOCX đã duyệt</x:v>
      </x:c>
      <x:c r="CM46" t="str">
        <x:v>v1.5 (nâng từ v1.4)</x:v>
      </x:c>
      <x:c r="CN46" t="str">
        <x:v>CHƯA XÁC NHẬN CHỦ THỂ ĐẢNG</x:v>
      </x:c>
      <x:c r="CO46" t="str">
        <x:v>HD05_N_BANG_DAU_BANG_FIELD_ONLY; chưa tạo trong Word</x:v>
      </x:c>
      <x:c r="CP46" t="str">
        <x:v>Preset là cấu hình Công ty; không thay thế giới hạn của nguồn NĐ30/HD05</x:v>
      </x:c>
      <x:c r="CQ46" t="str">
        <x:f>IF(OR(BH46="CÓ",BH46=TRUE),BI46,"")</x:f>
      </x:c>
      <x:c r="CR46" t="str">
        <x:f>IF(OR(BH46="CÓ",BH46=TRUE),BJ46,"")</x:f>
      </x:c>
      <x:c r="CS46" t="str">
        <x:v>FORMAT_CHECK_ONLY</x:v>
      </x:c>
      <x:c r="CT46" t="str">
        <x:v>PENDING_SOURCE_AND_DOCX_QA</x:v>
      </x:c>
      <x:c r="CU46" t="str">
        <x:v>KHÔNG</x:v>
      </x:c>
      <x:c r="CV46" t="str">
        <x:v>KHÔNG</x:v>
      </x:c>
      <x:c r="CW46" t="str"/>
    </x:row>
    <x:row r="47" ht="29" customHeight="1">
      <x:c r="A47" s="125" t="n">
        <x:v>41</x:v>
      </x:c>
      <x:c r="B47" s="123" t="str">
        <x:v>HD05.N.BANG.HANG</x:v>
      </x:c>
      <x:c r="C47" s="123" t="str">
        <x:v>Nội dung</x:v>
      </x:c>
      <x:c r="D47" s="123" t="str">
        <x:v>Bảng trong nội dung</x:v>
      </x:c>
      <x:c r="E47" s="123" t="str">
        <x:v>Hàng</x:v>
      </x:c>
      <x:c r="F47" s="123" t="str">
        <x:v>6</x:v>
      </x:c>
      <x:c r="G47" s="123" t="str">
        <x:v>Khi tài liệu có bảng dữ liệu thực tế; không dùng cho bảng bố cục header</x:v>
      </x:c>
      <x:c r="H47" s="123" t="str">
        <x:v>Bảng trong nội dung: giữ dữ liệu, tiêu đề, đường viền, ô gộp, chiều cao hàng, ngắt trang</x:v>
      </x:c>
      <x:c r="I47" s="123" t="str">
        <x:v>Times New Roman | Unicode | đen</x:v>
      </x:c>
      <x:c r="J47" s="136" t="str">
        <x:v>13</x:v>
      </x:c>
      <x:c r="K47" s="123" t="str">
        <x:v>Theo nội dung</x:v>
      </x:c>
      <x:c r="L47" s="123" t="str">
        <x:v>Không</x:v>
      </x:c>
      <x:c r="M47" s="123" t="str">
        <x:v>Không</x:v>
      </x:c>
      <x:c r="N47" s="123" t="str">
        <x:v>Trái với ô chữ; giữa với ô số và tiêu đề (theo kiểu cột)</x:v>
      </x:c>
      <x:c r="O47" s="135" t="str">
        <x:v>Multiple 1,0; before 0 / after 0 pt (preset bảng)</x:v>
      </x:c>
      <x:c r="P47" s="135" t="str">
        <x:v>First line 0; padding ô 1,5 mm (preset)</x:v>
      </x:c>
      <x:c r="Q47" s="123"/>
      <x:c r="R47" s="123" t="str">
        <x:v>w:tbl/w:tr/w:tc; không dùng AI để tự gộp hoặc tái bố cục</x:v>
      </x:c>
      <x:c r="S47" s="123" t="str">
        <x:v>Không chia hàng qua trang (cantSplit); chiều cao auto</x:v>
      </x:c>
      <x:c r="T47" s="123" t="str">
        <x:v>HD05, Phần II, I.6 và IV; Phụ lục 2 mục 6</x:v>
      </x:c>
      <x:c r="U47" s="123" t="str">
        <x:v>https://dangcongsan.vn/vanphongtrunguong/van-ban-cua-dang/huong-dan-so-05-hd-vptw-ngay-27-5-2026-cua-van-phong-trung-uong-dang-ve-the-thuc-va-ky-thuat-trinh-bay-van-ban-cua-dang.html?categoryId=3000525</x:v>
      </x:c>
      <x:c r="V47" s="123" t="str">
        <x:v>https://thuvienphapluat.vn/van-ban/Bo-may-hanh-chinh/Huong-dan-05-HD-VPTW-2026-the-thuc-va-ky-thuat-trinh-bay-van-ban-cua-Dang-707499.aspx</x:v>
      </x:c>
      <x:c r="W47" s="123" t="str">
        <x:v>CẦN RÀ SOÁT</x:v>
      </x:c>
      <x:c r="X47" s="123" t="str">
        <x:v>CHECK_ONLY</x:v>
      </x:c>
      <x:c r="Y47" s="123" t="str">
        <x:v>Kỹ thuật tự động fit bảng chỉ là workflow của dự án; không suy thành thông số bắt buộc của NĐ30/HD05.</x:v>
      </x:c>
      <x:c r="Z47" s="135" t="str">
        <x:v>Không chia hàng qua trang (cantSplit); chiều cao auto</x:v>
      </x:c>
      <x:c r="AA47" s="123" t="str">
        <x:v>TableBody-13</x:v>
      </x:c>
      <x:c r="AB47" s="135" t="str">
        <x:v>CẦN QA RENDER</x:v>
      </x:c>
      <x:c r="AC47" s="123" t="str">
        <x:v>CHECK_ONLY</x:v>
      </x:c>
      <x:c r="AD47" s="123" t="str">
        <x:v>PLUGIN:HOA-TIEU-MIEN-BAC-PARTY-HD05-HEADER-2026 | NEEDS_REVIEW</x:v>
      </x:c>
      <x:c r="AE47" s="123" t="str">
        <x:v>GATE: xác minh chủ thể HD05 trước; Render 1–3 trang: so TNR 13 pt, spacing Multiple 1,0; before 0 / after 0 pt (preset bảng), indent First line 0; padding ô 1,5 mm (preset); kiểm tra không tràn chữ.</x:v>
      </x:c>
      <x:c r="AF47" s="123" t="str">
        <x:v>AutoFit Window → AutoFit Contents → chỉnh tay nếu cần; preset kỹ thuật, không phải luật. | Đảng ủy: chỉ chọn khi chủ thể ban hành và phạm vi HD05 đã được xác minh.</x:v>
      </x:c>
      <x:c r="AG47" s="157" t="str">
        <x:v>Times New Roman</x:v>
      </x:c>
      <x:c r="AH47" s="157" t="str">
        <x:v>Unicode</x:v>
      </x:c>
      <x:c r="AI47" s="157" t="str">
        <x:v>#000000</x:v>
      </x:c>
      <x:c r="AJ47" s="195" t="n">
        <x:v>13</x:v>
      </x:c>
      <x:c r="AK47" s="157" t="str">
        <x:v>KHÔNG</x:v>
      </x:c>
      <x:c r="AL47" s="157" t="str">
        <x:v>KHÔNG</x:v>
      </x:c>
      <x:c r="AM47" s="157" t="str">
        <x:v>Theo nội dung</x:v>
      </x:c>
      <x:c r="AN47" s="157" t="str">
        <x:v>THEO TỪNG Ô</x:v>
      </x:c>
      <x:c r="AO47" s="157"/>
      <x:c r="AP47" s="157" t="str">
        <x:v>MULTIPLE</x:v>
      </x:c>
      <x:c r="AQ47" s="195" t="n">
        <x:v>1</x:v>
      </x:c>
      <x:c r="AR47" s="157" t="str">
        <x:v>lines</x:v>
      </x:c>
      <x:c r="AS47" s="195" t="n">
        <x:v>0</x:v>
      </x:c>
      <x:c r="AT47" s="195" t="n">
        <x:v>0</x:v>
      </x:c>
      <x:c r="AU47" s="195" t="n">
        <x:v>0</x:v>
      </x:c>
      <x:c r="AV47" s="195"/>
      <x:c r="AW47" s="195"/>
      <x:c r="AX47" s="157"/>
      <x:c r="AY47" s="157"/>
      <x:c r="AZ47" s="157"/>
      <x:c r="BA47" s="195"/>
      <x:c r="BB47" s="195"/>
      <x:c r="BC47" s="157"/>
      <x:c r="BD47" s="195"/>
      <x:c r="BE47" s="195"/>
      <x:c r="BF47" s="195"/>
      <x:c r="BG47" s="195"/>
      <x:c r="BH47" s="157"/>
      <x:c r="BI47" s="195"/>
      <x:c r="BJ47" s="195"/>
      <x:c r="BK47" s="195" t="n">
        <x:v>1.5</x:v>
      </x:c>
      <x:c r="BL47" s="157"/>
      <x:c r="BM47" s="157"/>
      <x:c r="BN47" s="157"/>
      <x:c r="BO47" s="195"/>
      <x:c r="BP47" s="195"/>
      <x:c r="BQ47" s="157"/>
      <x:c r="BR47" s="157"/>
      <x:c r="BS47" s="157"/>
      <x:c r="BT47" s="157" t="str">
        <x:v>TableBody-13</x:v>
      </x:c>
      <x:c r="BU47" s="157" t="str">
        <x:v>w:tbl/w:tr/w:tc; không dùng AI để tự gộp hoặc tái bố cục</x:v>
      </x:c>
      <x:c r="BV47" s="196" t="str">
        <x:v>CẦN QA RENDER</x:v>
      </x:c>
      <x:c r="BW47" s="197" t="str">
        <x:v>ĐÃ TÁCH MỘT PHẦN</x:v>
      </x:c>
      <x:c r="BX47" s="157" t="str">
        <x:v>Đối chiếu mô tả gốc ở I–S, Z–AF nếu thuộc tính phụ thuộc mẫu.</x:v>
      </x:c>
      <x:c r="BY47" t="str">
        <x:v>HD05.N.BANG.HANG</x:v>
      </x:c>
      <x:c r="BZ47" t="str">
        <x:f>IFERROR(INDEX(HD05!$J$7:$J$300,MATCH($B47,HD05!$B$7:$B$300,0)),"UNRESOLVED")</x:f>
        <x:v>Theo khối/bảng đã xác minh</x:v>
      </x:c>
      <x:c r="CA47" t="str">
        <x:v>TABLE</x:v>
      </x:c>
      <x:c r="CB47" t="str">
        <x:v>target_is_actual_table AND table_structure_confirmed</x:v>
      </x:c>
      <x:c r="CC47" t="str">
        <x:f>IFERROR(INDEX(HD05!$X$7:$X$300,MATCH($B47,HD05!$B$7:$B$300,0)),"UNRESOLVED")</x:f>
        <x:v>READ_ONLY</x:v>
      </x:c>
      <x:c r="CD47" t="str">
        <x:f>IF(OR(ISNUMBER(SEARCH("READ_ONLY",CC47)),ISNUMBER(SEARCH("PROTECTED",CC47)),ISNUMBER(SEARCH("BẢO VỆ",CC47)),ISNUMBER(SEARCH("KHÔNG KÝ",CC47))),"PROTECTED","CHECK_ONLY")</x:f>
        <x:v>PROTECTED</x:v>
      </x:c>
      <x:c r="CE47" t="str">
        <x:f>IF(AND(CD47="FORMAT_APPROVED",CU47="CÓ",CV47="CÓ",CH47="CÓ",CI47="CÓ",CJ47="CÓ"),"CÓ","KHÔNG")</x:f>
        <x:v>KHÔNG</x:v>
      </x:c>
      <x:c r="CF47" t="str">
        <x:v>KHÔNG</x:v>
      </x:c>
      <x:c r="CG47" t="str">
        <x:v>CÓ</x:v>
      </x:c>
      <x:c r="CH47" t="str">
        <x:v>KHÔNG</x:v>
      </x:c>
      <x:c r="CI47" t="str">
        <x:v>KHÔNG</x:v>
      </x:c>
      <x:c r="CJ47" t="str">
        <x:v>KHÔNG</x:v>
      </x:c>
      <x:c r="CK47" t="str">
        <x:f>IF(AND(CE47="CÓ",CF47="KHÔNG",CG47="CÓ",CU47="CÓ",CV47="CÓ",CH47="CÓ",CI47="CÓ",CJ47="CÓ"),"CÓ","KHÔNG")</x:f>
        <x:v>KHÔNG</x:v>
      </x:c>
      <x:c r="CL47" t="str">
        <x:v>PILOT_NORTH_PROFILE_DRAFT; chưa có master DOCX đã duyệt</x:v>
      </x:c>
      <x:c r="CM47" t="str">
        <x:v>v1.5 (nâng từ v1.4)</x:v>
      </x:c>
      <x:c r="CN47" t="str">
        <x:v>CHƯA XÁC NHẬN CHỦ THỂ ĐẢNG</x:v>
      </x:c>
      <x:c r="CO47" t="str">
        <x:v>HD05_N_BANG_HANG_FIELD_ONLY; chưa tạo trong Word</x:v>
      </x:c>
      <x:c r="CP47" t="str">
        <x:v>Preset là cấu hình Công ty; không thay thế giới hạn của nguồn NĐ30/HD05</x:v>
      </x:c>
      <x:c r="CQ47" t="str">
        <x:f>IF(OR(BH47="CÓ",BH47=TRUE),BI47,"")</x:f>
      </x:c>
      <x:c r="CR47" t="str">
        <x:f>IF(OR(BH47="CÓ",BH47=TRUE),BJ47,"")</x:f>
      </x:c>
      <x:c r="CS47" t="str">
        <x:v>FORMAT_CHECK_ONLY</x:v>
      </x:c>
      <x:c r="CT47" t="str">
        <x:v>PENDING_SOURCE_AND_DOCX_QA</x:v>
      </x:c>
      <x:c r="CU47" t="str">
        <x:v>KHÔNG</x:v>
      </x:c>
      <x:c r="CV47" t="str">
        <x:v>KHÔNG</x:v>
      </x:c>
      <x:c r="CW47" t="str"/>
    </x:row>
    <x:row r="48" ht="29" customHeight="1">
      <x:c r="A48" s="125" t="n">
        <x:v>42</x:v>
      </x:c>
      <x:c r="B48" s="123" t="str">
        <x:v>HD05.N.BANG.O</x:v>
      </x:c>
      <x:c r="C48" s="123" t="str">
        <x:v>Nội dung</x:v>
      </x:c>
      <x:c r="D48" s="123" t="str">
        <x:v>Bảng trong nội dung</x:v>
      </x:c>
      <x:c r="E48" s="123" t="str">
        <x:v>Ô</x:v>
      </x:c>
      <x:c r="F48" s="123" t="str">
        <x:v>6</x:v>
      </x:c>
      <x:c r="G48" s="123" t="str">
        <x:v>Khi tài liệu có bảng dữ liệu thực tế; không dùng cho bảng bố cục header</x:v>
      </x:c>
      <x:c r="H48" s="123" t="str">
        <x:v>Bảng trong nội dung: giữ dữ liệu, tiêu đề, đường viền, ô gộp, chiều cao hàng, ngắt trang</x:v>
      </x:c>
      <x:c r="I48" s="123" t="str">
        <x:v>Times New Roman | Unicode | đen</x:v>
      </x:c>
      <x:c r="J48" s="136" t="str">
        <x:v>13</x:v>
      </x:c>
      <x:c r="K48" s="123" t="str">
        <x:v>Theo nội dung</x:v>
      </x:c>
      <x:c r="L48" s="123" t="str">
        <x:v>Không</x:v>
      </x:c>
      <x:c r="M48" s="123" t="str">
        <x:v>Không</x:v>
      </x:c>
      <x:c r="N48" s="123" t="str">
        <x:v>Trái với ô chữ; giữa với ô số và tiêu đề (theo kiểu cột)</x:v>
      </x:c>
      <x:c r="O48" s="135" t="str">
        <x:v>Multiple 1,0; before 0 / after 0 pt (preset bảng)</x:v>
      </x:c>
      <x:c r="P48" s="135" t="str">
        <x:v>First line 0; padding ô 1,5 mm (preset)</x:v>
      </x:c>
      <x:c r="Q48" s="123"/>
      <x:c r="R48" s="123" t="str">
        <x:v>w:tbl/w:tr/w:tc; không dùng AI để tự gộp hoặc tái bố cục</x:v>
      </x:c>
      <x:c r="S48" s="123" t="str">
        <x:v>Lề ô 1,5 mm; không ép thụt dòng đầu; căn chỉnh theo kiểu dữ liệu</x:v>
      </x:c>
      <x:c r="T48" s="123" t="str">
        <x:v>HD05, Phần II, I.6 và IV; Phụ lục 2 mục 6</x:v>
      </x:c>
      <x:c r="U48" s="123" t="str">
        <x:v>https://dangcongsan.vn/vanphongtrunguong/van-ban-cua-dang/huong-dan-so-05-hd-vptw-ngay-27-5-2026-cua-van-phong-trung-uong-dang-ve-the-thuc-va-ky-thuat-trinh-bay-van-ban-cua-dang.html?categoryId=3000525</x:v>
      </x:c>
      <x:c r="V48" s="123" t="str">
        <x:v>https://thuvienphapluat.vn/van-ban/Bo-may-hanh-chinh/Huong-dan-05-HD-VPTW-2026-the-thuc-va-ky-thuat-trinh-bay-van-ban-cua-Dang-707499.aspx</x:v>
      </x:c>
      <x:c r="W48" s="123" t="str">
        <x:v>CẦN RÀ SOÁT</x:v>
      </x:c>
      <x:c r="X48" s="123" t="str">
        <x:v>CHECK_ONLY</x:v>
      </x:c>
      <x:c r="Y48" s="123" t="str">
        <x:v>Kỹ thuật tự động fit bảng chỉ là workflow của dự án; không suy thành thông số bắt buộc của NĐ30/HD05.</x:v>
      </x:c>
      <x:c r="Z48" s="135" t="str">
        <x:v>Lề ô 1,5 mm; không ép thụt dòng đầu; căn chỉnh theo kiểu dữ liệu</x:v>
      </x:c>
      <x:c r="AA48" s="123" t="str">
        <x:v>TableBody-13</x:v>
      </x:c>
      <x:c r="AB48" s="135" t="str">
        <x:v>CẦN QA RENDER</x:v>
      </x:c>
      <x:c r="AC48" s="123" t="str">
        <x:v>CHECK_ONLY</x:v>
      </x:c>
      <x:c r="AD48" s="123" t="str">
        <x:v>PLUGIN:HOA-TIEU-MIEN-BAC-PARTY-HD05-HEADER-2026 | NEEDS_REVIEW</x:v>
      </x:c>
      <x:c r="AE48" s="123" t="str">
        <x:v>GATE: xác minh chủ thể HD05 trước; Render 1–3 trang: so TNR 13 pt, spacing Multiple 1,0; before 0 / after 0 pt (preset bảng), indent First line 0; padding ô 1,5 mm (preset); kiểm tra không tràn chữ.</x:v>
      </x:c>
      <x:c r="AF48" s="123" t="str">
        <x:v>AutoFit Window → AutoFit Contents → chỉnh tay nếu cần; preset kỹ thuật, không phải luật. | Đảng ủy: chỉ chọn khi chủ thể ban hành và phạm vi HD05 đã được xác minh.</x:v>
      </x:c>
      <x:c r="AG48" s="157" t="str">
        <x:v>Times New Roman</x:v>
      </x:c>
      <x:c r="AH48" s="157" t="str">
        <x:v>Unicode</x:v>
      </x:c>
      <x:c r="AI48" s="157" t="str">
        <x:v>#000000</x:v>
      </x:c>
      <x:c r="AJ48" s="195" t="n">
        <x:v>13</x:v>
      </x:c>
      <x:c r="AK48" s="157" t="str">
        <x:v>KHÔNG</x:v>
      </x:c>
      <x:c r="AL48" s="157" t="str">
        <x:v>KHÔNG</x:v>
      </x:c>
      <x:c r="AM48" s="157" t="str">
        <x:v>Theo nội dung</x:v>
      </x:c>
      <x:c r="AN48" s="157" t="str">
        <x:v>THEO TỪNG Ô</x:v>
      </x:c>
      <x:c r="AO48" s="157"/>
      <x:c r="AP48" s="157" t="str">
        <x:v>MULTIPLE</x:v>
      </x:c>
      <x:c r="AQ48" s="195" t="n">
        <x:v>1</x:v>
      </x:c>
      <x:c r="AR48" s="157" t="str">
        <x:v>lines</x:v>
      </x:c>
      <x:c r="AS48" s="195" t="n">
        <x:v>0</x:v>
      </x:c>
      <x:c r="AT48" s="195" t="n">
        <x:v>0</x:v>
      </x:c>
      <x:c r="AU48" s="195" t="n">
        <x:v>0</x:v>
      </x:c>
      <x:c r="AV48" s="195"/>
      <x:c r="AW48" s="195"/>
      <x:c r="AX48" s="157"/>
      <x:c r="AY48" s="157"/>
      <x:c r="AZ48" s="157"/>
      <x:c r="BA48" s="195"/>
      <x:c r="BB48" s="195"/>
      <x:c r="BC48" s="157"/>
      <x:c r="BD48" s="195"/>
      <x:c r="BE48" s="195"/>
      <x:c r="BF48" s="195"/>
      <x:c r="BG48" s="195"/>
      <x:c r="BH48" s="157"/>
      <x:c r="BI48" s="195"/>
      <x:c r="BJ48" s="195"/>
      <x:c r="BK48" s="195" t="n">
        <x:v>1.5</x:v>
      </x:c>
      <x:c r="BL48" s="157"/>
      <x:c r="BM48" s="157"/>
      <x:c r="BN48" s="157"/>
      <x:c r="BO48" s="195"/>
      <x:c r="BP48" s="195"/>
      <x:c r="BQ48" s="157"/>
      <x:c r="BR48" s="157"/>
      <x:c r="BS48" s="157"/>
      <x:c r="BT48" s="157" t="str">
        <x:v>TableBody-13</x:v>
      </x:c>
      <x:c r="BU48" s="157" t="str">
        <x:v>w:tbl/w:tr/w:tc; không dùng AI để tự gộp hoặc tái bố cục</x:v>
      </x:c>
      <x:c r="BV48" s="196" t="str">
        <x:v>CẦN QA RENDER</x:v>
      </x:c>
      <x:c r="BW48" s="197" t="str">
        <x:v>ĐÃ TÁCH MỘT PHẦN</x:v>
      </x:c>
      <x:c r="BX48" s="157" t="str">
        <x:v>Đối chiếu mô tả gốc ở I–S, Z–AF nếu thuộc tính phụ thuộc mẫu.</x:v>
      </x:c>
      <x:c r="BY48" t="str">
        <x:v>HD05.N.BANG.O</x:v>
      </x:c>
      <x:c r="BZ48" t="str">
        <x:f>IFERROR(INDEX(HD05!$J$7:$J$300,MATCH($B48,HD05!$B$7:$B$300,0)),"UNRESOLVED")</x:f>
        <x:v>Theo khối/bảng đã xác minh</x:v>
      </x:c>
      <x:c r="CA48" t="str">
        <x:v>TABLE</x:v>
      </x:c>
      <x:c r="CB48" t="str">
        <x:v>target_is_actual_table AND table_structure_confirmed</x:v>
      </x:c>
      <x:c r="CC48" t="str">
        <x:f>IFERROR(INDEX(HD05!$X$7:$X$300,MATCH($B48,HD05!$B$7:$B$300,0)),"UNRESOLVED")</x:f>
        <x:v>READ_ONLY</x:v>
      </x:c>
      <x:c r="CD48" t="str">
        <x:f>IF(OR(ISNUMBER(SEARCH("READ_ONLY",CC48)),ISNUMBER(SEARCH("PROTECTED",CC48)),ISNUMBER(SEARCH("BẢO VỆ",CC48)),ISNUMBER(SEARCH("KHÔNG KÝ",CC48))),"PROTECTED","CHECK_ONLY")</x:f>
        <x:v>PROTECTED</x:v>
      </x:c>
      <x:c r="CE48" t="str">
        <x:f>IF(AND(CD48="FORMAT_APPROVED",CU48="CÓ",CV48="CÓ",CH48="CÓ",CI48="CÓ",CJ48="CÓ"),"CÓ","KHÔNG")</x:f>
        <x:v>KHÔNG</x:v>
      </x:c>
      <x:c r="CF48" t="str">
        <x:v>KHÔNG</x:v>
      </x:c>
      <x:c r="CG48" t="str">
        <x:v>CÓ</x:v>
      </x:c>
      <x:c r="CH48" t="str">
        <x:v>KHÔNG</x:v>
      </x:c>
      <x:c r="CI48" t="str">
        <x:v>KHÔNG</x:v>
      </x:c>
      <x:c r="CJ48" t="str">
        <x:v>KHÔNG</x:v>
      </x:c>
      <x:c r="CK48" t="str">
        <x:f>IF(AND(CE48="CÓ",CF48="KHÔNG",CG48="CÓ",CU48="CÓ",CV48="CÓ",CH48="CÓ",CI48="CÓ",CJ48="CÓ"),"CÓ","KHÔNG")</x:f>
        <x:v>KHÔNG</x:v>
      </x:c>
      <x:c r="CL48" t="str">
        <x:v>PILOT_NORTH_PROFILE_DRAFT; chưa có master DOCX đã duyệt</x:v>
      </x:c>
      <x:c r="CM48" t="str">
        <x:v>v1.5 (nâng từ v1.4)</x:v>
      </x:c>
      <x:c r="CN48" t="str">
        <x:v>CHƯA XÁC NHẬN CHỦ THỂ ĐẢNG</x:v>
      </x:c>
      <x:c r="CO48" t="str">
        <x:v>HD05_N_BANG_O_FIELD_ONLY; chưa tạo trong Word</x:v>
      </x:c>
      <x:c r="CP48" t="str">
        <x:v>Preset là cấu hình Công ty; không thay thế giới hạn của nguồn NĐ30/HD05</x:v>
      </x:c>
      <x:c r="CQ48" t="str">
        <x:f>IF(OR(BH48="CÓ",BH48=TRUE),BI48,"")</x:f>
      </x:c>
      <x:c r="CR48" t="str">
        <x:f>IF(OR(BH48="CÓ",BH48=TRUE),BJ48,"")</x:f>
      </x:c>
      <x:c r="CS48" t="str">
        <x:v>FORMAT_CHECK_ONLY</x:v>
      </x:c>
      <x:c r="CT48" t="str">
        <x:v>PENDING_SOURCE_AND_DOCX_QA</x:v>
      </x:c>
      <x:c r="CU48" t="str">
        <x:v>KHÔNG</x:v>
      </x:c>
      <x:c r="CV48" t="str">
        <x:v>KHÔNG</x:v>
      </x:c>
      <x:c r="CW48" t="str"/>
    </x:row>
    <x:row r="49" ht="29" customHeight="1">
      <x:c r="A49" s="125" t="n">
        <x:v>43</x:v>
      </x:c>
      <x:c r="B49" s="123" t="str">
        <x:v>HD05.N.BANG.GOP_O</x:v>
      </x:c>
      <x:c r="C49" s="123" t="str">
        <x:v>Nội dung</x:v>
      </x:c>
      <x:c r="D49" s="123" t="str">
        <x:v>Bảng trong nội dung</x:v>
      </x:c>
      <x:c r="E49" s="123" t="str">
        <x:v>Ô gộp</x:v>
      </x:c>
      <x:c r="F49" s="123" t="str">
        <x:v>6</x:v>
      </x:c>
      <x:c r="G49" s="123" t="str">
        <x:v>Khi tài liệu có bảng dữ liệu thực tế; không dùng cho bảng bố cục header</x:v>
      </x:c>
      <x:c r="H49" s="123" t="str">
        <x:v>Bảng trong nội dung: giữ dữ liệu, tiêu đề, đường viền, ô gộp, chiều cao hàng, ngắt trang</x:v>
      </x:c>
      <x:c r="I49" s="123" t="str">
        <x:v>Times New Roman | Unicode | đen</x:v>
      </x:c>
      <x:c r="J49" s="136" t="str">
        <x:v>13</x:v>
      </x:c>
      <x:c r="K49" s="123" t="str">
        <x:v>Theo nội dung</x:v>
      </x:c>
      <x:c r="L49" s="123" t="str">
        <x:v>Không</x:v>
      </x:c>
      <x:c r="M49" s="123" t="str">
        <x:v>Không</x:v>
      </x:c>
      <x:c r="N49" s="123" t="str">
        <x:v>Trái với ô chữ; giữa với ô số và tiêu đề (theo kiểu cột)</x:v>
      </x:c>
      <x:c r="O49" s="135" t="str">
        <x:v>Multiple 1,0; before 0 / after 0 pt (preset bảng)</x:v>
      </x:c>
      <x:c r="P49" s="135" t="str">
        <x:v>First line 0; padding ô 1,5 mm (preset)</x:v>
      </x:c>
      <x:c r="Q49" s="123"/>
      <x:c r="R49" s="123" t="str">
        <x:v>w:tbl/w:tr/w:tc; không dùng AI để tự gộp hoặc tái bố cục</x:v>
      </x:c>
      <x:c r="S49" s="123" t="str">
        <x:v>Chỉ giữ gộp ô gốc; không tự gộp hay tách ô</x:v>
      </x:c>
      <x:c r="T49" s="123" t="str">
        <x:v>HD05, Phần II, I.6 và IV; Phụ lục 2 mục 6</x:v>
      </x:c>
      <x:c r="U49" s="123" t="str">
        <x:v>https://dangcongsan.vn/vanphongtrunguong/van-ban-cua-dang/huong-dan-so-05-hd-vptw-ngay-27-5-2026-cua-van-phong-trung-uong-dang-ve-the-thuc-va-ky-thuat-trinh-bay-van-ban-cua-dang.html?categoryId=3000525</x:v>
      </x:c>
      <x:c r="V49" s="123" t="str">
        <x:v>https://thuvienphapluat.vn/van-ban/Bo-may-hanh-chinh/Huong-dan-05-HD-VPTW-2026-the-thuc-va-ky-thuat-trinh-bay-van-ban-cua-Dang-707499.aspx</x:v>
      </x:c>
      <x:c r="W49" s="123" t="str">
        <x:v>CẦN RÀ SOÁT</x:v>
      </x:c>
      <x:c r="X49" s="123" t="str">
        <x:v>CHECK_ONLY</x:v>
      </x:c>
      <x:c r="Y49" s="123" t="str">
        <x:v>Kỹ thuật tự động fit bảng chỉ là workflow của dự án; không suy thành thông số bắt buộc của NĐ30/HD05.</x:v>
      </x:c>
      <x:c r="Z49" s="135" t="str">
        <x:v>Chỉ giữ gộp ô gốc; không tự gộp hay tách ô</x:v>
      </x:c>
      <x:c r="AA49" s="123" t="str">
        <x:v>TableBody-13</x:v>
      </x:c>
      <x:c r="AB49" s="135" t="str">
        <x:v>CẦN QA RENDER</x:v>
      </x:c>
      <x:c r="AC49" s="123" t="str">
        <x:v>CHECK_ONLY</x:v>
      </x:c>
      <x:c r="AD49" s="123" t="str">
        <x:v>PLUGIN:HOA-TIEU-MIEN-BAC-PARTY-HD05-HEADER-2026 | NEEDS_REVIEW</x:v>
      </x:c>
      <x:c r="AE49" s="123" t="str">
        <x:v>GATE: xác minh chủ thể HD05 trước; Render 1–3 trang: so TNR 13 pt, spacing Multiple 1,0; before 0 / after 0 pt (preset bảng), indent First line 0; padding ô 1,5 mm (preset); kiểm tra không tràn chữ.</x:v>
      </x:c>
      <x:c r="AF49" s="123" t="str">
        <x:v>AutoFit Window → AutoFit Contents → chỉnh tay nếu cần; preset kỹ thuật, không phải luật. | Đảng ủy: chỉ chọn khi chủ thể ban hành và phạm vi HD05 đã được xác minh.</x:v>
      </x:c>
      <x:c r="AG49" s="157" t="str">
        <x:v>Times New Roman</x:v>
      </x:c>
      <x:c r="AH49" s="157" t="str">
        <x:v>Unicode</x:v>
      </x:c>
      <x:c r="AI49" s="157" t="str">
        <x:v>#000000</x:v>
      </x:c>
      <x:c r="AJ49" s="195" t="n">
        <x:v>13</x:v>
      </x:c>
      <x:c r="AK49" s="157" t="str">
        <x:v>KHÔNG</x:v>
      </x:c>
      <x:c r="AL49" s="157" t="str">
        <x:v>KHÔNG</x:v>
      </x:c>
      <x:c r="AM49" s="157" t="str">
        <x:v>Theo nội dung</x:v>
      </x:c>
      <x:c r="AN49" s="157" t="str">
        <x:v>THEO TỪNG Ô</x:v>
      </x:c>
      <x:c r="AO49" s="157"/>
      <x:c r="AP49" s="157" t="str">
        <x:v>MULTIPLE</x:v>
      </x:c>
      <x:c r="AQ49" s="195" t="n">
        <x:v>1</x:v>
      </x:c>
      <x:c r="AR49" s="157" t="str">
        <x:v>lines</x:v>
      </x:c>
      <x:c r="AS49" s="195" t="n">
        <x:v>0</x:v>
      </x:c>
      <x:c r="AT49" s="195" t="n">
        <x:v>0</x:v>
      </x:c>
      <x:c r="AU49" s="195" t="n">
        <x:v>0</x:v>
      </x:c>
      <x:c r="AV49" s="195"/>
      <x:c r="AW49" s="195"/>
      <x:c r="AX49" s="157"/>
      <x:c r="AY49" s="157"/>
      <x:c r="AZ49" s="157"/>
      <x:c r="BA49" s="195"/>
      <x:c r="BB49" s="195"/>
      <x:c r="BC49" s="157"/>
      <x:c r="BD49" s="195"/>
      <x:c r="BE49" s="195"/>
      <x:c r="BF49" s="195"/>
      <x:c r="BG49" s="195"/>
      <x:c r="BH49" s="157"/>
      <x:c r="BI49" s="195"/>
      <x:c r="BJ49" s="195"/>
      <x:c r="BK49" s="195" t="n">
        <x:v>1.5</x:v>
      </x:c>
      <x:c r="BL49" s="157"/>
      <x:c r="BM49" s="157"/>
      <x:c r="BN49" s="157"/>
      <x:c r="BO49" s="195"/>
      <x:c r="BP49" s="195"/>
      <x:c r="BQ49" s="157"/>
      <x:c r="BR49" s="157"/>
      <x:c r="BS49" s="157"/>
      <x:c r="BT49" s="157" t="str">
        <x:v>TableBody-13</x:v>
      </x:c>
      <x:c r="BU49" s="157" t="str">
        <x:v>w:tbl/w:tr/w:tc; không dùng AI để tự gộp hoặc tái bố cục</x:v>
      </x:c>
      <x:c r="BV49" s="196" t="str">
        <x:v>CẦN QA RENDER</x:v>
      </x:c>
      <x:c r="BW49" s="197" t="str">
        <x:v>ĐÃ TÁCH MỘT PHẦN</x:v>
      </x:c>
      <x:c r="BX49" s="157" t="str">
        <x:v>Đối chiếu mô tả gốc ở I–S, Z–AF nếu thuộc tính phụ thuộc mẫu.</x:v>
      </x:c>
      <x:c r="BY49" t="str">
        <x:v>HD05.N.BANG.GOP_O</x:v>
      </x:c>
      <x:c r="BZ49" t="str">
        <x:f>IFERROR(INDEX(HD05!$J$7:$J$300,MATCH($B49,HD05!$B$7:$B$300,0)),"UNRESOLVED")</x:f>
        <x:v>Theo khối/bảng đã xác minh</x:v>
      </x:c>
      <x:c r="CA49" t="str">
        <x:v>STRUCTURAL_TABLE</x:v>
      </x:c>
      <x:c r="CB49" t="str">
        <x:v>target_is_actual_table AND table_structure_confirmed</x:v>
      </x:c>
      <x:c r="CC49" t="str">
        <x:f>IFERROR(INDEX(HD05!$X$7:$X$300,MATCH($B49,HD05!$B$7:$B$300,0)),"UNRESOLVED")</x:f>
        <x:v>READ_ONLY</x:v>
      </x:c>
      <x:c r="CD49" t="str">
        <x:f>IF(OR(ISNUMBER(SEARCH("READ_ONLY",CC49)),ISNUMBER(SEARCH("PROTECTED",CC49)),ISNUMBER(SEARCH("BẢO VỆ",CC49)),ISNUMBER(SEARCH("KHÔNG KÝ",CC49))),"PROTECTED","CHECK_ONLY")</x:f>
        <x:v>PROTECTED</x:v>
      </x:c>
      <x:c r="CE49" t="str">
        <x:f>IF(AND(CD49="FORMAT_APPROVED",CU49="CÓ",CV49="CÓ",CH49="CÓ",CI49="CÓ",CJ49="CÓ"),"CÓ","KHÔNG")</x:f>
        <x:v>KHÔNG</x:v>
      </x:c>
      <x:c r="CF49" t="str">
        <x:v>KHÔNG</x:v>
      </x:c>
      <x:c r="CG49" t="str">
        <x:v>CÓ</x:v>
      </x:c>
      <x:c r="CH49" t="str">
        <x:v>KHÔNG</x:v>
      </x:c>
      <x:c r="CI49" t="str">
        <x:v>KHÔNG</x:v>
      </x:c>
      <x:c r="CJ49" t="str">
        <x:v>KHÔNG</x:v>
      </x:c>
      <x:c r="CK49" t="str">
        <x:f>IF(AND(CE49="CÓ",CF49="KHÔNG",CG49="CÓ",CU49="CÓ",CV49="CÓ",CH49="CÓ",CI49="CÓ",CJ49="CÓ"),"CÓ","KHÔNG")</x:f>
        <x:v>KHÔNG</x:v>
      </x:c>
      <x:c r="CL49" t="str">
        <x:v>PILOT_NORTH_PROFILE_DRAFT; chưa có master DOCX đã duyệt</x:v>
      </x:c>
      <x:c r="CM49" t="str">
        <x:v>v1.5 (nâng từ v1.4)</x:v>
      </x:c>
      <x:c r="CN49" t="str">
        <x:v>CHƯA XÁC NHẬN CHỦ THỂ ĐẢNG</x:v>
      </x:c>
      <x:c r="CO49" t="str">
        <x:v>HD05_N_BANG_GOP_O_FIELD_ONLY; chưa tạo trong Word</x:v>
      </x:c>
      <x:c r="CP49" t="str">
        <x:v>Preset là cấu hình Công ty; không thay thế giới hạn của nguồn NĐ30/HD05</x:v>
      </x:c>
      <x:c r="CQ49" t="str">
        <x:f>IF(OR(BH49="CÓ",BH49=TRUE),BI49,"")</x:f>
      </x:c>
      <x:c r="CR49" t="str">
        <x:f>IF(OR(BH49="CÓ",BH49=TRUE),BJ49,"")</x:f>
      </x:c>
      <x:c r="CS49" t="str">
        <x:v>STRUCTURAL_CHECK_ONLY</x:v>
      </x:c>
      <x:c r="CT49" t="str">
        <x:v>PENDING_SOURCE_AND_DOCX_QA</x:v>
      </x:c>
      <x:c r="CU49" t="str">
        <x:v>KHÔNG</x:v>
      </x:c>
      <x:c r="CV49" t="str">
        <x:v>KHÔNG</x:v>
      </x:c>
      <x:c r="CW49" t="str"/>
    </x:row>
    <x:row r="50" ht="29" customHeight="1">
      <x:c r="A50" s="125" t="n">
        <x:v>44</x:v>
      </x:c>
      <x:c r="B50" s="123" t="str">
        <x:v>HD05.N.HINH.DOI_TUONG</x:v>
      </x:c>
      <x:c r="C50" s="123" t="str">
        <x:v>Nội dung</x:v>
      </x:c>
      <x:c r="D50" s="123" t="str">
        <x:v>Hình, sơ đồ</x:v>
      </x:c>
      <x:c r="E50" s="123" t="str">
        <x:v>Hình/sơ đồ</x:v>
      </x:c>
      <x:c r="F50" s="123" t="str">
        <x:v>6</x:v>
      </x:c>
      <x:c r="G50" s="123" t="str">
        <x:v>Khi tài liệu có hình/đồ họa thực tế; không dùng cho bảng bố cục header</x:v>
      </x:c>
      <x:c r="H50" s="123" t="str">
        <x:v>Giữ nguyên hình, sơ đồ và neo vị trí; không tái tạo ảnh</x:v>
      </x:c>
      <x:c r="I50" s="123" t="str">
        <x:v>Times New Roman | Unicode | đen</x:v>
      </x:c>
      <x:c r="J50" s="136" t="str">
        <x:v>—</x:v>
      </x:c>
      <x:c r="K50" s="123" t="str">
        <x:v>Không áp dụng</x:v>
      </x:c>
      <x:c r="L50" s="123" t="str">
        <x:v>Không áp dụng</x:v>
      </x:c>
      <x:c r="M50" s="123" t="str">
        <x:v>Không áp dụng</x:v>
      </x:c>
      <x:c r="N50" s="123" t="str">
        <x:v>Theo ngữ cảnh</x:v>
      </x:c>
      <x:c r="O50" s="135" t="str">
        <x:v>Theo đoạn neo ảnh; không kế thừa Exactly 19 một cách máy móc</x:v>
      </x:c>
      <x:c r="P50" s="135" t="str">
        <x:v>First line 0</x:v>
      </x:c>
      <x:c r="Q50" s="123"/>
      <x:c r="R50" s="123" t="str">
        <x:v>Drawing/inline/anchor; kiểm tra sau render</x:v>
      </x:c>
      <x:c r="S50" s="123" t="str">
        <x:v>Giữ nguyên ảnh/neo; không dịch hoặc thay ảnh</x:v>
      </x:c>
      <x:c r="T50" s="123" t="str">
        <x:v>HD05, Phần II, I.6 và IV; Phụ lục 2 mục 6</x:v>
      </x:c>
      <x:c r="U50" s="123" t="str">
        <x:v>https://dangcongsan.vn/vanphongtrunguong/van-ban-cua-dang/huong-dan-so-05-hd-vptw-ngay-27-5-2026-cua-van-phong-trung-uong-dang-ve-the-thuc-va-ky-thuat-trinh-bay-van-ban-cua-dang.html?categoryId=3000525</x:v>
      </x:c>
      <x:c r="V50" s="123" t="str">
        <x:v>https://thuvienphapluat.vn/van-ban/Bo-may-hanh-chinh/Huong-dan-05-HD-VPTW-2026-the-thuc-va-ky-thuat-trinh-bay-van-ban-cua-Dang-707499.aspx</x:v>
      </x:c>
      <x:c r="W50" s="123" t="str">
        <x:v>CẦN RÀ SOÁT</x:v>
      </x:c>
      <x:c r="X50" s="123" t="str">
        <x:v>CHECK_ONLY</x:v>
      </x:c>
      <x:c r="Y50" s="123" t="str">
        <x:v>Không tự chèn/sửa khi chưa có chứng cứ về đối tượng và rule.</x:v>
      </x:c>
      <x:c r="Z50" s="135" t="str">
        <x:v>Giữ nguyên ảnh/neo; không dịch hoặc thay ảnh</x:v>
      </x:c>
      <x:c r="AA50" s="123" t="str">
        <x:v>BodyText-14</x:v>
      </x:c>
      <x:c r="AB50" s="135" t="str">
        <x:v>CẦN QA RENDER</x:v>
      </x:c>
      <x:c r="AC50" s="123" t="str">
        <x:v>CHECK_ONLY</x:v>
      </x:c>
      <x:c r="AD50" s="123" t="str">
        <x:v>PLUGIN:HOA-TIEU-MIEN-BAC-PARTY-HD05-HEADER-2026 | NEEDS_REVIEW</x:v>
      </x:c>
      <x:c r="AE50" s="123" t="str">
        <x:v>GATE: xác minh chủ thể HD05 trước; Render 1–3 trang: so TNR — pt, spacing Theo đoạn neo ảnh; không kế thừa Exactly 19 một cách máy móc, indent First line 0; kiểm tra không tràn chữ.</x:v>
      </x:c>
      <x:c r="AF50" s="123" t="str">
        <x:v>Đảng ủy: chỉ chọn khi chủ thể ban hành và phạm vi HD05 đã được xác minh.</x:v>
      </x:c>
      <x:c r="AG50" s="157" t="str">
        <x:v>Times New Roman</x:v>
      </x:c>
      <x:c r="AH50" s="157" t="str">
        <x:v>Unicode</x:v>
      </x:c>
      <x:c r="AI50" s="157" t="str">
        <x:v>#000000</x:v>
      </x:c>
      <x:c r="AJ50" s="195"/>
      <x:c r="AK50" s="157" t="str">
        <x:v>KHÔNG ÁP DỤNG</x:v>
      </x:c>
      <x:c r="AL50" s="157" t="str">
        <x:v>KHÔNG ÁP DỤNG</x:v>
      </x:c>
      <x:c r="AM50" s="157"/>
      <x:c r="AN50" s="157"/>
      <x:c r="AO50" s="157"/>
      <x:c r="AP50" s="157"/>
      <x:c r="AQ50" s="195"/>
      <x:c r="AR50" s="157"/>
      <x:c r="AS50" s="195"/>
      <x:c r="AT50" s="195"/>
      <x:c r="AU50" s="195"/>
      <x:c r="AV50" s="195"/>
      <x:c r="AW50" s="195"/>
      <x:c r="AX50" s="157"/>
      <x:c r="AY50" s="157"/>
      <x:c r="AZ50" s="157"/>
      <x:c r="BA50" s="195"/>
      <x:c r="BB50" s="195"/>
      <x:c r="BC50" s="157"/>
      <x:c r="BD50" s="195"/>
      <x:c r="BE50" s="195"/>
      <x:c r="BF50" s="195"/>
      <x:c r="BG50" s="195"/>
      <x:c r="BH50" s="157"/>
      <x:c r="BI50" s="195"/>
      <x:c r="BJ50" s="195"/>
      <x:c r="BK50" s="195"/>
      <x:c r="BL50" s="157"/>
      <x:c r="BM50" s="157"/>
      <x:c r="BN50" s="157"/>
      <x:c r="BO50" s="195"/>
      <x:c r="BP50" s="195"/>
      <x:c r="BQ50" s="157"/>
      <x:c r="BR50" s="157"/>
      <x:c r="BS50" s="157"/>
      <x:c r="BT50" s="157" t="str">
        <x:v>BodyText-14</x:v>
      </x:c>
      <x:c r="BU50" s="157" t="str">
        <x:v>Drawing/inline/anchor; kiểm tra sau render</x:v>
      </x:c>
      <x:c r="BV50" s="196" t="str">
        <x:v>CẦN QA RENDER</x:v>
      </x:c>
      <x:c r="BW50" s="197" t="str">
        <x:v>ĐÃ TÁCH MỘT PHẦN</x:v>
      </x:c>
      <x:c r="BX50" s="157" t="str">
        <x:v>Giãn dòng không cố định: Theo đoạn neo ảnh; không kế thừa Exactly 19 một cách máy móc</x:v>
      </x:c>
      <x:c r="BY50" t="str">
        <x:v>HD05.N.HINH.DOI_TUONG</x:v>
      </x:c>
      <x:c r="BZ50" t="str">
        <x:f>IFERROR(INDEX(HD05!$J$7:$J$300,MATCH($B50,HD05!$B$7:$B$300,0)),"UNRESOLVED")</x:f>
        <x:v>Theo đối tượng/mẫu</x:v>
      </x:c>
      <x:c r="CA50" t="str">
        <x:v>IMAGE</x:v>
      </x:c>
      <x:c r="CB50" t="str">
        <x:v>target_is_image_or_caption AND existing_media_preserved</x:v>
      </x:c>
      <x:c r="CC50" t="str">
        <x:f>IFERROR(INDEX(HD05!$X$7:$X$300,MATCH($B50,HD05!$B$7:$B$300,0)),"UNRESOLVED")</x:f>
        <x:v>READ_ONLY</x:v>
      </x:c>
      <x:c r="CD50" t="str">
        <x:f>IF(OR(ISNUMBER(SEARCH("READ_ONLY",CC50)),ISNUMBER(SEARCH("PROTECTED",CC50)),ISNUMBER(SEARCH("BẢO VỆ",CC50)),ISNUMBER(SEARCH("KHÔNG KÝ",CC50))),"PROTECTED","CHECK_ONLY")</x:f>
        <x:v>PROTECTED</x:v>
      </x:c>
      <x:c r="CE50" t="str">
        <x:f>IF(AND(CD50="FORMAT_APPROVED",CU50="CÓ",CV50="CÓ",CH50="CÓ",CI50="CÓ",CJ50="CÓ"),"CÓ","KHÔNG")</x:f>
        <x:v>KHÔNG</x:v>
      </x:c>
      <x:c r="CF50" t="str">
        <x:v>KHÔNG</x:v>
      </x:c>
      <x:c r="CG50" t="str">
        <x:v>CÓ</x:v>
      </x:c>
      <x:c r="CH50" t="str">
        <x:v>KHÔNG</x:v>
      </x:c>
      <x:c r="CI50" t="str">
        <x:v>KHÔNG</x:v>
      </x:c>
      <x:c r="CJ50" t="str">
        <x:v>KHÔNG</x:v>
      </x:c>
      <x:c r="CK50" t="str">
        <x:f>IF(AND(CE50="CÓ",CF50="KHÔNG",CG50="CÓ",CU50="CÓ",CV50="CÓ",CH50="CÓ",CI50="CÓ",CJ50="CÓ"),"CÓ","KHÔNG")</x:f>
        <x:v>KHÔNG</x:v>
      </x:c>
      <x:c r="CL50" t="str">
        <x:v>PILOT_NORTH_PROFILE_DRAFT; chưa có master DOCX đã duyệt</x:v>
      </x:c>
      <x:c r="CM50" t="str">
        <x:v>v1.5 (nâng từ v1.4)</x:v>
      </x:c>
      <x:c r="CN50" t="str">
        <x:v>CHƯA XÁC NHẬN CHỦ THỂ ĐẢNG</x:v>
      </x:c>
      <x:c r="CO50" t="str">
        <x:v>HD05_N_HINH_DOI_TUONG_FIELD_ONLY; chưa tạo trong Word</x:v>
      </x:c>
      <x:c r="CP50" t="str">
        <x:v>Preset là cấu hình Công ty; không thay thế giới hạn của nguồn NĐ30/HD05</x:v>
      </x:c>
      <x:c r="CQ50" t="str">
        <x:f>IF(OR(BH50="CÓ",BH50=TRUE),BI50,"")</x:f>
      </x:c>
      <x:c r="CR50" t="str">
        <x:f>IF(OR(BH50="CÓ",BH50=TRUE),BJ50,"")</x:f>
      </x:c>
      <x:c r="CS50" t="str">
        <x:v>STRUCTURAL_CHECK_ONLY</x:v>
      </x:c>
      <x:c r="CT50" t="str">
        <x:v>PENDING_SOURCE_AND_DOCX_QA</x:v>
      </x:c>
      <x:c r="CU50" t="str">
        <x:v>KHÔNG</x:v>
      </x:c>
      <x:c r="CV50" t="str">
        <x:v>KHÔNG</x:v>
      </x:c>
      <x:c r="CW50" t="str"/>
    </x:row>
    <x:row r="51" ht="29" customHeight="1">
      <x:c r="A51" s="125" t="n">
        <x:v>45</x:v>
      </x:c>
      <x:c r="B51" s="123" t="str">
        <x:v>HD05.N.HINH.CHU_THICH</x:v>
      </x:c>
      <x:c r="C51" s="123" t="str">
        <x:v>Nội dung</x:v>
      </x:c>
      <x:c r="D51" s="123" t="str">
        <x:v>Hình, sơ đồ</x:v>
      </x:c>
      <x:c r="E51" s="123" t="str">
        <x:v>Chú thích hình/sơ đồ</x:v>
      </x:c>
      <x:c r="F51" s="123" t="str">
        <x:v>6</x:v>
      </x:c>
      <x:c r="G51" s="123" t="str">
        <x:v>Khi tài liệu có hình/đồ họa thực tế; không dùng cho bảng bố cục header</x:v>
      </x:c>
      <x:c r="H51" s="123" t="str">
        <x:v>Giữ nguyên hình, sơ đồ và neo vị trí; không tái tạo ảnh</x:v>
      </x:c>
      <x:c r="I51" s="123" t="str">
        <x:v>Times New Roman | Unicode | đen</x:v>
      </x:c>
      <x:c r="J51" s="136" t="str">
        <x:v>12</x:v>
      </x:c>
      <x:c r="K51" s="123" t="str">
        <x:v>In thường (trừ tiêu đề)</x:v>
      </x:c>
      <x:c r="L51" s="123" t="str">
        <x:v>Theo chú thích nếu có</x:v>
      </x:c>
      <x:c r="M51" s="123" t="str">
        <x:v>Không mặc định</x:v>
      </x:c>
      <x:c r="N51" s="123" t="str">
        <x:v>Căn giữa</x:v>
      </x:c>
      <x:c r="O51" s="135" t="str">
        <x:v>Theo đoạn neo ảnh; không kế thừa Exactly 19 một cách máy móc</x:v>
      </x:c>
      <x:c r="P51" s="135" t="str">
        <x:v>First line 0</x:v>
      </x:c>
      <x:c r="Q51" s="123"/>
      <x:c r="R51" s="123" t="str">
        <x:v>Drawing/inline/anchor; kiểm tra sau render</x:v>
      </x:c>
      <x:c r="S51" s="123" t="str">
        <x:v>Chú thích: TNR 12 pt, căn giữa, sau 3 pt (preset, cần duyệt)</x:v>
      </x:c>
      <x:c r="T51" s="123" t="str">
        <x:v>HD05, Phần II, I.6 và IV; Phụ lục 2 mục 6</x:v>
      </x:c>
      <x:c r="U51" s="123" t="str">
        <x:v>https://dangcongsan.vn/vanphongtrunguong/van-ban-cua-dang/huong-dan-so-05-hd-vptw-ngay-27-5-2026-cua-van-phong-trung-uong-dang-ve-the-thuc-va-ky-thuat-trinh-bay-van-ban-cua-dang.html?categoryId=3000525</x:v>
      </x:c>
      <x:c r="V51" s="123" t="str">
        <x:v>https://thuvienphapluat.vn/van-ban/Bo-may-hanh-chinh/Huong-dan-05-HD-VPTW-2026-the-thuc-va-ky-thuat-trinh-bay-van-ban-cua-Dang-707499.aspx</x:v>
      </x:c>
      <x:c r="W51" s="123" t="str">
        <x:v>CẦN RÀ SOÁT</x:v>
      </x:c>
      <x:c r="X51" s="123" t="str">
        <x:v>CHECK_ONLY</x:v>
      </x:c>
      <x:c r="Y51" s="123" t="str">
        <x:v>Không tự chèn/sửa khi chưa có chứng cứ về đối tượng và rule.</x:v>
      </x:c>
      <x:c r="Z51" s="135" t="str">
        <x:v>Chú thích: TNR 12 pt, căn giữa, sau 3 pt (preset, cần duyệt)</x:v>
      </x:c>
      <x:c r="AA51" s="123" t="str">
        <x:v>BodyText-14</x:v>
      </x:c>
      <x:c r="AB51" s="135" t="str">
        <x:v>CẦN QA RENDER</x:v>
      </x:c>
      <x:c r="AC51" s="123" t="str">
        <x:v>CHECK_ONLY</x:v>
      </x:c>
      <x:c r="AD51" s="123" t="str">
        <x:v>PLUGIN:HOA-TIEU-MIEN-BAC-PARTY-HD05-HEADER-2026 | NEEDS_REVIEW</x:v>
      </x:c>
      <x:c r="AE51" s="123" t="str">
        <x:v>GATE: xác minh chủ thể HD05 trước; Render 1–3 trang: so TNR 12 pt, spacing Theo đoạn neo ảnh; không kế thừa Exactly 19 một cách máy móc, indent First line 0; kiểm tra không tràn chữ.</x:v>
      </x:c>
      <x:c r="AF51" s="123" t="str">
        <x:v>Đảng ủy: chỉ chọn khi chủ thể ban hành và phạm vi HD05 đã được xác minh.</x:v>
      </x:c>
      <x:c r="AG51" s="157" t="str">
        <x:v>Times New Roman</x:v>
      </x:c>
      <x:c r="AH51" s="157" t="str">
        <x:v>Unicode</x:v>
      </x:c>
      <x:c r="AI51" s="157" t="str">
        <x:v>#000000</x:v>
      </x:c>
      <x:c r="AJ51" s="195" t="n">
        <x:v>12</x:v>
      </x:c>
      <x:c r="AK51" s="157" t="str">
        <x:v>CÓ ĐIỀU KIỆN</x:v>
      </x:c>
      <x:c r="AL51" s="157" t="str">
        <x:v>CÓ ĐIỀU KIỆN</x:v>
      </x:c>
      <x:c r="AM51" s="157" t="str">
        <x:v>In thường (trừ tiêu đề)</x:v>
      </x:c>
      <x:c r="AN51" s="157" t="str">
        <x:v>CENTER</x:v>
      </x:c>
      <x:c r="AO51" s="157"/>
      <x:c r="AP51" s="157"/>
      <x:c r="AQ51" s="195"/>
      <x:c r="AR51" s="157"/>
      <x:c r="AS51" s="195"/>
      <x:c r="AT51" s="195"/>
      <x:c r="AU51" s="195" t="n">
        <x:v>0</x:v>
      </x:c>
      <x:c r="AV51" s="195"/>
      <x:c r="AW51" s="195"/>
      <x:c r="AX51" s="157"/>
      <x:c r="AY51" s="157"/>
      <x:c r="AZ51" s="157"/>
      <x:c r="BA51" s="195"/>
      <x:c r="BB51" s="195"/>
      <x:c r="BC51" s="157"/>
      <x:c r="BD51" s="195"/>
      <x:c r="BE51" s="195"/>
      <x:c r="BF51" s="195"/>
      <x:c r="BG51" s="195"/>
      <x:c r="BH51" s="157"/>
      <x:c r="BI51" s="195"/>
      <x:c r="BJ51" s="195"/>
      <x:c r="BK51" s="195"/>
      <x:c r="BL51" s="157"/>
      <x:c r="BM51" s="157"/>
      <x:c r="BN51" s="157"/>
      <x:c r="BO51" s="195"/>
      <x:c r="BP51" s="195"/>
      <x:c r="BQ51" s="157"/>
      <x:c r="BR51" s="157"/>
      <x:c r="BS51" s="157"/>
      <x:c r="BT51" s="157" t="str">
        <x:v>BodyText-14</x:v>
      </x:c>
      <x:c r="BU51" s="157" t="str">
        <x:v>Drawing/inline/anchor; kiểm tra sau render</x:v>
      </x:c>
      <x:c r="BV51" s="196" t="str">
        <x:v>CẦN QA RENDER</x:v>
      </x:c>
      <x:c r="BW51" s="197" t="str">
        <x:v>ĐÃ TÁCH MỘT PHẦN</x:v>
      </x:c>
      <x:c r="BX51" s="157" t="str">
        <x:v>Giãn dòng không cố định: Theo đoạn neo ảnh; không kế thừa Exactly 19 một cách máy móc</x:v>
      </x:c>
      <x:c r="BY51" t="str">
        <x:v>HD05.N.HINH.CHU_THICH</x:v>
      </x:c>
      <x:c r="BZ51" t="str">
        <x:f>IFERROR(INDEX(HD05!$J$7:$J$300,MATCH($B51,HD05!$B$7:$B$300,0)),"UNRESOLVED")</x:f>
        <x:v>Theo đối tượng/mẫu</x:v>
      </x:c>
      <x:c r="CA51" t="str">
        <x:v>TEXT</x:v>
      </x:c>
      <x:c r="CB51" t="str">
        <x:v>target_is_image_or_caption AND existing_media_preserved</x:v>
      </x:c>
      <x:c r="CC51" t="str">
        <x:f>IFERROR(INDEX(HD05!$X$7:$X$300,MATCH($B51,HD05!$B$7:$B$300,0)),"UNRESOLVED")</x:f>
        <x:v>READ_ONLY</x:v>
      </x:c>
      <x:c r="CD51" t="str">
        <x:f>IF(OR(ISNUMBER(SEARCH("READ_ONLY",CC51)),ISNUMBER(SEARCH("PROTECTED",CC51)),ISNUMBER(SEARCH("BẢO VỆ",CC51)),ISNUMBER(SEARCH("KHÔNG KÝ",CC51))),"PROTECTED","CHECK_ONLY")</x:f>
        <x:v>PROTECTED</x:v>
      </x:c>
      <x:c r="CE51" t="str">
        <x:f>IF(AND(CD51="FORMAT_APPROVED",CU51="CÓ",CV51="CÓ",CH51="CÓ",CI51="CÓ",CJ51="CÓ"),"CÓ","KHÔNG")</x:f>
        <x:v>KHÔNG</x:v>
      </x:c>
      <x:c r="CF51" t="str">
        <x:v>KHÔNG</x:v>
      </x:c>
      <x:c r="CG51" t="str">
        <x:v>CÓ</x:v>
      </x:c>
      <x:c r="CH51" t="str">
        <x:v>KHÔNG</x:v>
      </x:c>
      <x:c r="CI51" t="str">
        <x:v>KHÔNG</x:v>
      </x:c>
      <x:c r="CJ51" t="str">
        <x:v>KHÔNG</x:v>
      </x:c>
      <x:c r="CK51" t="str">
        <x:f>IF(AND(CE51="CÓ",CF51="KHÔNG",CG51="CÓ",CU51="CÓ",CV51="CÓ",CH51="CÓ",CI51="CÓ",CJ51="CÓ"),"CÓ","KHÔNG")</x:f>
        <x:v>KHÔNG</x:v>
      </x:c>
      <x:c r="CL51" t="str">
        <x:v>PILOT_NORTH_PROFILE_DRAFT; chưa có master DOCX đã duyệt</x:v>
      </x:c>
      <x:c r="CM51" t="str">
        <x:v>v1.5 (nâng từ v1.4)</x:v>
      </x:c>
      <x:c r="CN51" t="str">
        <x:v>CHƯA XÁC NHẬN CHỦ THỂ ĐẢNG</x:v>
      </x:c>
      <x:c r="CO51" t="str">
        <x:v>HD05_N_HINH_CHU_THICH_FIELD_ONLY; chưa tạo trong Word</x:v>
      </x:c>
      <x:c r="CP51" t="str">
        <x:v>Preset là cấu hình Công ty; không thay thế giới hạn của nguồn NĐ30/HD05</x:v>
      </x:c>
      <x:c r="CQ51" t="str">
        <x:f>IF(OR(BH51="CÓ",BH51=TRUE),BI51,"")</x:f>
      </x:c>
      <x:c r="CR51" t="str">
        <x:f>IF(OR(BH51="CÓ",BH51=TRUE),BJ51,"")</x:f>
      </x:c>
      <x:c r="CS51" t="str">
        <x:v>FORMAT_CHECK_ONLY</x:v>
      </x:c>
      <x:c r="CT51" t="str">
        <x:v>PENDING_SOURCE_AND_DOCX_QA</x:v>
      </x:c>
      <x:c r="CU51" t="str">
        <x:v>KHÔNG</x:v>
      </x:c>
      <x:c r="CV51" t="str">
        <x:v>KHÔNG</x:v>
      </x:c>
      <x:c r="CW51" t="str"/>
    </x:row>
    <x:row r="52" ht="29" customHeight="1">
      <x:c r="A52" s="125" t="n">
        <x:v>46</x:v>
      </x:c>
      <x:c r="B52" s="123" t="str">
        <x:v>HD05.N.KET.DOAN_KET</x:v>
      </x:c>
      <x:c r="C52" s="123" t="str">
        <x:v>Nội dung</x:v>
      </x:c>
      <x:c r="D52" s="123" t="str">
        <x:v>Kết thúc nội dung</x:v>
      </x:c>
      <x:c r="E52" s="123" t="str">
        <x:v>Đoạn kết nếu có</x:v>
      </x:c>
      <x:c r="F52" s="123" t="str">
        <x:v>6</x:v>
      </x:c>
      <x:c r="G52" s="123" t="str">
        <x:v>Theo loại văn bản và sự hiện diện thực tế; không áp dụng đồng loạt</x:v>
      </x:c>
      <x:c r="H52" s="123" t="str">
        <x:v>Đoạn kết nội dung nếu có; áp body style trừ mẫu có quy định riêng</x:v>
      </x:c>
      <x:c r="I52" s="123" t="str">
        <x:v>Times New Roman | Unicode | đen</x:v>
      </x:c>
      <x:c r="J52" s="136" t="str">
        <x:v>14</x:v>
      </x:c>
      <x:c r="K52" s="123" t="str">
        <x:v>In thường (trừ tiêu đề)</x:v>
      </x:c>
      <x:c r="L52" s="123" t="str">
        <x:v>Không</x:v>
      </x:c>
      <x:c r="M52" s="123" t="str">
        <x:v>Không mặc định</x:v>
      </x:c>
      <x:c r="N52" s="123" t="str">
        <x:v>Căn đều hai lề (justify)</x:v>
      </x:c>
      <x:c r="O52" s="135" t="str">
        <x:v>Exactly 19 pt; after 6 pt; before 0 pt</x:v>
      </x:c>
      <x:c r="P52" s="135" t="str">
        <x:v>First line 10 mm (~567 twip)</x:v>
      </x:c>
      <x:c r="Q52" s="123"/>
      <x:c r="R52" s="123" t="str">
        <x:v>Paragraph/Run theo kiểu khối KET; preserve list numbering/table/drawing nếu có</x:v>
      </x:c>
      <x:c r="S52" s="123" t="str">
        <x:v>TNR 14 pt; căn đều; Exactly 19 pt; trước 0/sau 6 pt; thụt dòng đầu 10 mm</x:v>
      </x:c>
      <x:c r="T52" s="123" t="str">
        <x:v>HD05, Phần II, I.6 và IV; Phụ lục 2 mục 6</x:v>
      </x:c>
      <x:c r="U52" s="123" t="str">
        <x:v>https://dangcongsan.vn/vanphongtrunguong/van-ban-cua-dang/huong-dan-so-05-hd-vptw-ngay-27-5-2026-cua-van-phong-trung-uong-dang-ve-the-thuc-va-ky-thuat-trinh-bay-van-ban-cua-dang.html?categoryId=3000525</x:v>
      </x:c>
      <x:c r="V52" s="123" t="str">
        <x:v>https://thuvienphapluat.vn/van-ban/Bo-may-hanh-chinh/Huong-dan-05-HD-VPTW-2026-the-thuc-va-ky-thuat-trinh-bay-van-ban-cua-Dang-707499.aspx</x:v>
      </x:c>
      <x:c r="W52" s="123" t="str">
        <x:v>CHƯA ĐỦ BẰNG CHỨNG</x:v>
      </x:c>
      <x:c r="X52" s="123" t="str">
        <x:v>CHECK_ONLY</x:v>
      </x:c>
      <x:c r="Y52" s="123" t="str">
        <x:v>Không tự chèn/sửa khi chưa có chứng cứ về đối tượng và rule. | Trạng thái v1.0: CÓ ĐIỀU KIỆN</x:v>
      </x:c>
      <x:c r="Z52" s="135" t="str">
        <x:v>TNR 14 pt; căn đều; Exactly 19 pt; trước 0/sau 6 pt; thụt dòng đầu 10 mm</x:v>
      </x:c>
      <x:c r="AA52" s="123" t="str">
        <x:v>BodyText-14</x:v>
      </x:c>
      <x:c r="AB52" s="135" t="str">
        <x:v>DỰ THẢO — CẦN DUYỆT HD05</x:v>
      </x:c>
      <x:c r="AC52" s="123" t="str">
        <x:v>CHECK_ONLY</x:v>
      </x:c>
      <x:c r="AD52" s="123" t="str">
        <x:v>PLUGIN:HOA-TIEU-MIEN-BAC-PARTY-HD05-HEADER-2026 | NEEDS_REVIEW</x:v>
      </x:c>
      <x:c r="AE52" s="123" t="str">
        <x:v>GATE: xác minh chủ thể HD05 trước; Render 1–3 trang: so TNR 14 pt, spacing Exactly 19 pt; after 6 pt; before 0 pt, indent First line 10 mm (~567 twip); kiểm tra không tràn chữ.</x:v>
      </x:c>
      <x:c r="AF52" s="123" t="str">
        <x:v>Đảng ủy: chỉ chọn khi chủ thể ban hành và phạm vi HD05 đã được xác minh.</x:v>
      </x:c>
      <x:c r="AG52" s="157" t="str">
        <x:v>Times New Roman</x:v>
      </x:c>
      <x:c r="AH52" s="157" t="str">
        <x:v>Unicode</x:v>
      </x:c>
      <x:c r="AI52" s="157" t="str">
        <x:v>#000000</x:v>
      </x:c>
      <x:c r="AJ52" s="195" t="n">
        <x:v>14</x:v>
      </x:c>
      <x:c r="AK52" s="157" t="str">
        <x:v>KHÔNG</x:v>
      </x:c>
      <x:c r="AL52" s="157" t="str">
        <x:v>CÓ ĐIỀU KIỆN</x:v>
      </x:c>
      <x:c r="AM52" s="157" t="str">
        <x:v>In thường (trừ tiêu đề)</x:v>
      </x:c>
      <x:c r="AN52" s="157" t="str">
        <x:v>JUSTIFY</x:v>
      </x:c>
      <x:c r="AO52" s="157"/>
      <x:c r="AP52" s="157" t="str">
        <x:v>EXACT</x:v>
      </x:c>
      <x:c r="AQ52" s="195" t="n">
        <x:v>19</x:v>
      </x:c>
      <x:c r="AR52" s="157" t="str">
        <x:v>pt</x:v>
      </x:c>
      <x:c r="AS52" s="195" t="n">
        <x:v>0</x:v>
      </x:c>
      <x:c r="AT52" s="195" t="n">
        <x:v>6</x:v>
      </x:c>
      <x:c r="AU52" s="195" t="n">
        <x:v>10</x:v>
      </x:c>
      <x:c r="AV52" s="195"/>
      <x:c r="AW52" s="195"/>
      <x:c r="AX52" s="157"/>
      <x:c r="AY52" s="157"/>
      <x:c r="AZ52" s="157"/>
      <x:c r="BA52" s="195"/>
      <x:c r="BB52" s="195"/>
      <x:c r="BC52" s="157"/>
      <x:c r="BD52" s="195"/>
      <x:c r="BE52" s="195"/>
      <x:c r="BF52" s="195"/>
      <x:c r="BG52" s="195"/>
      <x:c r="BH52" s="157"/>
      <x:c r="BI52" s="195"/>
      <x:c r="BJ52" s="195"/>
      <x:c r="BK52" s="195"/>
      <x:c r="BL52" s="157"/>
      <x:c r="BM52" s="157"/>
      <x:c r="BN52" s="157"/>
      <x:c r="BO52" s="195"/>
      <x:c r="BP52" s="195"/>
      <x:c r="BQ52" s="157"/>
      <x:c r="BR52" s="157"/>
      <x:c r="BS52" s="157"/>
      <x:c r="BT52" s="157" t="str">
        <x:v>BodyText-14</x:v>
      </x:c>
      <x:c r="BU52" s="157" t="str">
        <x:v>Paragraph/Run theo kiểu khối KET; preserve list numbering/table/drawing nếu có</x:v>
      </x:c>
      <x:c r="BV52" s="196" t="str">
        <x:v>DỰ THẢO — CẦN DUYỆT HD05</x:v>
      </x:c>
      <x:c r="BW52" s="197" t="str">
        <x:v>ĐÃ TÁCH MỘT PHẦN</x:v>
      </x:c>
      <x:c r="BX52" s="157" t="str">
        <x:v>Cấu hình profile chưa được xác nhận; giữ nguyên chính sách CHECK_ONLY.</x:v>
      </x:c>
      <x:c r="BY52" t="str">
        <x:v>HD05.N.KET.DOAN_KET</x:v>
      </x:c>
      <x:c r="BZ52" t="str">
        <x:f>IFERROR(INDEX(HD05!$J$7:$J$300,MATCH($B52,HD05!$B$7:$B$300,0)),"UNRESOLVED")</x:f>
        <x:v>14–15</x:v>
      </x:c>
      <x:c r="CA52" t="str">
        <x:v>TEXT</x:v>
      </x:c>
      <x:c r="CB52" t="str">
        <x:v>party_issuer_confirmed AND issue_date&gt;=2026-05-27 AND doc_type_confirmed</x:v>
      </x:c>
      <x:c r="CC52" t="str">
        <x:f>IFERROR(INDEX(HD05!$X$7:$X$300,MATCH($B52,HD05!$B$7:$B$300,0)),"UNRESOLVED")</x:f>
        <x:v>CHỈ SAU REVIEW</x:v>
      </x:c>
      <x:c r="CD52" t="str">
        <x:f>IF(OR(ISNUMBER(SEARCH("READ_ONLY",CC52)),ISNUMBER(SEARCH("PROTECTED",CC52)),ISNUMBER(SEARCH("BẢO VỆ",CC52)),ISNUMBER(SEARCH("KHÔNG KÝ",CC52))),"PROTECTED","CHECK_ONLY")</x:f>
        <x:v>CHECK_ONLY</x:v>
      </x:c>
      <x:c r="CE52" t="str">
        <x:f>IF(AND(CD52="FORMAT_APPROVED",CU52="CÓ",CV52="CÓ",CH52="CÓ",CI52="CÓ",CJ52="CÓ"),"CÓ","KHÔNG")</x:f>
        <x:v>KHÔNG</x:v>
      </x:c>
      <x:c r="CF52" t="str">
        <x:v>KHÔNG</x:v>
      </x:c>
      <x:c r="CG52" t="str">
        <x:v>CÓ</x:v>
      </x:c>
      <x:c r="CH52" t="str">
        <x:v>KHÔNG</x:v>
      </x:c>
      <x:c r="CI52" t="str">
        <x:v>KHÔNG</x:v>
      </x:c>
      <x:c r="CJ52" t="str">
        <x:v>KHÔNG</x:v>
      </x:c>
      <x:c r="CK52" t="str">
        <x:f>IF(AND(CE52="CÓ",CF52="KHÔNG",CG52="CÓ",CU52="CÓ",CV52="CÓ",CH52="CÓ",CI52="CÓ",CJ52="CÓ"),"CÓ","KHÔNG")</x:f>
        <x:v>KHÔNG</x:v>
      </x:c>
      <x:c r="CL52" t="str">
        <x:v>PILOT_NORTH_PROFILE_DRAFT; chưa có master DOCX đã duyệt</x:v>
      </x:c>
      <x:c r="CM52" t="str">
        <x:v>v1.5 (nâng từ v1.4)</x:v>
      </x:c>
      <x:c r="CN52" t="str">
        <x:v>CHƯA XÁC NHẬN CHỦ THỂ ĐẢNG</x:v>
      </x:c>
      <x:c r="CO52" t="str">
        <x:v>HD05_N_KET_DOAN_KET_FIELD_ONLY; chưa tạo trong Word</x:v>
      </x:c>
      <x:c r="CP52" t="str">
        <x:v>Preset là cấu hình Công ty; không thay thế giới hạn của nguồn NĐ30/HD05</x:v>
      </x:c>
      <x:c r="CQ52" t="str">
        <x:f>IF(OR(BH52="CÓ",BH52=TRUE),BI52,"")</x:f>
      </x:c>
      <x:c r="CR52" t="str">
        <x:f>IF(OR(BH52="CÓ",BH52=TRUE),BJ52,"")</x:f>
      </x:c>
      <x:c r="CS52" t="str">
        <x:v>FORMAT_CHECK_ONLY</x:v>
      </x:c>
      <x:c r="CT52" t="str">
        <x:v>PENDING_SOURCE_AND_DOCX_QA</x:v>
      </x:c>
      <x:c r="CU52" t="str">
        <x:v>KHÔNG</x:v>
      </x:c>
      <x:c r="CV52" t="str">
        <x:v>KHÔNG</x:v>
      </x:c>
      <x:c r="CW52" t="str"/>
    </x:row>
    <x:row r="53" ht="29" customHeight="1">
      <x:c r="A53" s="125" t="n">
        <x:v>47</x:v>
      </x:c>
      <x:c r="B53" s="123" t="str">
        <x:v>HD05.C.NN.NHAN_NOI_NHAN</x:v>
      </x:c>
      <x:c r="C53" s="123" t="str">
        <x:v>Cuối văn bản</x:v>
      </x:c>
      <x:c r="D53" s="123" t="str">
        <x:v>Nơi nhận cuối văn bản</x:v>
      </x:c>
      <x:c r="E53" s="123" t="str">
        <x:v>Nhãn Nơi nhận:</x:v>
      </x:c>
      <x:c r="F53" s="123" t="str">
        <x:v>9a</x:v>
      </x:c>
      <x:c r="G53" s="123" t="str">
        <x:v>Cần có nơi nhận theo loại/đối tượng</x:v>
      </x:c>
      <x:c r="H53" s="123" t="str">
        <x:v>Nhãn Nơi nhận:</x:v>
      </x:c>
      <x:c r="I53" s="123" t="str">
        <x:v>Times New Roman | Unicode | đen</x:v>
      </x:c>
      <x:c r="J53" s="136" t="str">
        <x:v>14</x:v>
      </x:c>
      <x:c r="K53" s="123" t="str">
        <x:v>Theo mẫu</x:v>
      </x:c>
      <x:c r="L53" s="123" t="str">
        <x:v>Không</x:v>
      </x:c>
      <x:c r="M53" s="123" t="str">
        <x:v>Không</x:v>
      </x:c>
      <x:c r="N53" s="123" t="str">
        <x:v>Khối trái cuối văn bản; theo ô pháp lý 9a</x:v>
      </x:c>
      <x:c r="O53" s="135" t="str">
        <x:v>Single; before 0 / after 0 pt</x:v>
      </x:c>
      <x:c r="P53" s="135" t="str">
        <x:v>First line 0; gạch đầu dòng cách chữ 0,5 cm (preset)</x:v>
      </x:c>
      <x:c r="Q53" s="123"/>
      <x:c r="R53" s="123" t="str">
        <x:v>Text run trên dòng riêng</x:v>
      </x:c>
      <x:c r="S53" s="123" t="str">
        <x:v>“Nơi nhận:” ở ô 9a; chữ đứng có gạch chân, khác nhãn NĐ30; danh sách theo điều 9.2</x:v>
      </x:c>
      <x:c r="T53" s="123" t="str">
        <x:v>HD05, Phần II, I.9; Phụ lục 2 mục 9</x:v>
      </x:c>
      <x:c r="U53" s="123" t="str">
        <x:v>https://dangcongsan.vn/vanphongtrunguong/van-ban-cua-dang/huong-dan-so-05-hd-vptw-ngay-27-5-2026-cua-van-phong-trung-uong-dang-ve-the-thuc-va-ky-thuat-trinh-bay-van-ban-cua-dang.html?categoryId=3000525</x:v>
      </x:c>
      <x:c r="V53" s="123" t="str">
        <x:v>https://thuvienphapluat.vn/van-ban/Bo-may-hanh-chinh/Huong-dan-05-HD-VPTW-2026-the-thuc-va-ky-thuat-trinh-bay-van-ban-cua-Dang-707499.aspx</x:v>
      </x:c>
      <x:c r="W53" s="123" t="str">
        <x:v>ĐỐI CHIẾU MỘT PHẦN</x:v>
      </x:c>
      <x:c r="X53" s="123" t="str">
        <x:v>CHECK_ONLY</x:v>
      </x:c>
      <x:c r="Y53" s="123" t="str">
        <x:v>Không tự chèn/sửa khi chưa có chứng cứ về đối tượng và rule.</x:v>
      </x:c>
      <x:c r="Z53" s="135" t="str">
        <x:v>Nơi nhận:</x:v>
      </x:c>
      <x:c r="AA53" s="123" t="str">
        <x:v>DistributionList</x:v>
      </x:c>
      <x:c r="AB53" s="135" t="str">
        <x:v>DỰ THẢO — CẦN DUYỆT HD05</x:v>
      </x:c>
      <x:c r="AC53" s="123" t="str">
        <x:v>CHECK_ONLY</x:v>
      </x:c>
      <x:c r="AD53" s="123" t="str">
        <x:v>PLUGIN:HOA-TIEU-MIEN-BAC-PARTY-HD05-HEADER-2026 | NEEDS_REVIEW</x:v>
      </x:c>
      <x:c r="AE53" s="123" t="str">
        <x:v>GATE: xác minh chủ thể HD05 trước; Đối chiếu đúng vị trí; không điền dữ liệu; không chạm dấu/chữ ký hoặc trường được bảo vệ.</x:v>
      </x:c>
      <x:c r="AF53" s="123" t="str">
        <x:v>Đảng ủy: chỉ chọn khi chủ thể ban hành và phạm vi HD05 đã được xác minh.</x:v>
      </x:c>
      <x:c r="AG53" s="157" t="str">
        <x:v>Times New Roman</x:v>
      </x:c>
      <x:c r="AH53" s="157" t="str">
        <x:v>Unicode</x:v>
      </x:c>
      <x:c r="AI53" s="157" t="str">
        <x:v>#000000</x:v>
      </x:c>
      <x:c r="AJ53" s="195" t="n">
        <x:v>14</x:v>
      </x:c>
      <x:c r="AK53" s="157" t="str">
        <x:v>KHÔNG</x:v>
      </x:c>
      <x:c r="AL53" s="157" t="str">
        <x:v>KHÔNG</x:v>
      </x:c>
      <x:c r="AM53" s="157" t="str">
        <x:v>Theo mẫu</x:v>
      </x:c>
      <x:c r="AN53" s="157" t="str">
        <x:v>LEFT</x:v>
      </x:c>
      <x:c r="AO53" s="157" t="str">
        <x:v>KHỐI/CỘT TRÁI</x:v>
      </x:c>
      <x:c r="AP53" s="157" t="str">
        <x:v>SINGLE</x:v>
      </x:c>
      <x:c r="AQ53" s="195" t="n">
        <x:v>1</x:v>
      </x:c>
      <x:c r="AR53" s="157" t="str">
        <x:v>lines</x:v>
      </x:c>
      <x:c r="AS53" s="195" t="n">
        <x:v>0</x:v>
      </x:c>
      <x:c r="AT53" s="195" t="n">
        <x:v>0</x:v>
      </x:c>
      <x:c r="AU53" s="195" t="n">
        <x:v>0</x:v>
      </x:c>
      <x:c r="AV53" s="195"/>
      <x:c r="AW53" s="195"/>
      <x:c r="AX53" s="157"/>
      <x:c r="AY53" s="157"/>
      <x:c r="AZ53" s="157"/>
      <x:c r="BA53" s="195"/>
      <x:c r="BB53" s="195"/>
      <x:c r="BC53" s="157"/>
      <x:c r="BD53" s="195"/>
      <x:c r="BE53" s="195"/>
      <x:c r="BF53" s="195"/>
      <x:c r="BG53" s="195"/>
      <x:c r="BH53" s="157"/>
      <x:c r="BI53" s="195"/>
      <x:c r="BJ53" s="195"/>
      <x:c r="BK53" s="195"/>
      <x:c r="BL53" s="157"/>
      <x:c r="BM53" s="157"/>
      <x:c r="BN53" s="157"/>
      <x:c r="BO53" s="195"/>
      <x:c r="BP53" s="195"/>
      <x:c r="BQ53" s="157"/>
      <x:c r="BR53" s="157"/>
      <x:c r="BS53" s="157"/>
      <x:c r="BT53" s="157" t="str">
        <x:v>DistributionList</x:v>
      </x:c>
      <x:c r="BU53" s="157" t="str">
        <x:v>Text run trên dòng riêng</x:v>
      </x:c>
      <x:c r="BV53" s="196" t="str">
        <x:v>DỰ THẢO — CẦN DUYỆT HD05</x:v>
      </x:c>
      <x:c r="BW53" s="197" t="str">
        <x:v>ĐÃ TÁCH MỘT PHẦN</x:v>
      </x:c>
      <x:c r="BX53" s="157" t="str">
        <x:v>Cấu hình profile chưa được xác nhận; giữ nguyên chính sách CHECK_ONLY.</x:v>
      </x:c>
      <x:c r="BY53" t="str">
        <x:v>HD05.C.NN.NHAN_NOI_NHAN</x:v>
      </x:c>
      <x:c r="BZ53" t="n">
        <x:f>IFERROR(INDEX(HD05!$J$7:$J$300,MATCH($B53,HD05!$B$7:$B$300,0)),"UNRESOLVED")</x:f>
        <x:v>14</x:v>
      </x:c>
      <x:c r="CA53" t="str">
        <x:v>TEXT</x:v>
      </x:c>
      <x:c r="CB53" t="str">
        <x:v>document_type_confirmed AND recipient_role_confirmed</x:v>
      </x:c>
      <x:c r="CC53" t="str">
        <x:f>IFERROR(INDEX(HD05!$X$7:$X$300,MATCH($B53,HD05!$B$7:$B$300,0)),"UNRESOLVED")</x:f>
        <x:v>READ_ONLY</x:v>
      </x:c>
      <x:c r="CD53" t="str">
        <x:f>IF(OR(ISNUMBER(SEARCH("READ_ONLY",CC53)),ISNUMBER(SEARCH("PROTECTED",CC53)),ISNUMBER(SEARCH("BẢO VỆ",CC53)),ISNUMBER(SEARCH("KHÔNG KÝ",CC53))),"PROTECTED","CHECK_ONLY")</x:f>
        <x:v>PROTECTED</x:v>
      </x:c>
      <x:c r="CE53" t="str">
        <x:f>IF(AND(CD53="FORMAT_APPROVED",CU53="CÓ",CV53="CÓ",CH53="CÓ",CI53="CÓ",CJ53="CÓ"),"CÓ","KHÔNG")</x:f>
        <x:v>KHÔNG</x:v>
      </x:c>
      <x:c r="CF53" t="str">
        <x:v>KHÔNG</x:v>
      </x:c>
      <x:c r="CG53" t="str">
        <x:v>CÓ</x:v>
      </x:c>
      <x:c r="CH53" t="str">
        <x:v>KHÔNG</x:v>
      </x:c>
      <x:c r="CI53" t="str">
        <x:v>KHÔNG</x:v>
      </x:c>
      <x:c r="CJ53" t="str">
        <x:v>KHÔNG</x:v>
      </x:c>
      <x:c r="CK53" t="str">
        <x:f>IF(AND(CE53="CÓ",CF53="KHÔNG",CG53="CÓ",CU53="CÓ",CV53="CÓ",CH53="CÓ",CI53="CÓ",CJ53="CÓ"),"CÓ","KHÔNG")</x:f>
        <x:v>KHÔNG</x:v>
      </x:c>
      <x:c r="CL53" t="str">
        <x:v>PILOT_NORTH_PROFILE_DRAFT; chưa có master DOCX đã duyệt</x:v>
      </x:c>
      <x:c r="CM53" t="str">
        <x:v>v1.5 (nâng từ v1.4)</x:v>
      </x:c>
      <x:c r="CN53" t="str">
        <x:v>CHƯA XÁC NHẬN CHỦ THỂ ĐẢNG</x:v>
      </x:c>
      <x:c r="CO53" t="str">
        <x:v>HD05_C_NN_NHAN_NOI_NHAN_FIELD_ONLY; chưa tạo trong Word</x:v>
      </x:c>
      <x:c r="CP53" t="str">
        <x:v>Preset là cấu hình Công ty; không thay thế giới hạn của nguồn NĐ30/HD05</x:v>
      </x:c>
      <x:c r="CQ53" t="str">
        <x:f>IF(OR(BH53="CÓ",BH53=TRUE),BI53,"")</x:f>
      </x:c>
      <x:c r="CR53" t="str">
        <x:f>IF(OR(BH53="CÓ",BH53=TRUE),BJ53,"")</x:f>
      </x:c>
      <x:c r="CS53" t="str">
        <x:v>FORMAT_CHECK_ONLY</x:v>
      </x:c>
      <x:c r="CT53" t="str">
        <x:v>PENDING_SOURCE_AND_DOCX_QA</x:v>
      </x:c>
      <x:c r="CU53" t="str">
        <x:v>KHÔNG</x:v>
      </x:c>
      <x:c r="CV53" t="str">
        <x:v>KHÔNG</x:v>
      </x:c>
      <x:c r="CW53" t="str"/>
    </x:row>
    <x:row r="54" ht="29" customHeight="1">
      <x:c r="A54" s="125" t="n">
        <x:v>48</x:v>
      </x:c>
      <x:c r="B54" s="123" t="str">
        <x:v>HD05.C.NN.DUONG_KE</x:v>
      </x:c>
      <x:c r="C54" s="123" t="str">
        <x:v>Cuối văn bản</x:v>
      </x:c>
      <x:c r="D54" s="123" t="str">
        <x:v>Nơi nhận cuối văn bản</x:v>
      </x:c>
      <x:c r="E54" s="123" t="str">
        <x:v>Đường kẻ dưới nhãn Nơi nhận</x:v>
      </x:c>
      <x:c r="F54" s="123" t="str">
        <x:v>9a</x:v>
      </x:c>
      <x:c r="G54" s="123" t="str">
        <x:v>Cần có nơi nhận theo loại/đối tượng</x:v>
      </x:c>
      <x:c r="H54" s="123" t="str">
        <x:v>Đường kẻ dưới nhãn Nơi nhận</x:v>
      </x:c>
      <x:c r="I54" s="123" t="str">
        <x:v>Không áp dụng</x:v>
      </x:c>
      <x:c r="J54" s="136" t="str">
        <x:v>—</x:v>
      </x:c>
      <x:c r="K54" s="123" t="str">
        <x:v>Không áp dụng</x:v>
      </x:c>
      <x:c r="L54" s="123" t="str">
        <x:v>Không áp dụng</x:v>
      </x:c>
      <x:c r="M54" s="123" t="str">
        <x:v>Không áp dụng</x:v>
      </x:c>
      <x:c r="N54" s="123" t="str">
        <x:v>Khối trái cuối văn bản; theo ô pháp lý 9a</x:v>
      </x:c>
      <x:c r="O54" s="135" t="str">
        <x:v>Single; before 0 / after 0 pt</x:v>
      </x:c>
      <x:c r="P54" s="135" t="str">
        <x:v>First line 0; gạch đầu dòng cách chữ 0,5 cm (preset)</x:v>
      </x:c>
      <x:c r="Q54" s="123" t="str">
        <x:v>Nét liền độ dài theo chữ 'Nơi nhận:'</x:v>
      </x:c>
      <x:c r="R54" s="123" t="str">
        <x:v>Đường kẻ tách khỏi ký tự; render kiểm tra</x:v>
      </x:c>
      <x:c r="S54" s="123" t="str">
        <x:v>Đường kẻ ngang liền dưới cụm “Nơi nhận”, dài tương ứng với cụm từ (HD05 9.2.1)</x:v>
      </x:c>
      <x:c r="T54" s="123" t="str">
        <x:v>HD05, Phần II, I.9.2.1</x:v>
      </x:c>
      <x:c r="U54" s="123" t="str">
        <x:v>https://dangcongsan.vn/vanphongtrunguong/van-ban-cua-dang/huong-dan-so-05-hd-vptw-ngay-27-5-2026-cua-van-phong-trung-uong-dang-ve-the-thuc-va-ky-thuat-trinh-bay-van-ban-cua-dang.html?categoryId=3000525</x:v>
      </x:c>
      <x:c r="V54" s="123" t="str">
        <x:v>https://thuvienphapluat.vn/van-ban/Bo-may-hanh-chinh/Huong-dan-05-HD-VPTW-2026-the-thuc-va-ky-thuat-trinh-bay-van-ban-cua-Dang-707499.aspx</x:v>
      </x:c>
      <x:c r="W54" s="123" t="str">
        <x:v>CẦN RÀ SOÁT</x:v>
      </x:c>
      <x:c r="X54" s="123" t="str">
        <x:v>CHECK_ONLY</x:v>
      </x:c>
      <x:c r="Y54" s="123" t="str">
        <x:v>Không tự chèn/sửa khi chưa có chứng cứ về đối tượng và rule. | So sánh chéo cũ (không dùng làm rule): Không có thành phần tương ứng độc lập của NĐ30</x:v>
      </x:c>
      <x:c r="Z54" s="135" t="str">
        <x:v>Đường kẻ ngay dưới 'Nơi nhận:' theo HD05</x:v>
      </x:c>
      <x:c r="AA54" s="123" t="str">
        <x:v>DistributionList</x:v>
      </x:c>
      <x:c r="AB54" s="135" t="str">
        <x:v>CẦN QA RENDER</x:v>
      </x:c>
      <x:c r="AC54" s="123" t="str">
        <x:v>CHECK_ONLY</x:v>
      </x:c>
      <x:c r="AD54" s="123" t="str">
        <x:v>PLUGIN:HOA-TIEU-MIEN-BAC-PARTY-HD05-HEADER-2026 | NEEDS_REVIEW</x:v>
      </x:c>
      <x:c r="AE54" s="123" t="str">
        <x:v>GATE: xác minh chủ thể HD05 trước; Đối chiếu đúng vị trí; không điền dữ liệu; không chạm dấu/chữ ký hoặc trường được bảo vệ.</x:v>
      </x:c>
      <x:c r="AF54" s="123" t="str">
        <x:v>Đảng ủy: chỉ chọn khi chủ thể ban hành và phạm vi HD05 đã được xác minh.</x:v>
      </x:c>
      <x:c r="AG54" s="157"/>
      <x:c r="AH54" s="157"/>
      <x:c r="AI54" s="157"/>
      <x:c r="AJ54" s="195"/>
      <x:c r="AK54" s="157" t="str">
        <x:v>KHÔNG ÁP DỤNG</x:v>
      </x:c>
      <x:c r="AL54" s="157" t="str">
        <x:v>KHÔNG ÁP DỤNG</x:v>
      </x:c>
      <x:c r="AM54" s="157"/>
      <x:c r="AN54" s="157" t="str">
        <x:v>LEFT</x:v>
      </x:c>
      <x:c r="AO54" s="157" t="str">
        <x:v>KHỐI/CỘT TRÁI</x:v>
      </x:c>
      <x:c r="AP54" s="157"/>
      <x:c r="AQ54" s="195"/>
      <x:c r="AR54" s="157"/>
      <x:c r="AS54" s="195"/>
      <x:c r="AT54" s="195"/>
      <x:c r="AU54" s="195"/>
      <x:c r="AV54" s="195"/>
      <x:c r="AW54" s="195"/>
      <x:c r="AX54" s="157"/>
      <x:c r="AY54" s="157"/>
      <x:c r="AZ54" s="157"/>
      <x:c r="BA54" s="195"/>
      <x:c r="BB54" s="195"/>
      <x:c r="BC54" s="157"/>
      <x:c r="BD54" s="195"/>
      <x:c r="BE54" s="195"/>
      <x:c r="BF54" s="195"/>
      <x:c r="BG54" s="195"/>
      <x:c r="BH54" s="157"/>
      <x:c r="BI54" s="195"/>
      <x:c r="BJ54" s="195"/>
      <x:c r="BK54" s="195"/>
      <x:c r="BL54" s="157"/>
      <x:c r="BM54" s="157" t="str">
        <x:v>NÉT LIỀN</x:v>
      </x:c>
      <x:c r="BN54" s="157"/>
      <x:c r="BO54" s="195"/>
      <x:c r="BP54" s="195"/>
      <x:c r="BQ54" s="157"/>
      <x:c r="BR54" s="157"/>
      <x:c r="BS54" s="157"/>
      <x:c r="BT54" s="157" t="str">
        <x:v>DistributionList</x:v>
      </x:c>
      <x:c r="BU54" s="157" t="str">
        <x:v>Đường kẻ tách khỏi ký tự; render kiểm tra</x:v>
      </x:c>
      <x:c r="BV54" s="196" t="str">
        <x:v>CẦN QA RENDER</x:v>
      </x:c>
      <x:c r="BW54" s="197" t="str">
        <x:v>ĐÃ TÁCH MỘT PHẦN</x:v>
      </x:c>
      <x:c r="BX54" s="157" t="str">
        <x:v>Đối chiếu mô tả gốc ở I–S, Z–AF nếu thuộc tính phụ thuộc mẫu.</x:v>
      </x:c>
      <x:c r="BY54" t="str">
        <x:v>HD05.C.NN.DUONG_KE</x:v>
      </x:c>
      <x:c r="BZ54" t="str">
        <x:f>IFERROR(INDEX(HD05!$J$7:$J$300,MATCH($B54,HD05!$B$7:$B$300,0)),"UNRESOLVED")</x:f>
        <x:v>Không áp dụng</x:v>
      </x:c>
      <x:c r="CA54" t="str">
        <x:v>SEPARATOR</x:v>
      </x:c>
      <x:c r="CB54" t="str">
        <x:v>document_type_confirmed AND recipient_role_confirmed</x:v>
      </x:c>
      <x:c r="CC54" t="str">
        <x:f>IFERROR(INDEX(HD05!$X$7:$X$300,MATCH($B54,HD05!$B$7:$B$300,0)),"UNRESOLVED")</x:f>
        <x:v>READ_ONLY</x:v>
      </x:c>
      <x:c r="CD54" t="str">
        <x:f>IF(OR(ISNUMBER(SEARCH("READ_ONLY",CC54)),ISNUMBER(SEARCH("PROTECTED",CC54)),ISNUMBER(SEARCH("BẢO VỆ",CC54)),ISNUMBER(SEARCH("KHÔNG KÝ",CC54))),"PROTECTED","CHECK_ONLY")</x:f>
        <x:v>PROTECTED</x:v>
      </x:c>
      <x:c r="CE54" t="str">
        <x:f>IF(AND(CD54="FORMAT_APPROVED",CU54="CÓ",CV54="CÓ",CH54="CÓ",CI54="CÓ",CJ54="CÓ"),"CÓ","KHÔNG")</x:f>
        <x:v>KHÔNG</x:v>
      </x:c>
      <x:c r="CF54" t="str">
        <x:v>KHÔNG</x:v>
      </x:c>
      <x:c r="CG54" t="str">
        <x:v>CÓ</x:v>
      </x:c>
      <x:c r="CH54" t="str">
        <x:v>KHÔNG</x:v>
      </x:c>
      <x:c r="CI54" t="str">
        <x:v>KHÔNG</x:v>
      </x:c>
      <x:c r="CJ54" t="str">
        <x:v>KHÔNG</x:v>
      </x:c>
      <x:c r="CK54" t="str">
        <x:f>IF(AND(CE54="CÓ",CF54="KHÔNG",CG54="CÓ",CU54="CÓ",CV54="CÓ",CH54="CÓ",CI54="CÓ",CJ54="CÓ"),"CÓ","KHÔNG")</x:f>
        <x:v>KHÔNG</x:v>
      </x:c>
      <x:c r="CL54" t="str">
        <x:v>PILOT_NORTH_PROFILE_DRAFT; chưa có master DOCX đã duyệt</x:v>
      </x:c>
      <x:c r="CM54" t="str">
        <x:v>v1.5 (nâng từ v1.4)</x:v>
      </x:c>
      <x:c r="CN54" t="str">
        <x:v>CHƯA XÁC NHẬN CHỦ THỂ ĐẢNG</x:v>
      </x:c>
      <x:c r="CO54" t="str">
        <x:v>HD05_C_NN_DUONG_KE_FIELD_ONLY; chưa tạo trong Word</x:v>
      </x:c>
      <x:c r="CP54" t="str">
        <x:v>Preset là cấu hình Công ty; không thay thế giới hạn của nguồn NĐ30/HD05</x:v>
      </x:c>
      <x:c r="CQ54" t="str">
        <x:f>IF(OR(BH54="CÓ",BH54=TRUE),BI54,"")</x:f>
      </x:c>
      <x:c r="CR54" t="str">
        <x:f>IF(OR(BH54="CÓ",BH54=TRUE),BJ54,"")</x:f>
      </x:c>
      <x:c r="CS54" t="str">
        <x:v>STRUCTURAL_CHECK_ONLY</x:v>
      </x:c>
      <x:c r="CT54" t="str">
        <x:v>PENDING_SOURCE_AND_DOCX_QA</x:v>
      </x:c>
      <x:c r="CU54" t="str">
        <x:v>KHÔNG</x:v>
      </x:c>
      <x:c r="CV54" t="str">
        <x:v>KHÔNG</x:v>
      </x:c>
      <x:c r="CW54" t="str"/>
    </x:row>
    <x:row r="55" ht="29" customHeight="1">
      <x:c r="A55" s="125" t="n">
        <x:v>49</x:v>
      </x:c>
      <x:c r="B55" s="123" t="str">
        <x:v>HD05.C.NN.DANH_SACH</x:v>
      </x:c>
      <x:c r="C55" s="123" t="str">
        <x:v>Cuối văn bản</x:v>
      </x:c>
      <x:c r="D55" s="123" t="str">
        <x:v>Nơi nhận cuối văn bản</x:v>
      </x:c>
      <x:c r="E55" s="123" t="str">
        <x:v>Danh sách người/cơ quan nhận</x:v>
      </x:c>
      <x:c r="F55" s="123" t="str">
        <x:v>9a</x:v>
      </x:c>
      <x:c r="G55" s="123" t="str">
        <x:v>Cần có nơi nhận theo loại/đối tượng</x:v>
      </x:c>
      <x:c r="H55" s="123" t="str">
        <x:v>Danh sách nơi nhận và nơi lưu theo đúng đối tượng đã xác minh</x:v>
      </x:c>
      <x:c r="I55" s="123" t="str">
        <x:v>Times New Roman | Unicode | đen</x:v>
      </x:c>
      <x:c r="J55" s="136" t="str">
        <x:v>12</x:v>
      </x:c>
      <x:c r="K55" s="123" t="str">
        <x:v>In thường</x:v>
      </x:c>
      <x:c r="L55" s="123" t="str">
        <x:v>Không</x:v>
      </x:c>
      <x:c r="M55" s="123" t="str">
        <x:v>Không</x:v>
      </x:c>
      <x:c r="N55" s="123" t="str">
        <x:v>Khối trái cuối văn bản; theo ô pháp lý 9a</x:v>
      </x:c>
      <x:c r="O55" s="135" t="str">
        <x:v>Single; before 0 / after 0 pt</x:v>
      </x:c>
      <x:c r="P55" s="135" t="str">
        <x:v>First line 0; gạch đầu dòng cách chữ 0,5 cm (preset)</x:v>
      </x:c>
      <x:c r="Q55" s="123"/>
      <x:c r="R55" s="123" t="str">
        <x:v>Văn bản/OOXML: xác định đối tượng trước khi sửa</x:v>
      </x:c>
      <x:c r="S55" s="123" t="str">
        <x:v>Nơi nhận: chấm phẩy từng nơi; dòng lưu kết thúc dấu chấm</x:v>
      </x:c>
      <x:c r="T55" s="123" t="str">
        <x:v>HD05, Phần II, I.9; Phụ lục 2 mục 9</x:v>
      </x:c>
      <x:c r="U55" s="123" t="str">
        <x:v>https://dangcongsan.vn/vanphongtrunguong/van-ban-cua-dang/huong-dan-so-05-hd-vptw-ngay-27-5-2026-cua-van-phong-trung-uong-dang-ve-the-thuc-va-ky-thuat-trinh-bay-van-ban-cua-dang.html?categoryId=3000525</x:v>
      </x:c>
      <x:c r="V55" s="123" t="str">
        <x:v>https://thuvienphapluat.vn/van-ban/Bo-may-hanh-chinh/Huong-dan-05-HD-VPTW-2026-the-thuc-va-ky-thuat-trinh-bay-van-ban-cua-Dang-707499.aspx</x:v>
      </x:c>
      <x:c r="W55" s="123" t="str">
        <x:v>ĐỐI CHIẾU MỘT PHẦN</x:v>
      </x:c>
      <x:c r="X55" s="123" t="str">
        <x:v>PROTECT_CONTENT</x:v>
      </x:c>
      <x:c r="Y55" s="123" t="str">
        <x:v>Không tự chèn/sửa khi chưa có chứng cứ về đối tượng và rule.</x:v>
      </x:c>
      <x:c r="Z55" s="135" t="str">
        <x:v>[DANH SÁCH/NƠI LƯU CHỈ NHẬP THEO THỰC TẾ]</x:v>
      </x:c>
      <x:c r="AA55" s="123" t="str">
        <x:v>DistributionList</x:v>
      </x:c>
      <x:c r="AB55" s="135" t="str">
        <x:v>DỰ THẢO — CẦN DUYỆT HD05</x:v>
      </x:c>
      <x:c r="AC55" s="123" t="str">
        <x:v>PROTECT_CONTENT</x:v>
      </x:c>
      <x:c r="AD55" s="123" t="str">
        <x:v>PLUGIN:HOA-TIEU-MIEN-BAC-PARTY-HD05-HEADER-2026 | NEEDS_REVIEW</x:v>
      </x:c>
      <x:c r="AE55" s="123" t="str">
        <x:v>GATE: xác minh chủ thể HD05 trước; Đối chiếu đúng vị trí; không điền dữ liệu; không chạm dấu/chữ ký hoặc trường được bảo vệ.</x:v>
      </x:c>
      <x:c r="AF55" s="123" t="str">
        <x:v>Đảng ủy: chỉ chọn khi chủ thể ban hành và phạm vi HD05 đã được xác minh.</x:v>
      </x:c>
      <x:c r="AG55" s="157" t="str">
        <x:v>Times New Roman</x:v>
      </x:c>
      <x:c r="AH55" s="157" t="str">
        <x:v>Unicode</x:v>
      </x:c>
      <x:c r="AI55" s="157" t="str">
        <x:v>#000000</x:v>
      </x:c>
      <x:c r="AJ55" s="195" t="n">
        <x:v>12</x:v>
      </x:c>
      <x:c r="AK55" s="157" t="str">
        <x:v>KHÔNG</x:v>
      </x:c>
      <x:c r="AL55" s="157" t="str">
        <x:v>KHÔNG</x:v>
      </x:c>
      <x:c r="AM55" s="157" t="str">
        <x:v>In thường</x:v>
      </x:c>
      <x:c r="AN55" s="157" t="str">
        <x:v>LEFT</x:v>
      </x:c>
      <x:c r="AO55" s="157" t="str">
        <x:v>KHỐI/CỘT TRÁI</x:v>
      </x:c>
      <x:c r="AP55" s="157" t="str">
        <x:v>SINGLE</x:v>
      </x:c>
      <x:c r="AQ55" s="195" t="n">
        <x:v>1</x:v>
      </x:c>
      <x:c r="AR55" s="157" t="str">
        <x:v>lines</x:v>
      </x:c>
      <x:c r="AS55" s="195" t="n">
        <x:v>0</x:v>
      </x:c>
      <x:c r="AT55" s="195" t="n">
        <x:v>0</x:v>
      </x:c>
      <x:c r="AU55" s="195" t="n">
        <x:v>0</x:v>
      </x:c>
      <x:c r="AV55" s="195"/>
      <x:c r="AW55" s="195"/>
      <x:c r="AX55" s="157"/>
      <x:c r="AY55" s="157"/>
      <x:c r="AZ55" s="157"/>
      <x:c r="BA55" s="195"/>
      <x:c r="BB55" s="195"/>
      <x:c r="BC55" s="157"/>
      <x:c r="BD55" s="195"/>
      <x:c r="BE55" s="195"/>
      <x:c r="BF55" s="195"/>
      <x:c r="BG55" s="195"/>
      <x:c r="BH55" s="157"/>
      <x:c r="BI55" s="195"/>
      <x:c r="BJ55" s="195"/>
      <x:c r="BK55" s="195"/>
      <x:c r="BL55" s="157"/>
      <x:c r="BM55" s="157"/>
      <x:c r="BN55" s="157"/>
      <x:c r="BO55" s="195"/>
      <x:c r="BP55" s="195"/>
      <x:c r="BQ55" s="157"/>
      <x:c r="BR55" s="157"/>
      <x:c r="BS55" s="157"/>
      <x:c r="BT55" s="157" t="str">
        <x:v>DistributionList</x:v>
      </x:c>
      <x:c r="BU55" s="157" t="str">
        <x:v>Văn bản/OOXML: xác định đối tượng trước khi sửa</x:v>
      </x:c>
      <x:c r="BV55" s="196" t="str">
        <x:v>DỰ THẢO — CẦN DUYỆT HD05</x:v>
      </x:c>
      <x:c r="BW55" s="197" t="str">
        <x:v>ĐÃ TÁCH MỘT PHẦN</x:v>
      </x:c>
      <x:c r="BX55" s="157" t="str">
        <x:v>Cấu hình profile chưa được xác nhận; giữ nguyên chính sách CHECK_ONLY.</x:v>
      </x:c>
      <x:c r="BY55" t="str">
        <x:v>HD05.C.NN.DANH_SACH</x:v>
      </x:c>
      <x:c r="BZ55" t="n">
        <x:f>IFERROR(INDEX(HD05!$J$7:$J$300,MATCH($B55,HD05!$B$7:$B$300,0)),"UNRESOLVED")</x:f>
        <x:v>12</x:v>
      </x:c>
      <x:c r="CA55" t="str">
        <x:v>TEXT</x:v>
      </x:c>
      <x:c r="CB55" t="str">
        <x:v>document_type_confirmed AND recipient_role_confirmed</x:v>
      </x:c>
      <x:c r="CC55" t="str">
        <x:f>IFERROR(INDEX(HD05!$X$7:$X$300,MATCH($B55,HD05!$B$7:$B$300,0)),"UNRESOLVED")</x:f>
        <x:v>KHÔNG TỰ ĐIỀN ĐƠN VỊ NHẬN</x:v>
      </x:c>
      <x:c r="CD55" t="str">
        <x:f>IF(OR(ISNUMBER(SEARCH("READ_ONLY",CC55)),ISNUMBER(SEARCH("PROTECTED",CC55)),ISNUMBER(SEARCH("BẢO VỆ",CC55)),ISNUMBER(SEARCH("KHÔNG KÝ",CC55))),"PROTECTED","CHECK_ONLY")</x:f>
        <x:v>CHECK_ONLY</x:v>
      </x:c>
      <x:c r="CE55" t="str">
        <x:f>IF(AND(CD55="FORMAT_APPROVED",CU55="CÓ",CV55="CÓ",CH55="CÓ",CI55="CÓ",CJ55="CÓ"),"CÓ","KHÔNG")</x:f>
        <x:v>KHÔNG</x:v>
      </x:c>
      <x:c r="CF55" t="str">
        <x:v>KHÔNG</x:v>
      </x:c>
      <x:c r="CG55" t="str">
        <x:v>CÓ</x:v>
      </x:c>
      <x:c r="CH55" t="str">
        <x:v>KHÔNG</x:v>
      </x:c>
      <x:c r="CI55" t="str">
        <x:v>KHÔNG</x:v>
      </x:c>
      <x:c r="CJ55" t="str">
        <x:v>KHÔNG</x:v>
      </x:c>
      <x:c r="CK55" t="str">
        <x:f>IF(AND(CE55="CÓ",CF55="KHÔNG",CG55="CÓ",CU55="CÓ",CV55="CÓ",CH55="CÓ",CI55="CÓ",CJ55="CÓ"),"CÓ","KHÔNG")</x:f>
        <x:v>KHÔNG</x:v>
      </x:c>
      <x:c r="CL55" t="str">
        <x:v>PILOT_NORTH_PROFILE_DRAFT; chưa có master DOCX đã duyệt</x:v>
      </x:c>
      <x:c r="CM55" t="str">
        <x:v>v1.5 (nâng từ v1.4)</x:v>
      </x:c>
      <x:c r="CN55" t="str">
        <x:v>CHƯA XÁC NHẬN CHỦ THỂ ĐẢNG</x:v>
      </x:c>
      <x:c r="CO55" t="str">
        <x:v>HD05_C_NN_DANH_SACH_FIELD_ONLY; chưa tạo trong Word</x:v>
      </x:c>
      <x:c r="CP55" t="str">
        <x:v>Preset là cấu hình Công ty; không thay thế giới hạn của nguồn NĐ30/HD05</x:v>
      </x:c>
      <x:c r="CQ55" t="str">
        <x:f>IF(OR(BH55="CÓ",BH55=TRUE),BI55,"")</x:f>
      </x:c>
      <x:c r="CR55" t="str">
        <x:f>IF(OR(BH55="CÓ",BH55=TRUE),BJ55,"")</x:f>
      </x:c>
      <x:c r="CS55" t="str">
        <x:v>FORMAT_CHECK_ONLY</x:v>
      </x:c>
      <x:c r="CT55" t="str">
        <x:v>PENDING_SOURCE_AND_DOCX_QA</x:v>
      </x:c>
      <x:c r="CU55" t="str">
        <x:v>KHÔNG</x:v>
      </x:c>
      <x:c r="CV55" t="str">
        <x:v>KHÔNG</x:v>
      </x:c>
      <x:c r="CW55" t="str"/>
    </x:row>
    <x:row r="56" ht="29" customHeight="1">
      <x:c r="A56" s="125" t="n">
        <x:v>50</x:v>
      </x:c>
      <x:c r="B56" s="123" t="str">
        <x:v>HD05.C.NN.NHU_TREN</x:v>
      </x:c>
      <x:c r="C56" s="123" t="str">
        <x:v>Cuối văn bản</x:v>
      </x:c>
      <x:c r="D56" s="123" t="str">
        <x:v>Nơi nhận cuối văn bản</x:v>
      </x:c>
      <x:c r="E56" s="123" t="str">
        <x:v>Dòng Như trên theo điều kiện</x:v>
      </x:c>
      <x:c r="F56" s="123" t="str">
        <x:v>9a</x:v>
      </x:c>
      <x:c r="G56" s="123" t="str">
        <x:v>Cần có nơi nhận theo loại/đối tượng</x:v>
      </x:c>
      <x:c r="H56" s="123" t="str">
        <x:v>Danh sách nơi nhận và nơi lưu theo đúng đối tượng đã xác minh</x:v>
      </x:c>
      <x:c r="I56" s="123" t="str">
        <x:v>Times New Roman | Unicode | đen</x:v>
      </x:c>
      <x:c r="J56" s="136" t="str">
        <x:v>12</x:v>
      </x:c>
      <x:c r="K56" s="123" t="str">
        <x:v>In thường</x:v>
      </x:c>
      <x:c r="L56" s="123" t="str">
        <x:v>Không</x:v>
      </x:c>
      <x:c r="M56" s="123" t="str">
        <x:v>Không</x:v>
      </x:c>
      <x:c r="N56" s="123" t="str">
        <x:v>Khối trái cuối văn bản; theo ô pháp lý 9a</x:v>
      </x:c>
      <x:c r="O56" s="135" t="str">
        <x:v>Single; before 0 / after 0 pt</x:v>
      </x:c>
      <x:c r="P56" s="135" t="str">
        <x:v>First line 0; gạch đầu dòng cách chữ 0,5 cm (preset)</x:v>
      </x:c>
      <x:c r="Q56" s="123"/>
      <x:c r="R56" s="123" t="str">
        <x:v>Văn bản/OOXML: xác định đối tượng trước khi sửa</x:v>
      </x:c>
      <x:c r="S56" s="123" t="str">
        <x:v>Nơi nhận: chấm phẩy từng nơi; dòng lưu kết thúc dấu chấm</x:v>
      </x:c>
      <x:c r="T56" s="123" t="str">
        <x:v>HD05, Phần II, I.9; Phụ lục 2 mục 9</x:v>
      </x:c>
      <x:c r="U56" s="123" t="str">
        <x:v>https://dangcongsan.vn/vanphongtrunguong/van-ban-cua-dang/huong-dan-so-05-hd-vptw-ngay-27-5-2026-cua-van-phong-trung-uong-dang-ve-the-thuc-va-ky-thuat-trinh-bay-van-ban-cua-dang.html?categoryId=3000525</x:v>
      </x:c>
      <x:c r="V56" s="123" t="str">
        <x:v>https://thuvienphapluat.vn/van-ban/Bo-may-hanh-chinh/Huong-dan-05-HD-VPTW-2026-the-thuc-va-ky-thuat-trinh-bay-van-ban-cua-Dang-707499.aspx</x:v>
      </x:c>
      <x:c r="W56" s="123" t="str">
        <x:v>ĐỐI CHIẾU MỘT PHẦN</x:v>
      </x:c>
      <x:c r="X56" s="123" t="str">
        <x:v>PROTECT_CONTENT</x:v>
      </x:c>
      <x:c r="Y56" s="123" t="str">
        <x:v>Không tự chèn/sửa khi chưa có chứng cứ về đối tượng và rule.</x:v>
      </x:c>
      <x:c r="Z56" s="135" t="str">
        <x:v>[DANH SÁCH/NƠI LƯU CHỈ NHẬP THEO THỰC TẾ]</x:v>
      </x:c>
      <x:c r="AA56" s="123" t="str">
        <x:v>DistributionList</x:v>
      </x:c>
      <x:c r="AB56" s="135" t="str">
        <x:v>DỰ THẢO — CẦN DUYỆT HD05</x:v>
      </x:c>
      <x:c r="AC56" s="123" t="str">
        <x:v>PROTECT_CONTENT</x:v>
      </x:c>
      <x:c r="AD56" s="123" t="str">
        <x:v>PLUGIN:HOA-TIEU-MIEN-BAC-PARTY-HD05-HEADER-2026 | NEEDS_REVIEW</x:v>
      </x:c>
      <x:c r="AE56" s="123" t="str">
        <x:v>GATE: xác minh chủ thể HD05 trước; Đối chiếu đúng vị trí; không điền dữ liệu; không chạm dấu/chữ ký hoặc trường được bảo vệ.</x:v>
      </x:c>
      <x:c r="AF56" s="123" t="str">
        <x:v>Đảng ủy: chỉ chọn khi chủ thể ban hành và phạm vi HD05 đã được xác minh.</x:v>
      </x:c>
      <x:c r="AG56" s="157" t="str">
        <x:v>Times New Roman</x:v>
      </x:c>
      <x:c r="AH56" s="157" t="str">
        <x:v>Unicode</x:v>
      </x:c>
      <x:c r="AI56" s="157" t="str">
        <x:v>#000000</x:v>
      </x:c>
      <x:c r="AJ56" s="195" t="n">
        <x:v>12</x:v>
      </x:c>
      <x:c r="AK56" s="157" t="str">
        <x:v>KHÔNG</x:v>
      </x:c>
      <x:c r="AL56" s="157" t="str">
        <x:v>KHÔNG</x:v>
      </x:c>
      <x:c r="AM56" s="157" t="str">
        <x:v>In thường</x:v>
      </x:c>
      <x:c r="AN56" s="157" t="str">
        <x:v>LEFT</x:v>
      </x:c>
      <x:c r="AO56" s="157" t="str">
        <x:v>KHỐI/CỘT TRÁI</x:v>
      </x:c>
      <x:c r="AP56" s="157" t="str">
        <x:v>SINGLE</x:v>
      </x:c>
      <x:c r="AQ56" s="195" t="n">
        <x:v>1</x:v>
      </x:c>
      <x:c r="AR56" s="157" t="str">
        <x:v>lines</x:v>
      </x:c>
      <x:c r="AS56" s="195" t="n">
        <x:v>0</x:v>
      </x:c>
      <x:c r="AT56" s="195" t="n">
        <x:v>0</x:v>
      </x:c>
      <x:c r="AU56" s="195" t="n">
        <x:v>0</x:v>
      </x:c>
      <x:c r="AV56" s="195"/>
      <x:c r="AW56" s="195"/>
      <x:c r="AX56" s="157"/>
      <x:c r="AY56" s="157"/>
      <x:c r="AZ56" s="157"/>
      <x:c r="BA56" s="195"/>
      <x:c r="BB56" s="195"/>
      <x:c r="BC56" s="157"/>
      <x:c r="BD56" s="195"/>
      <x:c r="BE56" s="195"/>
      <x:c r="BF56" s="195"/>
      <x:c r="BG56" s="195"/>
      <x:c r="BH56" s="157"/>
      <x:c r="BI56" s="195"/>
      <x:c r="BJ56" s="195"/>
      <x:c r="BK56" s="195"/>
      <x:c r="BL56" s="157"/>
      <x:c r="BM56" s="157"/>
      <x:c r="BN56" s="157"/>
      <x:c r="BO56" s="195"/>
      <x:c r="BP56" s="195"/>
      <x:c r="BQ56" s="157"/>
      <x:c r="BR56" s="157"/>
      <x:c r="BS56" s="157"/>
      <x:c r="BT56" s="157" t="str">
        <x:v>DistributionList</x:v>
      </x:c>
      <x:c r="BU56" s="157" t="str">
        <x:v>Văn bản/OOXML: xác định đối tượng trước khi sửa</x:v>
      </x:c>
      <x:c r="BV56" s="196" t="str">
        <x:v>DỰ THẢO — CẦN DUYỆT HD05</x:v>
      </x:c>
      <x:c r="BW56" s="197" t="str">
        <x:v>ĐÃ TÁCH MỘT PHẦN</x:v>
      </x:c>
      <x:c r="BX56" s="157" t="str">
        <x:v>Cấu hình profile chưa được xác nhận; giữ nguyên chính sách CHECK_ONLY.</x:v>
      </x:c>
      <x:c r="BY56" t="str">
        <x:v>HD05.C.NN.NHU_TREN</x:v>
      </x:c>
      <x:c r="BZ56" t="n">
        <x:f>IFERROR(INDEX(HD05!$J$7:$J$300,MATCH($B56,HD05!$B$7:$B$300,0)),"UNRESOLVED")</x:f>
        <x:v>12</x:v>
      </x:c>
      <x:c r="CA56" t="str">
        <x:v>TEXT</x:v>
      </x:c>
      <x:c r="CB56" t="str">
        <x:v>document_type_confirmed AND recipient_role_confirmed</x:v>
      </x:c>
      <x:c r="CC56" t="str">
        <x:f>IFERROR(INDEX(HD05!$X$7:$X$300,MATCH($B56,HD05!$B$7:$B$300,0)),"UNRESOLVED")</x:f>
        <x:v>KHÔNG TỰ ĐIỀN ĐƠN VỊ NHẬN</x:v>
      </x:c>
      <x:c r="CD56" t="str">
        <x:f>IF(OR(ISNUMBER(SEARCH("READ_ONLY",CC56)),ISNUMBER(SEARCH("PROTECTED",CC56)),ISNUMBER(SEARCH("BẢO VỆ",CC56)),ISNUMBER(SEARCH("KHÔNG KÝ",CC56))),"PROTECTED","CHECK_ONLY")</x:f>
        <x:v>CHECK_ONLY</x:v>
      </x:c>
      <x:c r="CE56" t="str">
        <x:f>IF(AND(CD56="FORMAT_APPROVED",CU56="CÓ",CV56="CÓ",CH56="CÓ",CI56="CÓ",CJ56="CÓ"),"CÓ","KHÔNG")</x:f>
        <x:v>KHÔNG</x:v>
      </x:c>
      <x:c r="CF56" t="str">
        <x:v>KHÔNG</x:v>
      </x:c>
      <x:c r="CG56" t="str">
        <x:v>CÓ</x:v>
      </x:c>
      <x:c r="CH56" t="str">
        <x:v>KHÔNG</x:v>
      </x:c>
      <x:c r="CI56" t="str">
        <x:v>KHÔNG</x:v>
      </x:c>
      <x:c r="CJ56" t="str">
        <x:v>KHÔNG</x:v>
      </x:c>
      <x:c r="CK56" t="str">
        <x:f>IF(AND(CE56="CÓ",CF56="KHÔNG",CG56="CÓ",CU56="CÓ",CV56="CÓ",CH56="CÓ",CI56="CÓ",CJ56="CÓ"),"CÓ","KHÔNG")</x:f>
        <x:v>KHÔNG</x:v>
      </x:c>
      <x:c r="CL56" t="str">
        <x:v>PILOT_NORTH_PROFILE_DRAFT; chưa có master DOCX đã duyệt</x:v>
      </x:c>
      <x:c r="CM56" t="str">
        <x:v>v1.5 (nâng từ v1.4)</x:v>
      </x:c>
      <x:c r="CN56" t="str">
        <x:v>CHƯA XÁC NHẬN CHỦ THỂ ĐẢNG</x:v>
      </x:c>
      <x:c r="CO56" t="str">
        <x:v>HD05_C_NN_NHU_TREN_FIELD_ONLY; chưa tạo trong Word</x:v>
      </x:c>
      <x:c r="CP56" t="str">
        <x:v>Preset là cấu hình Công ty; không thay thế giới hạn của nguồn NĐ30/HD05</x:v>
      </x:c>
      <x:c r="CQ56" t="str">
        <x:f>IF(OR(BH56="CÓ",BH56=TRUE),BI56,"")</x:f>
      </x:c>
      <x:c r="CR56" t="str">
        <x:f>IF(OR(BH56="CÓ",BH56=TRUE),BJ56,"")</x:f>
      </x:c>
      <x:c r="CS56" t="str">
        <x:v>FORMAT_CHECK_ONLY</x:v>
      </x:c>
      <x:c r="CT56" t="str">
        <x:v>PENDING_SOURCE_AND_DOCX_QA</x:v>
      </x:c>
      <x:c r="CU56" t="str">
        <x:v>KHÔNG</x:v>
      </x:c>
      <x:c r="CV56" t="str">
        <x:v>KHÔNG</x:v>
      </x:c>
      <x:c r="CW56" t="str"/>
    </x:row>
    <x:row r="57" ht="29" customHeight="1">
      <x:c r="A57" s="125" t="n">
        <x:v>51</x:v>
      </x:c>
      <x:c r="B57" s="123" t="str">
        <x:v>HD05.C.NN.NOI_LUU</x:v>
      </x:c>
      <x:c r="C57" s="123" t="str">
        <x:v>Cuối văn bản</x:v>
      </x:c>
      <x:c r="D57" s="123" t="str">
        <x:v>Nơi nhận cuối văn bản</x:v>
      </x:c>
      <x:c r="E57" s="123" t="str">
        <x:v>Dòng lưu hồ sơ</x:v>
      </x:c>
      <x:c r="F57" s="123" t="str">
        <x:v>9a</x:v>
      </x:c>
      <x:c r="G57" s="123" t="str">
        <x:v>Cần có nơi nhận theo loại/đối tượng</x:v>
      </x:c>
      <x:c r="H57" s="123" t="str">
        <x:v>Danh sách nơi nhận và nơi lưu theo đúng đối tượng đã xác minh</x:v>
      </x:c>
      <x:c r="I57" s="123" t="str">
        <x:v>Times New Roman | Unicode | đen</x:v>
      </x:c>
      <x:c r="J57" s="136" t="str">
        <x:v>12</x:v>
      </x:c>
      <x:c r="K57" s="123" t="str">
        <x:v>In thường</x:v>
      </x:c>
      <x:c r="L57" s="123" t="str">
        <x:v>Không</x:v>
      </x:c>
      <x:c r="M57" s="123" t="str">
        <x:v>Không</x:v>
      </x:c>
      <x:c r="N57" s="123" t="str">
        <x:v>Khối trái cuối văn bản; theo ô pháp lý 9a</x:v>
      </x:c>
      <x:c r="O57" s="135" t="str">
        <x:v>Single; before 0 / after 0 pt</x:v>
      </x:c>
      <x:c r="P57" s="135" t="str">
        <x:v>First line 0; gạch đầu dòng cách chữ 0,5 cm (preset)</x:v>
      </x:c>
      <x:c r="Q57" s="123"/>
      <x:c r="R57" s="123" t="str">
        <x:v>Văn bản/OOXML: xác định đối tượng trước khi sửa</x:v>
      </x:c>
      <x:c r="S57" s="123" t="str">
        <x:v>Nơi nhận: chấm phẩy từng nơi; dòng lưu kết thúc dấu chấm</x:v>
      </x:c>
      <x:c r="T57" s="123" t="str">
        <x:v>HD05, Phần II, I.9; Phụ lục 2 mục 9</x:v>
      </x:c>
      <x:c r="U57" s="123" t="str">
        <x:v>https://dangcongsan.vn/vanphongtrunguong/van-ban-cua-dang/huong-dan-so-05-hd-vptw-ngay-27-5-2026-cua-van-phong-trung-uong-dang-ve-the-thuc-va-ky-thuat-trinh-bay-van-ban-cua-dang.html?categoryId=3000525</x:v>
      </x:c>
      <x:c r="V57" s="123" t="str">
        <x:v>https://thuvienphapluat.vn/van-ban/Bo-may-hanh-chinh/Huong-dan-05-HD-VPTW-2026-the-thuc-va-ky-thuat-trinh-bay-van-ban-cua-Dang-707499.aspx</x:v>
      </x:c>
      <x:c r="W57" s="123" t="str">
        <x:v>ĐỐI CHIẾU MỘT PHẦN</x:v>
      </x:c>
      <x:c r="X57" s="123" t="str">
        <x:v>PROTECT_CONTENT</x:v>
      </x:c>
      <x:c r="Y57" s="123" t="str">
        <x:v>Không tự chèn/sửa khi chưa có chứng cứ về đối tượng và rule.</x:v>
      </x:c>
      <x:c r="Z57" s="135" t="str">
        <x:v>[DANH SÁCH/NƠI LƯU CHỈ NHẬP THEO THỰC TẾ]</x:v>
      </x:c>
      <x:c r="AA57" s="123" t="str">
        <x:v>DistributionList</x:v>
      </x:c>
      <x:c r="AB57" s="135" t="str">
        <x:v>DỰ THẢO — CẦN DUYỆT HD05</x:v>
      </x:c>
      <x:c r="AC57" s="123" t="str">
        <x:v>PROTECT_CONTENT</x:v>
      </x:c>
      <x:c r="AD57" s="123" t="str">
        <x:v>PLUGIN:HOA-TIEU-MIEN-BAC-PARTY-HD05-HEADER-2026 | NEEDS_REVIEW</x:v>
      </x:c>
      <x:c r="AE57" s="123" t="str">
        <x:v>GATE: xác minh chủ thể HD05 trước; Đối chiếu đúng vị trí; không điền dữ liệu; không chạm dấu/chữ ký hoặc trường được bảo vệ.</x:v>
      </x:c>
      <x:c r="AF57" s="123" t="str">
        <x:v>Đảng ủy: chỉ chọn khi chủ thể ban hành và phạm vi HD05 đã được xác minh.</x:v>
      </x:c>
      <x:c r="AG57" s="157" t="str">
        <x:v>Times New Roman</x:v>
      </x:c>
      <x:c r="AH57" s="157" t="str">
        <x:v>Unicode</x:v>
      </x:c>
      <x:c r="AI57" s="157" t="str">
        <x:v>#000000</x:v>
      </x:c>
      <x:c r="AJ57" s="195" t="n">
        <x:v>12</x:v>
      </x:c>
      <x:c r="AK57" s="157" t="str">
        <x:v>KHÔNG</x:v>
      </x:c>
      <x:c r="AL57" s="157" t="str">
        <x:v>KHÔNG</x:v>
      </x:c>
      <x:c r="AM57" s="157" t="str">
        <x:v>In thường</x:v>
      </x:c>
      <x:c r="AN57" s="157" t="str">
        <x:v>LEFT</x:v>
      </x:c>
      <x:c r="AO57" s="157" t="str">
        <x:v>KHỐI/CỘT TRÁI</x:v>
      </x:c>
      <x:c r="AP57" s="157" t="str">
        <x:v>SINGLE</x:v>
      </x:c>
      <x:c r="AQ57" s="195" t="n">
        <x:v>1</x:v>
      </x:c>
      <x:c r="AR57" s="157" t="str">
        <x:v>lines</x:v>
      </x:c>
      <x:c r="AS57" s="195" t="n">
        <x:v>0</x:v>
      </x:c>
      <x:c r="AT57" s="195" t="n">
        <x:v>0</x:v>
      </x:c>
      <x:c r="AU57" s="195" t="n">
        <x:v>0</x:v>
      </x:c>
      <x:c r="AV57" s="195"/>
      <x:c r="AW57" s="195"/>
      <x:c r="AX57" s="157"/>
      <x:c r="AY57" s="157"/>
      <x:c r="AZ57" s="157"/>
      <x:c r="BA57" s="195"/>
      <x:c r="BB57" s="195"/>
      <x:c r="BC57" s="157"/>
      <x:c r="BD57" s="195"/>
      <x:c r="BE57" s="195"/>
      <x:c r="BF57" s="195"/>
      <x:c r="BG57" s="195"/>
      <x:c r="BH57" s="157"/>
      <x:c r="BI57" s="195"/>
      <x:c r="BJ57" s="195"/>
      <x:c r="BK57" s="195"/>
      <x:c r="BL57" s="157"/>
      <x:c r="BM57" s="157"/>
      <x:c r="BN57" s="157"/>
      <x:c r="BO57" s="195"/>
      <x:c r="BP57" s="195"/>
      <x:c r="BQ57" s="157"/>
      <x:c r="BR57" s="157"/>
      <x:c r="BS57" s="157"/>
      <x:c r="BT57" s="157" t="str">
        <x:v>DistributionList</x:v>
      </x:c>
      <x:c r="BU57" s="157" t="str">
        <x:v>Văn bản/OOXML: xác định đối tượng trước khi sửa</x:v>
      </x:c>
      <x:c r="BV57" s="196" t="str">
        <x:v>DỰ THẢO — CẦN DUYỆT HD05</x:v>
      </x:c>
      <x:c r="BW57" s="197" t="str">
        <x:v>ĐÃ TÁCH MỘT PHẦN</x:v>
      </x:c>
      <x:c r="BX57" s="157" t="str">
        <x:v>Cấu hình profile chưa được xác nhận; giữ nguyên chính sách CHECK_ONLY.</x:v>
      </x:c>
      <x:c r="BY57" t="str">
        <x:v>HD05.C.NN.NOI_LUU</x:v>
      </x:c>
      <x:c r="BZ57" t="n">
        <x:f>IFERROR(INDEX(HD05!$J$7:$J$300,MATCH($B57,HD05!$B$7:$B$300,0)),"UNRESOLVED")</x:f>
        <x:v>12</x:v>
      </x:c>
      <x:c r="CA57" t="str">
        <x:v>TEXT</x:v>
      </x:c>
      <x:c r="CB57" t="str">
        <x:v>document_type_confirmed AND recipient_role_confirmed</x:v>
      </x:c>
      <x:c r="CC57" t="str">
        <x:f>IFERROR(INDEX(HD05!$X$7:$X$300,MATCH($B57,HD05!$B$7:$B$300,0)),"UNRESOLVED")</x:f>
        <x:v>KHÔNG TỰ ĐIỀN ĐƠN VỊ NHẬN</x:v>
      </x:c>
      <x:c r="CD57" t="str">
        <x:f>IF(OR(ISNUMBER(SEARCH("READ_ONLY",CC57)),ISNUMBER(SEARCH("PROTECTED",CC57)),ISNUMBER(SEARCH("BẢO VỆ",CC57)),ISNUMBER(SEARCH("KHÔNG KÝ",CC57))),"PROTECTED","CHECK_ONLY")</x:f>
        <x:v>CHECK_ONLY</x:v>
      </x:c>
      <x:c r="CE57" t="str">
        <x:f>IF(AND(CD57="FORMAT_APPROVED",CU57="CÓ",CV57="CÓ",CH57="CÓ",CI57="CÓ",CJ57="CÓ"),"CÓ","KHÔNG")</x:f>
        <x:v>KHÔNG</x:v>
      </x:c>
      <x:c r="CF57" t="str">
        <x:v>KHÔNG</x:v>
      </x:c>
      <x:c r="CG57" t="str">
        <x:v>CÓ</x:v>
      </x:c>
      <x:c r="CH57" t="str">
        <x:v>KHÔNG</x:v>
      </x:c>
      <x:c r="CI57" t="str">
        <x:v>KHÔNG</x:v>
      </x:c>
      <x:c r="CJ57" t="str">
        <x:v>KHÔNG</x:v>
      </x:c>
      <x:c r="CK57" t="str">
        <x:f>IF(AND(CE57="CÓ",CF57="KHÔNG",CG57="CÓ",CU57="CÓ",CV57="CÓ",CH57="CÓ",CI57="CÓ",CJ57="CÓ"),"CÓ","KHÔNG")</x:f>
        <x:v>KHÔNG</x:v>
      </x:c>
      <x:c r="CL57" t="str">
        <x:v>PILOT_NORTH_PROFILE_DRAFT; chưa có master DOCX đã duyệt</x:v>
      </x:c>
      <x:c r="CM57" t="str">
        <x:v>v1.5 (nâng từ v1.4)</x:v>
      </x:c>
      <x:c r="CN57" t="str">
        <x:v>CHƯA XÁC NHẬN CHỦ THỂ ĐẢNG</x:v>
      </x:c>
      <x:c r="CO57" t="str">
        <x:v>HD05_C_NN_NOI_LUU_FIELD_ONLY; chưa tạo trong Word</x:v>
      </x:c>
      <x:c r="CP57" t="str">
        <x:v>Preset là cấu hình Công ty; không thay thế giới hạn của nguồn NĐ30/HD05</x:v>
      </x:c>
      <x:c r="CQ57" t="str">
        <x:f>IF(OR(BH57="CÓ",BH57=TRUE),BI57,"")</x:f>
      </x:c>
      <x:c r="CR57" t="str">
        <x:f>IF(OR(BH57="CÓ",BH57=TRUE),BJ57,"")</x:f>
      </x:c>
      <x:c r="CS57" t="str">
        <x:v>FORMAT_CHECK_ONLY</x:v>
      </x:c>
      <x:c r="CT57" t="str">
        <x:v>PENDING_SOURCE_AND_DOCX_QA</x:v>
      </x:c>
      <x:c r="CU57" t="str">
        <x:v>KHÔNG</x:v>
      </x:c>
      <x:c r="CV57" t="str">
        <x:v>KHÔNG</x:v>
      </x:c>
      <x:c r="CW57" t="str"/>
    </x:row>
    <x:row r="58" ht="29" customHeight="1">
      <x:c r="A58" s="125" t="n">
        <x:v>52</x:v>
      </x:c>
      <x:c r="B58" s="123" t="str">
        <x:v>HD05.C.KY.QUYEN_HAN</x:v>
      </x:c>
      <x:c r="C58" s="123" t="str">
        <x:v>Cuối văn bản</x:v>
      </x:c>
      <x:c r="D58" s="123" t="str">
        <x:v>Khối ký</x:v>
      </x:c>
      <x:c r="E58" s="123" t="str">
        <x:v>Quyền hạn ký</x:v>
      </x:c>
      <x:c r="F58" s="123" t="str">
        <x:v>7a</x:v>
      </x:c>
      <x:c r="G58" s="123" t="str">
        <x:v>Khối ký tùy thẩm quyền/loại văn bản</x:v>
      </x:c>
      <x:c r="H58" s="123" t="str">
        <x:v>Quyền hạn ký</x:v>
      </x:c>
      <x:c r="I58" s="123" t="str">
        <x:v>Times New Roman | Unicode | đen</x:v>
      </x:c>
      <x:c r="J58" s="136" t="str">
        <x:v>14</x:v>
      </x:c>
      <x:c r="K58" s="123" t="str">
        <x:v>IN HOA</x:v>
      </x:c>
      <x:c r="L58" s="123" t="str">
        <x:v>Có</x:v>
      </x:c>
      <x:c r="M58" s="123" t="str">
        <x:v>Không</x:v>
      </x:c>
      <x:c r="N58" s="123" t="str">
        <x:v>Khối phải; nội dung căn giữa</x:v>
      </x:c>
      <x:c r="O58" s="135" t="str">
        <x:v>Single; before 0 / after 0 pt</x:v>
      </x:c>
      <x:c r="P58" s="135" t="str">
        <x:v>Thụt 0; chừa khoảng chữ ký theo mẫu</x:v>
      </x:c>
      <x:c r="Q58" s="123"/>
      <x:c r="R58" s="123" t="str">
        <x:v>Văn bản/OOXML: xác định đối tượng trước khi sửa</x:v>
      </x:c>
      <x:c r="S58" s="123" t="str">
        <x:v>HD05: T/M, K/T, T/L ...</x:v>
      </x:c>
      <x:c r="T58" s="123" t="str">
        <x:v>HD05, Phần II, I.7; Phụ lục 2 mục 7</x:v>
      </x:c>
      <x:c r="U58" s="123" t="str">
        <x:v>https://dangcongsan.vn/vanphongtrunguong/van-ban-cua-dang/huong-dan-so-05-hd-vptw-ngay-27-5-2026-cua-van-phong-trung-uong-dang-ve-the-thuc-va-ky-thuat-trinh-bay-van-ban-cua-dang.html?categoryId=3000525</x:v>
      </x:c>
      <x:c r="V58" s="123" t="str">
        <x:v>https://thuvienphapluat.vn/van-ban/Bo-may-hanh-chinh/Huong-dan-05-HD-VPTW-2026-the-thuc-va-ky-thuat-trinh-bay-van-ban-cua-Dang-707499.aspx</x:v>
      </x:c>
      <x:c r="W58" s="123" t="str">
        <x:v>ĐỐI CHIẾU MỘT PHẦN</x:v>
      </x:c>
      <x:c r="X58" s="123" t="str">
        <x:v>PROTECT_CONTENT</x:v>
      </x:c>
      <x:c r="Y58" s="123" t="str">
        <x:v>Không tự chèn/sửa khi chưa có chứng cứ về đối tượng và rule.</x:v>
      </x:c>
      <x:c r="Z58" s="135" t="str">
        <x:v>[QUYỀN HẠN KÝ: TM./KT./... hoặc T/M, K/T theo chế độ]</x:v>
      </x:c>
      <x:c r="AA58" s="123" t="str">
        <x:v>SignatureBlock</x:v>
      </x:c>
      <x:c r="AB58" s="135" t="str">
        <x:v>BẢO VỆ NỘI DUNG</x:v>
      </x:c>
      <x:c r="AC58" s="123" t="str">
        <x:v>PROTECT_CONTENT</x:v>
      </x:c>
      <x:c r="AD58" s="123" t="str">
        <x:v>PLUGIN:HOA-TIEU-MIEN-BAC-PARTY-HD05-HEADER-2026 | NEEDS_REVIEW</x:v>
      </x:c>
      <x:c r="AE58" s="123" t="str">
        <x:v>GATE: xác minh chủ thể HD05 trước; Đối chiếu đúng vị trí; không điền dữ liệu; không chạm dấu/chữ ký hoặc trường được bảo vệ.</x:v>
      </x:c>
      <x:c r="AF58" s="123" t="str">
        <x:v>Đảng ủy: chỉ chọn khi chủ thể ban hành và phạm vi HD05 đã được xác minh.</x:v>
      </x:c>
      <x:c r="AG58" s="157" t="str">
        <x:v>Times New Roman</x:v>
      </x:c>
      <x:c r="AH58" s="157" t="str">
        <x:v>Unicode</x:v>
      </x:c>
      <x:c r="AI58" s="157" t="str">
        <x:v>#000000</x:v>
      </x:c>
      <x:c r="AJ58" s="195" t="n">
        <x:v>14</x:v>
      </x:c>
      <x:c r="AK58" s="157" t="str">
        <x:v>CÓ</x:v>
      </x:c>
      <x:c r="AL58" s="157" t="str">
        <x:v>KHÔNG</x:v>
      </x:c>
      <x:c r="AM58" s="157" t="str">
        <x:v>IN HOA</x:v>
      </x:c>
      <x:c r="AN58" s="157" t="str">
        <x:v>CENTER</x:v>
      </x:c>
      <x:c r="AO58" s="157" t="str">
        <x:v>KHỐI PHẢI</x:v>
      </x:c>
      <x:c r="AP58" s="157" t="str">
        <x:v>SINGLE</x:v>
      </x:c>
      <x:c r="AQ58" s="195" t="n">
        <x:v>1</x:v>
      </x:c>
      <x:c r="AR58" s="157" t="str">
        <x:v>lines</x:v>
      </x:c>
      <x:c r="AS58" s="195" t="n">
        <x:v>0</x:v>
      </x:c>
      <x:c r="AT58" s="195" t="n">
        <x:v>0</x:v>
      </x:c>
      <x:c r="AU58" s="195" t="n">
        <x:v>0</x:v>
      </x:c>
      <x:c r="AV58" s="195"/>
      <x:c r="AW58" s="195"/>
      <x:c r="AX58" s="157"/>
      <x:c r="AY58" s="157"/>
      <x:c r="AZ58" s="157"/>
      <x:c r="BA58" s="195"/>
      <x:c r="BB58" s="195"/>
      <x:c r="BC58" s="157"/>
      <x:c r="BD58" s="195"/>
      <x:c r="BE58" s="195"/>
      <x:c r="BF58" s="195"/>
      <x:c r="BG58" s="195"/>
      <x:c r="BH58" s="157"/>
      <x:c r="BI58" s="195"/>
      <x:c r="BJ58" s="195"/>
      <x:c r="BK58" s="195"/>
      <x:c r="BL58" s="157"/>
      <x:c r="BM58" s="157"/>
      <x:c r="BN58" s="157"/>
      <x:c r="BO58" s="195"/>
      <x:c r="BP58" s="195"/>
      <x:c r="BQ58" s="157"/>
      <x:c r="BR58" s="157"/>
      <x:c r="BS58" s="157"/>
      <x:c r="BT58" s="157" t="str">
        <x:v>SignatureBlock</x:v>
      </x:c>
      <x:c r="BU58" s="157" t="str">
        <x:v>Văn bản/OOXML: xác định đối tượng trước khi sửa</x:v>
      </x:c>
      <x:c r="BV58" s="196" t="str">
        <x:v>BẢO VỆ NỘI DUNG</x:v>
      </x:c>
      <x:c r="BW58" s="197" t="str">
        <x:v>ĐÃ TÁCH MỘT PHẦN</x:v>
      </x:c>
      <x:c r="BX58" s="157" t="str">
        <x:v>Đối chiếu mô tả gốc ở I–S, Z–AF nếu thuộc tính phụ thuộc mẫu.</x:v>
      </x:c>
      <x:c r="BY58" t="str">
        <x:v>HD05.C.KY.QUYEN_HAN</x:v>
      </x:c>
      <x:c r="BZ58" t="n">
        <x:f>IFERROR(INDEX(HD05!$J$7:$J$300,MATCH($B58,HD05!$B$7:$B$300,0)),"UNRESOLVED")</x:f>
        <x:v>14</x:v>
      </x:c>
      <x:c r="CA58" t="str">
        <x:v>TEXT</x:v>
      </x:c>
      <x:c r="CB58" t="str">
        <x:v>issuer_confirmed AND signer_block_recognized</x:v>
      </x:c>
      <x:c r="CC58" t="str">
        <x:f>IFERROR(INDEX(HD05!$X$7:$X$300,MATCH($B58,HD05!$B$7:$B$300,0)),"UNRESOLVED")</x:f>
        <x:v>KHÔNG TỰ XÁC NHẬN THẨM QUYỀN</x:v>
      </x:c>
      <x:c r="CD58" t="str">
        <x:f>IF(OR(ISNUMBER(SEARCH("READ_ONLY",CC58)),ISNUMBER(SEARCH("PROTECTED",CC58)),ISNUMBER(SEARCH("BẢO VỆ",CC58)),ISNUMBER(SEARCH("KHÔNG KÝ",CC58))),"PROTECTED","CHECK_ONLY")</x:f>
        <x:v>CHECK_ONLY</x:v>
      </x:c>
      <x:c r="CE58" t="str">
        <x:f>IF(AND(CD58="FORMAT_APPROVED",CU58="CÓ",CV58="CÓ",CH58="CÓ",CI58="CÓ",CJ58="CÓ"),"CÓ","KHÔNG")</x:f>
        <x:v>KHÔNG</x:v>
      </x:c>
      <x:c r="CF58" t="str">
        <x:v>KHÔNG</x:v>
      </x:c>
      <x:c r="CG58" t="str">
        <x:v>CÓ</x:v>
      </x:c>
      <x:c r="CH58" t="str">
        <x:v>KHÔNG</x:v>
      </x:c>
      <x:c r="CI58" t="str">
        <x:v>KHÔNG</x:v>
      </x:c>
      <x:c r="CJ58" t="str">
        <x:v>KHÔNG</x:v>
      </x:c>
      <x:c r="CK58" t="str">
        <x:f>IF(AND(CE58="CÓ",CF58="KHÔNG",CG58="CÓ",CU58="CÓ",CV58="CÓ",CH58="CÓ",CI58="CÓ",CJ58="CÓ"),"CÓ","KHÔNG")</x:f>
        <x:v>KHÔNG</x:v>
      </x:c>
      <x:c r="CL58" t="str">
        <x:v>PILOT_NORTH_PROFILE_DRAFT; chưa có master DOCX đã duyệt</x:v>
      </x:c>
      <x:c r="CM58" t="str">
        <x:v>v1.5 (nâng từ v1.4)</x:v>
      </x:c>
      <x:c r="CN58" t="str">
        <x:v>CHƯA XÁC NHẬN CHỦ THỂ ĐẢNG</x:v>
      </x:c>
      <x:c r="CO58" t="str">
        <x:v>HD05_C_KY_QUYEN_HAN_FIELD_ONLY; chưa tạo trong Word</x:v>
      </x:c>
      <x:c r="CP58" t="str">
        <x:v>Preset là cấu hình Công ty; không thay thế giới hạn của nguồn NĐ30/HD05</x:v>
      </x:c>
      <x:c r="CQ58" t="str">
        <x:f>IF(OR(BH58="CÓ",BH58=TRUE),BI58,"")</x:f>
      </x:c>
      <x:c r="CR58" t="str">
        <x:f>IF(OR(BH58="CÓ",BH58=TRUE),BJ58,"")</x:f>
      </x:c>
      <x:c r="CS58" t="str">
        <x:v>FORMAT_CHECK_ONLY</x:v>
      </x:c>
      <x:c r="CT58" t="str">
        <x:v>PENDING_SOURCE_AND_DOCX_QA</x:v>
      </x:c>
      <x:c r="CU58" t="str">
        <x:v>KHÔNG</x:v>
      </x:c>
      <x:c r="CV58" t="str">
        <x:v>KHÔNG</x:v>
      </x:c>
      <x:c r="CW58" t="str"/>
    </x:row>
    <x:row r="59" ht="29" customHeight="1">
      <x:c r="A59" s="125" t="n">
        <x:v>53</x:v>
      </x:c>
      <x:c r="B59" s="123" t="str">
        <x:v>HD05.C.KY.CHUC_VU</x:v>
      </x:c>
      <x:c r="C59" s="123" t="str">
        <x:v>Cuối văn bản</x:v>
      </x:c>
      <x:c r="D59" s="123" t="str">
        <x:v>Khối ký</x:v>
      </x:c>
      <x:c r="E59" s="123" t="str">
        <x:v>Chức vụ/chức danh người ký</x:v>
      </x:c>
      <x:c r="F59" s="123" t="str">
        <x:v>7a</x:v>
      </x:c>
      <x:c r="G59" s="123" t="str">
        <x:v>Khối ký tùy thẩm quyền/loại văn bản</x:v>
      </x:c>
      <x:c r="H59" s="123" t="str">
        <x:v>Chức vụ/chức danh người ký</x:v>
      </x:c>
      <x:c r="I59" s="123" t="str">
        <x:v>Times New Roman | Unicode | đen</x:v>
      </x:c>
      <x:c r="J59" s="136" t="str">
        <x:v>14</x:v>
      </x:c>
      <x:c r="K59" s="123" t="str">
        <x:v>IN HOA</x:v>
      </x:c>
      <x:c r="L59" s="123" t="str">
        <x:v>Không</x:v>
      </x:c>
      <x:c r="M59" s="123" t="str">
        <x:v>Không</x:v>
      </x:c>
      <x:c r="N59" s="123" t="str">
        <x:v>Khối phải; nội dung căn giữa</x:v>
      </x:c>
      <x:c r="O59" s="135" t="str">
        <x:v>Single; before 0 / after 0 pt</x:v>
      </x:c>
      <x:c r="P59" s="135" t="str">
        <x:v>Thụt 0; chừa khoảng chữ ký theo mẫu</x:v>
      </x:c>
      <x:c r="Q59" s="123"/>
      <x:c r="R59" s="123" t="str">
        <x:v>Văn bản/OOXML: xác định đối tượng trước khi sửa</x:v>
      </x:c>
      <x:c r="S59" s="123" t="str">
        <x:v>Chức vụ theo dữ liệu người ký, không tự điền</x:v>
      </x:c>
      <x:c r="T59" s="123" t="str">
        <x:v>HD05, Phần II, I.7; Phụ lục 2 mục 7</x:v>
      </x:c>
      <x:c r="U59" s="123" t="str">
        <x:v>https://dangcongsan.vn/vanphongtrunguong/van-ban-cua-dang/huong-dan-so-05-hd-vptw-ngay-27-5-2026-cua-van-phong-trung-uong-dang-ve-the-thuc-va-ky-thuat-trinh-bay-van-ban-cua-dang.html?categoryId=3000525</x:v>
      </x:c>
      <x:c r="V59" s="123" t="str">
        <x:v>https://thuvienphapluat.vn/van-ban/Bo-may-hanh-chinh/Huong-dan-05-HD-VPTW-2026-the-thuc-va-ky-thuat-trinh-bay-van-ban-cua-Dang-707499.aspx</x:v>
      </x:c>
      <x:c r="W59" s="123" t="str">
        <x:v>ĐỐI CHIẾU MỘT PHẦN</x:v>
      </x:c>
      <x:c r="X59" s="123" t="str">
        <x:v>PROTECT_CONTENT</x:v>
      </x:c>
      <x:c r="Y59" s="123" t="str">
        <x:v>Không tự chèn/sửa khi chưa có chứng cứ về đối tượng và rule.</x:v>
      </x:c>
      <x:c r="Z59" s="135" t="str">
        <x:v>[CHỨC DANH CHƯA NHẬP]</x:v>
      </x:c>
      <x:c r="AA59" s="123" t="str">
        <x:v>SignatureBlock</x:v>
      </x:c>
      <x:c r="AB59" s="135" t="str">
        <x:v>BẢO VỆ NỘI DUNG</x:v>
      </x:c>
      <x:c r="AC59" s="123" t="str">
        <x:v>PROTECT_CONTENT</x:v>
      </x:c>
      <x:c r="AD59" s="123" t="str">
        <x:v>PLUGIN:HOA-TIEU-MIEN-BAC-PARTY-HD05-HEADER-2026 | NEEDS_REVIEW</x:v>
      </x:c>
      <x:c r="AE59" s="123" t="str">
        <x:v>GATE: xác minh chủ thể HD05 trước; Đối chiếu đúng vị trí; không điền dữ liệu; không chạm dấu/chữ ký hoặc trường được bảo vệ.</x:v>
      </x:c>
      <x:c r="AF59" s="123" t="str">
        <x:v>Đảng ủy: chỉ chọn khi chủ thể ban hành và phạm vi HD05 đã được xác minh.</x:v>
      </x:c>
      <x:c r="AG59" s="157" t="str">
        <x:v>Times New Roman</x:v>
      </x:c>
      <x:c r="AH59" s="157" t="str">
        <x:v>Unicode</x:v>
      </x:c>
      <x:c r="AI59" s="157" t="str">
        <x:v>#000000</x:v>
      </x:c>
      <x:c r="AJ59" s="195" t="n">
        <x:v>14</x:v>
      </x:c>
      <x:c r="AK59" s="157" t="str">
        <x:v>KHÔNG</x:v>
      </x:c>
      <x:c r="AL59" s="157" t="str">
        <x:v>KHÔNG</x:v>
      </x:c>
      <x:c r="AM59" s="157" t="str">
        <x:v>IN HOA</x:v>
      </x:c>
      <x:c r="AN59" s="157" t="str">
        <x:v>CENTER</x:v>
      </x:c>
      <x:c r="AO59" s="157" t="str">
        <x:v>KHỐI PHẢI</x:v>
      </x:c>
      <x:c r="AP59" s="157" t="str">
        <x:v>SINGLE</x:v>
      </x:c>
      <x:c r="AQ59" s="195" t="n">
        <x:v>1</x:v>
      </x:c>
      <x:c r="AR59" s="157" t="str">
        <x:v>lines</x:v>
      </x:c>
      <x:c r="AS59" s="195" t="n">
        <x:v>0</x:v>
      </x:c>
      <x:c r="AT59" s="195" t="n">
        <x:v>0</x:v>
      </x:c>
      <x:c r="AU59" s="195" t="n">
        <x:v>0</x:v>
      </x:c>
      <x:c r="AV59" s="195"/>
      <x:c r="AW59" s="195"/>
      <x:c r="AX59" s="157"/>
      <x:c r="AY59" s="157"/>
      <x:c r="AZ59" s="157"/>
      <x:c r="BA59" s="195"/>
      <x:c r="BB59" s="195"/>
      <x:c r="BC59" s="157"/>
      <x:c r="BD59" s="195"/>
      <x:c r="BE59" s="195"/>
      <x:c r="BF59" s="195"/>
      <x:c r="BG59" s="195"/>
      <x:c r="BH59" s="157"/>
      <x:c r="BI59" s="195"/>
      <x:c r="BJ59" s="195"/>
      <x:c r="BK59" s="195"/>
      <x:c r="BL59" s="157"/>
      <x:c r="BM59" s="157"/>
      <x:c r="BN59" s="157"/>
      <x:c r="BO59" s="195"/>
      <x:c r="BP59" s="195"/>
      <x:c r="BQ59" s="157"/>
      <x:c r="BR59" s="157"/>
      <x:c r="BS59" s="157"/>
      <x:c r="BT59" s="157" t="str">
        <x:v>SignatureBlock</x:v>
      </x:c>
      <x:c r="BU59" s="157" t="str">
        <x:v>Văn bản/OOXML: xác định đối tượng trước khi sửa</x:v>
      </x:c>
      <x:c r="BV59" s="196" t="str">
        <x:v>BẢO VỆ NỘI DUNG</x:v>
      </x:c>
      <x:c r="BW59" s="197" t="str">
        <x:v>ĐÃ TÁCH MỘT PHẦN</x:v>
      </x:c>
      <x:c r="BX59" s="157" t="str">
        <x:v>Đối chiếu mô tả gốc ở I–S, Z–AF nếu thuộc tính phụ thuộc mẫu.</x:v>
      </x:c>
      <x:c r="BY59" t="str">
        <x:v>HD05.C.KY.CHUC_VU</x:v>
      </x:c>
      <x:c r="BZ59" t="n">
        <x:f>IFERROR(INDEX(HD05!$J$7:$J$300,MATCH($B59,HD05!$B$7:$B$300,0)),"UNRESOLVED")</x:f>
        <x:v>14</x:v>
      </x:c>
      <x:c r="CA59" t="str">
        <x:v>TEXT</x:v>
      </x:c>
      <x:c r="CB59" t="str">
        <x:v>issuer_confirmed AND signer_block_recognized</x:v>
      </x:c>
      <x:c r="CC59" t="str">
        <x:f>IFERROR(INDEX(HD05!$X$7:$X$300,MATCH($B59,HD05!$B$7:$B$300,0)),"UNRESOLVED")</x:f>
        <x:v>READ_ONLY</x:v>
      </x:c>
      <x:c r="CD59" t="str">
        <x:f>IF(OR(ISNUMBER(SEARCH("READ_ONLY",CC59)),ISNUMBER(SEARCH("PROTECTED",CC59)),ISNUMBER(SEARCH("BẢO VỆ",CC59)),ISNUMBER(SEARCH("KHÔNG KÝ",CC59))),"PROTECTED","CHECK_ONLY")</x:f>
        <x:v>PROTECTED</x:v>
      </x:c>
      <x:c r="CE59" t="str">
        <x:f>IF(AND(CD59="FORMAT_APPROVED",CU59="CÓ",CV59="CÓ",CH59="CÓ",CI59="CÓ",CJ59="CÓ"),"CÓ","KHÔNG")</x:f>
        <x:v>KHÔNG</x:v>
      </x:c>
      <x:c r="CF59" t="str">
        <x:v>KHÔNG</x:v>
      </x:c>
      <x:c r="CG59" t="str">
        <x:v>CÓ</x:v>
      </x:c>
      <x:c r="CH59" t="str">
        <x:v>KHÔNG</x:v>
      </x:c>
      <x:c r="CI59" t="str">
        <x:v>KHÔNG</x:v>
      </x:c>
      <x:c r="CJ59" t="str">
        <x:v>KHÔNG</x:v>
      </x:c>
      <x:c r="CK59" t="str">
        <x:f>IF(AND(CE59="CÓ",CF59="KHÔNG",CG59="CÓ",CU59="CÓ",CV59="CÓ",CH59="CÓ",CI59="CÓ",CJ59="CÓ"),"CÓ","KHÔNG")</x:f>
        <x:v>KHÔNG</x:v>
      </x:c>
      <x:c r="CL59" t="str">
        <x:v>PILOT_NORTH_PROFILE_DRAFT; chưa có master DOCX đã duyệt</x:v>
      </x:c>
      <x:c r="CM59" t="str">
        <x:v>v1.5 (nâng từ v1.4)</x:v>
      </x:c>
      <x:c r="CN59" t="str">
        <x:v>CHƯA XÁC NHẬN CHỦ THỂ ĐẢNG</x:v>
      </x:c>
      <x:c r="CO59" t="str">
        <x:v>HD05_C_KY_CHUC_VU_FIELD_ONLY; chưa tạo trong Word</x:v>
      </x:c>
      <x:c r="CP59" t="str">
        <x:v>Preset là cấu hình Công ty; không thay thế giới hạn của nguồn NĐ30/HD05</x:v>
      </x:c>
      <x:c r="CQ59" t="str">
        <x:f>IF(OR(BH59="CÓ",BH59=TRUE),BI59,"")</x:f>
      </x:c>
      <x:c r="CR59" t="str">
        <x:f>IF(OR(BH59="CÓ",BH59=TRUE),BJ59,"")</x:f>
      </x:c>
      <x:c r="CS59" t="str">
        <x:v>FORMAT_CHECK_ONLY</x:v>
      </x:c>
      <x:c r="CT59" t="str">
        <x:v>PENDING_SOURCE_AND_DOCX_QA</x:v>
      </x:c>
      <x:c r="CU59" t="str">
        <x:v>KHÔNG</x:v>
      </x:c>
      <x:c r="CV59" t="str">
        <x:v>KHÔNG</x:v>
      </x:c>
      <x:c r="CW59" t="str"/>
    </x:row>
    <x:row r="60" ht="29" customHeight="1">
      <x:c r="A60" s="125" t="n">
        <x:v>54</x:v>
      </x:c>
      <x:c r="B60" s="123" t="str">
        <x:v>HD05.C.KY.CHU_KY</x:v>
      </x:c>
      <x:c r="C60" s="123" t="str">
        <x:v>Cuối văn bản</x:v>
      </x:c>
      <x:c r="D60" s="123" t="str">
        <x:v>Khối ký</x:v>
      </x:c>
      <x:c r="E60" s="123" t="str">
        <x:v>Vị trí chữ ký của người có thẩm quyền</x:v>
      </x:c>
      <x:c r="F60" s="123" t="str">
        <x:v>7c</x:v>
      </x:c>
      <x:c r="G60" s="123" t="str">
        <x:v>Khối ký tùy thẩm quyền/loại văn bản</x:v>
      </x:c>
      <x:c r="H60" s="123" t="str">
        <x:v>Vị trí chữ ký của người có thẩm quyền</x:v>
      </x:c>
      <x:c r="I60" s="123" t="str">
        <x:v>Không áp dụng</x:v>
      </x:c>
      <x:c r="J60" s="136" t="str">
        <x:v>—</x:v>
      </x:c>
      <x:c r="K60" s="123" t="str">
        <x:v>Theo tên người ký</x:v>
      </x:c>
      <x:c r="L60" s="123" t="str">
        <x:v>Không áp dụng</x:v>
      </x:c>
      <x:c r="M60" s="123" t="str">
        <x:v>Không áp dụng</x:v>
      </x:c>
      <x:c r="N60" s="123" t="str">
        <x:v>Khối phải; nội dung căn giữa</x:v>
      </x:c>
      <x:c r="O60" s="135" t="str">
        <x:v>Single; before 0 / after 0 pt</x:v>
      </x:c>
      <x:c r="P60" s="135" t="str">
        <x:v>Thụt 0; chừa khoảng chữ ký theo mẫu</x:v>
      </x:c>
      <x:c r="Q60" s="123"/>
      <x:c r="R60" s="123" t="str">
        <x:v>Văn bản/OOXML: xác định đối tượng trước khi sửa</x:v>
      </x:c>
      <x:c r="S60" s="123" t="str">
        <x:v>Chỉ xác định vùng trống/protected cho chữ ký</x:v>
      </x:c>
      <x:c r="T60" s="123" t="str">
        <x:v>HD05, Phần II, I.7; Phụ lục 2 mục 7</x:v>
      </x:c>
      <x:c r="U60" s="123" t="str">
        <x:v>https://dangcongsan.vn/vanphongtrunguong/van-ban-cua-dang/huong-dan-so-05-hd-vptw-ngay-27-5-2026-cua-van-phong-trung-uong-dang-ve-the-thuc-va-ky-thuat-trinh-bay-van-ban-cua-dang.html?categoryId=3000525</x:v>
      </x:c>
      <x:c r="V60" s="123" t="str">
        <x:v>https://thuvienphapluat.vn/van-ban/Bo-may-hanh-chinh/Huong-dan-05-HD-VPTW-2026-the-thuc-va-ky-thuat-trinh-bay-van-ban-cua-Dang-707499.aspx</x:v>
      </x:c>
      <x:c r="W60" s="123" t="str">
        <x:v>CHƯA ĐỦ BẰNG CHỨNG</x:v>
      </x:c>
      <x:c r="X60" s="123" t="str">
        <x:v>PROTECTED</x:v>
      </x:c>
      <x:c r="Y60" s="123" t="str">
        <x:v>Không tự chèn/sửa khi chưa có chứng cứ về đối tượng và rule. | Trạng thái v1.0: CÓ ĐIỀU KIỆN</x:v>
      </x:c>
      <x:c r="Z60" s="135" t="str">
        <x:v>VÙNG TRỐNG CHỮ KÝ — KHÔNG TẠO CHỮ KÝ</x:v>
      </x:c>
      <x:c r="AA60" s="123" t="str">
        <x:v>SignatureBlock</x:v>
      </x:c>
      <x:c r="AB60" s="135" t="str">
        <x:v>BẢO VỆ NỘI DUNG</x:v>
      </x:c>
      <x:c r="AC60" s="123" t="str">
        <x:v>PROTECTED</x:v>
      </x:c>
      <x:c r="AD60" s="123" t="str">
        <x:v>PLUGIN:HOA-TIEU-MIEN-BAC-PARTY-HD05-HEADER-2026 | NEEDS_REVIEW</x:v>
      </x:c>
      <x:c r="AE60" s="123" t="str">
        <x:v>GATE: xác minh chủ thể HD05 trước; Đối chiếu đúng vị trí; không điền dữ liệu; không chạm dấu/chữ ký hoặc trường được bảo vệ.</x:v>
      </x:c>
      <x:c r="AF60" s="123" t="str">
        <x:v>Đảng ủy: chỉ chọn khi chủ thể ban hành và phạm vi HD05 đã được xác minh.</x:v>
      </x:c>
      <x:c r="AG60" s="157"/>
      <x:c r="AH60" s="157"/>
      <x:c r="AI60" s="157"/>
      <x:c r="AJ60" s="195"/>
      <x:c r="AK60" s="157" t="str">
        <x:v>KHÔNG ÁP DỤNG</x:v>
      </x:c>
      <x:c r="AL60" s="157" t="str">
        <x:v>KHÔNG ÁP DỤNG</x:v>
      </x:c>
      <x:c r="AM60" s="157" t="str">
        <x:v>Theo tên người ký</x:v>
      </x:c>
      <x:c r="AN60" s="157" t="str">
        <x:v>CENTER</x:v>
      </x:c>
      <x:c r="AO60" s="157" t="str">
        <x:v>KHỐI PHẢI</x:v>
      </x:c>
      <x:c r="AP60" s="157"/>
      <x:c r="AQ60" s="195"/>
      <x:c r="AR60" s="157"/>
      <x:c r="AS60" s="195"/>
      <x:c r="AT60" s="195"/>
      <x:c r="AU60" s="195"/>
      <x:c r="AV60" s="195"/>
      <x:c r="AW60" s="195"/>
      <x:c r="AX60" s="157"/>
      <x:c r="AY60" s="157"/>
      <x:c r="AZ60" s="157"/>
      <x:c r="BA60" s="195"/>
      <x:c r="BB60" s="195"/>
      <x:c r="BC60" s="157"/>
      <x:c r="BD60" s="195"/>
      <x:c r="BE60" s="195"/>
      <x:c r="BF60" s="195"/>
      <x:c r="BG60" s="195"/>
      <x:c r="BH60" s="157"/>
      <x:c r="BI60" s="195"/>
      <x:c r="BJ60" s="195"/>
      <x:c r="BK60" s="195"/>
      <x:c r="BL60" s="157"/>
      <x:c r="BM60" s="157"/>
      <x:c r="BN60" s="157"/>
      <x:c r="BO60" s="195"/>
      <x:c r="BP60" s="195"/>
      <x:c r="BQ60" s="157"/>
      <x:c r="BR60" s="157"/>
      <x:c r="BS60" s="157"/>
      <x:c r="BT60" s="157" t="str">
        <x:v>SignatureBlock</x:v>
      </x:c>
      <x:c r="BU60" s="157" t="str">
        <x:v>Văn bản/OOXML: xác định đối tượng trước khi sửa</x:v>
      </x:c>
      <x:c r="BV60" s="196" t="str">
        <x:v>BẢO VỆ NỘI DUNG</x:v>
      </x:c>
      <x:c r="BW60" s="197" t="str">
        <x:v>ĐÃ TÁCH MỘT PHẦN</x:v>
      </x:c>
      <x:c r="BX60" s="157" t="str">
        <x:v>Đối chiếu mô tả gốc ở I–S, Z–AF nếu thuộc tính phụ thuộc mẫu.</x:v>
      </x:c>
      <x:c r="BY60" t="str">
        <x:v>HD05.C.KY.CHU_KY</x:v>
      </x:c>
      <x:c r="BZ60" t="str">
        <x:f>IFERROR(INDEX(HD05!$J$7:$J$300,MATCH($B60,HD05!$B$7:$B$300,0)),"UNRESOLVED")</x:f>
        <x:v>Không áp dụng</x:v>
      </x:c>
      <x:c r="CA60" t="str">
        <x:v>SIGNATURE_OR_SEAL</x:v>
      </x:c>
      <x:c r="CB60" t="str">
        <x:v>issuer_confirmed AND signer_block_recognized</x:v>
      </x:c>
      <x:c r="CC60" t="str">
        <x:f>IFERROR(INDEX(HD05!$X$7:$X$300,MATCH($B60,HD05!$B$7:$B$300,0)),"UNRESOLVED")</x:f>
        <x:v>PROTECTED; KHÔNG KÝ</x:v>
      </x:c>
      <x:c r="CD60" t="str">
        <x:f>IF(OR(ISNUMBER(SEARCH("READ_ONLY",CC60)),ISNUMBER(SEARCH("PROTECTED",CC60)),ISNUMBER(SEARCH("BẢO VỆ",CC60)),ISNUMBER(SEARCH("KHÔNG KÝ",CC60))),"PROTECTED","CHECK_ONLY")</x:f>
        <x:v>PROTECTED</x:v>
      </x:c>
      <x:c r="CE60" t="str">
        <x:f>IF(AND(CD60="FORMAT_APPROVED",CU60="CÓ",CV60="CÓ",CH60="CÓ",CI60="CÓ",CJ60="CÓ"),"CÓ","KHÔNG")</x:f>
        <x:v>KHÔNG</x:v>
      </x:c>
      <x:c r="CF60" t="str">
        <x:v>KHÔNG</x:v>
      </x:c>
      <x:c r="CG60" t="str">
        <x:v>CÓ</x:v>
      </x:c>
      <x:c r="CH60" t="str">
        <x:v>KHÔNG</x:v>
      </x:c>
      <x:c r="CI60" t="str">
        <x:v>KHÔNG</x:v>
      </x:c>
      <x:c r="CJ60" t="str">
        <x:v>KHÔNG</x:v>
      </x:c>
      <x:c r="CK60" t="str">
        <x:f>IF(AND(CE60="CÓ",CF60="KHÔNG",CG60="CÓ",CU60="CÓ",CV60="CÓ",CH60="CÓ",CI60="CÓ",CJ60="CÓ"),"CÓ","KHÔNG")</x:f>
        <x:v>KHÔNG</x:v>
      </x:c>
      <x:c r="CL60" t="str">
        <x:v>PILOT_NORTH_PROFILE_DRAFT; chưa có master DOCX đã duyệt</x:v>
      </x:c>
      <x:c r="CM60" t="str">
        <x:v>v1.5 (nâng từ v1.4)</x:v>
      </x:c>
      <x:c r="CN60" t="str">
        <x:v>CHƯA XÁC NHẬN CHỦ THỂ ĐẢNG</x:v>
      </x:c>
      <x:c r="CO60" t="str">
        <x:v>HD05_C_KY_CHU_KY_FIELD_ONLY; chưa tạo trong Word</x:v>
      </x:c>
      <x:c r="CP60" t="str">
        <x:v>Preset là cấu hình Công ty; không thay thế giới hạn của nguồn NĐ30/HD05</x:v>
      </x:c>
      <x:c r="CQ60" t="str">
        <x:f>IF(OR(BH60="CÓ",BH60=TRUE),BI60,"")</x:f>
      </x:c>
      <x:c r="CR60" t="str">
        <x:f>IF(OR(BH60="CÓ",BH60=TRUE),BJ60,"")</x:f>
      </x:c>
      <x:c r="CS60" t="str">
        <x:v>STRUCTURAL_CHECK_ONLY</x:v>
      </x:c>
      <x:c r="CT60" t="str">
        <x:v>PENDING_SOURCE_AND_DOCX_QA</x:v>
      </x:c>
      <x:c r="CU60" t="str">
        <x:v>KHÔNG</x:v>
      </x:c>
      <x:c r="CV60" t="str">
        <x:v>KHÔNG</x:v>
      </x:c>
      <x:c r="CW60" t="str"/>
    </x:row>
    <x:row r="61" ht="29" customHeight="1">
      <x:c r="A61" s="125" t="n">
        <x:v>55</x:v>
      </x:c>
      <x:c r="B61" s="123" t="str">
        <x:v>HD05.C.KY.HO_TEN</x:v>
      </x:c>
      <x:c r="C61" s="123" t="str">
        <x:v>Cuối văn bản</x:v>
      </x:c>
      <x:c r="D61" s="123" t="str">
        <x:v>Khối ký</x:v>
      </x:c>
      <x:c r="E61" s="123" t="str">
        <x:v>Họ tên người ký</x:v>
      </x:c>
      <x:c r="F61" s="123" t="str">
        <x:v>7b</x:v>
      </x:c>
      <x:c r="G61" s="123" t="str">
        <x:v>Khối ký tùy thẩm quyền/loại văn bản</x:v>
      </x:c>
      <x:c r="H61" s="123" t="str">
        <x:v>Họ tên người ký</x:v>
      </x:c>
      <x:c r="I61" s="123" t="str">
        <x:v>Times New Roman | Unicode | đen</x:v>
      </x:c>
      <x:c r="J61" s="136" t="str">
        <x:v>14</x:v>
      </x:c>
      <x:c r="K61" s="123" t="str">
        <x:v>Theo tên người ký</x:v>
      </x:c>
      <x:c r="L61" s="123" t="str">
        <x:v>Có</x:v>
      </x:c>
      <x:c r="M61" s="123" t="str">
        <x:v>Không</x:v>
      </x:c>
      <x:c r="N61" s="123" t="str">
        <x:v>Khối phải; nội dung căn giữa</x:v>
      </x:c>
      <x:c r="O61" s="135" t="str">
        <x:v>Single; before 0 / after 0 pt</x:v>
      </x:c>
      <x:c r="P61" s="135" t="str">
        <x:v>Thụt 0; chừa khoảng chữ ký theo mẫu</x:v>
      </x:c>
      <x:c r="Q61" s="123"/>
      <x:c r="R61" s="123" t="str">
        <x:v>Văn bản/OOXML: xác định đối tượng trước khi sửa</x:v>
      </x:c>
      <x:c r="S61" s="123" t="str">
        <x:v>Chỉ dùng họ tên được cung cấp; không tự điền</x:v>
      </x:c>
      <x:c r="T61" s="123" t="str">
        <x:v>HD05, Phần II, I.7; Phụ lục 2 mục 7</x:v>
      </x:c>
      <x:c r="U61" s="123" t="str">
        <x:v>https://dangcongsan.vn/vanphongtrunguong/van-ban-cua-dang/huong-dan-so-05-hd-vptw-ngay-27-5-2026-cua-van-phong-trung-uong-dang-ve-the-thuc-va-ky-thuat-trinh-bay-van-ban-cua-dang.html?categoryId=3000525</x:v>
      </x:c>
      <x:c r="V61" s="123" t="str">
        <x:v>https://thuvienphapluat.vn/van-ban/Bo-may-hanh-chinh/Huong-dan-05-HD-VPTW-2026-the-thuc-va-ky-thuat-trinh-bay-van-ban-cua-Dang-707499.aspx</x:v>
      </x:c>
      <x:c r="W61" s="123" t="str">
        <x:v>ĐỐI CHIẾU MỘT PHẦN</x:v>
      </x:c>
      <x:c r="X61" s="123" t="str">
        <x:v>PROTECT_CONTENT</x:v>
      </x:c>
      <x:c r="Y61" s="123" t="str">
        <x:v>Không tự chèn/sửa khi chưa có chứng cứ về đối tượng và rule.</x:v>
      </x:c>
      <x:c r="Z61" s="135" t="str">
        <x:v>[HỌ TÊN CHƯA NHẬP]</x:v>
      </x:c>
      <x:c r="AA61" s="123" t="str">
        <x:v>SignatureBlock</x:v>
      </x:c>
      <x:c r="AB61" s="135" t="str">
        <x:v>BẢO VỆ NỘI DUNG</x:v>
      </x:c>
      <x:c r="AC61" s="123" t="str">
        <x:v>PROTECT_CONTENT</x:v>
      </x:c>
      <x:c r="AD61" s="123" t="str">
        <x:v>PLUGIN:HOA-TIEU-MIEN-BAC-PARTY-HD05-HEADER-2026 | NEEDS_REVIEW</x:v>
      </x:c>
      <x:c r="AE61" s="123" t="str">
        <x:v>GATE: xác minh chủ thể HD05 trước; Đối chiếu đúng vị trí; không điền dữ liệu; không chạm dấu/chữ ký hoặc trường được bảo vệ.</x:v>
      </x:c>
      <x:c r="AF61" s="123" t="str">
        <x:v>Đảng ủy: chỉ chọn khi chủ thể ban hành và phạm vi HD05 đã được xác minh.</x:v>
      </x:c>
      <x:c r="AG61" s="157" t="str">
        <x:v>Times New Roman</x:v>
      </x:c>
      <x:c r="AH61" s="157" t="str">
        <x:v>Unicode</x:v>
      </x:c>
      <x:c r="AI61" s="157" t="str">
        <x:v>#000000</x:v>
      </x:c>
      <x:c r="AJ61" s="195" t="n">
        <x:v>14</x:v>
      </x:c>
      <x:c r="AK61" s="157" t="str">
        <x:v>CÓ</x:v>
      </x:c>
      <x:c r="AL61" s="157" t="str">
        <x:v>KHÔNG</x:v>
      </x:c>
      <x:c r="AM61" s="157" t="str">
        <x:v>Theo tên người ký</x:v>
      </x:c>
      <x:c r="AN61" s="157" t="str">
        <x:v>CENTER</x:v>
      </x:c>
      <x:c r="AO61" s="157" t="str">
        <x:v>KHỐI PHẢI</x:v>
      </x:c>
      <x:c r="AP61" s="157" t="str">
        <x:v>SINGLE</x:v>
      </x:c>
      <x:c r="AQ61" s="195" t="n">
        <x:v>1</x:v>
      </x:c>
      <x:c r="AR61" s="157" t="str">
        <x:v>lines</x:v>
      </x:c>
      <x:c r="AS61" s="195" t="n">
        <x:v>0</x:v>
      </x:c>
      <x:c r="AT61" s="195" t="n">
        <x:v>0</x:v>
      </x:c>
      <x:c r="AU61" s="195" t="n">
        <x:v>0</x:v>
      </x:c>
      <x:c r="AV61" s="195"/>
      <x:c r="AW61" s="195"/>
      <x:c r="AX61" s="157"/>
      <x:c r="AY61" s="157"/>
      <x:c r="AZ61" s="157"/>
      <x:c r="BA61" s="195"/>
      <x:c r="BB61" s="195"/>
      <x:c r="BC61" s="157"/>
      <x:c r="BD61" s="195"/>
      <x:c r="BE61" s="195"/>
      <x:c r="BF61" s="195"/>
      <x:c r="BG61" s="195"/>
      <x:c r="BH61" s="157"/>
      <x:c r="BI61" s="195"/>
      <x:c r="BJ61" s="195"/>
      <x:c r="BK61" s="195"/>
      <x:c r="BL61" s="157"/>
      <x:c r="BM61" s="157"/>
      <x:c r="BN61" s="157"/>
      <x:c r="BO61" s="195"/>
      <x:c r="BP61" s="195"/>
      <x:c r="BQ61" s="157"/>
      <x:c r="BR61" s="157"/>
      <x:c r="BS61" s="157"/>
      <x:c r="BT61" s="157" t="str">
        <x:v>SignatureBlock</x:v>
      </x:c>
      <x:c r="BU61" s="157" t="str">
        <x:v>Văn bản/OOXML: xác định đối tượng trước khi sửa</x:v>
      </x:c>
      <x:c r="BV61" s="196" t="str">
        <x:v>BẢO VỆ NỘI DUNG</x:v>
      </x:c>
      <x:c r="BW61" s="197" t="str">
        <x:v>ĐÃ TÁCH MỘT PHẦN</x:v>
      </x:c>
      <x:c r="BX61" s="157" t="str">
        <x:v>Đối chiếu mô tả gốc ở I–S, Z–AF nếu thuộc tính phụ thuộc mẫu.</x:v>
      </x:c>
      <x:c r="BY61" t="str">
        <x:v>HD05.C.KY.HO_TEN</x:v>
      </x:c>
      <x:c r="BZ61" t="n">
        <x:f>IFERROR(INDEX(HD05!$J$7:$J$300,MATCH($B61,HD05!$B$7:$B$300,0)),"UNRESOLVED")</x:f>
        <x:v>14</x:v>
      </x:c>
      <x:c r="CA61" t="str">
        <x:v>PROTECTED_TEXT</x:v>
      </x:c>
      <x:c r="CB61" t="str">
        <x:v>issuer_confirmed AND signer_block_recognized</x:v>
      </x:c>
      <x:c r="CC61" t="str">
        <x:f>IFERROR(INDEX(HD05!$X$7:$X$300,MATCH($B61,HD05!$B$7:$B$300,0)),"UNRESOLVED")</x:f>
        <x:v>READ_ONLY</x:v>
      </x:c>
      <x:c r="CD61" t="str">
        <x:f>IF(OR(ISNUMBER(SEARCH("READ_ONLY",CC61)),ISNUMBER(SEARCH("PROTECTED",CC61)),ISNUMBER(SEARCH("BẢO VỆ",CC61)),ISNUMBER(SEARCH("KHÔNG KÝ",CC61))),"PROTECTED","CHECK_ONLY")</x:f>
        <x:v>PROTECTED</x:v>
      </x:c>
      <x:c r="CE61" t="str">
        <x:f>IF(AND(CD61="FORMAT_APPROVED",CU61="CÓ",CV61="CÓ",CH61="CÓ",CI61="CÓ",CJ61="CÓ"),"CÓ","KHÔNG")</x:f>
        <x:v>KHÔNG</x:v>
      </x:c>
      <x:c r="CF61" t="str">
        <x:v>KHÔNG</x:v>
      </x:c>
      <x:c r="CG61" t="str">
        <x:v>CÓ</x:v>
      </x:c>
      <x:c r="CH61" t="str">
        <x:v>KHÔNG</x:v>
      </x:c>
      <x:c r="CI61" t="str">
        <x:v>KHÔNG</x:v>
      </x:c>
      <x:c r="CJ61" t="str">
        <x:v>KHÔNG</x:v>
      </x:c>
      <x:c r="CK61" t="str">
        <x:f>IF(AND(CE61="CÓ",CF61="KHÔNG",CG61="CÓ",CU61="CÓ",CV61="CÓ",CH61="CÓ",CI61="CÓ",CJ61="CÓ"),"CÓ","KHÔNG")</x:f>
        <x:v>KHÔNG</x:v>
      </x:c>
      <x:c r="CL61" t="str">
        <x:v>PILOT_NORTH_PROFILE_DRAFT; chưa có master DOCX đã duyệt</x:v>
      </x:c>
      <x:c r="CM61" t="str">
        <x:v>v1.5 (nâng từ v1.4)</x:v>
      </x:c>
      <x:c r="CN61" t="str">
        <x:v>CHƯA XÁC NHẬN CHỦ THỂ ĐẢNG</x:v>
      </x:c>
      <x:c r="CO61" t="str">
        <x:v>HD05_C_KY_HO_TEN_FIELD_ONLY; chưa tạo trong Word</x:v>
      </x:c>
      <x:c r="CP61" t="str">
        <x:v>Preset là cấu hình Công ty; không thay thế giới hạn của nguồn NĐ30/HD05</x:v>
      </x:c>
      <x:c r="CQ61" t="str">
        <x:f>IF(OR(BH61="CÓ",BH61=TRUE),BI61,"")</x:f>
      </x:c>
      <x:c r="CR61" t="str">
        <x:f>IF(OR(BH61="CÓ",BH61=TRUE),BJ61,"")</x:f>
      </x:c>
      <x:c r="CS61" t="str">
        <x:v>FORMAT_CHECK_ONLY</x:v>
      </x:c>
      <x:c r="CT61" t="str">
        <x:v>PENDING_SOURCE_AND_DOCX_QA</x:v>
      </x:c>
      <x:c r="CU61" t="str">
        <x:v>KHÔNG</x:v>
      </x:c>
      <x:c r="CV61" t="str">
        <x:v>KHÔNG</x:v>
      </x:c>
      <x:c r="CW61" t="str"/>
    </x:row>
    <x:row r="62" ht="29" customHeight="1">
      <x:c r="A62" s="125" t="n">
        <x:v>56</x:v>
      </x:c>
      <x:c r="B62" s="123" t="str">
        <x:v>HD05.C.KY.KHOI_KY</x:v>
      </x:c>
      <x:c r="C62" s="123" t="str">
        <x:v>Cuối văn bản</x:v>
      </x:c>
      <x:c r="D62" s="123" t="str">
        <x:v>Khối ký</x:v>
      </x:c>
      <x:c r="E62" s="123" t="str">
        <x:v>Một khối ký có thể lặp nhiều instance</x:v>
      </x:c>
      <x:c r="F62" s="123" t="str">
        <x:v>7a/7b/7c</x:v>
      </x:c>
      <x:c r="G62" s="123" t="str">
        <x:v>Khối ký tùy thẩm quyền/loại văn bản</x:v>
      </x:c>
      <x:c r="H62" s="123" t="str">
        <x:v>Cụm signer lặp được; bố cục nhiều người ký/biên bản theo mẫu riêng</x:v>
      </x:c>
      <x:c r="I62" s="123" t="str">
        <x:v>Times New Roman | Unicode | đen</x:v>
      </x:c>
      <x:c r="J62" s="136" t="str">
        <x:v>Theo khối ký</x:v>
      </x:c>
      <x:c r="K62" s="123" t="str">
        <x:v>Theo tên người ký</x:v>
      </x:c>
      <x:c r="L62" s="123" t="str">
        <x:v>Theo trường con</x:v>
      </x:c>
      <x:c r="M62" s="123" t="str">
        <x:v>Không</x:v>
      </x:c>
      <x:c r="N62" s="123" t="str">
        <x:v>Khối phải; nội dung căn giữa</x:v>
      </x:c>
      <x:c r="O62" s="135" t="str">
        <x:v>Single; before 0 / after 0 pt</x:v>
      </x:c>
      <x:c r="P62" s="135" t="str">
        <x:v>Thụt 0; chừa khoảng chữ ký theo mẫu</x:v>
      </x:c>
      <x:c r="Q62" s="123"/>
      <x:c r="R62" s="123" t="str">
        <x:v>Văn bản/OOXML: xác định đối tượng trước khi sửa</x:v>
      </x:c>
      <x:c r="S62" s="123" t="str">
        <x:v>Không gộp HD05.C.KY.* thành một style duy nhất</x:v>
      </x:c>
      <x:c r="T62" s="123" t="str">
        <x:v>HD05, Phần II, I.7; Phụ lục 2 mục 7</x:v>
      </x:c>
      <x:c r="U62" s="123" t="str">
        <x:v>https://dangcongsan.vn/vanphongtrunguong/van-ban-cua-dang/huong-dan-so-05-hd-vptw-ngay-27-5-2026-cua-van-phong-trung-uong-dang-ve-the-thuc-va-ky-thuat-trinh-bay-van-ban-cua-dang.html?categoryId=3000525</x:v>
      </x:c>
      <x:c r="V62" s="123" t="str">
        <x:v>https://thuvienphapluat.vn/van-ban/Bo-may-hanh-chinh/Huong-dan-05-HD-VPTW-2026-the-thuc-va-ky-thuat-trinh-bay-van-ban-cua-Dang-707499.aspx</x:v>
      </x:c>
      <x:c r="W62" s="123" t="str">
        <x:v>CHƯA ĐỦ BẰNG CHỨNG</x:v>
      </x:c>
      <x:c r="X62" s="123" t="str">
        <x:v>CHECK_ONLY</x:v>
      </x:c>
      <x:c r="Y62" s="123" t="str">
        <x:v>Không tự chèn/sửa khi chưa có chứng cứ về đối tượng và rule. | Trạng thái v1.0: CÓ ĐIỀU KIỆN</x:v>
      </x:c>
      <x:c r="Z62" s="135" t="str">
        <x:v>Bố cục 1/multiple signatures; không gộp style, không tự suy luận người ký</x:v>
      </x:c>
      <x:c r="AA62" s="123" t="str">
        <x:v>SignatureBlock</x:v>
      </x:c>
      <x:c r="AB62" s="135" t="str">
        <x:v>DỰ THẢO — CẦN DUYỆT HD05</x:v>
      </x:c>
      <x:c r="AC62" s="123" t="str">
        <x:v>CHECK_ONLY</x:v>
      </x:c>
      <x:c r="AD62" s="123" t="str">
        <x:v>PLUGIN:HOA-TIEU-MIEN-BAC-PARTY-HD05-HEADER-2026 | NEEDS_REVIEW</x:v>
      </x:c>
      <x:c r="AE62" s="123" t="str">
        <x:v>GATE: xác minh chủ thể HD05 trước; Đối chiếu đúng vị trí; không điền dữ liệu; không chạm dấu/chữ ký hoặc trường được bảo vệ.</x:v>
      </x:c>
      <x:c r="AF62" s="123" t="str">
        <x:v>Đảng ủy: chỉ chọn khi chủ thể ban hành và phạm vi HD05 đã được xác minh.</x:v>
      </x:c>
      <x:c r="AG62" s="157" t="str">
        <x:v>Times New Roman</x:v>
      </x:c>
      <x:c r="AH62" s="157" t="str">
        <x:v>Unicode</x:v>
      </x:c>
      <x:c r="AI62" s="157" t="str">
        <x:v>#000000</x:v>
      </x:c>
      <x:c r="AJ62" s="195"/>
      <x:c r="AK62" s="157" t="str">
        <x:v>CÓ ĐIỀU KIỆN</x:v>
      </x:c>
      <x:c r="AL62" s="157" t="str">
        <x:v>KHÔNG</x:v>
      </x:c>
      <x:c r="AM62" s="157" t="str">
        <x:v>Theo tên người ký</x:v>
      </x:c>
      <x:c r="AN62" s="157" t="str">
        <x:v>CENTER</x:v>
      </x:c>
      <x:c r="AO62" s="157" t="str">
        <x:v>KHỐI PHẢI</x:v>
      </x:c>
      <x:c r="AP62" s="157" t="str">
        <x:v>SINGLE</x:v>
      </x:c>
      <x:c r="AQ62" s="195" t="n">
        <x:v>1</x:v>
      </x:c>
      <x:c r="AR62" s="157" t="str">
        <x:v>lines</x:v>
      </x:c>
      <x:c r="AS62" s="195" t="n">
        <x:v>0</x:v>
      </x:c>
      <x:c r="AT62" s="195" t="n">
        <x:v>0</x:v>
      </x:c>
      <x:c r="AU62" s="195" t="n">
        <x:v>0</x:v>
      </x:c>
      <x:c r="AV62" s="195"/>
      <x:c r="AW62" s="195"/>
      <x:c r="AX62" s="157"/>
      <x:c r="AY62" s="157"/>
      <x:c r="AZ62" s="157"/>
      <x:c r="BA62" s="195"/>
      <x:c r="BB62" s="195"/>
      <x:c r="BC62" s="157"/>
      <x:c r="BD62" s="195"/>
      <x:c r="BE62" s="195"/>
      <x:c r="BF62" s="195"/>
      <x:c r="BG62" s="195"/>
      <x:c r="BH62" s="157"/>
      <x:c r="BI62" s="195"/>
      <x:c r="BJ62" s="195"/>
      <x:c r="BK62" s="195"/>
      <x:c r="BL62" s="157"/>
      <x:c r="BM62" s="157"/>
      <x:c r="BN62" s="157"/>
      <x:c r="BO62" s="195"/>
      <x:c r="BP62" s="195"/>
      <x:c r="BQ62" s="157"/>
      <x:c r="BR62" s="157"/>
      <x:c r="BS62" s="157"/>
      <x:c r="BT62" s="157" t="str">
        <x:v>SignatureBlock</x:v>
      </x:c>
      <x:c r="BU62" s="157" t="str">
        <x:v>Văn bản/OOXML: xác định đối tượng trước khi sửa</x:v>
      </x:c>
      <x:c r="BV62" s="196" t="str">
        <x:v>DỰ THẢO — CẦN DUYỆT HD05</x:v>
      </x:c>
      <x:c r="BW62" s="197" t="str">
        <x:v>ĐÃ TÁCH MỘT PHẦN</x:v>
      </x:c>
      <x:c r="BX62" s="157" t="str">
        <x:v>Cỡ chữ phụ thuộc khối hoặc điều kiện; không ép thành giá trị số: Theo khối ký</x:v>
      </x:c>
      <x:c r="BY62" t="str">
        <x:v>HD05.C.KY.KHOI_KY</x:v>
      </x:c>
      <x:c r="BZ62" t="str">
        <x:f>IFERROR(INDEX(HD05!$J$7:$J$300,MATCH($B62,HD05!$B$7:$B$300,0)),"UNRESOLVED")</x:f>
        <x:v>Theo trường con</x:v>
      </x:c>
      <x:c r="CA62" t="str">
        <x:v>TEXT</x:v>
      </x:c>
      <x:c r="CB62" t="str">
        <x:v>issuer_confirmed AND signer_block_recognized</x:v>
      </x:c>
      <x:c r="CC62" t="str">
        <x:f>IFERROR(INDEX(HD05!$X$7:$X$300,MATCH($B62,HD05!$B$7:$B$300,0)),"UNRESOLVED")</x:f>
        <x:v>READ_ONLY</x:v>
      </x:c>
      <x:c r="CD62" t="str">
        <x:f>IF(OR(ISNUMBER(SEARCH("READ_ONLY",CC62)),ISNUMBER(SEARCH("PROTECTED",CC62)),ISNUMBER(SEARCH("BẢO VỆ",CC62)),ISNUMBER(SEARCH("KHÔNG KÝ",CC62))),"PROTECTED","CHECK_ONLY")</x:f>
        <x:v>PROTECTED</x:v>
      </x:c>
      <x:c r="CE62" t="str">
        <x:f>IF(AND(CD62="FORMAT_APPROVED",CU62="CÓ",CV62="CÓ",CH62="CÓ",CI62="CÓ",CJ62="CÓ"),"CÓ","KHÔNG")</x:f>
        <x:v>KHÔNG</x:v>
      </x:c>
      <x:c r="CF62" t="str">
        <x:v>KHÔNG</x:v>
      </x:c>
      <x:c r="CG62" t="str">
        <x:v>CÓ</x:v>
      </x:c>
      <x:c r="CH62" t="str">
        <x:v>KHÔNG</x:v>
      </x:c>
      <x:c r="CI62" t="str">
        <x:v>KHÔNG</x:v>
      </x:c>
      <x:c r="CJ62" t="str">
        <x:v>KHÔNG</x:v>
      </x:c>
      <x:c r="CK62" t="str">
        <x:f>IF(AND(CE62="CÓ",CF62="KHÔNG",CG62="CÓ",CU62="CÓ",CV62="CÓ",CH62="CÓ",CI62="CÓ",CJ62="CÓ"),"CÓ","KHÔNG")</x:f>
        <x:v>KHÔNG</x:v>
      </x:c>
      <x:c r="CL62" t="str">
        <x:v>PILOT_NORTH_PROFILE_DRAFT; chưa có master DOCX đã duyệt</x:v>
      </x:c>
      <x:c r="CM62" t="str">
        <x:v>v1.5 (nâng từ v1.4)</x:v>
      </x:c>
      <x:c r="CN62" t="str">
        <x:v>CHƯA XÁC NHẬN CHỦ THỂ ĐẢNG</x:v>
      </x:c>
      <x:c r="CO62" t="str">
        <x:v>HD05_C_KY_KHOI_KY_FIELD_ONLY; chưa tạo trong Word</x:v>
      </x:c>
      <x:c r="CP62" t="str">
        <x:v>Preset là cấu hình Công ty; không thay thế giới hạn của nguồn NĐ30/HD05</x:v>
      </x:c>
      <x:c r="CQ62" t="str">
        <x:f>IF(OR(BH62="CÓ",BH62=TRUE),BI62,"")</x:f>
      </x:c>
      <x:c r="CR62" t="str">
        <x:f>IF(OR(BH62="CÓ",BH62=TRUE),BJ62,"")</x:f>
      </x:c>
      <x:c r="CS62" t="str">
        <x:v>FORMAT_CHECK_ONLY</x:v>
      </x:c>
      <x:c r="CT62" t="str">
        <x:v>PENDING_SOURCE_AND_DOCX_QA</x:v>
      </x:c>
      <x:c r="CU62" t="str">
        <x:v>KHÔNG</x:v>
      </x:c>
      <x:c r="CV62" t="str">
        <x:v>KHÔNG</x:v>
      </x:c>
      <x:c r="CW62" t="str"/>
    </x:row>
    <x:row r="63" ht="29" customHeight="1">
      <x:c r="A63" s="125" t="n">
        <x:v>57</x:v>
      </x:c>
      <x:c r="B63" s="123" t="str">
        <x:v>HD05.C.DAU.DAU_CO_QUAN</x:v>
      </x:c>
      <x:c r="C63" s="123" t="str">
        <x:v>Cuối văn bản</x:v>
      </x:c>
      <x:c r="D63" s="123" t="str">
        <x:v>Dấu và chữ ký số</x:v>
      </x:c>
      <x:c r="E63" s="123" t="str">
        <x:v>Vị trí dấu của cơ quan ban hành</x:v>
      </x:c>
      <x:c r="F63" s="123" t="str">
        <x:v>8</x:v>
      </x:c>
      <x:c r="G63" s="123" t="str">
        <x:v>Khi có khối ký/dấu trong văn bản gốc; không tự bổ sung</x:v>
      </x:c>
      <x:c r="H63" s="123" t="str">
        <x:v>Vùng dấu hoặc chữ ký số của cơ quan trong bản chính; không phải thao tác soạn thảo</x:v>
      </x:c>
      <x:c r="I63" s="123" t="str">
        <x:v>Không áp dụng</x:v>
      </x:c>
      <x:c r="J63" s="136" t="str">
        <x:v>—</x:v>
      </x:c>
      <x:c r="K63" s="123" t="str">
        <x:v>Không áp dụng</x:v>
      </x:c>
      <x:c r="L63" s="123" t="str">
        <x:v>Không áp dụng</x:v>
      </x:c>
      <x:c r="M63" s="123" t="str">
        <x:v>Không áp dụng</x:v>
      </x:c>
      <x:c r="N63" s="123" t="str">
        <x:v>Theo vùng có dấu/chữ ký thật</x:v>
      </x:c>
      <x:c r="O63" s="135"/>
      <x:c r="P63" s="135"/>
      <x:c r="Q63" s="123"/>
      <x:c r="R63" s="123" t="str">
        <x:v>Protected visual/signature anchor; không chèn hoặc xóa</x:v>
      </x:c>
      <x:c r="S63" s="123" t="str">
        <x:v>Không kiểm tra hiệu lực ký số nếu chưa có dịch vụ/xác thực</x:v>
      </x:c>
      <x:c r="T63" s="123" t="str">
        <x:v>HD05, Phần II, I.8</x:v>
      </x:c>
      <x:c r="U63" s="123" t="str">
        <x:v>https://dangcongsan.vn/vanphongtrunguong/van-ban-cua-dang/huong-dan-so-05-hd-vptw-ngay-27-5-2026-cua-van-phong-trung-uong-dang-ve-the-thuc-va-ky-thuat-trinh-bay-van-ban-cua-dang.html?categoryId=3000525</x:v>
      </x:c>
      <x:c r="V63" s="123" t="str">
        <x:v>https://thuvienphapluat.vn/van-ban/Bo-may-hanh-chinh/Huong-dan-05-HD-VPTW-2026-the-thuc-va-ky-thuat-trinh-bay-van-ban-cua-Dang-707499.aspx</x:v>
      </x:c>
      <x:c r="W63" s="123" t="str">
        <x:v>CHƯA ĐỦ BẰNG CHỨNG</x:v>
      </x:c>
      <x:c r="X63" s="123" t="str">
        <x:v>PROTECTED</x:v>
      </x:c>
      <x:c r="Y63" s="123" t="str">
        <x:v>Ngoài phạm vi can thiệp khi soạn thảo; không tự tạo chữ ký số/dấu hay xác nhận pháp lý. | Trạng thái v1.0: BẢO VỆ</x:v>
      </x:c>
      <x:c r="Z63" s="135" t="str">
        <x:v>Chỉ xác định vùng bảo vệ; không ký/đóng dấu/chèn ảnh hay sửa dấu</x:v>
      </x:c>
      <x:c r="AA63" s="123" t="str">
        <x:v>ProtectedSealOrSignature</x:v>
      </x:c>
      <x:c r="AB63" s="135" t="str">
        <x:v>BẢO VỆ</x:v>
      </x:c>
      <x:c r="AC63" s="123" t="str">
        <x:v>PROTECTED</x:v>
      </x:c>
      <x:c r="AD63" s="123" t="str">
        <x:v>PLUGIN:HOA-TIEU-MIEN-BAC-PARTY-HD05-HEADER-2026 | NEEDS_REVIEW</x:v>
      </x:c>
      <x:c r="AE63" s="123" t="str">
        <x:v>GATE: xác minh chủ thể HD05 trước; Đối chiếu đúng vị trí; không điền dữ liệu; không chạm dấu/chữ ký hoặc trường được bảo vệ.</x:v>
      </x:c>
      <x:c r="AF63" s="123" t="str">
        <x:v>Đảng ủy: chỉ chọn khi chủ thể ban hành và phạm vi HD05 đã được xác minh.</x:v>
      </x:c>
      <x:c r="AG63" s="157"/>
      <x:c r="AH63" s="157"/>
      <x:c r="AI63" s="157"/>
      <x:c r="AJ63" s="195"/>
      <x:c r="AK63" s="157" t="str">
        <x:v>KHÔNG ÁP DỤNG</x:v>
      </x:c>
      <x:c r="AL63" s="157" t="str">
        <x:v>KHÔNG ÁP DỤNG</x:v>
      </x:c>
      <x:c r="AM63" s="157"/>
      <x:c r="AN63" s="157"/>
      <x:c r="AO63" s="157"/>
      <x:c r="AP63" s="157"/>
      <x:c r="AQ63" s="195"/>
      <x:c r="AR63" s="157"/>
      <x:c r="AS63" s="195"/>
      <x:c r="AT63" s="195"/>
      <x:c r="AU63" s="195"/>
      <x:c r="AV63" s="195"/>
      <x:c r="AW63" s="195"/>
      <x:c r="AX63" s="157"/>
      <x:c r="AY63" s="157"/>
      <x:c r="AZ63" s="157"/>
      <x:c r="BA63" s="195"/>
      <x:c r="BB63" s="195"/>
      <x:c r="BC63" s="157"/>
      <x:c r="BD63" s="195"/>
      <x:c r="BE63" s="195"/>
      <x:c r="BF63" s="195"/>
      <x:c r="BG63" s="195"/>
      <x:c r="BH63" s="157"/>
      <x:c r="BI63" s="195"/>
      <x:c r="BJ63" s="195"/>
      <x:c r="BK63" s="195"/>
      <x:c r="BL63" s="157"/>
      <x:c r="BM63" s="157"/>
      <x:c r="BN63" s="157"/>
      <x:c r="BO63" s="195"/>
      <x:c r="BP63" s="195"/>
      <x:c r="BQ63" s="157"/>
      <x:c r="BR63" s="157"/>
      <x:c r="BS63" s="157"/>
      <x:c r="BT63" s="157" t="str">
        <x:v>ProtectedSealOrSignature</x:v>
      </x:c>
      <x:c r="BU63" s="157" t="str">
        <x:v>Protected visual/signature anchor; không chèn hoặc xóa</x:v>
      </x:c>
      <x:c r="BV63" s="196" t="str">
        <x:v>BẢO VỆ</x:v>
      </x:c>
      <x:c r="BW63" s="197" t="str">
        <x:v>CHƯA CÓ THÔNG SỐ ĐỊNH LƯỢNG</x:v>
      </x:c>
      <x:c r="BX63" s="157" t="str">
        <x:v>Đối chiếu mô tả gốc ở I–S, Z–AF nếu thuộc tính phụ thuộc mẫu.</x:v>
      </x:c>
      <x:c r="BY63" t="str">
        <x:v>HD05.C.DAU.DAU_CO_QUAN</x:v>
      </x:c>
      <x:c r="BZ63" t="str">
        <x:f>IFERROR(INDEX(HD05!$J$7:$J$300,MATCH($B63,HD05!$B$7:$B$300,0)),"UNRESOLVED")</x:f>
        <x:v>Không áp dụng</x:v>
      </x:c>
      <x:c r="CA63" t="str">
        <x:v>SIGNATURE_OR_SEAL</x:v>
      </x:c>
      <x:c r="CB63" t="str">
        <x:v>party_issuer_confirmed AND issue_date&gt;=2026-05-27 AND doc_type_confirmed</x:v>
      </x:c>
      <x:c r="CC63" t="str">
        <x:f>IFERROR(INDEX(HD05!$X$7:$X$300,MATCH($B63,HD05!$B$7:$B$300,0)),"UNRESOLVED")</x:f>
        <x:v>BẢO VỆ / KHÔNG TỰ SỬA</x:v>
      </x:c>
      <x:c r="CD63" t="str">
        <x:f>IF(OR(ISNUMBER(SEARCH("READ_ONLY",CC63)),ISNUMBER(SEARCH("PROTECTED",CC63)),ISNUMBER(SEARCH("BẢO VỆ",CC63)),ISNUMBER(SEARCH("KHÔNG KÝ",CC63))),"PROTECTED","CHECK_ONLY")</x:f>
        <x:v>PROTECTED</x:v>
      </x:c>
      <x:c r="CE63" t="str">
        <x:f>IF(AND(CD63="FORMAT_APPROVED",CU63="CÓ",CV63="CÓ",CH63="CÓ",CI63="CÓ",CJ63="CÓ"),"CÓ","KHÔNG")</x:f>
        <x:v>KHÔNG</x:v>
      </x:c>
      <x:c r="CF63" t="str">
        <x:v>KHÔNG</x:v>
      </x:c>
      <x:c r="CG63" t="str">
        <x:v>CÓ</x:v>
      </x:c>
      <x:c r="CH63" t="str">
        <x:v>KHÔNG</x:v>
      </x:c>
      <x:c r="CI63" t="str">
        <x:v>KHÔNG</x:v>
      </x:c>
      <x:c r="CJ63" t="str">
        <x:v>KHÔNG</x:v>
      </x:c>
      <x:c r="CK63" t="str">
        <x:f>IF(AND(CE63="CÓ",CF63="KHÔNG",CG63="CÓ",CU63="CÓ",CV63="CÓ",CH63="CÓ",CI63="CÓ",CJ63="CÓ"),"CÓ","KHÔNG")</x:f>
        <x:v>KHÔNG</x:v>
      </x:c>
      <x:c r="CL63" t="str">
        <x:v>PILOT_NORTH_PROFILE_DRAFT; chưa có master DOCX đã duyệt</x:v>
      </x:c>
      <x:c r="CM63" t="str">
        <x:v>v1.5 (nâng từ v1.4)</x:v>
      </x:c>
      <x:c r="CN63" t="str">
        <x:v>CHƯA XÁC NHẬN CHỦ THỂ ĐẢNG</x:v>
      </x:c>
      <x:c r="CO63" t="str">
        <x:v>HD05_C_DAU_DAU_CO_QUAN_FIELD_ONLY; chưa tạo trong Word</x:v>
      </x:c>
      <x:c r="CP63" t="str">
        <x:v>Preset là cấu hình Công ty; không thay thế giới hạn của nguồn NĐ30/HD05</x:v>
      </x:c>
      <x:c r="CQ63" t="str">
        <x:f>IF(OR(BH63="CÓ",BH63=TRUE),BI63,"")</x:f>
      </x:c>
      <x:c r="CR63" t="str">
        <x:f>IF(OR(BH63="CÓ",BH63=TRUE),BJ63,"")</x:f>
      </x:c>
      <x:c r="CS63" t="str">
        <x:v>STRUCTURAL_CHECK_ONLY</x:v>
      </x:c>
      <x:c r="CT63" t="str">
        <x:v>PENDING_SOURCE_AND_DOCX_QA</x:v>
      </x:c>
      <x:c r="CU63" t="str">
        <x:v>KHÔNG</x:v>
      </x:c>
      <x:c r="CV63" t="str">
        <x:v>KHÔNG</x:v>
      </x:c>
      <x:c r="CW63" t="str"/>
    </x:row>
    <x:row r="64" ht="29" customHeight="1">
      <x:c r="A64" s="125" t="n">
        <x:v>58</x:v>
      </x:c>
      <x:c r="B64" s="123" t="str">
        <x:v>HD05.C.DAU.CHU_KY_SO</x:v>
      </x:c>
      <x:c r="C64" s="123" t="str">
        <x:v>Cuối văn bản</x:v>
      </x:c>
      <x:c r="D64" s="123" t="str">
        <x:v>Dấu và chữ ký số</x:v>
      </x:c>
      <x:c r="E64" s="123" t="str">
        <x:v>Chữ ký số cơ quan trên bản văn bản điện tử</x:v>
      </x:c>
      <x:c r="F64" s="123" t="str">
        <x:v>8</x:v>
      </x:c>
      <x:c r="G64" s="123" t="str">
        <x:v>Khi có khối ký/dấu trong văn bản gốc; không tự bổ sung</x:v>
      </x:c>
      <x:c r="H64" s="123" t="str">
        <x:v>Vùng dấu hoặc chữ ký số của cơ quan trong bản chính; không phải thao tác soạn thảo</x:v>
      </x:c>
      <x:c r="I64" s="123" t="str">
        <x:v>Không áp dụng</x:v>
      </x:c>
      <x:c r="J64" s="136" t="str">
        <x:v>—</x:v>
      </x:c>
      <x:c r="K64" s="123" t="str">
        <x:v>Không áp dụng</x:v>
      </x:c>
      <x:c r="L64" s="123" t="str">
        <x:v>Không áp dụng</x:v>
      </x:c>
      <x:c r="M64" s="123" t="str">
        <x:v>Không áp dụng</x:v>
      </x:c>
      <x:c r="N64" s="123" t="str">
        <x:v>Theo vùng có dấu/chữ ký thật</x:v>
      </x:c>
      <x:c r="O64" s="135"/>
      <x:c r="P64" s="135"/>
      <x:c r="Q64" s="123"/>
      <x:c r="R64" s="123" t="str">
        <x:v>Protected visual/signature anchor; không chèn hoặc xóa</x:v>
      </x:c>
      <x:c r="S64" s="123" t="str">
        <x:v>Không kiểm tra hiệu lực ký số nếu chưa có dịch vụ/xác thực</x:v>
      </x:c>
      <x:c r="T64" s="123" t="str">
        <x:v>HD05, Phần II, I.8</x:v>
      </x:c>
      <x:c r="U64" s="123" t="str">
        <x:v>https://dangcongsan.vn/vanphongtrunguong/van-ban-cua-dang/huong-dan-so-05-hd-vptw-ngay-27-5-2026-cua-van-phong-trung-uong-dang-ve-the-thuc-va-ky-thuat-trinh-bay-van-ban-cua-dang.html?categoryId=3000525</x:v>
      </x:c>
      <x:c r="V64" s="123" t="str">
        <x:v>https://thuvienphapluat.vn/van-ban/Bo-may-hanh-chinh/Huong-dan-05-HD-VPTW-2026-the-thuc-va-ky-thuat-trinh-bay-van-ban-cua-Dang-707499.aspx</x:v>
      </x:c>
      <x:c r="W64" s="123" t="str">
        <x:v>CHƯA ĐỦ BẰNG CHỨNG</x:v>
      </x:c>
      <x:c r="X64" s="123" t="str">
        <x:v>PROTECTED</x:v>
      </x:c>
      <x:c r="Y64" s="123" t="str">
        <x:v>Ngoài phạm vi can thiệp khi soạn thảo; không tự tạo chữ ký số/dấu hay xác nhận pháp lý. | Trạng thái v1.0: BẢO VỆ</x:v>
      </x:c>
      <x:c r="Z64" s="135" t="str">
        <x:v>Chỉ xác định vùng bảo vệ; không ký/đóng dấu/chèn ảnh hay sửa dấu</x:v>
      </x:c>
      <x:c r="AA64" s="123" t="str">
        <x:v>ProtectedSealOrSignature</x:v>
      </x:c>
      <x:c r="AB64" s="135" t="str">
        <x:v>BẢO VỆ</x:v>
      </x:c>
      <x:c r="AC64" s="123" t="str">
        <x:v>PROTECTED</x:v>
      </x:c>
      <x:c r="AD64" s="123" t="str">
        <x:v>PLUGIN:HOA-TIEU-MIEN-BAC-PARTY-HD05-HEADER-2026 | NEEDS_REVIEW</x:v>
      </x:c>
      <x:c r="AE64" s="123" t="str">
        <x:v>GATE: xác minh chủ thể HD05 trước; Đối chiếu đúng vị trí; không điền dữ liệu; không chạm dấu/chữ ký hoặc trường được bảo vệ.</x:v>
      </x:c>
      <x:c r="AF64" s="123" t="str">
        <x:v>Đảng ủy: chỉ chọn khi chủ thể ban hành và phạm vi HD05 đã được xác minh.</x:v>
      </x:c>
      <x:c r="AG64" s="157"/>
      <x:c r="AH64" s="157"/>
      <x:c r="AI64" s="157"/>
      <x:c r="AJ64" s="195"/>
      <x:c r="AK64" s="157" t="str">
        <x:v>KHÔNG ÁP DỤNG</x:v>
      </x:c>
      <x:c r="AL64" s="157" t="str">
        <x:v>KHÔNG ÁP DỤNG</x:v>
      </x:c>
      <x:c r="AM64" s="157"/>
      <x:c r="AN64" s="157"/>
      <x:c r="AO64" s="157"/>
      <x:c r="AP64" s="157"/>
      <x:c r="AQ64" s="195"/>
      <x:c r="AR64" s="157"/>
      <x:c r="AS64" s="195"/>
      <x:c r="AT64" s="195"/>
      <x:c r="AU64" s="195"/>
      <x:c r="AV64" s="195"/>
      <x:c r="AW64" s="195"/>
      <x:c r="AX64" s="157"/>
      <x:c r="AY64" s="157"/>
      <x:c r="AZ64" s="157"/>
      <x:c r="BA64" s="195"/>
      <x:c r="BB64" s="195"/>
      <x:c r="BC64" s="157"/>
      <x:c r="BD64" s="195"/>
      <x:c r="BE64" s="195"/>
      <x:c r="BF64" s="195"/>
      <x:c r="BG64" s="195"/>
      <x:c r="BH64" s="157"/>
      <x:c r="BI64" s="195"/>
      <x:c r="BJ64" s="195"/>
      <x:c r="BK64" s="195"/>
      <x:c r="BL64" s="157"/>
      <x:c r="BM64" s="157"/>
      <x:c r="BN64" s="157"/>
      <x:c r="BO64" s="195"/>
      <x:c r="BP64" s="195"/>
      <x:c r="BQ64" s="157"/>
      <x:c r="BR64" s="157"/>
      <x:c r="BS64" s="157"/>
      <x:c r="BT64" s="157" t="str">
        <x:v>ProtectedSealOrSignature</x:v>
      </x:c>
      <x:c r="BU64" s="157" t="str">
        <x:v>Protected visual/signature anchor; không chèn hoặc xóa</x:v>
      </x:c>
      <x:c r="BV64" s="196" t="str">
        <x:v>BẢO VỆ</x:v>
      </x:c>
      <x:c r="BW64" s="197" t="str">
        <x:v>CHƯA CÓ THÔNG SỐ ĐỊNH LƯỢNG</x:v>
      </x:c>
      <x:c r="BX64" s="157" t="str">
        <x:v>Đối chiếu mô tả gốc ở I–S, Z–AF nếu thuộc tính phụ thuộc mẫu.</x:v>
      </x:c>
      <x:c r="BY64" t="str">
        <x:v>HD05.C.DAU.CHU_KY_SO</x:v>
      </x:c>
      <x:c r="BZ64" t="str">
        <x:f>IFERROR(INDEX(HD05!$J$7:$J$300,MATCH($B64,HD05!$B$7:$B$300,0)),"UNRESOLVED")</x:f>
        <x:v>Không áp dụng</x:v>
      </x:c>
      <x:c r="CA64" t="str">
        <x:v>SIGNATURE_OR_SEAL</x:v>
      </x:c>
      <x:c r="CB64" t="str">
        <x:v>party_issuer_confirmed AND issue_date&gt;=2026-05-27 AND doc_type_confirmed</x:v>
      </x:c>
      <x:c r="CC64" t="str">
        <x:f>IFERROR(INDEX(HD05!$X$7:$X$300,MATCH($B64,HD05!$B$7:$B$300,0)),"UNRESOLVED")</x:f>
        <x:v>BẢO VỆ / KHÔNG TỰ SỬA</x:v>
      </x:c>
      <x:c r="CD64" t="str">
        <x:f>IF(OR(ISNUMBER(SEARCH("READ_ONLY",CC64)),ISNUMBER(SEARCH("PROTECTED",CC64)),ISNUMBER(SEARCH("BẢO VỆ",CC64)),ISNUMBER(SEARCH("KHÔNG KÝ",CC64))),"PROTECTED","CHECK_ONLY")</x:f>
        <x:v>PROTECTED</x:v>
      </x:c>
      <x:c r="CE64" t="str">
        <x:f>IF(AND(CD64="FORMAT_APPROVED",CU64="CÓ",CV64="CÓ",CH64="CÓ",CI64="CÓ",CJ64="CÓ"),"CÓ","KHÔNG")</x:f>
        <x:v>KHÔNG</x:v>
      </x:c>
      <x:c r="CF64" t="str">
        <x:v>KHÔNG</x:v>
      </x:c>
      <x:c r="CG64" t="str">
        <x:v>CÓ</x:v>
      </x:c>
      <x:c r="CH64" t="str">
        <x:v>KHÔNG</x:v>
      </x:c>
      <x:c r="CI64" t="str">
        <x:v>KHÔNG</x:v>
      </x:c>
      <x:c r="CJ64" t="str">
        <x:v>KHÔNG</x:v>
      </x:c>
      <x:c r="CK64" t="str">
        <x:f>IF(AND(CE64="CÓ",CF64="KHÔNG",CG64="CÓ",CU64="CÓ",CV64="CÓ",CH64="CÓ",CI64="CÓ",CJ64="CÓ"),"CÓ","KHÔNG")</x:f>
        <x:v>KHÔNG</x:v>
      </x:c>
      <x:c r="CL64" t="str">
        <x:v>PILOT_NORTH_PROFILE_DRAFT; chưa có master DOCX đã duyệt</x:v>
      </x:c>
      <x:c r="CM64" t="str">
        <x:v>v1.5 (nâng từ v1.4)</x:v>
      </x:c>
      <x:c r="CN64" t="str">
        <x:v>CHƯA XÁC NHẬN CHỦ THỂ ĐẢNG</x:v>
      </x:c>
      <x:c r="CO64" t="str">
        <x:v>HD05_C_DAU_CHU_KY_SO_FIELD_ONLY; chưa tạo trong Word</x:v>
      </x:c>
      <x:c r="CP64" t="str">
        <x:v>Preset là cấu hình Công ty; không thay thế giới hạn của nguồn NĐ30/HD05</x:v>
      </x:c>
      <x:c r="CQ64" t="str">
        <x:f>IF(OR(BH64="CÓ",BH64=TRUE),BI64,"")</x:f>
      </x:c>
      <x:c r="CR64" t="str">
        <x:f>IF(OR(BH64="CÓ",BH64=TRUE),BJ64,"")</x:f>
      </x:c>
      <x:c r="CS64" t="str">
        <x:v>STRUCTURAL_CHECK_ONLY</x:v>
      </x:c>
      <x:c r="CT64" t="str">
        <x:v>PENDING_SOURCE_AND_DOCX_QA</x:v>
      </x:c>
      <x:c r="CU64" t="str">
        <x:v>KHÔNG</x:v>
      </x:c>
      <x:c r="CV64" t="str">
        <x:v>KHÔNG</x:v>
      </x:c>
      <x:c r="CW64" t="str"/>
    </x:row>
    <x:row r="65" ht="29" customHeight="1">
      <x:c r="A65" s="125" t="n">
        <x:v>59</x:v>
      </x:c>
      <x:c r="B65" s="123" t="str">
        <x:v>HD05.G.TRANG.KHO_GIAY</x:v>
      </x:c>
      <x:c r="C65" s="123" t="str">
        <x:v>Định dạng chung</x:v>
      </x:c>
      <x:c r="D65" s="123" t="str">
        <x:v>Khổ giấy, lề, trang</x:v>
      </x:c>
      <x:c r="E65" s="123" t="str">
        <x:v>Khổ giấy</x:v>
      </x:c>
      <x:c r="F65" s="123" t="str">
        <x:v>—</x:v>
      </x:c>
      <x:c r="G65" s="123" t="str">
        <x:v>Dùng cho văn bản chính theo profile; loại trừ bản sao/phụ lục riêng khi chưa có route</x:v>
      </x:c>
      <x:c r="H65" s="123" t="str">
        <x:v>Khổ giấy A4 cho văn bản chính</x:v>
      </x:c>
      <x:c r="I65" s="123" t="str">
        <x:v>Không áp dụng</x:v>
      </x:c>
      <x:c r="J65" s="136" t="str">
        <x:v>—</x:v>
      </x:c>
      <x:c r="K65" s="123" t="str">
        <x:v>Không áp dụng</x:v>
      </x:c>
      <x:c r="L65" s="123" t="str">
        <x:v>Không áp dụng</x:v>
      </x:c>
      <x:c r="M65" s="123" t="str">
        <x:v>Không áp dụng</x:v>
      </x:c>
      <x:c r="N65" s="123"/>
      <x:c r="O65" s="135"/>
      <x:c r="P65" s="135"/>
      <x:c r="Q65" s="123"/>
      <x:c r="R65" s="123" t="str">
        <x:v>Word settings | w:pgSz = 11906 × 16838 twip</x:v>
      </x:c>
      <x:c r="S65" s="123" t="str">
        <x:v>A4 | 210 × 297 mm</x:v>
      </x:c>
      <x:c r="T65" s="123" t="str">
        <x:v>HD05, Phần II, IV; Phụ lục 2</x:v>
      </x:c>
      <x:c r="U65" s="123" t="str">
        <x:v>https://dangcongsan.vn/vanphongtrunguong/van-ban-cua-dang/huong-dan-so-05-hd-vptw-ngay-27-5-2026-cua-van-phong-trung-uong-dang-ve-the-thuc-va-ky-thuat-trinh-bay-van-ban-cua-dang.html?categoryId=3000525</x:v>
      </x:c>
      <x:c r="V65" s="123" t="str">
        <x:v>https://thuvienphapluat.vn/van-ban/Bo-may-hanh-chinh/Huong-dan-05-HD-VPTW-2026-the-thuc-va-ky-thuat-trinh-bay-van-ban-cua-Dang-707499.aspx</x:v>
      </x:c>
      <x:c r="W65" s="123" t="str">
        <x:v>ĐỐI CHIẾU MỘT PHẦN</x:v>
      </x:c>
      <x:c r="X65" s="123" t="str">
        <x:v>CHECK_ONLY</x:v>
      </x:c>
      <x:c r="Y65" s="123" t="str">
        <x:v>Không tự chèn/sửa khi chưa có chứng cứ về đối tượng và rule.</x:v>
      </x:c>
      <x:c r="Z65" s="135" t="str">
        <x:v>A4 | 210 × 297 mm</x:v>
      </x:c>
      <x:c r="AA65" s="123" t="str">
        <x:v>DocumentSettings</x:v>
      </x:c>
      <x:c r="AB65" s="135" t="str">
        <x:v>DỰ THẢO — CẦN DUYỆT HD05</x:v>
      </x:c>
      <x:c r="AC65" s="123" t="str">
        <x:v>CHECK_ONLY</x:v>
      </x:c>
      <x:c r="AD65" s="123" t="str">
        <x:v>PLUGIN:HOA-TIEU-MIEN-BAC-PARTY-HD05-HEADER-2026 | NEEDS_REVIEW</x:v>
      </x:c>
      <x:c r="AE65" s="123" t="str">
        <x:v>GATE: xác minh chủ thể HD05 trước; Kiểm tra w:sectPr/w:pPr/w:rPr và bản render Word, đối chiếu quy định + preset.</x:v>
      </x:c>
      <x:c r="AF65" s="123" t="str">
        <x:v>Đảng ủy: chỉ chọn khi chủ thể ban hành và phạm vi HD05 đã được xác minh.</x:v>
      </x:c>
      <x:c r="AG65" s="157"/>
      <x:c r="AH65" s="157"/>
      <x:c r="AI65" s="157"/>
      <x:c r="AJ65" s="195"/>
      <x:c r="AK65" s="157" t="str">
        <x:v>KHÔNG ÁP DỤNG</x:v>
      </x:c>
      <x:c r="AL65" s="157" t="str">
        <x:v>KHÔNG ÁP DỤNG</x:v>
      </x:c>
      <x:c r="AM65" s="157"/>
      <x:c r="AN65" s="157"/>
      <x:c r="AO65" s="157"/>
      <x:c r="AP65" s="157"/>
      <x:c r="AQ65" s="195"/>
      <x:c r="AR65" s="157"/>
      <x:c r="AS65" s="195"/>
      <x:c r="AT65" s="195"/>
      <x:c r="AU65" s="195"/>
      <x:c r="AV65" s="195"/>
      <x:c r="AW65" s="195"/>
      <x:c r="AX65" s="157"/>
      <x:c r="AY65" s="157"/>
      <x:c r="AZ65" s="157" t="str">
        <x:v>A4</x:v>
      </x:c>
      <x:c r="BA65" s="195" t="n">
        <x:v>210</x:v>
      </x:c>
      <x:c r="BB65" s="195" t="n">
        <x:v>297</x:v>
      </x:c>
      <x:c r="BC65" s="157"/>
      <x:c r="BD65" s="195"/>
      <x:c r="BE65" s="195"/>
      <x:c r="BF65" s="195"/>
      <x:c r="BG65" s="195"/>
      <x:c r="BH65" s="157"/>
      <x:c r="BI65" s="195"/>
      <x:c r="BJ65" s="195"/>
      <x:c r="BK65" s="195"/>
      <x:c r="BL65" s="157"/>
      <x:c r="BM65" s="157"/>
      <x:c r="BN65" s="157"/>
      <x:c r="BO65" s="195"/>
      <x:c r="BP65" s="195"/>
      <x:c r="BQ65" s="157"/>
      <x:c r="BR65" s="157"/>
      <x:c r="BS65" s="157"/>
      <x:c r="BT65" s="157" t="str">
        <x:v>DocumentSettings</x:v>
      </x:c>
      <x:c r="BU65" s="157" t="str">
        <x:v>Word settings | w:pgSz = 11906 × 16838 twip</x:v>
      </x:c>
      <x:c r="BV65" s="196" t="str">
        <x:v>DỰ THẢO — CẦN DUYỆT HD05</x:v>
      </x:c>
      <x:c r="BW65" s="197" t="str">
        <x:v>ĐÃ TÁCH MỘT PHẦN</x:v>
      </x:c>
      <x:c r="BX65" s="157" t="str">
        <x:v>Cấu hình profile chưa được xác nhận; giữ nguyên chính sách CHECK_ONLY.</x:v>
      </x:c>
      <x:c r="BY65" t="str">
        <x:v>HD05.G.TRANG.KHO_GIAY</x:v>
      </x:c>
      <x:c r="BZ65" t="str">
        <x:f>IFERROR(INDEX(HD05!$J$7:$J$300,MATCH($B65,HD05!$B$7:$B$300,0)),"UNRESOLVED")</x:f>
        <x:v>Không áp dụng</x:v>
      </x:c>
      <x:c r="CA65" t="str">
        <x:v>DOCUMENT_SETTING</x:v>
      </x:c>
      <x:c r="CB65" t="str">
        <x:v>party_issuer_confirmed AND issue_date&gt;=2026-05-27 AND doc_type_confirmed</x:v>
      </x:c>
      <x:c r="CC65" t="str">
        <x:f>IFERROR(INDEX(HD05!$X$7:$X$300,MATCH($B65,HD05!$B$7:$B$300,0)),"UNRESOLVED")</x:f>
        <x:v>CHỈ SAU REVIEW</x:v>
      </x:c>
      <x:c r="CD65" t="str">
        <x:f>IF(OR(ISNUMBER(SEARCH("READ_ONLY",CC65)),ISNUMBER(SEARCH("PROTECTED",CC65)),ISNUMBER(SEARCH("BẢO VỆ",CC65)),ISNUMBER(SEARCH("KHÔNG KÝ",CC65))),"PROTECTED","CHECK_ONLY")</x:f>
        <x:v>CHECK_ONLY</x:v>
      </x:c>
      <x:c r="CE65" t="str">
        <x:f>IF(AND(CD65="FORMAT_APPROVED",CU65="CÓ",CV65="CÓ",CH65="CÓ",CI65="CÓ",CJ65="CÓ"),"CÓ","KHÔNG")</x:f>
        <x:v>KHÔNG</x:v>
      </x:c>
      <x:c r="CF65" t="str">
        <x:v>KHÔNG</x:v>
      </x:c>
      <x:c r="CG65" t="str">
        <x:v>CÓ</x:v>
      </x:c>
      <x:c r="CH65" t="str">
        <x:v>KHÔNG</x:v>
      </x:c>
      <x:c r="CI65" t="str">
        <x:v>KHÔNG</x:v>
      </x:c>
      <x:c r="CJ65" t="str">
        <x:v>KHÔNG</x:v>
      </x:c>
      <x:c r="CK65" t="str">
        <x:f>IF(AND(CE65="CÓ",CF65="KHÔNG",CG65="CÓ",CU65="CÓ",CV65="CÓ",CH65="CÓ",CI65="CÓ",CJ65="CÓ"),"CÓ","KHÔNG")</x:f>
        <x:v>KHÔNG</x:v>
      </x:c>
      <x:c r="CL65" t="str">
        <x:v>PILOT_NORTH_PROFILE_DRAFT; chưa có master DOCX đã duyệt</x:v>
      </x:c>
      <x:c r="CM65" t="str">
        <x:v>v1.5 (nâng từ v1.4)</x:v>
      </x:c>
      <x:c r="CN65" t="str">
        <x:v>CHƯA XÁC NHẬN CHỦ THỂ ĐẢNG</x:v>
      </x:c>
      <x:c r="CO65" t="str">
        <x:v>HD05_G_TRANG_KHO_GIAY_FIELD_ONLY; chưa tạo trong Word</x:v>
      </x:c>
      <x:c r="CP65" t="str">
        <x:v>Preset là cấu hình Công ty; không thay thế giới hạn của nguồn NĐ30/HD05</x:v>
      </x:c>
      <x:c r="CQ65" t="str">
        <x:f>IF(OR(BH65="CÓ",BH65=TRUE),BI65,"")</x:f>
      </x:c>
      <x:c r="CR65" t="str">
        <x:f>IF(OR(BH65="CÓ",BH65=TRUE),BJ65,"")</x:f>
      </x:c>
      <x:c r="CS65" t="str">
        <x:v>DOCUMENT_SETTINGS_CHECK_ONLY</x:v>
      </x:c>
      <x:c r="CT65" t="str">
        <x:v>PENDING_SOURCE_AND_DOCX_QA</x:v>
      </x:c>
      <x:c r="CU65" t="str">
        <x:v>KHÔNG</x:v>
      </x:c>
      <x:c r="CV65" t="str">
        <x:v>KHÔNG</x:v>
      </x:c>
      <x:c r="CW65" t="str"/>
    </x:row>
    <x:row r="66" ht="29" customHeight="1">
      <x:c r="A66" s="125" t="n">
        <x:v>60</x:v>
      </x:c>
      <x:c r="B66" s="123" t="str">
        <x:v>HD05.G.TRANG.HUONG_GIAY</x:v>
      </x:c>
      <x:c r="C66" s="123" t="str">
        <x:v>Định dạng chung</x:v>
      </x:c>
      <x:c r="D66" s="123" t="str">
        <x:v>Khổ giấy, lề, trang</x:v>
      </x:c>
      <x:c r="E66" s="123" t="str">
        <x:v>Hướng giấy</x:v>
      </x:c>
      <x:c r="F66" s="123" t="str">
        <x:v>—</x:v>
      </x:c>
      <x:c r="G66" s="123" t="str">
        <x:v>Dùng cho văn bản chính theo profile; loại trừ bản sao/phụ lục riêng khi chưa có route</x:v>
      </x:c>
      <x:c r="H66" s="123" t="str">
        <x:v>Portrait; landscape khi bảng/biểu cần và thỏa điều kiện</x:v>
      </x:c>
      <x:c r="I66" s="123" t="str">
        <x:v>Không áp dụng</x:v>
      </x:c>
      <x:c r="J66" s="136" t="str">
        <x:v>—</x:v>
      </x:c>
      <x:c r="K66" s="123" t="str">
        <x:v>Không áp dụng</x:v>
      </x:c>
      <x:c r="L66" s="123" t="str">
        <x:v>Không áp dụng</x:v>
      </x:c>
      <x:c r="M66" s="123" t="str">
        <x:v>Không áp dụng</x:v>
      </x:c>
      <x:c r="N66" s="123" t="str">
        <x:v>Dọc (portrait) cho văn bản thông thường</x:v>
      </x:c>
      <x:c r="O66" s="135"/>
      <x:c r="P66" s="135"/>
      <x:c r="Q66" s="123"/>
      <x:c r="R66" s="123" t="str">
        <x:v>Word settings | w:pgSz orient=portrait</x:v>
      </x:c>
      <x:c r="S66" s="123" t="str">
        <x:v>Portrait | dọc; bảng rộng được tách section ngang khi duyệt</x:v>
      </x:c>
      <x:c r="T66" s="123" t="str">
        <x:v>HD05, Phần II, IV; Phụ lục 2</x:v>
      </x:c>
      <x:c r="U66" s="123" t="str">
        <x:v>https://dangcongsan.vn/vanphongtrunguong/van-ban-cua-dang/huong-dan-so-05-hd-vptw-ngay-27-5-2026-cua-van-phong-trung-uong-dang-ve-the-thuc-va-ky-thuat-trinh-bay-van-ban-cua-dang.html?categoryId=3000525</x:v>
      </x:c>
      <x:c r="V66" s="123" t="str">
        <x:v>https://thuvienphapluat.vn/van-ban/Bo-may-hanh-chinh/Huong-dan-05-HD-VPTW-2026-the-thuc-va-ky-thuat-trinh-bay-van-ban-cua-Dang-707499.aspx</x:v>
      </x:c>
      <x:c r="W66" s="123" t="str">
        <x:v>CHƯA ĐỦ BẰNG CHỨNG</x:v>
      </x:c>
      <x:c r="X66" s="123" t="str">
        <x:v>CHECK_ONLY</x:v>
      </x:c>
      <x:c r="Y66" s="123" t="str">
        <x:v>Không tự chèn/sửa khi chưa có chứng cứ về đối tượng và rule. | Trạng thái v1.0: CÓ ĐIỀU KIỆN</x:v>
      </x:c>
      <x:c r="Z66" s="135" t="str">
        <x:v>Portrait | dọc; bảng rộng được tách section ngang khi duyệt</x:v>
      </x:c>
      <x:c r="AA66" s="123" t="str">
        <x:v>DocumentSettings</x:v>
      </x:c>
      <x:c r="AB66" s="135" t="str">
        <x:v>DỰ THẢO — CẦN DUYỆT HD05</x:v>
      </x:c>
      <x:c r="AC66" s="123" t="str">
        <x:v>CHECK_ONLY</x:v>
      </x:c>
      <x:c r="AD66" s="123" t="str">
        <x:v>PLUGIN:HOA-TIEU-MIEN-BAC-PARTY-HD05-HEADER-2026 | NEEDS_REVIEW</x:v>
      </x:c>
      <x:c r="AE66" s="123" t="str">
        <x:v>GATE: xác minh chủ thể HD05 trước; Kiểm tra w:sectPr/w:pPr/w:rPr và bản render Word, đối chiếu quy định + preset.</x:v>
      </x:c>
      <x:c r="AF66" s="123" t="str">
        <x:v>Đảng ủy: chỉ chọn khi chủ thể ban hành và phạm vi HD05 đã được xác minh.</x:v>
      </x:c>
      <x:c r="AG66" s="157"/>
      <x:c r="AH66" s="157"/>
      <x:c r="AI66" s="157"/>
      <x:c r="AJ66" s="195"/>
      <x:c r="AK66" s="157" t="str">
        <x:v>KHÔNG ÁP DỤNG</x:v>
      </x:c>
      <x:c r="AL66" s="157" t="str">
        <x:v>KHÔNG ÁP DỤNG</x:v>
      </x:c>
      <x:c r="AM66" s="157"/>
      <x:c r="AN66" s="157"/>
      <x:c r="AO66" s="157"/>
      <x:c r="AP66" s="157"/>
      <x:c r="AQ66" s="195"/>
      <x:c r="AR66" s="157"/>
      <x:c r="AS66" s="195"/>
      <x:c r="AT66" s="195"/>
      <x:c r="AU66" s="195"/>
      <x:c r="AV66" s="195"/>
      <x:c r="AW66" s="195"/>
      <x:c r="AX66" s="157"/>
      <x:c r="AY66" s="157"/>
      <x:c r="AZ66" s="157"/>
      <x:c r="BA66" s="195"/>
      <x:c r="BB66" s="195"/>
      <x:c r="BC66" s="157" t="str">
        <x:v>PORTRAIT</x:v>
      </x:c>
      <x:c r="BD66" s="195"/>
      <x:c r="BE66" s="195"/>
      <x:c r="BF66" s="195"/>
      <x:c r="BG66" s="195"/>
      <x:c r="BH66" s="157"/>
      <x:c r="BI66" s="195"/>
      <x:c r="BJ66" s="195"/>
      <x:c r="BK66" s="195"/>
      <x:c r="BL66" s="157"/>
      <x:c r="BM66" s="157"/>
      <x:c r="BN66" s="157"/>
      <x:c r="BO66" s="195"/>
      <x:c r="BP66" s="195"/>
      <x:c r="BQ66" s="157"/>
      <x:c r="BR66" s="157"/>
      <x:c r="BS66" s="157"/>
      <x:c r="BT66" s="157" t="str">
        <x:v>DocumentSettings</x:v>
      </x:c>
      <x:c r="BU66" s="157" t="str">
        <x:v>Word settings | w:pgSz orient=portrait</x:v>
      </x:c>
      <x:c r="BV66" s="196" t="str">
        <x:v>DỰ THẢO — CẦN DUYỆT HD05</x:v>
      </x:c>
      <x:c r="BW66" s="197" t="str">
        <x:v>CHƯA CÓ THÔNG SỐ ĐỊNH LƯỢNG</x:v>
      </x:c>
      <x:c r="BX66" s="157" t="str">
        <x:v>Cấu hình profile chưa được xác nhận; giữ nguyên chính sách CHECK_ONLY.</x:v>
      </x:c>
      <x:c r="BY66" t="str">
        <x:v>HD05.G.TRANG.HUONG_GIAY</x:v>
      </x:c>
      <x:c r="BZ66" t="str">
        <x:f>IFERROR(INDEX(HD05!$J$7:$J$300,MATCH($B66,HD05!$B$7:$B$300,0)),"UNRESOLVED")</x:f>
        <x:v>Không áp dụng</x:v>
      </x:c>
      <x:c r="CA66" t="str">
        <x:v>DOCUMENT_SETTING</x:v>
      </x:c>
      <x:c r="CB66" t="str">
        <x:v>party_issuer_confirmed AND issue_date&gt;=2026-05-27 AND doc_type_confirmed</x:v>
      </x:c>
      <x:c r="CC66" t="str">
        <x:f>IFERROR(INDEX(HD05!$X$7:$X$300,MATCH($B66,HD05!$B$7:$B$300,0)),"UNRESOLVED")</x:f>
        <x:v>CHỈ SAU REVIEW</x:v>
      </x:c>
      <x:c r="CD66" t="str">
        <x:f>IF(OR(ISNUMBER(SEARCH("READ_ONLY",CC66)),ISNUMBER(SEARCH("PROTECTED",CC66)),ISNUMBER(SEARCH("BẢO VỆ",CC66)),ISNUMBER(SEARCH("KHÔNG KÝ",CC66))),"PROTECTED","CHECK_ONLY")</x:f>
        <x:v>CHECK_ONLY</x:v>
      </x:c>
      <x:c r="CE66" t="str">
        <x:f>IF(AND(CD66="FORMAT_APPROVED",CU66="CÓ",CV66="CÓ",CH66="CÓ",CI66="CÓ",CJ66="CÓ"),"CÓ","KHÔNG")</x:f>
        <x:v>KHÔNG</x:v>
      </x:c>
      <x:c r="CF66" t="str">
        <x:v>KHÔNG</x:v>
      </x:c>
      <x:c r="CG66" t="str">
        <x:v>CÓ</x:v>
      </x:c>
      <x:c r="CH66" t="str">
        <x:v>KHÔNG</x:v>
      </x:c>
      <x:c r="CI66" t="str">
        <x:v>KHÔNG</x:v>
      </x:c>
      <x:c r="CJ66" t="str">
        <x:v>KHÔNG</x:v>
      </x:c>
      <x:c r="CK66" t="str">
        <x:f>IF(AND(CE66="CÓ",CF66="KHÔNG",CG66="CÓ",CU66="CÓ",CV66="CÓ",CH66="CÓ",CI66="CÓ",CJ66="CÓ"),"CÓ","KHÔNG")</x:f>
        <x:v>KHÔNG</x:v>
      </x:c>
      <x:c r="CL66" t="str">
        <x:v>PILOT_NORTH_PROFILE_DRAFT; chưa có master DOCX đã duyệt</x:v>
      </x:c>
      <x:c r="CM66" t="str">
        <x:v>v1.5 (nâng từ v1.4)</x:v>
      </x:c>
      <x:c r="CN66" t="str">
        <x:v>CHƯA XÁC NHẬN CHỦ THỂ ĐẢNG</x:v>
      </x:c>
      <x:c r="CO66" t="str">
        <x:v>HD05_G_TRANG_HUONG_GIAY_FIELD_ONLY; chưa tạo trong Word</x:v>
      </x:c>
      <x:c r="CP66" t="str">
        <x:v>Preset là cấu hình Công ty; không thay thế giới hạn của nguồn NĐ30/HD05</x:v>
      </x:c>
      <x:c r="CQ66" t="str">
        <x:f>IF(OR(BH66="CÓ",BH66=TRUE),BI66,"")</x:f>
      </x:c>
      <x:c r="CR66" t="str">
        <x:f>IF(OR(BH66="CÓ",BH66=TRUE),BJ66,"")</x:f>
      </x:c>
      <x:c r="CS66" t="str">
        <x:v>DOCUMENT_SETTINGS_CHECK_ONLY</x:v>
      </x:c>
      <x:c r="CT66" t="str">
        <x:v>PENDING_SOURCE_AND_DOCX_QA</x:v>
      </x:c>
      <x:c r="CU66" t="str">
        <x:v>KHÔNG</x:v>
      </x:c>
      <x:c r="CV66" t="str">
        <x:v>KHÔNG</x:v>
      </x:c>
      <x:c r="CW66" t="str"/>
    </x:row>
    <x:row r="67" ht="29" customHeight="1">
      <x:c r="A67" s="125" t="n">
        <x:v>61</x:v>
      </x:c>
      <x:c r="B67" s="123" t="str">
        <x:v>HD05.G.TRANG.LE_TRANG</x:v>
      </x:c>
      <x:c r="C67" s="123" t="str">
        <x:v>Định dạng chung</x:v>
      </x:c>
      <x:c r="D67" s="123" t="str">
        <x:v>Khổ giấy, lề, trang</x:v>
      </x:c>
      <x:c r="E67" s="123" t="str">
        <x:v>Lề trang</x:v>
      </x:c>
      <x:c r="F67" s="123" t="str">
        <x:v>—</x:v>
      </x:c>
      <x:c r="G67" s="123" t="str">
        <x:v>Dùng cho văn bản chính theo profile; loại trừ bản sao/phụ lục riêng khi chưa có route</x:v>
      </x:c>
      <x:c r="H67" s="123" t="str">
        <x:v>Lề trang theo hệ và section</x:v>
      </x:c>
      <x:c r="I67" s="123" t="str">
        <x:v>Không áp dụng</x:v>
      </x:c>
      <x:c r="J67" s="136" t="str">
        <x:v>—</x:v>
      </x:c>
      <x:c r="K67" s="123" t="str">
        <x:v>Không áp dụng</x:v>
      </x:c>
      <x:c r="L67" s="123" t="str">
        <x:v>Không áp dụng</x:v>
      </x:c>
      <x:c r="M67" s="123" t="str">
        <x:v>Không áp dụng</x:v>
      </x:c>
      <x:c r="N67" s="123"/>
      <x:c r="O67" s="135"/>
      <x:c r="P67" s="135" t="str">
        <x:v>T20 / D20 / Tr30 / P15 mm (mặt trước)</x:v>
      </x:c>
      <x:c r="Q67" s="123"/>
      <x:c r="R67" s="123" t="str">
        <x:v>Word settings | w:pgMar t=1134 b=1134 l=1701 r=850 twip</x:v>
      </x:c>
      <x:c r="S67" s="123" t="str">
        <x:v>Trên 20; dưới 20; trái 30; phải 15 mm</x:v>
      </x:c>
      <x:c r="T67" s="123" t="str">
        <x:v>HD05, Phần II, IV; Phụ lục 2</x:v>
      </x:c>
      <x:c r="U67" s="123" t="str">
        <x:v>https://dangcongsan.vn/vanphongtrunguong/van-ban-cua-dang/huong-dan-so-05-hd-vptw-ngay-27-5-2026-cua-van-phong-trung-uong-dang-ve-the-thuc-va-ky-thuat-trinh-bay-van-ban-cua-dang.html?categoryId=3000525</x:v>
      </x:c>
      <x:c r="V67" s="123" t="str">
        <x:v>https://thuvienphapluat.vn/van-ban/Bo-may-hanh-chinh/Huong-dan-05-HD-VPTW-2026-the-thuc-va-ky-thuat-trinh-bay-van-ban-cua-Dang-707499.aspx</x:v>
      </x:c>
      <x:c r="W67" s="123" t="str">
        <x:v>ĐỐI CHIẾU MỘT PHẦN</x:v>
      </x:c>
      <x:c r="X67" s="123" t="str">
        <x:v>CHECK_ONLY</x:v>
      </x:c>
      <x:c r="Y67" s="123" t="str">
        <x:v>In hai mặt: đảo lề trái/phải mặt sau; không áp lập mặc định lên mọi tài liệu không in hai mặt.</x:v>
      </x:c>
      <x:c r="Z67" s="135" t="str">
        <x:v>Trên 20; dưới 20; trái 30; phải 15 mm</x:v>
      </x:c>
      <x:c r="AA67" s="123" t="str">
        <x:v>DocumentSettings</x:v>
      </x:c>
      <x:c r="AB67" s="135" t="str">
        <x:v>DỰ THẢO — CẦN DUYỆT HD05</x:v>
      </x:c>
      <x:c r="AC67" s="123" t="str">
        <x:v>CHECK_ONLY</x:v>
      </x:c>
      <x:c r="AD67" s="123" t="str">
        <x:v>PLUGIN:HOA-TIEU-MIEN-BAC-PARTY-HD05-HEADER-2026 | NEEDS_REVIEW</x:v>
      </x:c>
      <x:c r="AE67" s="123" t="str">
        <x:v>GATE: xác minh chủ thể HD05 trước; Kiểm tra w:sectPr/w:pPr/w:rPr và bản render Word, đối chiếu quy định + preset.</x:v>
      </x:c>
      <x:c r="AF67" s="123" t="str">
        <x:v>Mặt trước 30/15 mm; in hai mặt đổi 15/30 mm ở mặt sau theo HD05. | Đảng ủy: chỉ chọn khi chủ thể ban hành và phạm vi HD05 đã được xác minh.</x:v>
      </x:c>
      <x:c r="AG67" s="157"/>
      <x:c r="AH67" s="157"/>
      <x:c r="AI67" s="157"/>
      <x:c r="AJ67" s="195"/>
      <x:c r="AK67" s="157" t="str">
        <x:v>KHÔNG ÁP DỤNG</x:v>
      </x:c>
      <x:c r="AL67" s="157" t="str">
        <x:v>KHÔNG ÁP DỤNG</x:v>
      </x:c>
      <x:c r="AM67" s="157"/>
      <x:c r="AN67" s="157"/>
      <x:c r="AO67" s="157"/>
      <x:c r="AP67" s="157"/>
      <x:c r="AQ67" s="195"/>
      <x:c r="AR67" s="157"/>
      <x:c r="AS67" s="195"/>
      <x:c r="AT67" s="195"/>
      <x:c r="AU67" s="195"/>
      <x:c r="AV67" s="195"/>
      <x:c r="AW67" s="195"/>
      <x:c r="AX67" s="157"/>
      <x:c r="AY67" s="157"/>
      <x:c r="AZ67" s="157"/>
      <x:c r="BA67" s="195"/>
      <x:c r="BB67" s="195"/>
      <x:c r="BC67" s="157"/>
      <x:c r="BD67" s="195" t="n">
        <x:v>20</x:v>
      </x:c>
      <x:c r="BE67" s="195" t="n">
        <x:v>20</x:v>
      </x:c>
      <x:c r="BF67" s="195" t="n">
        <x:v>30</x:v>
      </x:c>
      <x:c r="BG67" s="195" t="n">
        <x:v>15</x:v>
      </x:c>
      <x:c r="BH67" s="157"/>
      <x:c r="BI67" s="195"/>
      <x:c r="BJ67" s="195"/>
      <x:c r="BK67" s="195"/>
      <x:c r="BL67" s="157"/>
      <x:c r="BM67" s="157"/>
      <x:c r="BN67" s="157"/>
      <x:c r="BO67" s="195"/>
      <x:c r="BP67" s="195"/>
      <x:c r="BQ67" s="157"/>
      <x:c r="BR67" s="157"/>
      <x:c r="BS67" s="157"/>
      <x:c r="BT67" s="157" t="str">
        <x:v>DocumentSettings</x:v>
      </x:c>
      <x:c r="BU67" s="157" t="str">
        <x:v>Word settings | w:pgMar t=1134 b=1134 l=1701 r=850 twip</x:v>
      </x:c>
      <x:c r="BV67" s="196" t="str">
        <x:v>DỰ THẢO — CẦN DUYỆT HD05</x:v>
      </x:c>
      <x:c r="BW67" s="197" t="str">
        <x:v>ĐÃ TÁCH MỘT PHẦN</x:v>
      </x:c>
      <x:c r="BX67" s="157" t="str">
        <x:v>Cấu hình profile chưa được xác nhận; giữ nguyên chính sách CHECK_ONLY.</x:v>
      </x:c>
      <x:c r="BY67" t="str">
        <x:v>HD05.G.TRANG.LE_TRANG</x:v>
      </x:c>
      <x:c r="BZ67" t="str">
        <x:f>IFERROR(INDEX(HD05!$J$7:$J$300,MATCH($B67,HD05!$B$7:$B$300,0)),"UNRESOLVED")</x:f>
        <x:v>Không áp dụng</x:v>
      </x:c>
      <x:c r="CA67" t="str">
        <x:v>DOCUMENT_SETTING</x:v>
      </x:c>
      <x:c r="CB67" t="str">
        <x:v>party_issuer_confirmed AND issue_date&gt;=2026-05-27 AND doc_type_confirmed</x:v>
      </x:c>
      <x:c r="CC67" t="str">
        <x:f>IFERROR(INDEX(HD05!$X$7:$X$300,MATCH($B67,HD05!$B$7:$B$300,0)),"UNRESOLVED")</x:f>
        <x:v>CHỈ SAU REVIEW</x:v>
      </x:c>
      <x:c r="CD67" t="str">
        <x:f>IF(OR(ISNUMBER(SEARCH("READ_ONLY",CC67)),ISNUMBER(SEARCH("PROTECTED",CC67)),ISNUMBER(SEARCH("BẢO VỆ",CC67)),ISNUMBER(SEARCH("KHÔNG KÝ",CC67))),"PROTECTED","CHECK_ONLY")</x:f>
        <x:v>CHECK_ONLY</x:v>
      </x:c>
      <x:c r="CE67" t="str">
        <x:f>IF(AND(CD67="FORMAT_APPROVED",CU67="CÓ",CV67="CÓ",CH67="CÓ",CI67="CÓ",CJ67="CÓ"),"CÓ","KHÔNG")</x:f>
        <x:v>KHÔNG</x:v>
      </x:c>
      <x:c r="CF67" t="str">
        <x:v>KHÔNG</x:v>
      </x:c>
      <x:c r="CG67" t="str">
        <x:v>CÓ</x:v>
      </x:c>
      <x:c r="CH67" t="str">
        <x:v>KHÔNG</x:v>
      </x:c>
      <x:c r="CI67" t="str">
        <x:v>KHÔNG</x:v>
      </x:c>
      <x:c r="CJ67" t="str">
        <x:v>KHÔNG</x:v>
      </x:c>
      <x:c r="CK67" t="str">
        <x:f>IF(AND(CE67="CÓ",CF67="KHÔNG",CG67="CÓ",CU67="CÓ",CV67="CÓ",CH67="CÓ",CI67="CÓ",CJ67="CÓ"),"CÓ","KHÔNG")</x:f>
        <x:v>KHÔNG</x:v>
      </x:c>
      <x:c r="CL67" t="str">
        <x:v>PILOT_NORTH_PROFILE_DRAFT; chưa có master DOCX đã duyệt</x:v>
      </x:c>
      <x:c r="CM67" t="str">
        <x:v>v1.5 (nâng từ v1.4)</x:v>
      </x:c>
      <x:c r="CN67" t="str">
        <x:v>CHƯA XÁC NHẬN CHỦ THỂ ĐẢNG</x:v>
      </x:c>
      <x:c r="CO67" t="str">
        <x:v>HD05_G_TRANG_LE_TRANG_FIELD_ONLY; chưa tạo trong Word</x:v>
      </x:c>
      <x:c r="CP67" t="str">
        <x:v>Preset là cấu hình Công ty; không thay thế giới hạn của nguồn NĐ30/HD05</x:v>
      </x:c>
      <x:c r="CQ67" t="str">
        <x:f>IF(OR(BH67="CÓ",BH67=TRUE),BI67,"")</x:f>
      </x:c>
      <x:c r="CR67" t="str">
        <x:f>IF(OR(BH67="CÓ",BH67=TRUE),BJ67,"")</x:f>
      </x:c>
      <x:c r="CS67" t="str">
        <x:v>DOCUMENT_SETTINGS_CHECK_ONLY</x:v>
      </x:c>
      <x:c r="CT67" t="str">
        <x:v>PENDING_SOURCE_AND_DOCX_QA</x:v>
      </x:c>
      <x:c r="CU67" t="str">
        <x:v>KHÔNG</x:v>
      </x:c>
      <x:c r="CV67" t="str">
        <x:v>KHÔNG</x:v>
      </x:c>
      <x:c r="CW67" t="str"/>
    </x:row>
    <x:row r="68" ht="29" customHeight="1">
      <x:c r="A68" s="125" t="n">
        <x:v>62</x:v>
      </x:c>
      <x:c r="B68" s="123" t="str">
        <x:v>HD05.G.CHU.PHONG</x:v>
      </x:c>
      <x:c r="C68" s="123" t="str">
        <x:v>Định dạng chung</x:v>
      </x:c>
      <x:c r="D68" s="123" t="str">
        <x:v>Phông và chữ</x:v>
      </x:c>
      <x:c r="E68" s="123" t="str">
        <x:v>Phông chữ</x:v>
      </x:c>
      <x:c r="F68" s="123" t="str">
        <x:v>—</x:v>
      </x:c>
      <x:c r="G68" s="123" t="str">
        <x:v>Dùng cho văn bản chính theo profile; loại trừ bản sao/phụ lục riêng khi chưa có route</x:v>
      </x:c>
      <x:c r="H68" s="123" t="str">
        <x:v>Áp dụng theo từng component</x:v>
      </x:c>
      <x:c r="I68" s="123" t="str">
        <x:v>Times New Roman | Unicode | đen</x:v>
      </x:c>
      <x:c r="J68" s="136" t="str">
        <x:v>—</x:v>
      </x:c>
      <x:c r="K68" s="123" t="str">
        <x:v>Không áp dụng</x:v>
      </x:c>
      <x:c r="L68" s="123" t="str">
        <x:v>Không áp dụng</x:v>
      </x:c>
      <x:c r="M68" s="123" t="str">
        <x:v>Không áp dụng</x:v>
      </x:c>
      <x:c r="N68" s="123"/>
      <x:c r="O68" s="135"/>
      <x:c r="P68" s="135"/>
      <x:c r="Q68" s="123"/>
      <x:c r="R68" s="123" t="str">
        <x:v>Word settings | w:rFonts=Times New Roman</x:v>
      </x:c>
      <x:c r="S68" s="123" t="str">
        <x:v>Times New Roman; Unicode; màu đen</x:v>
      </x:c>
      <x:c r="T68" s="123" t="str">
        <x:v>HD05, Phần II, IV; Phụ lục 2</x:v>
      </x:c>
      <x:c r="U68" s="123" t="str">
        <x:v>https://dangcongsan.vn/vanphongtrunguong/van-ban-cua-dang/huong-dan-so-05-hd-vptw-ngay-27-5-2026-cua-van-phong-trung-uong-dang-ve-the-thuc-va-ky-thuat-trinh-bay-van-ban-cua-dang.html?categoryId=3000525</x:v>
      </x:c>
      <x:c r="V68" s="123" t="str">
        <x:v>https://thuvienphapluat.vn/van-ban/Bo-may-hanh-chinh/Huong-dan-05-HD-VPTW-2026-the-thuc-va-ky-thuat-trinh-bay-van-ban-cua-Dang-707499.aspx</x:v>
      </x:c>
      <x:c r="W68" s="123" t="str">
        <x:v>ĐỐI CHIẾU MỘT PHẦN</x:v>
      </x:c>
      <x:c r="X68" s="123" t="str">
        <x:v>CHECK_ONLY</x:v>
      </x:c>
      <x:c r="Y68" s="123" t="str">
        <x:v>Không tự chèn/sửa khi chưa có chứng cứ về đối tượng và rule.</x:v>
      </x:c>
      <x:c r="Z68" s="135" t="str">
        <x:v>Times New Roman; Unicode; màu đen</x:v>
      </x:c>
      <x:c r="AA68" s="123" t="str">
        <x:v>DocumentSettings</x:v>
      </x:c>
      <x:c r="AB68" s="135" t="str">
        <x:v>DỰ THẢO — CẦN DUYỆT HD05</x:v>
      </x:c>
      <x:c r="AC68" s="123" t="str">
        <x:v>CHECK_ONLY</x:v>
      </x:c>
      <x:c r="AD68" s="123" t="str">
        <x:v>PLUGIN:HOA-TIEU-MIEN-BAC-PARTY-HD05-HEADER-2026 | NEEDS_REVIEW</x:v>
      </x:c>
      <x:c r="AE68" s="123" t="str">
        <x:v>GATE: xác minh chủ thể HD05 trước; Kiểm tra w:sectPr/w:pPr/w:rPr và bản render Word, đối chiếu quy định + preset.</x:v>
      </x:c>
      <x:c r="AF68" s="123" t="str">
        <x:v>Đảng ủy: chỉ chọn khi chủ thể ban hành và phạm vi HD05 đã được xác minh.</x:v>
      </x:c>
      <x:c r="AG68" s="157" t="str">
        <x:v>Times New Roman</x:v>
      </x:c>
      <x:c r="AH68" s="157" t="str">
        <x:v>Unicode</x:v>
      </x:c>
      <x:c r="AI68" s="157" t="str">
        <x:v>#000000</x:v>
      </x:c>
      <x:c r="AJ68" s="195"/>
      <x:c r="AK68" s="157" t="str">
        <x:v>KHÔNG ÁP DỤNG</x:v>
      </x:c>
      <x:c r="AL68" s="157" t="str">
        <x:v>KHÔNG ÁP DỤNG</x:v>
      </x:c>
      <x:c r="AM68" s="157"/>
      <x:c r="AN68" s="157"/>
      <x:c r="AO68" s="157"/>
      <x:c r="AP68" s="157"/>
      <x:c r="AQ68" s="195"/>
      <x:c r="AR68" s="157"/>
      <x:c r="AS68" s="195"/>
      <x:c r="AT68" s="195"/>
      <x:c r="AU68" s="195"/>
      <x:c r="AV68" s="195"/>
      <x:c r="AW68" s="195"/>
      <x:c r="AX68" s="157"/>
      <x:c r="AY68" s="157"/>
      <x:c r="AZ68" s="157"/>
      <x:c r="BA68" s="195"/>
      <x:c r="BB68" s="195"/>
      <x:c r="BC68" s="157"/>
      <x:c r="BD68" s="195"/>
      <x:c r="BE68" s="195"/>
      <x:c r="BF68" s="195"/>
      <x:c r="BG68" s="195"/>
      <x:c r="BH68" s="157"/>
      <x:c r="BI68" s="195"/>
      <x:c r="BJ68" s="195"/>
      <x:c r="BK68" s="195"/>
      <x:c r="BL68" s="157"/>
      <x:c r="BM68" s="157"/>
      <x:c r="BN68" s="157"/>
      <x:c r="BO68" s="195"/>
      <x:c r="BP68" s="195"/>
      <x:c r="BQ68" s="157"/>
      <x:c r="BR68" s="157"/>
      <x:c r="BS68" s="157"/>
      <x:c r="BT68" s="157" t="str">
        <x:v>DocumentSettings</x:v>
      </x:c>
      <x:c r="BU68" s="157" t="str">
        <x:v>Word settings | w:rFonts=Times New Roman</x:v>
      </x:c>
      <x:c r="BV68" s="196" t="str">
        <x:v>DỰ THẢO — CẦN DUYỆT HD05</x:v>
      </x:c>
      <x:c r="BW68" s="197" t="str">
        <x:v>ĐÃ TÁCH MỘT PHẦN</x:v>
      </x:c>
      <x:c r="BX68" s="157" t="str">
        <x:v>Cấu hình profile chưa được xác nhận; giữ nguyên chính sách CHECK_ONLY.</x:v>
      </x:c>
      <x:c r="BY68" t="str">
        <x:v>HD05.G.CHU.PHONG</x:v>
      </x:c>
      <x:c r="BZ68" t="str">
        <x:f>IFERROR(INDEX(HD05!$J$7:$J$300,MATCH($B68,HD05!$B$7:$B$300,0)),"UNRESOLVED")</x:f>
      </x:c>
      <x:c r="CA68" t="str">
        <x:v>DOCUMENT_SETTING</x:v>
      </x:c>
      <x:c r="CB68" t="str">
        <x:v>party_issuer_confirmed AND issue_date&gt;=2026-05-27 AND doc_type_confirmed</x:v>
      </x:c>
      <x:c r="CC68" t="str">
        <x:f>IFERROR(INDEX(HD05!$X$7:$X$300,MATCH($B68,HD05!$B$7:$B$300,0)),"UNRESOLVED")</x:f>
        <x:v>CHỈ SAU REVIEW</x:v>
      </x:c>
      <x:c r="CD68" t="str">
        <x:f>IF(OR(ISNUMBER(SEARCH("READ_ONLY",CC68)),ISNUMBER(SEARCH("PROTECTED",CC68)),ISNUMBER(SEARCH("BẢO VỆ",CC68)),ISNUMBER(SEARCH("KHÔNG KÝ",CC68))),"PROTECTED","CHECK_ONLY")</x:f>
        <x:v>CHECK_ONLY</x:v>
      </x:c>
      <x:c r="CE68" t="str">
        <x:f>IF(AND(CD68="FORMAT_APPROVED",CU68="CÓ",CV68="CÓ",CH68="CÓ",CI68="CÓ",CJ68="CÓ"),"CÓ","KHÔNG")</x:f>
        <x:v>KHÔNG</x:v>
      </x:c>
      <x:c r="CF68" t="str">
        <x:v>KHÔNG</x:v>
      </x:c>
      <x:c r="CG68" t="str">
        <x:v>CÓ</x:v>
      </x:c>
      <x:c r="CH68" t="str">
        <x:v>KHÔNG</x:v>
      </x:c>
      <x:c r="CI68" t="str">
        <x:v>KHÔNG</x:v>
      </x:c>
      <x:c r="CJ68" t="str">
        <x:v>KHÔNG</x:v>
      </x:c>
      <x:c r="CK68" t="str">
        <x:f>IF(AND(CE68="CÓ",CF68="KHÔNG",CG68="CÓ",CU68="CÓ",CV68="CÓ",CH68="CÓ",CI68="CÓ",CJ68="CÓ"),"CÓ","KHÔNG")</x:f>
        <x:v>KHÔNG</x:v>
      </x:c>
      <x:c r="CL68" t="str">
        <x:v>PILOT_NORTH_PROFILE_DRAFT; chưa có master DOCX đã duyệt</x:v>
      </x:c>
      <x:c r="CM68" t="str">
        <x:v>v1.5 (nâng từ v1.4)</x:v>
      </x:c>
      <x:c r="CN68" t="str">
        <x:v>CHƯA XÁC NHẬN CHỦ THỂ ĐẢNG</x:v>
      </x:c>
      <x:c r="CO68" t="str">
        <x:v>HD05_G_CHU_PHONG_FIELD_ONLY; chưa tạo trong Word</x:v>
      </x:c>
      <x:c r="CP68" t="str">
        <x:v>Preset là cấu hình Công ty; không thay thế giới hạn của nguồn NĐ30/HD05</x:v>
      </x:c>
      <x:c r="CQ68" t="str">
        <x:f>IF(OR(BH68="CÓ",BH68=TRUE),BI68,"")</x:f>
      </x:c>
      <x:c r="CR68" t="str">
        <x:f>IF(OR(BH68="CÓ",BH68=TRUE),BJ68,"")</x:f>
      </x:c>
      <x:c r="CS68" t="str">
        <x:v>DOCUMENT_SETTINGS_CHECK_ONLY</x:v>
      </x:c>
      <x:c r="CT68" t="str">
        <x:v>PENDING_SOURCE_AND_DOCX_QA</x:v>
      </x:c>
      <x:c r="CU68" t="str">
        <x:v>KHÔNG</x:v>
      </x:c>
      <x:c r="CV68" t="str">
        <x:v>KHÔNG</x:v>
      </x:c>
      <x:c r="CW68" t="str"/>
    </x:row>
    <x:row r="69" ht="29" customHeight="1">
      <x:c r="A69" s="125" t="n">
        <x:v>63</x:v>
      </x:c>
      <x:c r="B69" s="123" t="str">
        <x:v>HD05.G.CHU.CO_CHU</x:v>
      </x:c>
      <x:c r="C69" s="123" t="str">
        <x:v>Định dạng chung</x:v>
      </x:c>
      <x:c r="D69" s="123" t="str">
        <x:v>Phông và chữ</x:v>
      </x:c>
      <x:c r="E69" s="123" t="str">
        <x:v>Cỡ chữ</x:v>
      </x:c>
      <x:c r="F69" s="123" t="str">
        <x:v>—</x:v>
      </x:c>
      <x:c r="G69" s="123" t="str">
        <x:v>Dùng cho văn bản chính theo profile; loại trừ bản sao/phụ lục riêng khi chưa có route</x:v>
      </x:c>
      <x:c r="H69" s="123" t="str">
        <x:v>Áp dụng theo từng component</x:v>
      </x:c>
      <x:c r="I69" s="123" t="str">
        <x:v>Không áp dụng</x:v>
      </x:c>
      <x:c r="J69" s="136" t="str">
        <x:v>14 (BODY); xem cỡ riêng từng trường</x:v>
      </x:c>
      <x:c r="K69" s="123" t="str">
        <x:v>Không áp dụng</x:v>
      </x:c>
      <x:c r="L69" s="123" t="str">
        <x:v>Không áp dụng</x:v>
      </x:c>
      <x:c r="M69" s="123" t="str">
        <x:v>Không áp dụng</x:v>
      </x:c>
      <x:c r="N69" s="123"/>
      <x:c r="O69" s="135"/>
      <x:c r="P69" s="135"/>
      <x:c r="Q69" s="123"/>
      <x:c r="R69" s="123" t="str">
        <x:v>Word settings | w:sz 28 half-points cho thân bài</x:v>
      </x:c>
      <x:c r="S69" s="123" t="str">
        <x:v>Thân bài 14; đầu/cột cuối theo từng trường</x:v>
      </x:c>
      <x:c r="T69" s="123" t="str">
        <x:v>HD05, Phần II, IV; Phụ lục 2</x:v>
      </x:c>
      <x:c r="U69" s="123" t="str">
        <x:v>https://dangcongsan.vn/vanphongtrunguong/van-ban-cua-dang/huong-dan-so-05-hd-vptw-ngay-27-5-2026-cua-van-phong-trung-uong-dang-ve-the-thuc-va-ky-thuat-trinh-bay-van-ban-cua-dang.html?categoryId=3000525</x:v>
      </x:c>
      <x:c r="V69" s="123" t="str">
        <x:v>https://thuvienphapluat.vn/van-ban/Bo-may-hanh-chinh/Huong-dan-05-HD-VPTW-2026-the-thuc-va-ky-thuat-trinh-bay-van-ban-cua-Dang-707499.aspx</x:v>
      </x:c>
      <x:c r="W69" s="123" t="str">
        <x:v>ĐỐI CHIẾU MỘT PHẦN</x:v>
      </x:c>
      <x:c r="X69" s="123" t="str">
        <x:v>CHECK_ONLY</x:v>
      </x:c>
      <x:c r="Y69" s="123" t="str">
        <x:v>Không tự chèn/sửa khi chưa có chứng cứ về đối tượng và rule.</x:v>
      </x:c>
      <x:c r="Z69" s="135" t="str">
        <x:v>Thân bài 14; đầu/cột cuối theo từng trường</x:v>
      </x:c>
      <x:c r="AA69" s="123" t="str">
        <x:v>DocumentSettings</x:v>
      </x:c>
      <x:c r="AB69" s="135" t="str">
        <x:v>DỰ THẢO — CẦN DUYỆT HD05</x:v>
      </x:c>
      <x:c r="AC69" s="123" t="str">
        <x:v>CHECK_ONLY</x:v>
      </x:c>
      <x:c r="AD69" s="123" t="str">
        <x:v>PLUGIN:HOA-TIEU-MIEN-BAC-PARTY-HD05-HEADER-2026 | NEEDS_REVIEW</x:v>
      </x:c>
      <x:c r="AE69" s="123" t="str">
        <x:v>GATE: xác minh chủ thể HD05 trước; Kiểm tra w:sectPr/w:pPr/w:rPr và bản render Word, đối chiếu quy định + preset.</x:v>
      </x:c>
      <x:c r="AF69" s="123" t="str">
        <x:v>Đảng ủy: chỉ chọn khi chủ thể ban hành và phạm vi HD05 đã được xác minh.</x:v>
      </x:c>
      <x:c r="AG69" s="157"/>
      <x:c r="AH69" s="157"/>
      <x:c r="AI69" s="157"/>
      <x:c r="AJ69" s="195" t="n">
        <x:v>14</x:v>
      </x:c>
      <x:c r="AK69" s="157" t="str">
        <x:v>KHÔNG ÁP DỤNG</x:v>
      </x:c>
      <x:c r="AL69" s="157" t="str">
        <x:v>KHÔNG ÁP DỤNG</x:v>
      </x:c>
      <x:c r="AM69" s="157"/>
      <x:c r="AN69" s="157"/>
      <x:c r="AO69" s="157"/>
      <x:c r="AP69" s="157"/>
      <x:c r="AQ69" s="195"/>
      <x:c r="AR69" s="157"/>
      <x:c r="AS69" s="195"/>
      <x:c r="AT69" s="195"/>
      <x:c r="AU69" s="195"/>
      <x:c r="AV69" s="195"/>
      <x:c r="AW69" s="195"/>
      <x:c r="AX69" s="157"/>
      <x:c r="AY69" s="157"/>
      <x:c r="AZ69" s="157"/>
      <x:c r="BA69" s="195"/>
      <x:c r="BB69" s="195"/>
      <x:c r="BC69" s="157"/>
      <x:c r="BD69" s="195"/>
      <x:c r="BE69" s="195"/>
      <x:c r="BF69" s="195"/>
      <x:c r="BG69" s="195"/>
      <x:c r="BH69" s="157"/>
      <x:c r="BI69" s="195"/>
      <x:c r="BJ69" s="195"/>
      <x:c r="BK69" s="195"/>
      <x:c r="BL69" s="157"/>
      <x:c r="BM69" s="157"/>
      <x:c r="BN69" s="157"/>
      <x:c r="BO69" s="195"/>
      <x:c r="BP69" s="195"/>
      <x:c r="BQ69" s="157"/>
      <x:c r="BR69" s="157"/>
      <x:c r="BS69" s="157"/>
      <x:c r="BT69" s="157" t="str">
        <x:v>DocumentSettings</x:v>
      </x:c>
      <x:c r="BU69" s="157" t="str">
        <x:v>Word settings | w:sz 28 half-points cho thân bài</x:v>
      </x:c>
      <x:c r="BV69" s="196" t="str">
        <x:v>DỰ THẢO — CẦN DUYỆT HD05</x:v>
      </x:c>
      <x:c r="BW69" s="197" t="str">
        <x:v>ĐÃ TÁCH MỘT PHẦN</x:v>
      </x:c>
      <x:c r="BX69" s="157" t="str">
        <x:v>Cỡ 14 chỉ là preset thân bài của G.CHU.CO_CHU; không áp chung cho D/C/X.</x:v>
      </x:c>
      <x:c r="BY69" t="str">
        <x:v>HD05.G.CHU.CO_CHU</x:v>
      </x:c>
      <x:c r="BZ69" t="str">
        <x:f>IFERROR(INDEX(HD05!$J$7:$J$300,MATCH($B69,HD05!$B$7:$B$300,0)),"UNRESOLVED")</x:f>
      </x:c>
      <x:c r="CA69" t="str">
        <x:v>DOCUMENT_SETTING</x:v>
      </x:c>
      <x:c r="CB69" t="str">
        <x:v>party_issuer_confirmed AND issue_date&gt;=2026-05-27 AND doc_type_confirmed</x:v>
      </x:c>
      <x:c r="CC69" t="str">
        <x:f>IFERROR(INDEX(HD05!$X$7:$X$300,MATCH($B69,HD05!$B$7:$B$300,0)),"UNRESOLVED")</x:f>
        <x:v>CHỈ SAU REVIEW</x:v>
      </x:c>
      <x:c r="CD69" t="str">
        <x:f>IF(OR(ISNUMBER(SEARCH("READ_ONLY",CC69)),ISNUMBER(SEARCH("PROTECTED",CC69)),ISNUMBER(SEARCH("BẢO VỆ",CC69)),ISNUMBER(SEARCH("KHÔNG KÝ",CC69))),"PROTECTED","CHECK_ONLY")</x:f>
        <x:v>CHECK_ONLY</x:v>
      </x:c>
      <x:c r="CE69" t="str">
        <x:f>IF(AND(CD69="FORMAT_APPROVED",CU69="CÓ",CV69="CÓ",CH69="CÓ",CI69="CÓ",CJ69="CÓ"),"CÓ","KHÔNG")</x:f>
        <x:v>KHÔNG</x:v>
      </x:c>
      <x:c r="CF69" t="str">
        <x:v>KHÔNG</x:v>
      </x:c>
      <x:c r="CG69" t="str">
        <x:v>CÓ</x:v>
      </x:c>
      <x:c r="CH69" t="str">
        <x:v>KHÔNG</x:v>
      </x:c>
      <x:c r="CI69" t="str">
        <x:v>KHÔNG</x:v>
      </x:c>
      <x:c r="CJ69" t="str">
        <x:v>KHÔNG</x:v>
      </x:c>
      <x:c r="CK69" t="str">
        <x:f>IF(AND(CE69="CÓ",CF69="KHÔNG",CG69="CÓ",CU69="CÓ",CV69="CÓ",CH69="CÓ",CI69="CÓ",CJ69="CÓ"),"CÓ","KHÔNG")</x:f>
        <x:v>KHÔNG</x:v>
      </x:c>
      <x:c r="CL69" t="str">
        <x:v>PILOT_NORTH_PROFILE_DRAFT; chưa có master DOCX đã duyệt</x:v>
      </x:c>
      <x:c r="CM69" t="str">
        <x:v>v1.5 (nâng từ v1.4)</x:v>
      </x:c>
      <x:c r="CN69" t="str">
        <x:v>CHƯA XÁC NHẬN CHỦ THỂ ĐẢNG</x:v>
      </x:c>
      <x:c r="CO69" t="str">
        <x:v>HD05_G_CHU_CO_CHU_FIELD_ONLY; chưa tạo trong Word</x:v>
      </x:c>
      <x:c r="CP69" t="str">
        <x:v>Preset là cấu hình Công ty; không thay thế giới hạn của nguồn NĐ30/HD05</x:v>
      </x:c>
      <x:c r="CQ69" t="str">
        <x:f>IF(OR(BH69="CÓ",BH69=TRUE),BI69,"")</x:f>
      </x:c>
      <x:c r="CR69" t="str">
        <x:f>IF(OR(BH69="CÓ",BH69=TRUE),BJ69,"")</x:f>
      </x:c>
      <x:c r="CS69" t="str">
        <x:v>DOCUMENT_SETTINGS_CHECK_ONLY</x:v>
      </x:c>
      <x:c r="CT69" t="str">
        <x:v>PENDING_SOURCE_AND_DOCX_QA</x:v>
      </x:c>
      <x:c r="CU69" t="str">
        <x:v>KHÔNG</x:v>
      </x:c>
      <x:c r="CV69" t="str">
        <x:v>KHÔNG</x:v>
      </x:c>
      <x:c r="CW69" t="str"/>
    </x:row>
    <x:row r="70" ht="29" customHeight="1">
      <x:c r="A70" s="125" t="n">
        <x:v>64</x:v>
      </x:c>
      <x:c r="B70" s="123" t="str">
        <x:v>HD05.G.CHU.KIEU_CHU</x:v>
      </x:c>
      <x:c r="C70" s="123" t="str">
        <x:v>Định dạng chung</x:v>
      </x:c>
      <x:c r="D70" s="123" t="str">
        <x:v>Phông và chữ</x:v>
      </x:c>
      <x:c r="E70" s="123" t="str">
        <x:v>Kiểu chữ</x:v>
      </x:c>
      <x:c r="F70" s="123" t="str">
        <x:v>—</x:v>
      </x:c>
      <x:c r="G70" s="123" t="str">
        <x:v>Dùng cho văn bản chính theo profile; loại trừ bản sao/phụ lục riêng khi chưa có route</x:v>
      </x:c>
      <x:c r="H70" s="123" t="str">
        <x:v>Áp dụng theo từng component</x:v>
      </x:c>
      <x:c r="I70" s="123" t="str">
        <x:v>Không áp dụng</x:v>
      </x:c>
      <x:c r="J70" s="136" t="str">
        <x:v>—</x:v>
      </x:c>
      <x:c r="K70" s="123" t="str">
        <x:v>Không áp dụng</x:v>
      </x:c>
      <x:c r="L70" s="123" t="str">
        <x:v>Không áp dụng</x:v>
      </x:c>
      <x:c r="M70" s="123" t="str">
        <x:v>Không áp dụng</x:v>
      </x:c>
      <x:c r="N70" s="123"/>
      <x:c r="O70" s="135"/>
      <x:c r="P70" s="135"/>
      <x:c r="Q70" s="123"/>
      <x:c r="R70" s="123" t="str">
        <x:v>Word settings | w:rPr/w:b/w:i + text case</x:v>
      </x:c>
      <x:c r="S70" s="123" t="str">
        <x:v>Đậm/nghiêng/in hoa theo từng mã; không bật tất cả</x:v>
      </x:c>
      <x:c r="T70" s="123" t="str">
        <x:v>HD05, Phần II, IV; Phụ lục 2</x:v>
      </x:c>
      <x:c r="U70" s="123" t="str">
        <x:v>https://dangcongsan.vn/vanphongtrunguong/van-ban-cua-dang/huong-dan-so-05-hd-vptw-ngay-27-5-2026-cua-van-phong-trung-uong-dang-ve-the-thuc-va-ky-thuat-trinh-bay-van-ban-cua-dang.html?categoryId=3000525</x:v>
      </x:c>
      <x:c r="V70" s="123" t="str">
        <x:v>https://thuvienphapluat.vn/van-ban/Bo-may-hanh-chinh/Huong-dan-05-HD-VPTW-2026-the-thuc-va-ky-thuat-trinh-bay-van-ban-cua-Dang-707499.aspx</x:v>
      </x:c>
      <x:c r="W70" s="123" t="str">
        <x:v>ĐỐI CHIẾU MỘT PHẦN</x:v>
      </x:c>
      <x:c r="X70" s="123" t="str">
        <x:v>CHECK_ONLY</x:v>
      </x:c>
      <x:c r="Y70" s="123" t="str">
        <x:v>Không tự chèn/sửa khi chưa có chứng cứ về đối tượng và rule.</x:v>
      </x:c>
      <x:c r="Z70" s="135" t="str">
        <x:v>Đậm/nghiêng/in hoa theo từng mã; không bật tất cả</x:v>
      </x:c>
      <x:c r="AA70" s="123" t="str">
        <x:v>DocumentSettings</x:v>
      </x:c>
      <x:c r="AB70" s="135" t="str">
        <x:v>DỰ THẢO — CẦN DUYỆT HD05</x:v>
      </x:c>
      <x:c r="AC70" s="123" t="str">
        <x:v>CHECK_ONLY</x:v>
      </x:c>
      <x:c r="AD70" s="123" t="str">
        <x:v>PLUGIN:HOA-TIEU-MIEN-BAC-PARTY-HD05-HEADER-2026 | NEEDS_REVIEW</x:v>
      </x:c>
      <x:c r="AE70" s="123" t="str">
        <x:v>GATE: xác minh chủ thể HD05 trước; Kiểm tra w:sectPr/w:pPr/w:rPr và bản render Word, đối chiếu quy định + preset.</x:v>
      </x:c>
      <x:c r="AF70" s="123" t="str">
        <x:v>Đảng ủy: chỉ chọn khi chủ thể ban hành và phạm vi HD05 đã được xác minh.</x:v>
      </x:c>
      <x:c r="AG70" s="157"/>
      <x:c r="AH70" s="157"/>
      <x:c r="AI70" s="157"/>
      <x:c r="AJ70" s="195"/>
      <x:c r="AK70" s="157" t="str">
        <x:v>KHÔNG ÁP DỤNG</x:v>
      </x:c>
      <x:c r="AL70" s="157" t="str">
        <x:v>KHÔNG ÁP DỤNG</x:v>
      </x:c>
      <x:c r="AM70" s="157"/>
      <x:c r="AN70" s="157"/>
      <x:c r="AO70" s="157"/>
      <x:c r="AP70" s="157"/>
      <x:c r="AQ70" s="195"/>
      <x:c r="AR70" s="157"/>
      <x:c r="AS70" s="195"/>
      <x:c r="AT70" s="195"/>
      <x:c r="AU70" s="195"/>
      <x:c r="AV70" s="195"/>
      <x:c r="AW70" s="195"/>
      <x:c r="AX70" s="157"/>
      <x:c r="AY70" s="157"/>
      <x:c r="AZ70" s="157"/>
      <x:c r="BA70" s="195"/>
      <x:c r="BB70" s="195"/>
      <x:c r="BC70" s="157"/>
      <x:c r="BD70" s="195"/>
      <x:c r="BE70" s="195"/>
      <x:c r="BF70" s="195"/>
      <x:c r="BG70" s="195"/>
      <x:c r="BH70" s="157"/>
      <x:c r="BI70" s="195"/>
      <x:c r="BJ70" s="195"/>
      <x:c r="BK70" s="195"/>
      <x:c r="BL70" s="157"/>
      <x:c r="BM70" s="157"/>
      <x:c r="BN70" s="157"/>
      <x:c r="BO70" s="195"/>
      <x:c r="BP70" s="195"/>
      <x:c r="BQ70" s="157"/>
      <x:c r="BR70" s="157"/>
      <x:c r="BS70" s="157"/>
      <x:c r="BT70" s="157" t="str">
        <x:v>DocumentSettings</x:v>
      </x:c>
      <x:c r="BU70" s="157" t="str">
        <x:v>Word settings | w:rPr/w:b/w:i + text case</x:v>
      </x:c>
      <x:c r="BV70" s="196" t="str">
        <x:v>DỰ THẢO — CẦN DUYỆT HD05</x:v>
      </x:c>
      <x:c r="BW70" s="197" t="str">
        <x:v>CHƯA CÓ THÔNG SỐ ĐỊNH LƯỢNG</x:v>
      </x:c>
      <x:c r="BX70" s="157" t="str">
        <x:v>Cấu hình profile chưa được xác nhận; giữ nguyên chính sách CHECK_ONLY.</x:v>
      </x:c>
      <x:c r="BY70" t="str">
        <x:v>HD05.G.CHU.KIEU_CHU</x:v>
      </x:c>
      <x:c r="BZ70" t="str">
        <x:f>IFERROR(INDEX(HD05!$J$7:$J$300,MATCH($B70,HD05!$B$7:$B$300,0)),"UNRESOLVED")</x:f>
      </x:c>
      <x:c r="CA70" t="str">
        <x:v>DOCUMENT_SETTING</x:v>
      </x:c>
      <x:c r="CB70" t="str">
        <x:v>party_issuer_confirmed AND issue_date&gt;=2026-05-27 AND doc_type_confirmed</x:v>
      </x:c>
      <x:c r="CC70" t="str">
        <x:f>IFERROR(INDEX(HD05!$X$7:$X$300,MATCH($B70,HD05!$B$7:$B$300,0)),"UNRESOLVED")</x:f>
        <x:v>CHỈ SAU REVIEW</x:v>
      </x:c>
      <x:c r="CD70" t="str">
        <x:f>IF(OR(ISNUMBER(SEARCH("READ_ONLY",CC70)),ISNUMBER(SEARCH("PROTECTED",CC70)),ISNUMBER(SEARCH("BẢO VỆ",CC70)),ISNUMBER(SEARCH("KHÔNG KÝ",CC70))),"PROTECTED","CHECK_ONLY")</x:f>
        <x:v>CHECK_ONLY</x:v>
      </x:c>
      <x:c r="CE70" t="str">
        <x:f>IF(AND(CD70="FORMAT_APPROVED",CU70="CÓ",CV70="CÓ",CH70="CÓ",CI70="CÓ",CJ70="CÓ"),"CÓ","KHÔNG")</x:f>
        <x:v>KHÔNG</x:v>
      </x:c>
      <x:c r="CF70" t="str">
        <x:v>KHÔNG</x:v>
      </x:c>
      <x:c r="CG70" t="str">
        <x:v>CÓ</x:v>
      </x:c>
      <x:c r="CH70" t="str">
        <x:v>KHÔNG</x:v>
      </x:c>
      <x:c r="CI70" t="str">
        <x:v>KHÔNG</x:v>
      </x:c>
      <x:c r="CJ70" t="str">
        <x:v>KHÔNG</x:v>
      </x:c>
      <x:c r="CK70" t="str">
        <x:f>IF(AND(CE70="CÓ",CF70="KHÔNG",CG70="CÓ",CU70="CÓ",CV70="CÓ",CH70="CÓ",CI70="CÓ",CJ70="CÓ"),"CÓ","KHÔNG")</x:f>
        <x:v>KHÔNG</x:v>
      </x:c>
      <x:c r="CL70" t="str">
        <x:v>PILOT_NORTH_PROFILE_DRAFT; chưa có master DOCX đã duyệt</x:v>
      </x:c>
      <x:c r="CM70" t="str">
        <x:v>v1.5 (nâng từ v1.4)</x:v>
      </x:c>
      <x:c r="CN70" t="str">
        <x:v>CHƯA XÁC NHẬN CHỦ THỂ ĐẢNG</x:v>
      </x:c>
      <x:c r="CO70" t="str">
        <x:v>HD05_G_CHU_KIEU_CHU_FIELD_ONLY; chưa tạo trong Word</x:v>
      </x:c>
      <x:c r="CP70" t="str">
        <x:v>Preset là cấu hình Công ty; không thay thế giới hạn của nguồn NĐ30/HD05</x:v>
      </x:c>
      <x:c r="CQ70" t="str">
        <x:f>IF(OR(BH70="CÓ",BH70=TRUE),BI70,"")</x:f>
      </x:c>
      <x:c r="CR70" t="str">
        <x:f>IF(OR(BH70="CÓ",BH70=TRUE),BJ70,"")</x:f>
      </x:c>
      <x:c r="CS70" t="str">
        <x:v>DOCUMENT_SETTINGS_CHECK_ONLY</x:v>
      </x:c>
      <x:c r="CT70" t="str">
        <x:v>PENDING_SOURCE_AND_DOCX_QA</x:v>
      </x:c>
      <x:c r="CU70" t="str">
        <x:v>KHÔNG</x:v>
      </x:c>
      <x:c r="CV70" t="str">
        <x:v>KHÔNG</x:v>
      </x:c>
      <x:c r="CW70" t="str"/>
    </x:row>
    <x:row r="71" ht="29" customHeight="1">
      <x:c r="A71" s="125" t="n">
        <x:v>65</x:v>
      </x:c>
      <x:c r="B71" s="123" t="str">
        <x:v>HD05.G.DOAN.CAN_LE</x:v>
      </x:c>
      <x:c r="C71" s="123" t="str">
        <x:v>Định dạng chung</x:v>
      </x:c>
      <x:c r="D71" s="123" t="str">
        <x:v>Dãn cách và căn chỉnh</x:v>
      </x:c>
      <x:c r="E71" s="123" t="str">
        <x:v>Căn lề</x:v>
      </x:c>
      <x:c r="F71" s="123" t="str">
        <x:v>—</x:v>
      </x:c>
      <x:c r="G71" s="123" t="str">
        <x:v>Dùng cho văn bản chính theo profile; loại trừ bản sao/phụ lục riêng khi chưa có route</x:v>
      </x:c>
      <x:c r="H71" s="123" t="str">
        <x:v>Căn đều hai lề nội dung chính; thành phần đầu/cuối dùng vị trí riêng</x:v>
      </x:c>
      <x:c r="I71" s="123" t="str">
        <x:v>Không áp dụng</x:v>
      </x:c>
      <x:c r="J71" s="136" t="str">
        <x:v>—</x:v>
      </x:c>
      <x:c r="K71" s="123" t="str">
        <x:v>Không áp dụng</x:v>
      </x:c>
      <x:c r="L71" s="123" t="str">
        <x:v>Không áp dụng</x:v>
      </x:c>
      <x:c r="M71" s="123" t="str">
        <x:v>Không áp dụng</x:v>
      </x:c>
      <x:c r="N71" s="123" t="str">
        <x:v>BODY: justify; các khối Đầu/Cuối theo trường</x:v>
      </x:c>
      <x:c r="O71" s="135"/>
      <x:c r="P71" s="135"/>
      <x:c r="Q71" s="123"/>
      <x:c r="R71" s="123" t="str">
        <x:v>Word settings | w:jc=both (body)</x:v>
      </x:c>
      <x:c r="S71" s="123" t="str">
        <x:v>Body justify; head theo từng cột</x:v>
      </x:c>
      <x:c r="T71" s="123" t="str">
        <x:v>HD05, Phần II, IV; Phụ lục 2</x:v>
      </x:c>
      <x:c r="U71" s="123" t="str">
        <x:v>https://dangcongsan.vn/vanphongtrunguong/van-ban-cua-dang/huong-dan-so-05-hd-vptw-ngay-27-5-2026-cua-van-phong-trung-uong-dang-ve-the-thuc-va-ky-thuat-trinh-bay-van-ban-cua-dang.html?categoryId=3000525</x:v>
      </x:c>
      <x:c r="V71" s="123" t="str">
        <x:v>https://thuvienphapluat.vn/van-ban/Bo-may-hanh-chinh/Huong-dan-05-HD-VPTW-2026-the-thuc-va-ky-thuat-trinh-bay-van-ban-cua-Dang-707499.aspx</x:v>
      </x:c>
      <x:c r="W71" s="123" t="str">
        <x:v>ĐỐI CHIẾU MỘT PHẦN</x:v>
      </x:c>
      <x:c r="X71" s="123" t="str">
        <x:v>CHECK_ONLY</x:v>
      </x:c>
      <x:c r="Y71" s="123" t="str">
        <x:v>Không tự chèn/sửa khi chưa có chứng cứ về đối tượng và rule.</x:v>
      </x:c>
      <x:c r="Z71" s="135" t="str">
        <x:v>Body justify; head theo từng cột</x:v>
      </x:c>
      <x:c r="AA71" s="123" t="str">
        <x:v>DocumentSettings</x:v>
      </x:c>
      <x:c r="AB71" s="135" t="str">
        <x:v>DỰ THẢO — CẦN DUYỆT HD05</x:v>
      </x:c>
      <x:c r="AC71" s="123" t="str">
        <x:v>CHECK_ONLY</x:v>
      </x:c>
      <x:c r="AD71" s="123" t="str">
        <x:v>PLUGIN:HOA-TIEU-MIEN-BAC-PARTY-HD05-HEADER-2026 | NEEDS_REVIEW</x:v>
      </x:c>
      <x:c r="AE71" s="123" t="str">
        <x:v>GATE: xác minh chủ thể HD05 trước; Kiểm tra w:sectPr/w:pPr/w:rPr và bản render Word, đối chiếu quy định + preset.</x:v>
      </x:c>
      <x:c r="AF71" s="123" t="str">
        <x:v>Đảng ủy: chỉ chọn khi chủ thể ban hành và phạm vi HD05 đã được xác minh.</x:v>
      </x:c>
      <x:c r="AG71" s="157"/>
      <x:c r="AH71" s="157"/>
      <x:c r="AI71" s="157"/>
      <x:c r="AJ71" s="195"/>
      <x:c r="AK71" s="157" t="str">
        <x:v>KHÔNG ÁP DỤNG</x:v>
      </x:c>
      <x:c r="AL71" s="157" t="str">
        <x:v>KHÔNG ÁP DỤNG</x:v>
      </x:c>
      <x:c r="AM71" s="157"/>
      <x:c r="AN71" s="157" t="str">
        <x:v>JUSTIFY</x:v>
      </x:c>
      <x:c r="AO71" s="157" t="str">
        <x:v>THEO KHỐI ĐƯỢC NHẬN DIỆN</x:v>
      </x:c>
      <x:c r="AP71" s="157"/>
      <x:c r="AQ71" s="195"/>
      <x:c r="AR71" s="157"/>
      <x:c r="AS71" s="195"/>
      <x:c r="AT71" s="195"/>
      <x:c r="AU71" s="195"/>
      <x:c r="AV71" s="195"/>
      <x:c r="AW71" s="195"/>
      <x:c r="AX71" s="157"/>
      <x:c r="AY71" s="157"/>
      <x:c r="AZ71" s="157"/>
      <x:c r="BA71" s="195"/>
      <x:c r="BB71" s="195"/>
      <x:c r="BC71" s="157"/>
      <x:c r="BD71" s="195"/>
      <x:c r="BE71" s="195"/>
      <x:c r="BF71" s="195"/>
      <x:c r="BG71" s="195"/>
      <x:c r="BH71" s="157"/>
      <x:c r="BI71" s="195"/>
      <x:c r="BJ71" s="195"/>
      <x:c r="BK71" s="195"/>
      <x:c r="BL71" s="157"/>
      <x:c r="BM71" s="157"/>
      <x:c r="BN71" s="157"/>
      <x:c r="BO71" s="195"/>
      <x:c r="BP71" s="195"/>
      <x:c r="BQ71" s="157"/>
      <x:c r="BR71" s="157"/>
      <x:c r="BS71" s="157"/>
      <x:c r="BT71" s="157" t="str">
        <x:v>DocumentSettings</x:v>
      </x:c>
      <x:c r="BU71" s="157" t="str">
        <x:v>Word settings | w:jc=both (body)</x:v>
      </x:c>
      <x:c r="BV71" s="196" t="str">
        <x:v>DỰ THẢO — CẦN DUYỆT HD05</x:v>
      </x:c>
      <x:c r="BW71" s="197" t="str">
        <x:v>CHƯA CÓ THÔNG SỐ ĐỊNH LƯỢNG</x:v>
      </x:c>
      <x:c r="BX71" s="157" t="str">
        <x:v>Cấu hình profile chưa được xác nhận; giữ nguyên chính sách CHECK_ONLY.</x:v>
      </x:c>
      <x:c r="BY71" t="str">
        <x:v>HD05.G.DOAN.CAN_LE</x:v>
      </x:c>
      <x:c r="BZ71" t="str">
        <x:f>IFERROR(INDEX(HD05!$J$7:$J$300,MATCH($B71,HD05!$B$7:$B$300,0)),"UNRESOLVED")</x:f>
      </x:c>
      <x:c r="CA71" t="str">
        <x:v>DOCUMENT_SETTING</x:v>
      </x:c>
      <x:c r="CB71" t="str">
        <x:v>party_issuer_confirmed AND issue_date&gt;=2026-05-27 AND doc_type_confirmed</x:v>
      </x:c>
      <x:c r="CC71" t="str">
        <x:f>IFERROR(INDEX(HD05!$X$7:$X$300,MATCH($B71,HD05!$B$7:$B$300,0)),"UNRESOLVED")</x:f>
        <x:v>CHỈ SAU REVIEW</x:v>
      </x:c>
      <x:c r="CD71" t="str">
        <x:f>IF(OR(ISNUMBER(SEARCH("READ_ONLY",CC71)),ISNUMBER(SEARCH("PROTECTED",CC71)),ISNUMBER(SEARCH("BẢO VỆ",CC71)),ISNUMBER(SEARCH("KHÔNG KÝ",CC71))),"PROTECTED","CHECK_ONLY")</x:f>
        <x:v>CHECK_ONLY</x:v>
      </x:c>
      <x:c r="CE71" t="str">
        <x:f>IF(AND(CD71="FORMAT_APPROVED",CU71="CÓ",CV71="CÓ",CH71="CÓ",CI71="CÓ",CJ71="CÓ"),"CÓ","KHÔNG")</x:f>
        <x:v>KHÔNG</x:v>
      </x:c>
      <x:c r="CF71" t="str">
        <x:v>KHÔNG</x:v>
      </x:c>
      <x:c r="CG71" t="str">
        <x:v>CÓ</x:v>
      </x:c>
      <x:c r="CH71" t="str">
        <x:v>KHÔNG</x:v>
      </x:c>
      <x:c r="CI71" t="str">
        <x:v>KHÔNG</x:v>
      </x:c>
      <x:c r="CJ71" t="str">
        <x:v>KHÔNG</x:v>
      </x:c>
      <x:c r="CK71" t="str">
        <x:f>IF(AND(CE71="CÓ",CF71="KHÔNG",CG71="CÓ",CU71="CÓ",CV71="CÓ",CH71="CÓ",CI71="CÓ",CJ71="CÓ"),"CÓ","KHÔNG")</x:f>
        <x:v>KHÔNG</x:v>
      </x:c>
      <x:c r="CL71" t="str">
        <x:v>PILOT_NORTH_PROFILE_DRAFT; chưa có master DOCX đã duyệt</x:v>
      </x:c>
      <x:c r="CM71" t="str">
        <x:v>v1.5 (nâng từ v1.4)</x:v>
      </x:c>
      <x:c r="CN71" t="str">
        <x:v>CHƯA XÁC NHẬN CHỦ THỂ ĐẢNG</x:v>
      </x:c>
      <x:c r="CO71" t="str">
        <x:v>HD05_G_DOAN_CAN_LE_FIELD_ONLY; chưa tạo trong Word</x:v>
      </x:c>
      <x:c r="CP71" t="str">
        <x:v>Preset là cấu hình Công ty; không thay thế giới hạn của nguồn NĐ30/HD05</x:v>
      </x:c>
      <x:c r="CQ71" t="str">
        <x:f>IF(OR(BH71="CÓ",BH71=TRUE),BI71,"")</x:f>
      </x:c>
      <x:c r="CR71" t="str">
        <x:f>IF(OR(BH71="CÓ",BH71=TRUE),BJ71,"")</x:f>
      </x:c>
      <x:c r="CS71" t="str">
        <x:v>DOCUMENT_SETTINGS_CHECK_ONLY</x:v>
      </x:c>
      <x:c r="CT71" t="str">
        <x:v>PENDING_SOURCE_AND_DOCX_QA</x:v>
      </x:c>
      <x:c r="CU71" t="str">
        <x:v>KHÔNG</x:v>
      </x:c>
      <x:c r="CV71" t="str">
        <x:v>KHÔNG</x:v>
      </x:c>
      <x:c r="CW71" t="str"/>
    </x:row>
    <x:row r="72" ht="29" customHeight="1">
      <x:c r="A72" s="125" t="n">
        <x:v>66</x:v>
      </x:c>
      <x:c r="B72" s="123" t="str">
        <x:v>HD05.G.DOAN.GIUA_DONG</x:v>
      </x:c>
      <x:c r="C72" s="123" t="str">
        <x:v>Định dạng chung</x:v>
      </x:c>
      <x:c r="D72" s="123" t="str">
        <x:v>Dãn cách và căn chỉnh</x:v>
      </x:c>
      <x:c r="E72" s="123" t="str">
        <x:v>Khoảng cách dòng</x:v>
      </x:c>
      <x:c r="F72" s="123" t="str">
        <x:v>—</x:v>
      </x:c>
      <x:c r="G72" s="123" t="str">
        <x:v>Dùng cho văn bản chính theo profile; loại trừ bản sao/phụ lục riêng khi chưa có route</x:v>
      </x:c>
      <x:c r="H72" s="123" t="str">
        <x:v>Khoảng cách dòng</x:v>
      </x:c>
      <x:c r="I72" s="123" t="str">
        <x:v>Không áp dụng</x:v>
      </x:c>
      <x:c r="J72" s="136" t="str">
        <x:v>—</x:v>
      </x:c>
      <x:c r="K72" s="123" t="str">
        <x:v>Không áp dụng</x:v>
      </x:c>
      <x:c r="L72" s="123" t="str">
        <x:v>Không áp dụng</x:v>
      </x:c>
      <x:c r="M72" s="123" t="str">
        <x:v>Không áp dụng</x:v>
      </x:c>
      <x:c r="N72" s="123"/>
      <x:c r="O72" s="135" t="str">
        <x:v>Exactly 19 pt | lineRule=exact | 380 twip (chỉ BODY)</x:v>
      </x:c>
      <x:c r="P72" s="135"/>
      <x:c r="Q72" s="123"/>
      <x:c r="R72" s="123" t="str">
        <x:v>Word settings | w:spacing line=380; lineRule=exact</x:v>
      </x:c>
      <x:c r="S72" s="123" t="str">
        <x:v>Exactly 19 pt (body only)</x:v>
      </x:c>
      <x:c r="T72" s="123" t="str">
        <x:v>HD05, Phần II, IV; Phụ lục 2</x:v>
      </x:c>
      <x:c r="U72" s="123" t="str">
        <x:v>https://dangcongsan.vn/vanphongtrunguong/van-ban-cua-dang/huong-dan-so-05-hd-vptw-ngay-27-5-2026-cua-van-phong-trung-uong-dang-ve-the-thuc-va-ky-thuat-trinh-bay-van-ban-cua-dang.html?categoryId=3000525</x:v>
      </x:c>
      <x:c r="V72" s="123" t="str">
        <x:v>https://thuvienphapluat.vn/van-ban/Bo-may-hanh-chinh/Huong-dan-05-HD-VPTW-2026-the-thuc-va-ky-thuat-trinh-bay-van-ban-cua-Dang-707499.aspx</x:v>
      </x:c>
      <x:c r="W72" s="123" t="str">
        <x:v>ĐỐI CHIẾU MỘT PHẦN</x:v>
      </x:c>
      <x:c r="X72" s="123" t="str">
        <x:v>CHECK_ONLY</x:v>
      </x:c>
      <x:c r="Y72" s="123" t="str">
        <x:v>Không tự chèn/sửa khi chưa có chứng cứ về đối tượng và rule.</x:v>
      </x:c>
      <x:c r="Z72" s="135" t="str">
        <x:v>Exactly 19 pt (body only)</x:v>
      </x:c>
      <x:c r="AA72" s="123" t="str">
        <x:v>DocumentSettings</x:v>
      </x:c>
      <x:c r="AB72" s="135" t="str">
        <x:v>DỰ THẢO — CẦN DUYỆT HD05</x:v>
      </x:c>
      <x:c r="AC72" s="123" t="str">
        <x:v>CHECK_ONLY</x:v>
      </x:c>
      <x:c r="AD72" s="123" t="str">
        <x:v>PLUGIN:HOA-TIEU-MIEN-BAC-PARTY-HD05-HEADER-2026 | NEEDS_REVIEW</x:v>
      </x:c>
      <x:c r="AE72" s="123" t="str">
        <x:v>GATE: xác minh chủ thể HD05 trước; Kiểm tra w:sectPr/w:pPr/w:rPr và bản render Word, đối chiếu quy định + preset.</x:v>
      </x:c>
      <x:c r="AF72" s="123" t="str">
        <x:v>Đảng ủy: chỉ chọn khi chủ thể ban hành và phạm vi HD05 đã được xác minh.</x:v>
      </x:c>
      <x:c r="AG72" s="157"/>
      <x:c r="AH72" s="157"/>
      <x:c r="AI72" s="157"/>
      <x:c r="AJ72" s="195"/>
      <x:c r="AK72" s="157" t="str">
        <x:v>KHÔNG ÁP DỤNG</x:v>
      </x:c>
      <x:c r="AL72" s="157" t="str">
        <x:v>KHÔNG ÁP DỤNG</x:v>
      </x:c>
      <x:c r="AM72" s="157"/>
      <x:c r="AN72" s="157"/>
      <x:c r="AO72" s="157"/>
      <x:c r="AP72" s="157" t="str">
        <x:v>EXACT</x:v>
      </x:c>
      <x:c r="AQ72" s="195" t="n">
        <x:v>19</x:v>
      </x:c>
      <x:c r="AR72" s="157" t="str">
        <x:v>pt</x:v>
      </x:c>
      <x:c r="AS72" s="195"/>
      <x:c r="AT72" s="195"/>
      <x:c r="AU72" s="195"/>
      <x:c r="AV72" s="195"/>
      <x:c r="AW72" s="195"/>
      <x:c r="AX72" s="157"/>
      <x:c r="AY72" s="157"/>
      <x:c r="AZ72" s="157"/>
      <x:c r="BA72" s="195"/>
      <x:c r="BB72" s="195"/>
      <x:c r="BC72" s="157"/>
      <x:c r="BD72" s="195"/>
      <x:c r="BE72" s="195"/>
      <x:c r="BF72" s="195"/>
      <x:c r="BG72" s="195"/>
      <x:c r="BH72" s="157"/>
      <x:c r="BI72" s="195"/>
      <x:c r="BJ72" s="195"/>
      <x:c r="BK72" s="195"/>
      <x:c r="BL72" s="157"/>
      <x:c r="BM72" s="157"/>
      <x:c r="BN72" s="157"/>
      <x:c r="BO72" s="195"/>
      <x:c r="BP72" s="195"/>
      <x:c r="BQ72" s="157"/>
      <x:c r="BR72" s="157"/>
      <x:c r="BS72" s="157"/>
      <x:c r="BT72" s="157" t="str">
        <x:v>DocumentSettings</x:v>
      </x:c>
      <x:c r="BU72" s="157" t="str">
        <x:v>Word settings | w:spacing line=380; lineRule=exact</x:v>
      </x:c>
      <x:c r="BV72" s="196" t="str">
        <x:v>DỰ THẢO — CẦN DUYỆT HD05</x:v>
      </x:c>
      <x:c r="BW72" s="197" t="str">
        <x:v>ĐÃ TÁCH MỘT PHẦN</x:v>
      </x:c>
      <x:c r="BX72" s="157" t="str">
        <x:v>Cấu hình profile chưa được xác nhận; giữ nguyên chính sách CHECK_ONLY.</x:v>
      </x:c>
      <x:c r="BY72" t="str">
        <x:v>HD05.G.DOAN.GIUA_DONG</x:v>
      </x:c>
      <x:c r="BZ72" t="str">
        <x:f>IFERROR(INDEX(HD05!$J$7:$J$300,MATCH($B72,HD05!$B$7:$B$300,0)),"UNRESOLVED")</x:f>
      </x:c>
      <x:c r="CA72" t="str">
        <x:v>DOCUMENT_SETTING</x:v>
      </x:c>
      <x:c r="CB72" t="str">
        <x:v>party_issuer_confirmed AND issue_date&gt;=2026-05-27 AND doc_type_confirmed</x:v>
      </x:c>
      <x:c r="CC72" t="str">
        <x:f>IFERROR(INDEX(HD05!$X$7:$X$300,MATCH($B72,HD05!$B$7:$B$300,0)),"UNRESOLVED")</x:f>
        <x:v>CHỈ SAU REVIEW</x:v>
      </x:c>
      <x:c r="CD72" t="str">
        <x:f>IF(OR(ISNUMBER(SEARCH("READ_ONLY",CC72)),ISNUMBER(SEARCH("PROTECTED",CC72)),ISNUMBER(SEARCH("BẢO VỆ",CC72)),ISNUMBER(SEARCH("KHÔNG KÝ",CC72))),"PROTECTED","CHECK_ONLY")</x:f>
        <x:v>CHECK_ONLY</x:v>
      </x:c>
      <x:c r="CE72" t="str">
        <x:f>IF(AND(CD72="FORMAT_APPROVED",CU72="CÓ",CV72="CÓ",CH72="CÓ",CI72="CÓ",CJ72="CÓ"),"CÓ","KHÔNG")</x:f>
        <x:v>KHÔNG</x:v>
      </x:c>
      <x:c r="CF72" t="str">
        <x:v>KHÔNG</x:v>
      </x:c>
      <x:c r="CG72" t="str">
        <x:v>CÓ</x:v>
      </x:c>
      <x:c r="CH72" t="str">
        <x:v>KHÔNG</x:v>
      </x:c>
      <x:c r="CI72" t="str">
        <x:v>KHÔNG</x:v>
      </x:c>
      <x:c r="CJ72" t="str">
        <x:v>KHÔNG</x:v>
      </x:c>
      <x:c r="CK72" t="str">
        <x:f>IF(AND(CE72="CÓ",CF72="KHÔNG",CG72="CÓ",CU72="CÓ",CV72="CÓ",CH72="CÓ",CI72="CÓ",CJ72="CÓ"),"CÓ","KHÔNG")</x:f>
        <x:v>KHÔNG</x:v>
      </x:c>
      <x:c r="CL72" t="str">
        <x:v>PILOT_NORTH_PROFILE_DRAFT; chưa có master DOCX đã duyệt</x:v>
      </x:c>
      <x:c r="CM72" t="str">
        <x:v>v1.5 (nâng từ v1.4)</x:v>
      </x:c>
      <x:c r="CN72" t="str">
        <x:v>CHƯA XÁC NHẬN CHỦ THỂ ĐẢNG</x:v>
      </x:c>
      <x:c r="CO72" t="str">
        <x:v>HD05_G_DOAN_GIUA_DONG_FIELD_ONLY; chưa tạo trong Word</x:v>
      </x:c>
      <x:c r="CP72" t="str">
        <x:v>Preset là cấu hình Công ty; không thay thế giới hạn của nguồn NĐ30/HD05</x:v>
      </x:c>
      <x:c r="CQ72" t="str">
        <x:f>IF(OR(BH72="CÓ",BH72=TRUE),BI72,"")</x:f>
      </x:c>
      <x:c r="CR72" t="str">
        <x:f>IF(OR(BH72="CÓ",BH72=TRUE),BJ72,"")</x:f>
      </x:c>
      <x:c r="CS72" t="str">
        <x:v>DOCUMENT_SETTINGS_CHECK_ONLY</x:v>
      </x:c>
      <x:c r="CT72" t="str">
        <x:v>PENDING_SOURCE_AND_DOCX_QA</x:v>
      </x:c>
      <x:c r="CU72" t="str">
        <x:v>KHÔNG</x:v>
      </x:c>
      <x:c r="CV72" t="str">
        <x:v>KHÔNG</x:v>
      </x:c>
      <x:c r="CW72" t="str"/>
    </x:row>
    <x:row r="73" ht="29" customHeight="1">
      <x:c r="A73" s="125" t="n">
        <x:v>67</x:v>
      </x:c>
      <x:c r="B73" s="123" t="str">
        <x:v>HD05.G.DOAN.GIUA_DOAN</x:v>
      </x:c>
      <x:c r="C73" s="123" t="str">
        <x:v>Định dạng chung</x:v>
      </x:c>
      <x:c r="D73" s="123" t="str">
        <x:v>Dãn cách và căn chỉnh</x:v>
      </x:c>
      <x:c r="E73" s="123" t="str">
        <x:v>Khoảng cách đoạn</x:v>
      </x:c>
      <x:c r="F73" s="123" t="str">
        <x:v>—</x:v>
      </x:c>
      <x:c r="G73" s="123" t="str">
        <x:v>Dùng cho văn bản chính theo profile; loại trừ bản sao/phụ lục riêng khi chưa có route</x:v>
      </x:c>
      <x:c r="H73" s="123" t="str">
        <x:v>Khoảng cách đoạn</x:v>
      </x:c>
      <x:c r="I73" s="123" t="str">
        <x:v>Không áp dụng</x:v>
      </x:c>
      <x:c r="J73" s="136" t="str">
        <x:v>—</x:v>
      </x:c>
      <x:c r="K73" s="123" t="str">
        <x:v>Không áp dụng</x:v>
      </x:c>
      <x:c r="L73" s="123" t="str">
        <x:v>Không áp dụng</x:v>
      </x:c>
      <x:c r="M73" s="123" t="str">
        <x:v>Không áp dụng</x:v>
      </x:c>
      <x:c r="N73" s="123"/>
      <x:c r="O73" s="135" t="str">
        <x:v>Before 0 pt; After 6 pt | after=120 twip (chỉ BODY)</x:v>
      </x:c>
      <x:c r="P73" s="135"/>
      <x:c r="Q73" s="123"/>
      <x:c r="R73" s="123" t="str">
        <x:v>Word settings | w:spacing before=0 after=120</x:v>
      </x:c>
      <x:c r="S73" s="123" t="str">
        <x:v>Before 0 pt; After 6 pt (body only)</x:v>
      </x:c>
      <x:c r="T73" s="123" t="str">
        <x:v>HD05, Phần II, IV; Phụ lục 2</x:v>
      </x:c>
      <x:c r="U73" s="123" t="str">
        <x:v>https://dangcongsan.vn/vanphongtrunguong/van-ban-cua-dang/huong-dan-so-05-hd-vptw-ngay-27-5-2026-cua-van-phong-trung-uong-dang-ve-the-thuc-va-ky-thuat-trinh-bay-van-ban-cua-dang.html?categoryId=3000525</x:v>
      </x:c>
      <x:c r="V73" s="123" t="str">
        <x:v>https://thuvienphapluat.vn/van-ban/Bo-may-hanh-chinh/Huong-dan-05-HD-VPTW-2026-the-thuc-va-ky-thuat-trinh-bay-van-ban-cua-Dang-707499.aspx</x:v>
      </x:c>
      <x:c r="W73" s="123" t="str">
        <x:v>ĐỐI CHIẾU MỘT PHẦN</x:v>
      </x:c>
      <x:c r="X73" s="123" t="str">
        <x:v>CHECK_ONLY</x:v>
      </x:c>
      <x:c r="Y73" s="123" t="str">
        <x:v>Không tự chèn/sửa khi chưa có chứng cứ về đối tượng và rule.</x:v>
      </x:c>
      <x:c r="Z73" s="135" t="str">
        <x:v>Before 0 pt; After 6 pt (body only)</x:v>
      </x:c>
      <x:c r="AA73" s="123" t="str">
        <x:v>DocumentSettings</x:v>
      </x:c>
      <x:c r="AB73" s="135" t="str">
        <x:v>DỰ THẢO — CẦN DUYỆT HD05</x:v>
      </x:c>
      <x:c r="AC73" s="123" t="str">
        <x:v>CHECK_ONLY</x:v>
      </x:c>
      <x:c r="AD73" s="123" t="str">
        <x:v>PLUGIN:HOA-TIEU-MIEN-BAC-PARTY-HD05-HEADER-2026 | NEEDS_REVIEW</x:v>
      </x:c>
      <x:c r="AE73" s="123" t="str">
        <x:v>GATE: xác minh chủ thể HD05 trước; Kiểm tra w:sectPr/w:pPr/w:rPr và bản render Word, đối chiếu quy định + preset.</x:v>
      </x:c>
      <x:c r="AF73" s="123" t="str">
        <x:v>Đảng ủy: chỉ chọn khi chủ thể ban hành và phạm vi HD05 đã được xác minh.</x:v>
      </x:c>
      <x:c r="AG73" s="157"/>
      <x:c r="AH73" s="157"/>
      <x:c r="AI73" s="157"/>
      <x:c r="AJ73" s="195"/>
      <x:c r="AK73" s="157" t="str">
        <x:v>KHÔNG ÁP DỤNG</x:v>
      </x:c>
      <x:c r="AL73" s="157" t="str">
        <x:v>KHÔNG ÁP DỤNG</x:v>
      </x:c>
      <x:c r="AM73" s="157"/>
      <x:c r="AN73" s="157"/>
      <x:c r="AO73" s="157"/>
      <x:c r="AP73" s="157"/>
      <x:c r="AQ73" s="195"/>
      <x:c r="AR73" s="157"/>
      <x:c r="AS73" s="195" t="n">
        <x:v>0</x:v>
      </x:c>
      <x:c r="AT73" s="195" t="n">
        <x:v>6</x:v>
      </x:c>
      <x:c r="AU73" s="195"/>
      <x:c r="AV73" s="195"/>
      <x:c r="AW73" s="195"/>
      <x:c r="AX73" s="157"/>
      <x:c r="AY73" s="157"/>
      <x:c r="AZ73" s="157"/>
      <x:c r="BA73" s="195"/>
      <x:c r="BB73" s="195"/>
      <x:c r="BC73" s="157"/>
      <x:c r="BD73" s="195"/>
      <x:c r="BE73" s="195"/>
      <x:c r="BF73" s="195"/>
      <x:c r="BG73" s="195"/>
      <x:c r="BH73" s="157"/>
      <x:c r="BI73" s="195"/>
      <x:c r="BJ73" s="195"/>
      <x:c r="BK73" s="195"/>
      <x:c r="BL73" s="157"/>
      <x:c r="BM73" s="157"/>
      <x:c r="BN73" s="157"/>
      <x:c r="BO73" s="195"/>
      <x:c r="BP73" s="195"/>
      <x:c r="BQ73" s="157"/>
      <x:c r="BR73" s="157"/>
      <x:c r="BS73" s="157"/>
      <x:c r="BT73" s="157" t="str">
        <x:v>DocumentSettings</x:v>
      </x:c>
      <x:c r="BU73" s="157" t="str">
        <x:v>Word settings | w:spacing before=0 after=120</x:v>
      </x:c>
      <x:c r="BV73" s="196" t="str">
        <x:v>DỰ THẢO — CẦN DUYỆT HD05</x:v>
      </x:c>
      <x:c r="BW73" s="197" t="str">
        <x:v>CHƯA CÓ THÔNG SỐ ĐỊNH LƯỢNG</x:v>
      </x:c>
      <x:c r="BX73" s="157" t="str">
        <x:v>Cấu hình profile chưa được xác nhận; giữ nguyên chính sách CHECK_ONLY.</x:v>
      </x:c>
      <x:c r="BY73" t="str">
        <x:v>HD05.G.DOAN.GIUA_DOAN</x:v>
      </x:c>
      <x:c r="BZ73" t="str">
        <x:f>IFERROR(INDEX(HD05!$J$7:$J$300,MATCH($B73,HD05!$B$7:$B$300,0)),"UNRESOLVED")</x:f>
      </x:c>
      <x:c r="CA73" t="str">
        <x:v>DOCUMENT_SETTING</x:v>
      </x:c>
      <x:c r="CB73" t="str">
        <x:v>party_issuer_confirmed AND issue_date&gt;=2026-05-27 AND doc_type_confirmed</x:v>
      </x:c>
      <x:c r="CC73" t="str">
        <x:f>IFERROR(INDEX(HD05!$X$7:$X$300,MATCH($B73,HD05!$B$7:$B$300,0)),"UNRESOLVED")</x:f>
        <x:v>CHỈ SAU REVIEW</x:v>
      </x:c>
      <x:c r="CD73" t="str">
        <x:f>IF(OR(ISNUMBER(SEARCH("READ_ONLY",CC73)),ISNUMBER(SEARCH("PROTECTED",CC73)),ISNUMBER(SEARCH("BẢO VỆ",CC73)),ISNUMBER(SEARCH("KHÔNG KÝ",CC73))),"PROTECTED","CHECK_ONLY")</x:f>
        <x:v>CHECK_ONLY</x:v>
      </x:c>
      <x:c r="CE73" t="str">
        <x:f>IF(AND(CD73="FORMAT_APPROVED",CU73="CÓ",CV73="CÓ",CH73="CÓ",CI73="CÓ",CJ73="CÓ"),"CÓ","KHÔNG")</x:f>
        <x:v>KHÔNG</x:v>
      </x:c>
      <x:c r="CF73" t="str">
        <x:v>KHÔNG</x:v>
      </x:c>
      <x:c r="CG73" t="str">
        <x:v>CÓ</x:v>
      </x:c>
      <x:c r="CH73" t="str">
        <x:v>KHÔNG</x:v>
      </x:c>
      <x:c r="CI73" t="str">
        <x:v>KHÔNG</x:v>
      </x:c>
      <x:c r="CJ73" t="str">
        <x:v>KHÔNG</x:v>
      </x:c>
      <x:c r="CK73" t="str">
        <x:f>IF(AND(CE73="CÓ",CF73="KHÔNG",CG73="CÓ",CU73="CÓ",CV73="CÓ",CH73="CÓ",CI73="CÓ",CJ73="CÓ"),"CÓ","KHÔNG")</x:f>
        <x:v>KHÔNG</x:v>
      </x:c>
      <x:c r="CL73" t="str">
        <x:v>PILOT_NORTH_PROFILE_DRAFT; chưa có master DOCX đã duyệt</x:v>
      </x:c>
      <x:c r="CM73" t="str">
        <x:v>v1.5 (nâng từ v1.4)</x:v>
      </x:c>
      <x:c r="CN73" t="str">
        <x:v>CHƯA XÁC NHẬN CHỦ THỂ ĐẢNG</x:v>
      </x:c>
      <x:c r="CO73" t="str">
        <x:v>HD05_G_DOAN_GIUA_DOAN_FIELD_ONLY; chưa tạo trong Word</x:v>
      </x:c>
      <x:c r="CP73" t="str">
        <x:v>Preset là cấu hình Công ty; không thay thế giới hạn của nguồn NĐ30/HD05</x:v>
      </x:c>
      <x:c r="CQ73" t="str">
        <x:f>IF(OR(BH73="CÓ",BH73=TRUE),BI73,"")</x:f>
      </x:c>
      <x:c r="CR73" t="str">
        <x:f>IF(OR(BH73="CÓ",BH73=TRUE),BJ73,"")</x:f>
      </x:c>
      <x:c r="CS73" t="str">
        <x:v>DOCUMENT_SETTINGS_CHECK_ONLY</x:v>
      </x:c>
      <x:c r="CT73" t="str">
        <x:v>PENDING_SOURCE_AND_DOCX_QA</x:v>
      </x:c>
      <x:c r="CU73" t="str">
        <x:v>KHÔNG</x:v>
      </x:c>
      <x:c r="CV73" t="str">
        <x:v>KHÔNG</x:v>
      </x:c>
      <x:c r="CW73" t="str"/>
    </x:row>
    <x:row r="74" ht="29" customHeight="1">
      <x:c r="A74" s="125" t="n">
        <x:v>68</x:v>
      </x:c>
      <x:c r="B74" s="123" t="str">
        <x:v>HD05.G.DOAN.THUT_DONG</x:v>
      </x:c>
      <x:c r="C74" s="123" t="str">
        <x:v>Định dạng chung</x:v>
      </x:c>
      <x:c r="D74" s="123" t="str">
        <x:v>Dãn cách và căn chỉnh</x:v>
      </x:c>
      <x:c r="E74" s="123" t="str">
        <x:v>Thụt đầu dòng</x:v>
      </x:c>
      <x:c r="F74" s="123" t="str">
        <x:v>—</x:v>
      </x:c>
      <x:c r="G74" s="123" t="str">
        <x:v>Dùng cho văn bản chính theo profile; loại trừ bản sao/phụ lục riêng khi chưa có route</x:v>
      </x:c>
      <x:c r="H74" s="123" t="str">
        <x:v>Thụt đầu dòng</x:v>
      </x:c>
      <x:c r="I74" s="123" t="str">
        <x:v>Không áp dụng</x:v>
      </x:c>
      <x:c r="J74" s="136" t="str">
        <x:v>—</x:v>
      </x:c>
      <x:c r="K74" s="123" t="str">
        <x:v>Không áp dụng</x:v>
      </x:c>
      <x:c r="L74" s="123" t="str">
        <x:v>Không áp dụng</x:v>
      </x:c>
      <x:c r="M74" s="123" t="str">
        <x:v>Không áp dụng</x:v>
      </x:c>
      <x:c r="N74" s="123"/>
      <x:c r="O74" s="135"/>
      <x:c r="P74" s="135" t="str">
        <x:v>First line 10 mm (~567 twip)</x:v>
      </x:c>
      <x:c r="Q74" s="123"/>
      <x:c r="R74" s="123" t="str">
        <x:v>Word settings | w:ind w:firstLine=567</x:v>
      </x:c>
      <x:c r="S74" s="123" t="str">
        <x:v>First line 10 mm / ~567 twip</x:v>
      </x:c>
      <x:c r="T74" s="123" t="str">
        <x:v>HD05, Phần II, IV; Phụ lục 2</x:v>
      </x:c>
      <x:c r="U74" s="123" t="str">
        <x:v>https://dangcongsan.vn/vanphongtrunguong/van-ban-cua-dang/huong-dan-so-05-hd-vptw-ngay-27-5-2026-cua-van-phong-trung-uong-dang-ve-the-thuc-va-ky-thuat-trinh-bay-van-ban-cua-dang.html?categoryId=3000525</x:v>
      </x:c>
      <x:c r="V74" s="123" t="str">
        <x:v>https://thuvienphapluat.vn/van-ban/Bo-may-hanh-chinh/Huong-dan-05-HD-VPTW-2026-the-thuc-va-ky-thuat-trinh-bay-van-ban-cua-Dang-707499.aspx</x:v>
      </x:c>
      <x:c r="W74" s="123" t="str">
        <x:v>ĐỐI CHIẾU MỘT PHẦN</x:v>
      </x:c>
      <x:c r="X74" s="123" t="str">
        <x:v>CHECK_ONLY</x:v>
      </x:c>
      <x:c r="Y74" s="123" t="str">
        <x:v>Không tự chèn/sửa khi chưa có chứng cứ về đối tượng và rule.</x:v>
      </x:c>
      <x:c r="Z74" s="135" t="str">
        <x:v>First line 10 mm / ~567 twip</x:v>
      </x:c>
      <x:c r="AA74" s="123" t="str">
        <x:v>DocumentSettings</x:v>
      </x:c>
      <x:c r="AB74" s="135" t="str">
        <x:v>DỰ THẢO — CẦN DUYỆT HD05</x:v>
      </x:c>
      <x:c r="AC74" s="123" t="str">
        <x:v>CHECK_ONLY</x:v>
      </x:c>
      <x:c r="AD74" s="123" t="str">
        <x:v>PLUGIN:HOA-TIEU-MIEN-BAC-PARTY-HD05-HEADER-2026 | NEEDS_REVIEW</x:v>
      </x:c>
      <x:c r="AE74" s="123" t="str">
        <x:v>GATE: xác minh chủ thể HD05 trước; Kiểm tra w:sectPr/w:pPr/w:rPr và bản render Word, đối chiếu quy định + preset.</x:v>
      </x:c>
      <x:c r="AF74" s="123" t="str">
        <x:v>Đảng ủy: chỉ chọn khi chủ thể ban hành và phạm vi HD05 đã được xác minh.</x:v>
      </x:c>
      <x:c r="AG74" s="157"/>
      <x:c r="AH74" s="157"/>
      <x:c r="AI74" s="157"/>
      <x:c r="AJ74" s="195"/>
      <x:c r="AK74" s="157" t="str">
        <x:v>KHÔNG ÁP DỤNG</x:v>
      </x:c>
      <x:c r="AL74" s="157" t="str">
        <x:v>KHÔNG ÁP DỤNG</x:v>
      </x:c>
      <x:c r="AM74" s="157"/>
      <x:c r="AN74" s="157"/>
      <x:c r="AO74" s="157"/>
      <x:c r="AP74" s="157"/>
      <x:c r="AQ74" s="195"/>
      <x:c r="AR74" s="157"/>
      <x:c r="AS74" s="195"/>
      <x:c r="AT74" s="195"/>
      <x:c r="AU74" s="195" t="n">
        <x:v>10</x:v>
      </x:c>
      <x:c r="AV74" s="195"/>
      <x:c r="AW74" s="195"/>
      <x:c r="AX74" s="157"/>
      <x:c r="AY74" s="157"/>
      <x:c r="AZ74" s="157"/>
      <x:c r="BA74" s="195"/>
      <x:c r="BB74" s="195"/>
      <x:c r="BC74" s="157"/>
      <x:c r="BD74" s="195"/>
      <x:c r="BE74" s="195"/>
      <x:c r="BF74" s="195"/>
      <x:c r="BG74" s="195"/>
      <x:c r="BH74" s="157"/>
      <x:c r="BI74" s="195"/>
      <x:c r="BJ74" s="195"/>
      <x:c r="BK74" s="195"/>
      <x:c r="BL74" s="157"/>
      <x:c r="BM74" s="157"/>
      <x:c r="BN74" s="157"/>
      <x:c r="BO74" s="195"/>
      <x:c r="BP74" s="195"/>
      <x:c r="BQ74" s="157"/>
      <x:c r="BR74" s="157"/>
      <x:c r="BS74" s="157"/>
      <x:c r="BT74" s="157" t="str">
        <x:v>DocumentSettings</x:v>
      </x:c>
      <x:c r="BU74" s="157" t="str">
        <x:v>Word settings | w:ind w:firstLine=567</x:v>
      </x:c>
      <x:c r="BV74" s="196" t="str">
        <x:v>DỰ THẢO — CẦN DUYỆT HD05</x:v>
      </x:c>
      <x:c r="BW74" s="197" t="str">
        <x:v>ĐÃ TÁCH MỘT PHẦN</x:v>
      </x:c>
      <x:c r="BX74" s="157" t="str">
        <x:v>Cấu hình profile chưa được xác nhận; giữ nguyên chính sách CHECK_ONLY.</x:v>
      </x:c>
      <x:c r="BY74" t="str">
        <x:v>HD05.G.DOAN.THUT_DONG</x:v>
      </x:c>
      <x:c r="BZ74" t="str">
        <x:f>IFERROR(INDEX(HD05!$J$7:$J$300,MATCH($B74,HD05!$B$7:$B$300,0)),"UNRESOLVED")</x:f>
      </x:c>
      <x:c r="CA74" t="str">
        <x:v>DOCUMENT_SETTING</x:v>
      </x:c>
      <x:c r="CB74" t="str">
        <x:v>party_issuer_confirmed AND issue_date&gt;=2026-05-27 AND doc_type_confirmed</x:v>
      </x:c>
      <x:c r="CC74" t="str">
        <x:f>IFERROR(INDEX(HD05!$X$7:$X$300,MATCH($B74,HD05!$B$7:$B$300,0)),"UNRESOLVED")</x:f>
        <x:v>CHỈ SAU REVIEW</x:v>
      </x:c>
      <x:c r="CD74" t="str">
        <x:f>IF(OR(ISNUMBER(SEARCH("READ_ONLY",CC74)),ISNUMBER(SEARCH("PROTECTED",CC74)),ISNUMBER(SEARCH("BẢO VỆ",CC74)),ISNUMBER(SEARCH("KHÔNG KÝ",CC74))),"PROTECTED","CHECK_ONLY")</x:f>
        <x:v>CHECK_ONLY</x:v>
      </x:c>
      <x:c r="CE74" t="str">
        <x:f>IF(AND(CD74="FORMAT_APPROVED",CU74="CÓ",CV74="CÓ",CH74="CÓ",CI74="CÓ",CJ74="CÓ"),"CÓ","KHÔNG")</x:f>
        <x:v>KHÔNG</x:v>
      </x:c>
      <x:c r="CF74" t="str">
        <x:v>KHÔNG</x:v>
      </x:c>
      <x:c r="CG74" t="str">
        <x:v>CÓ</x:v>
      </x:c>
      <x:c r="CH74" t="str">
        <x:v>KHÔNG</x:v>
      </x:c>
      <x:c r="CI74" t="str">
        <x:v>KHÔNG</x:v>
      </x:c>
      <x:c r="CJ74" t="str">
        <x:v>KHÔNG</x:v>
      </x:c>
      <x:c r="CK74" t="str">
        <x:f>IF(AND(CE74="CÓ",CF74="KHÔNG",CG74="CÓ",CU74="CÓ",CV74="CÓ",CH74="CÓ",CI74="CÓ",CJ74="CÓ"),"CÓ","KHÔNG")</x:f>
        <x:v>KHÔNG</x:v>
      </x:c>
      <x:c r="CL74" t="str">
        <x:v>PILOT_NORTH_PROFILE_DRAFT; chưa có master DOCX đã duyệt</x:v>
      </x:c>
      <x:c r="CM74" t="str">
        <x:v>v1.5 (nâng từ v1.4)</x:v>
      </x:c>
      <x:c r="CN74" t="str">
        <x:v>CHƯA XÁC NHẬN CHỦ THỂ ĐẢNG</x:v>
      </x:c>
      <x:c r="CO74" t="str">
        <x:v>HD05_G_DOAN_THUT_DONG_FIELD_ONLY; chưa tạo trong Word</x:v>
      </x:c>
      <x:c r="CP74" t="str">
        <x:v>Preset là cấu hình Công ty; không thay thế giới hạn của nguồn NĐ30/HD05</x:v>
      </x:c>
      <x:c r="CQ74" t="str">
        <x:f>IF(OR(BH74="CÓ",BH74=TRUE),BI74,"")</x:f>
      </x:c>
      <x:c r="CR74" t="str">
        <x:f>IF(OR(BH74="CÓ",BH74=TRUE),BJ74,"")</x:f>
      </x:c>
      <x:c r="CS74" t="str">
        <x:v>DOCUMENT_SETTINGS_CHECK_ONLY</x:v>
      </x:c>
      <x:c r="CT74" t="str">
        <x:v>PENDING_SOURCE_AND_DOCX_QA</x:v>
      </x:c>
      <x:c r="CU74" t="str">
        <x:v>KHÔNG</x:v>
      </x:c>
      <x:c r="CV74" t="str">
        <x:v>KHÔNG</x:v>
      </x:c>
      <x:c r="CW74" t="str"/>
    </x:row>
    <x:row r="75" ht="29" customHeight="1">
      <x:c r="A75" s="125" t="n">
        <x:v>69</x:v>
      </x:c>
      <x:c r="B75" s="123" t="str">
        <x:v>HD05.G.PHAN_TRANG.SECTION</x:v>
      </x:c>
      <x:c r="C75" s="123" t="str">
        <x:v>Định dạng chung</x:v>
      </x:c>
      <x:c r="D75" s="123" t="str">
        <x:v>Phân trang</x:v>
      </x:c>
      <x:c r="E75" s="123" t="str">
        <x:v>Section</x:v>
      </x:c>
      <x:c r="F75" s="123" t="str">
        <x:v>—</x:v>
      </x:c>
      <x:c r="G75" s="123" t="str">
        <x:v>Dùng cho văn bản chính theo profile; loại trừ bản sao/phụ lục riêng khi chưa có route</x:v>
      </x:c>
      <x:c r="H75" s="123" t="str">
        <x:v>Quản lý section, pagebreak/keepNext nhưng chỉ khi có bằng chứng bố cục</x:v>
      </x:c>
      <x:c r="I75" s="123" t="str">
        <x:v>Không áp dụng</x:v>
      </x:c>
      <x:c r="J75" s="136" t="str">
        <x:v>—</x:v>
      </x:c>
      <x:c r="K75" s="123" t="str">
        <x:v>Không áp dụng</x:v>
      </x:c>
      <x:c r="L75" s="123" t="str">
        <x:v>Không áp dụng</x:v>
      </x:c>
      <x:c r="M75" s="123" t="str">
        <x:v>Không áp dụng</x:v>
      </x:c>
      <x:c r="N75" s="123"/>
      <x:c r="O75" s="135"/>
      <x:c r="P75" s="135"/>
      <x:c r="Q75" s="123"/>
      <x:c r="R75" s="123" t="str">
        <x:v>Word settings | sectPr, preserve original</x:v>
      </x:c>
      <x:c r="S75" s="123" t="str">
        <x:v>Một section portrait; riêng bảng/hình rộng tạo section khi cần và được duyệt</x:v>
      </x:c>
      <x:c r="T75" s="123" t="str">
        <x:v>HD05, Phần II, IV; Phụ lục 2</x:v>
      </x:c>
      <x:c r="U75" s="123" t="str">
        <x:v>https://dangcongsan.vn/vanphongtrunguong/van-ban-cua-dang/huong-dan-so-05-hd-vptw-ngay-27-5-2026-cua-van-phong-trung-uong-dang-ve-the-thuc-va-ky-thuat-trinh-bay-van-ban-cua-dang.html?categoryId=3000525</x:v>
      </x:c>
      <x:c r="V75" s="123" t="str">
        <x:v>https://thuvienphapluat.vn/van-ban/Bo-may-hanh-chinh/Huong-dan-05-HD-VPTW-2026-the-thuc-va-ky-thuat-trinh-bay-van-ban-cua-Dang-707499.aspx</x:v>
      </x:c>
      <x:c r="W75" s="123" t="str">
        <x:v>CẦN QA KỸ THUẬT</x:v>
      </x:c>
      <x:c r="X75" s="123" t="str">
        <x:v>CHECK_ONLY</x:v>
      </x:c>
      <x:c r="Y75" s="123" t="str">
        <x:v>Thiết lập kỹ thuật DOCX, không phải một “thành phần thể thức” pháp lý độc lập. | Trạng thái v1.0: THIẾT LẬP KỸ THUẬT</x:v>
      </x:c>
      <x:c r="Z75" s="135" t="str">
        <x:v>Một section portrait; riêng bảng/hình rộng tạo section khi cần và được duyệt</x:v>
      </x:c>
      <x:c r="AA75" s="123" t="str">
        <x:v>DocumentSettings</x:v>
      </x:c>
      <x:c r="AB75" s="135" t="str">
        <x:v>CẦN QA RENDER</x:v>
      </x:c>
      <x:c r="AC75" s="123" t="str">
        <x:v>CHECK_ONLY</x:v>
      </x:c>
      <x:c r="AD75" s="123" t="str">
        <x:v>PLUGIN:HOA-TIEU-MIEN-BAC-PARTY-HD05-HEADER-2026 | NEEDS_REVIEW</x:v>
      </x:c>
      <x:c r="AE75" s="123" t="str">
        <x:v>GATE: xác minh chủ thể HD05 trước; Kiểm tra w:sectPr/w:pPr/w:rPr và bản render Word, đối chiếu quy định + preset.</x:v>
      </x:c>
      <x:c r="AF75" s="123" t="str">
        <x:v>Đảng ủy: chỉ chọn khi chủ thể ban hành và phạm vi HD05 đã được xác minh.</x:v>
      </x:c>
      <x:c r="AG75" s="157"/>
      <x:c r="AH75" s="157"/>
      <x:c r="AI75" s="157"/>
      <x:c r="AJ75" s="195"/>
      <x:c r="AK75" s="157" t="str">
        <x:v>KHÔNG ÁP DỤNG</x:v>
      </x:c>
      <x:c r="AL75" s="157" t="str">
        <x:v>KHÔNG ÁP DỤNG</x:v>
      </x:c>
      <x:c r="AM75" s="157"/>
      <x:c r="AN75" s="157"/>
      <x:c r="AO75" s="157"/>
      <x:c r="AP75" s="157"/>
      <x:c r="AQ75" s="195"/>
      <x:c r="AR75" s="157"/>
      <x:c r="AS75" s="195"/>
      <x:c r="AT75" s="195"/>
      <x:c r="AU75" s="195"/>
      <x:c r="AV75" s="195"/>
      <x:c r="AW75" s="195"/>
      <x:c r="AX75" s="157"/>
      <x:c r="AY75" s="157"/>
      <x:c r="AZ75" s="157"/>
      <x:c r="BA75" s="195"/>
      <x:c r="BB75" s="195"/>
      <x:c r="BC75" s="157"/>
      <x:c r="BD75" s="195"/>
      <x:c r="BE75" s="195"/>
      <x:c r="BF75" s="195"/>
      <x:c r="BG75" s="195"/>
      <x:c r="BH75" s="157"/>
      <x:c r="BI75" s="195"/>
      <x:c r="BJ75" s="195"/>
      <x:c r="BK75" s="195"/>
      <x:c r="BL75" s="157"/>
      <x:c r="BM75" s="157"/>
      <x:c r="BN75" s="157"/>
      <x:c r="BO75" s="195"/>
      <x:c r="BP75" s="195"/>
      <x:c r="BQ75" s="157"/>
      <x:c r="BR75" s="157"/>
      <x:c r="BS75" s="157"/>
      <x:c r="BT75" s="157" t="str">
        <x:v>DocumentSettings</x:v>
      </x:c>
      <x:c r="BU75" s="157" t="str">
        <x:v>Word settings | sectPr, preserve original</x:v>
      </x:c>
      <x:c r="BV75" s="196" t="str">
        <x:v>CẦN QA RENDER</x:v>
      </x:c>
      <x:c r="BW75" s="197" t="str">
        <x:v>CHƯA CÓ THÔNG SỐ ĐỊNH LƯỢNG</x:v>
      </x:c>
      <x:c r="BX75" s="157" t="str">
        <x:v>Đối chiếu mô tả gốc ở I–S, Z–AF nếu thuộc tính phụ thuộc mẫu.</x:v>
      </x:c>
      <x:c r="BY75" t="str">
        <x:v>HD05.G.PHAN_TRANG.SECTION</x:v>
      </x:c>
      <x:c r="BZ75" t="str">
        <x:f>IFERROR(INDEX(HD05!$J$7:$J$300,MATCH($B75,HD05!$B$7:$B$300,0)),"UNRESOLVED")</x:f>
        <x:v>Không áp dụng</x:v>
      </x:c>
      <x:c r="CA75" t="str">
        <x:v>DOCUMENT_SETTING</x:v>
      </x:c>
      <x:c r="CB75" t="str">
        <x:v>party_issuer_confirmed AND issue_date&gt;=2026-05-27 AND doc_type_confirmed</x:v>
      </x:c>
      <x:c r="CC75" t="str">
        <x:f>IFERROR(INDEX(HD05!$X$7:$X$300,MATCH($B75,HD05!$B$7:$B$300,0)),"UNRESOLVED")</x:f>
        <x:v>REVIEW TRƯỚC KHI SỬA</x:v>
      </x:c>
      <x:c r="CD75" t="str">
        <x:f>IF(OR(ISNUMBER(SEARCH("READ_ONLY",CC75)),ISNUMBER(SEARCH("PROTECTED",CC75)),ISNUMBER(SEARCH("BẢO VỆ",CC75)),ISNUMBER(SEARCH("KHÔNG KÝ",CC75))),"PROTECTED","CHECK_ONLY")</x:f>
        <x:v>CHECK_ONLY</x:v>
      </x:c>
      <x:c r="CE75" t="str">
        <x:f>IF(AND(CD75="FORMAT_APPROVED",CU75="CÓ",CV75="CÓ",CH75="CÓ",CI75="CÓ",CJ75="CÓ"),"CÓ","KHÔNG")</x:f>
        <x:v>KHÔNG</x:v>
      </x:c>
      <x:c r="CF75" t="str">
        <x:v>KHÔNG</x:v>
      </x:c>
      <x:c r="CG75" t="str">
        <x:v>CÓ</x:v>
      </x:c>
      <x:c r="CH75" t="str">
        <x:v>KHÔNG</x:v>
      </x:c>
      <x:c r="CI75" t="str">
        <x:v>KHÔNG</x:v>
      </x:c>
      <x:c r="CJ75" t="str">
        <x:v>KHÔNG</x:v>
      </x:c>
      <x:c r="CK75" t="str">
        <x:f>IF(AND(CE75="CÓ",CF75="KHÔNG",CG75="CÓ",CU75="CÓ",CV75="CÓ",CH75="CÓ",CI75="CÓ",CJ75="CÓ"),"CÓ","KHÔNG")</x:f>
        <x:v>KHÔNG</x:v>
      </x:c>
      <x:c r="CL75" t="str">
        <x:v>PILOT_NORTH_PROFILE_DRAFT; chưa có master DOCX đã duyệt</x:v>
      </x:c>
      <x:c r="CM75" t="str">
        <x:v>v1.5 (nâng từ v1.4)</x:v>
      </x:c>
      <x:c r="CN75" t="str">
        <x:v>CHƯA XÁC NHẬN CHỦ THỂ ĐẢNG</x:v>
      </x:c>
      <x:c r="CO75" t="str">
        <x:v>HD05_G_PHAN_TRANG_SECTION_FIELD_ONLY; chưa tạo trong Word</x:v>
      </x:c>
      <x:c r="CP75" t="str">
        <x:v>Preset là cấu hình Công ty; không thay thế giới hạn của nguồn NĐ30/HD05</x:v>
      </x:c>
      <x:c r="CQ75" t="str">
        <x:f>IF(OR(BH75="CÓ",BH75=TRUE),BI75,"")</x:f>
      </x:c>
      <x:c r="CR75" t="str">
        <x:f>IF(OR(BH75="CÓ",BH75=TRUE),BJ75,"")</x:f>
      </x:c>
      <x:c r="CS75" t="str">
        <x:v>DOCUMENT_SETTINGS_CHECK_ONLY</x:v>
      </x:c>
      <x:c r="CT75" t="str">
        <x:v>PENDING_SOURCE_AND_DOCX_QA</x:v>
      </x:c>
      <x:c r="CU75" t="str">
        <x:v>KHÔNG</x:v>
      </x:c>
      <x:c r="CV75" t="str">
        <x:v>KHÔNG</x:v>
      </x:c>
      <x:c r="CW75" t="str"/>
    </x:row>
    <x:row r="76" ht="29" customHeight="1">
      <x:c r="A76" s="125" t="n">
        <x:v>70</x:v>
      </x:c>
      <x:c r="B76" s="123" t="str">
        <x:v>HD05.G.PHAN_TRANG.NGAT_TRANG</x:v>
      </x:c>
      <x:c r="C76" s="123" t="str">
        <x:v>Định dạng chung</x:v>
      </x:c>
      <x:c r="D76" s="123" t="str">
        <x:v>Phân trang</x:v>
      </x:c>
      <x:c r="E76" s="123" t="str">
        <x:v>Ngắt trang</x:v>
      </x:c>
      <x:c r="F76" s="123" t="str">
        <x:v>—</x:v>
      </x:c>
      <x:c r="G76" s="123" t="str">
        <x:v>Dùng cho văn bản chính theo profile; loại trừ bản sao/phụ lục riêng khi chưa có route</x:v>
      </x:c>
      <x:c r="H76" s="123" t="str">
        <x:v>Quản lý section, pagebreak/keepNext nhưng chỉ khi có bằng chứng bố cục</x:v>
      </x:c>
      <x:c r="I76" s="123" t="str">
        <x:v>Không áp dụng</x:v>
      </x:c>
      <x:c r="J76" s="136" t="str">
        <x:v>—</x:v>
      </x:c>
      <x:c r="K76" s="123" t="str">
        <x:v>Không áp dụng</x:v>
      </x:c>
      <x:c r="L76" s="123" t="str">
        <x:v>Không áp dụng</x:v>
      </x:c>
      <x:c r="M76" s="123" t="str">
        <x:v>Không áp dụng</x:v>
      </x:c>
      <x:c r="N76" s="123"/>
      <x:c r="O76" s="135"/>
      <x:c r="P76" s="135"/>
      <x:c r="Q76" s="123"/>
      <x:c r="R76" s="123" t="str">
        <x:v>Word settings | w:br type=page (check-only)</x:v>
      </x:c>
      <x:c r="S76" s="123" t="str">
        <x:v>Giữ pageBreak gốc; không chèn chỉ để làm đẹp</x:v>
      </x:c>
      <x:c r="T76" s="123" t="str">
        <x:v>HD05, Phần II, IV; Phụ lục 2</x:v>
      </x:c>
      <x:c r="U76" s="123" t="str">
        <x:v>https://dangcongsan.vn/vanphongtrunguong/van-ban-cua-dang/huong-dan-so-05-hd-vptw-ngay-27-5-2026-cua-van-phong-trung-uong-dang-ve-the-thuc-va-ky-thuat-trinh-bay-van-ban-cua-dang.html?categoryId=3000525</x:v>
      </x:c>
      <x:c r="V76" s="123" t="str">
        <x:v>https://thuvienphapluat.vn/van-ban/Bo-may-hanh-chinh/Huong-dan-05-HD-VPTW-2026-the-thuc-va-ky-thuat-trinh-bay-van-ban-cua-Dang-707499.aspx</x:v>
      </x:c>
      <x:c r="W76" s="123" t="str">
        <x:v>CẦN QA KỸ THUẬT</x:v>
      </x:c>
      <x:c r="X76" s="123" t="str">
        <x:v>CHECK_ONLY</x:v>
      </x:c>
      <x:c r="Y76" s="123" t="str">
        <x:v>Thiết lập kỹ thuật DOCX, không phải một “thành phần thể thức” pháp lý độc lập. | Trạng thái v1.0: THIẾT LẬP KỸ THUẬT</x:v>
      </x:c>
      <x:c r="Z76" s="135" t="str">
        <x:v>Giữ pageBreak gốc; không chèn chỉ để làm đẹp</x:v>
      </x:c>
      <x:c r="AA76" s="123" t="str">
        <x:v>DocumentSettings</x:v>
      </x:c>
      <x:c r="AB76" s="135" t="str">
        <x:v>CẦN QA RENDER</x:v>
      </x:c>
      <x:c r="AC76" s="123" t="str">
        <x:v>CHECK_ONLY</x:v>
      </x:c>
      <x:c r="AD76" s="123" t="str">
        <x:v>PLUGIN:HOA-TIEU-MIEN-BAC-PARTY-HD05-HEADER-2026 | NEEDS_REVIEW</x:v>
      </x:c>
      <x:c r="AE76" s="123" t="str">
        <x:v>GATE: xác minh chủ thể HD05 trước; Kiểm tra w:sectPr/w:pPr/w:rPr và bản render Word, đối chiếu quy định + preset.</x:v>
      </x:c>
      <x:c r="AF76" s="123" t="str">
        <x:v>Đảng ủy: chỉ chọn khi chủ thể ban hành và phạm vi HD05 đã được xác minh.</x:v>
      </x:c>
      <x:c r="AG76" s="157"/>
      <x:c r="AH76" s="157"/>
      <x:c r="AI76" s="157"/>
      <x:c r="AJ76" s="195"/>
      <x:c r="AK76" s="157" t="str">
        <x:v>KHÔNG ÁP DỤNG</x:v>
      </x:c>
      <x:c r="AL76" s="157" t="str">
        <x:v>KHÔNG ÁP DỤNG</x:v>
      </x:c>
      <x:c r="AM76" s="157"/>
      <x:c r="AN76" s="157"/>
      <x:c r="AO76" s="157"/>
      <x:c r="AP76" s="157"/>
      <x:c r="AQ76" s="195"/>
      <x:c r="AR76" s="157"/>
      <x:c r="AS76" s="195"/>
      <x:c r="AT76" s="195"/>
      <x:c r="AU76" s="195"/>
      <x:c r="AV76" s="195"/>
      <x:c r="AW76" s="195"/>
      <x:c r="AX76" s="157"/>
      <x:c r="AY76" s="157"/>
      <x:c r="AZ76" s="157"/>
      <x:c r="BA76" s="195"/>
      <x:c r="BB76" s="195"/>
      <x:c r="BC76" s="157"/>
      <x:c r="BD76" s="195"/>
      <x:c r="BE76" s="195"/>
      <x:c r="BF76" s="195"/>
      <x:c r="BG76" s="195"/>
      <x:c r="BH76" s="157"/>
      <x:c r="BI76" s="195"/>
      <x:c r="BJ76" s="195"/>
      <x:c r="BK76" s="195"/>
      <x:c r="BL76" s="157"/>
      <x:c r="BM76" s="157"/>
      <x:c r="BN76" s="157"/>
      <x:c r="BO76" s="195"/>
      <x:c r="BP76" s="195"/>
      <x:c r="BQ76" s="157"/>
      <x:c r="BR76" s="157"/>
      <x:c r="BS76" s="157"/>
      <x:c r="BT76" s="157" t="str">
        <x:v>DocumentSettings</x:v>
      </x:c>
      <x:c r="BU76" s="157" t="str">
        <x:v>Word settings | w:br type=page (check-only)</x:v>
      </x:c>
      <x:c r="BV76" s="196" t="str">
        <x:v>CẦN QA RENDER</x:v>
      </x:c>
      <x:c r="BW76" s="197" t="str">
        <x:v>CHƯA CÓ THÔNG SỐ ĐỊNH LƯỢNG</x:v>
      </x:c>
      <x:c r="BX76" s="157" t="str">
        <x:v>Đối chiếu mô tả gốc ở I–S, Z–AF nếu thuộc tính phụ thuộc mẫu.</x:v>
      </x:c>
      <x:c r="BY76" t="str">
        <x:v>HD05.G.PHAN_TRANG.NGAT_TRANG</x:v>
      </x:c>
      <x:c r="BZ76" t="str">
        <x:f>IFERROR(INDEX(HD05!$J$7:$J$300,MATCH($B76,HD05!$B$7:$B$300,0)),"UNRESOLVED")</x:f>
        <x:v>Không áp dụng</x:v>
      </x:c>
      <x:c r="CA76" t="str">
        <x:v>DOCUMENT_SETTING</x:v>
      </x:c>
      <x:c r="CB76" t="str">
        <x:v>party_issuer_confirmed AND issue_date&gt;=2026-05-27 AND doc_type_confirmed</x:v>
      </x:c>
      <x:c r="CC76" t="str">
        <x:f>IFERROR(INDEX(HD05!$X$7:$X$300,MATCH($B76,HD05!$B$7:$B$300,0)),"UNRESOLVED")</x:f>
        <x:v>REVIEW TRƯỚC KHI SỬA</x:v>
      </x:c>
      <x:c r="CD76" t="str">
        <x:f>IF(OR(ISNUMBER(SEARCH("READ_ONLY",CC76)),ISNUMBER(SEARCH("PROTECTED",CC76)),ISNUMBER(SEARCH("BẢO VỆ",CC76)),ISNUMBER(SEARCH("KHÔNG KÝ",CC76))),"PROTECTED","CHECK_ONLY")</x:f>
        <x:v>CHECK_ONLY</x:v>
      </x:c>
      <x:c r="CE76" t="str">
        <x:f>IF(AND(CD76="FORMAT_APPROVED",CU76="CÓ",CV76="CÓ",CH76="CÓ",CI76="CÓ",CJ76="CÓ"),"CÓ","KHÔNG")</x:f>
        <x:v>KHÔNG</x:v>
      </x:c>
      <x:c r="CF76" t="str">
        <x:v>KHÔNG</x:v>
      </x:c>
      <x:c r="CG76" t="str">
        <x:v>CÓ</x:v>
      </x:c>
      <x:c r="CH76" t="str">
        <x:v>KHÔNG</x:v>
      </x:c>
      <x:c r="CI76" t="str">
        <x:v>KHÔNG</x:v>
      </x:c>
      <x:c r="CJ76" t="str">
        <x:v>KHÔNG</x:v>
      </x:c>
      <x:c r="CK76" t="str">
        <x:f>IF(AND(CE76="CÓ",CF76="KHÔNG",CG76="CÓ",CU76="CÓ",CV76="CÓ",CH76="CÓ",CI76="CÓ",CJ76="CÓ"),"CÓ","KHÔNG")</x:f>
        <x:v>KHÔNG</x:v>
      </x:c>
      <x:c r="CL76" t="str">
        <x:v>PILOT_NORTH_PROFILE_DRAFT; chưa có master DOCX đã duyệt</x:v>
      </x:c>
      <x:c r="CM76" t="str">
        <x:v>v1.5 (nâng từ v1.4)</x:v>
      </x:c>
      <x:c r="CN76" t="str">
        <x:v>CHƯA XÁC NHẬN CHỦ THỂ ĐẢNG</x:v>
      </x:c>
      <x:c r="CO76" t="str">
        <x:v>HD05_G_PHAN_TRANG_NGAT_TRANG_FIELD_ONLY; chưa tạo trong Word</x:v>
      </x:c>
      <x:c r="CP76" t="str">
        <x:v>Preset là cấu hình Công ty; không thay thế giới hạn của nguồn NĐ30/HD05</x:v>
      </x:c>
      <x:c r="CQ76" t="str">
        <x:f>IF(OR(BH76="CÓ",BH76=TRUE),BI76,"")</x:f>
      </x:c>
      <x:c r="CR76" t="str">
        <x:f>IF(OR(BH76="CÓ",BH76=TRUE),BJ76,"")</x:f>
      </x:c>
      <x:c r="CS76" t="str">
        <x:v>DOCUMENT_SETTINGS_CHECK_ONLY</x:v>
      </x:c>
      <x:c r="CT76" t="str">
        <x:v>PENDING_SOURCE_AND_DOCX_QA</x:v>
      </x:c>
      <x:c r="CU76" t="str">
        <x:v>KHÔNG</x:v>
      </x:c>
      <x:c r="CV76" t="str">
        <x:v>KHÔNG</x:v>
      </x:c>
      <x:c r="CW76" t="str"/>
    </x:row>
    <x:row r="77" ht="29" customHeight="1">
      <x:c r="A77" s="125" t="n">
        <x:v>71</x:v>
      </x:c>
      <x:c r="B77" s="123" t="str">
        <x:v>HD05.G.PHAN_TRANG.KEEP_WITH_NEXT</x:v>
      </x:c>
      <x:c r="C77" s="123" t="str">
        <x:v>Định dạng chung</x:v>
      </x:c>
      <x:c r="D77" s="123" t="str">
        <x:v>Phân trang</x:v>
      </x:c>
      <x:c r="E77" s="123" t="str">
        <x:v>Giữ cùng đoạn tiếp</x:v>
      </x:c>
      <x:c r="F77" s="123" t="str">
        <x:v>—</x:v>
      </x:c>
      <x:c r="G77" s="123" t="str">
        <x:v>Dùng cho văn bản chính theo profile; loại trừ bản sao/phụ lục riêng khi chưa có route</x:v>
      </x:c>
      <x:c r="H77" s="123" t="str">
        <x:v>Quản lý section, pagebreak/keepNext nhưng chỉ khi có bằng chứng bố cục</x:v>
      </x:c>
      <x:c r="I77" s="123" t="str">
        <x:v>Không áp dụng</x:v>
      </x:c>
      <x:c r="J77" s="136" t="str">
        <x:v>—</x:v>
      </x:c>
      <x:c r="K77" s="123" t="str">
        <x:v>Không áp dụng</x:v>
      </x:c>
      <x:c r="L77" s="123" t="str">
        <x:v>Không áp dụng</x:v>
      </x:c>
      <x:c r="M77" s="123" t="str">
        <x:v>Không áp dụng</x:v>
      </x:c>
      <x:c r="N77" s="123"/>
      <x:c r="O77" s="135"/>
      <x:c r="P77" s="135"/>
      <x:c r="Q77" s="123"/>
      <x:c r="R77" s="123" t="str">
        <x:v>Word settings | w:keepNext</x:v>
      </x:c>
      <x:c r="S77" s="123" t="str">
        <x:v>True đối với tiêu đề nhóm/cấp; false lời văn thường</x:v>
      </x:c>
      <x:c r="T77" s="123" t="str">
        <x:v>HD05, Phần II, IV; Phụ lục 2</x:v>
      </x:c>
      <x:c r="U77" s="123" t="str">
        <x:v>https://dangcongsan.vn/vanphongtrunguong/van-ban-cua-dang/huong-dan-so-05-hd-vptw-ngay-27-5-2026-cua-van-phong-trung-uong-dang-ve-the-thuc-va-ky-thuat-trinh-bay-van-ban-cua-dang.html?categoryId=3000525</x:v>
      </x:c>
      <x:c r="V77" s="123" t="str">
        <x:v>https://thuvienphapluat.vn/van-ban/Bo-may-hanh-chinh/Huong-dan-05-HD-VPTW-2026-the-thuc-va-ky-thuat-trinh-bay-van-ban-cua-Dang-707499.aspx</x:v>
      </x:c>
      <x:c r="W77" s="123" t="str">
        <x:v>CẦN QA KỸ THUẬT</x:v>
      </x:c>
      <x:c r="X77" s="123" t="str">
        <x:v>CHECK_ONLY</x:v>
      </x:c>
      <x:c r="Y77" s="123" t="str">
        <x:v>Thiết lập kỹ thuật DOCX, không phải một “thành phần thể thức” pháp lý độc lập. | Trạng thái v1.0: THIẾT LẬP KỸ THUẬT</x:v>
      </x:c>
      <x:c r="Z77" s="135" t="str">
        <x:v>True đối với tiêu đề nhóm/cấp; false lời văn thường</x:v>
      </x:c>
      <x:c r="AA77" s="123" t="str">
        <x:v>DocumentSettings</x:v>
      </x:c>
      <x:c r="AB77" s="135" t="str">
        <x:v>DỰ THẢO — CẦN DUYỆT HD05</x:v>
      </x:c>
      <x:c r="AC77" s="123" t="str">
        <x:v>CHECK_ONLY</x:v>
      </x:c>
      <x:c r="AD77" s="123" t="str">
        <x:v>PLUGIN:HOA-TIEU-MIEN-BAC-PARTY-HD05-HEADER-2026 | NEEDS_REVIEW</x:v>
      </x:c>
      <x:c r="AE77" s="123" t="str">
        <x:v>GATE: xác minh chủ thể HD05 trước; Kiểm tra w:sectPr/w:pPr/w:rPr và bản render Word, đối chiếu quy định + preset.</x:v>
      </x:c>
      <x:c r="AF77" s="123" t="str">
        <x:v>Đảng ủy: chỉ chọn khi chủ thể ban hành và phạm vi HD05 đã được xác minh.</x:v>
      </x:c>
      <x:c r="AG77" s="157"/>
      <x:c r="AH77" s="157"/>
      <x:c r="AI77" s="157"/>
      <x:c r="AJ77" s="195"/>
      <x:c r="AK77" s="157" t="str">
        <x:v>KHÔNG ÁP DỤNG</x:v>
      </x:c>
      <x:c r="AL77" s="157" t="str">
        <x:v>KHÔNG ÁP DỤNG</x:v>
      </x:c>
      <x:c r="AM77" s="157"/>
      <x:c r="AN77" s="157"/>
      <x:c r="AO77" s="157"/>
      <x:c r="AP77" s="157"/>
      <x:c r="AQ77" s="195"/>
      <x:c r="AR77" s="157"/>
      <x:c r="AS77" s="195"/>
      <x:c r="AT77" s="195"/>
      <x:c r="AU77" s="195"/>
      <x:c r="AV77" s="195"/>
      <x:c r="AW77" s="195"/>
      <x:c r="AX77" s="157" t="str">
        <x:v>CÓ VỚI TIÊU ĐỀ; KHÔNG VỚI LỜI VĂN</x:v>
      </x:c>
      <x:c r="AY77" s="157"/>
      <x:c r="AZ77" s="157"/>
      <x:c r="BA77" s="195"/>
      <x:c r="BB77" s="195"/>
      <x:c r="BC77" s="157"/>
      <x:c r="BD77" s="195"/>
      <x:c r="BE77" s="195"/>
      <x:c r="BF77" s="195"/>
      <x:c r="BG77" s="195"/>
      <x:c r="BH77" s="157"/>
      <x:c r="BI77" s="195"/>
      <x:c r="BJ77" s="195"/>
      <x:c r="BK77" s="195"/>
      <x:c r="BL77" s="157"/>
      <x:c r="BM77" s="157"/>
      <x:c r="BN77" s="157"/>
      <x:c r="BO77" s="195"/>
      <x:c r="BP77" s="195"/>
      <x:c r="BQ77" s="157"/>
      <x:c r="BR77" s="157"/>
      <x:c r="BS77" s="157"/>
      <x:c r="BT77" s="157" t="str">
        <x:v>DocumentSettings</x:v>
      </x:c>
      <x:c r="BU77" s="157" t="str">
        <x:v>Word settings | w:keepNext</x:v>
      </x:c>
      <x:c r="BV77" s="196" t="str">
        <x:v>DỰ THẢO — CẦN DUYỆT HD05</x:v>
      </x:c>
      <x:c r="BW77" s="197" t="str">
        <x:v>CHƯA CÓ THÔNG SỐ ĐỊNH LƯỢNG</x:v>
      </x:c>
      <x:c r="BX77" s="157" t="str">
        <x:v>Cấu hình profile chưa được xác nhận; giữ nguyên chính sách CHECK_ONLY.</x:v>
      </x:c>
      <x:c r="BY77" t="str">
        <x:v>HD05.G.PHAN_TRANG.KEEP_WITH_NEXT</x:v>
      </x:c>
      <x:c r="BZ77" t="str">
        <x:f>IFERROR(INDEX(HD05!$J$7:$J$300,MATCH($B77,HD05!$B$7:$B$300,0)),"UNRESOLVED")</x:f>
        <x:v>Không áp dụng</x:v>
      </x:c>
      <x:c r="CA77" t="str">
        <x:v>DOCUMENT_SETTING</x:v>
      </x:c>
      <x:c r="CB77" t="str">
        <x:v>party_issuer_confirmed AND issue_date&gt;=2026-05-27 AND doc_type_confirmed</x:v>
      </x:c>
      <x:c r="CC77" t="str">
        <x:f>IFERROR(INDEX(HD05!$X$7:$X$300,MATCH($B77,HD05!$B$7:$B$300,0)),"UNRESOLVED")</x:f>
        <x:v>REVIEW TRƯỚC KHI SỬA</x:v>
      </x:c>
      <x:c r="CD77" t="str">
        <x:f>IF(OR(ISNUMBER(SEARCH("READ_ONLY",CC77)),ISNUMBER(SEARCH("PROTECTED",CC77)),ISNUMBER(SEARCH("BẢO VỆ",CC77)),ISNUMBER(SEARCH("KHÔNG KÝ",CC77))),"PROTECTED","CHECK_ONLY")</x:f>
        <x:v>CHECK_ONLY</x:v>
      </x:c>
      <x:c r="CE77" t="str">
        <x:f>IF(AND(CD77="FORMAT_APPROVED",CU77="CÓ",CV77="CÓ",CH77="CÓ",CI77="CÓ",CJ77="CÓ"),"CÓ","KHÔNG")</x:f>
        <x:v>KHÔNG</x:v>
      </x:c>
      <x:c r="CF77" t="str">
        <x:v>KHÔNG</x:v>
      </x:c>
      <x:c r="CG77" t="str">
        <x:v>CÓ</x:v>
      </x:c>
      <x:c r="CH77" t="str">
        <x:v>KHÔNG</x:v>
      </x:c>
      <x:c r="CI77" t="str">
        <x:v>KHÔNG</x:v>
      </x:c>
      <x:c r="CJ77" t="str">
        <x:v>KHÔNG</x:v>
      </x:c>
      <x:c r="CK77" t="str">
        <x:f>IF(AND(CE77="CÓ",CF77="KHÔNG",CG77="CÓ",CU77="CÓ",CV77="CÓ",CH77="CÓ",CI77="CÓ",CJ77="CÓ"),"CÓ","KHÔNG")</x:f>
        <x:v>KHÔNG</x:v>
      </x:c>
      <x:c r="CL77" t="str">
        <x:v>PILOT_NORTH_PROFILE_DRAFT; chưa có master DOCX đã duyệt</x:v>
      </x:c>
      <x:c r="CM77" t="str">
        <x:v>v1.5 (nâng từ v1.4)</x:v>
      </x:c>
      <x:c r="CN77" t="str">
        <x:v>CHƯA XÁC NHẬN CHỦ THỂ ĐẢNG</x:v>
      </x:c>
      <x:c r="CO77" t="str">
        <x:v>HD05_G_PHAN_TRANG_KEEP_WITH_NEXT_FIELD_ONLY; chưa tạo trong Word</x:v>
      </x:c>
      <x:c r="CP77" t="str">
        <x:v>Preset là cấu hình Công ty; không thay thế giới hạn của nguồn NĐ30/HD05</x:v>
      </x:c>
      <x:c r="CQ77" t="str">
        <x:f>IF(OR(BH77="CÓ",BH77=TRUE),BI77,"")</x:f>
      </x:c>
      <x:c r="CR77" t="str">
        <x:f>IF(OR(BH77="CÓ",BH77=TRUE),BJ77,"")</x:f>
      </x:c>
      <x:c r="CS77" t="str">
        <x:v>DOCUMENT_SETTINGS_CHECK_ONLY</x:v>
      </x:c>
      <x:c r="CT77" t="str">
        <x:v>PENDING_SOURCE_AND_DOCX_QA</x:v>
      </x:c>
      <x:c r="CU77" t="str">
        <x:v>KHÔNG</x:v>
      </x:c>
      <x:c r="CV77" t="str">
        <x:v>KHÔNG</x:v>
      </x:c>
      <x:c r="CW77" t="str"/>
    </x:row>
    <x:row r="78" ht="29" customHeight="1">
      <x:c r="A78" s="125" t="n">
        <x:v>72</x:v>
      </x:c>
      <x:c r="B78" s="123" t="str">
        <x:v>HD05.G.SO_TRANG.VI_TRI</x:v>
      </x:c>
      <x:c r="C78" s="123" t="str">
        <x:v>Định dạng chung</x:v>
      </x:c>
      <x:c r="D78" s="123" t="str">
        <x:v>Đánh số trang</x:v>
      </x:c>
      <x:c r="E78" s="123" t="str">
        <x:v>Vị trí số trang</x:v>
      </x:c>
      <x:c r="F78" s="123" t="str">
        <x:v>—</x:v>
      </x:c>
      <x:c r="G78" s="123" t="str">
        <x:v>Dùng cho văn bản chính theo profile; loại trừ bản sao/phụ lục riêng khi chưa có route</x:v>
      </x:c>
      <x:c r="H78" s="123" t="str">
        <x:v>Số trang bằng chữ số Ả Rập, trang đầu không hiển thị</x:v>
      </x:c>
      <x:c r="I78" s="123" t="str">
        <x:v>Không áp dụng</x:v>
      </x:c>
      <x:c r="J78" s="136" t="str">
        <x:v>—</x:v>
      </x:c>
      <x:c r="K78" s="123"/>
      <x:c r="L78" s="123"/>
      <x:c r="M78" s="123"/>
      <x:c r="N78" s="123" t="str">
        <x:v>Căn giữa ngang vùng nội dung, trong lề trên</x:v>
      </x:c>
      <x:c r="O78" s="135"/>
      <x:c r="P78" s="135"/>
      <x:c r="Q78" s="123"/>
      <x:c r="R78" s="123" t="str">
        <x:v>Word settings | Header footer settings + PAGE field</x:v>
      </x:c>
      <x:c r="S78" s="123" t="str">
        <x:v>Giữa lề trên; cách mép trên 10 mm</x:v>
      </x:c>
      <x:c r="T78" s="123" t="str">
        <x:v>HD05, Phần II, IV; Phụ lục 2</x:v>
      </x:c>
      <x:c r="U78" s="123" t="str">
        <x:v>https://dangcongsan.vn/vanphongtrunguong/van-ban-cua-dang/huong-dan-so-05-hd-vptw-ngay-27-5-2026-cua-van-phong-trung-uong-dang-ve-the-thuc-va-ky-thuat-trinh-bay-van-ban-cua-dang.html?categoryId=3000525</x:v>
      </x:c>
      <x:c r="V78" s="123" t="str">
        <x:v>https://thuvienphapluat.vn/van-ban/Bo-may-hanh-chinh/Huong-dan-05-HD-VPTW-2026-the-thuc-va-ky-thuat-trinh-bay-van-ban-cua-Dang-707499.aspx</x:v>
      </x:c>
      <x:c r="W78" s="123" t="str">
        <x:v>ĐỐI CHIẾU MỘT PHẦN</x:v>
      </x:c>
      <x:c r="X78" s="123" t="str">
        <x:v>CHECK_ONLY</x:v>
      </x:c>
      <x:c r="Y78" s="123" t="str">
        <x:v>Không tự chèn/sửa khi chưa có chứng cứ về đối tượng và rule.</x:v>
      </x:c>
      <x:c r="Z78" s="135" t="str">
        <x:v>Giữa lề trên; cách mép trên 10 mm</x:v>
      </x:c>
      <x:c r="AA78" s="123" t="str">
        <x:v>DocumentSettings</x:v>
      </x:c>
      <x:c r="AB78" s="135" t="str">
        <x:v>DỰ THẢO — CẦN DUYỆT HD05</x:v>
      </x:c>
      <x:c r="AC78" s="123" t="str">
        <x:v>CHECK_ONLY</x:v>
      </x:c>
      <x:c r="AD78" s="123" t="str">
        <x:v>PLUGIN:HOA-TIEU-MIEN-BAC-PARTY-HD05-HEADER-2026 | NEEDS_REVIEW</x:v>
      </x:c>
      <x:c r="AE78" s="123" t="str">
        <x:v>GATE: xác minh chủ thể HD05 trước; Kiểm tra w:sectPr/w:pPr/w:rPr và bản render Word, đối chiếu quy định + preset.</x:v>
      </x:c>
      <x:c r="AF78" s="123" t="str">
        <x:v>Đảng ủy: chỉ chọn khi chủ thể ban hành và phạm vi HD05 đã được xác minh.</x:v>
      </x:c>
      <x:c r="AG78" s="157"/>
      <x:c r="AH78" s="157"/>
      <x:c r="AI78" s="157"/>
      <x:c r="AJ78" s="195"/>
      <x:c r="AK78" s="157"/>
      <x:c r="AL78" s="157"/>
      <x:c r="AM78" s="157"/>
      <x:c r="AN78" s="157" t="str">
        <x:v>CENTER</x:v>
      </x:c>
      <x:c r="AO78" s="157"/>
      <x:c r="AP78" s="157"/>
      <x:c r="AQ78" s="195"/>
      <x:c r="AR78" s="157"/>
      <x:c r="AS78" s="195"/>
      <x:c r="AT78" s="195"/>
      <x:c r="AU78" s="195"/>
      <x:c r="AV78" s="195"/>
      <x:c r="AW78" s="195"/>
      <x:c r="AX78" s="157"/>
      <x:c r="AY78" s="157"/>
      <x:c r="AZ78" s="157"/>
      <x:c r="BA78" s="195"/>
      <x:c r="BB78" s="195"/>
      <x:c r="BC78" s="157"/>
      <x:c r="BD78" s="195"/>
      <x:c r="BE78" s="195"/>
      <x:c r="BF78" s="195"/>
      <x:c r="BG78" s="195"/>
      <x:c r="BH78" s="157"/>
      <x:c r="BI78" s="195"/>
      <x:c r="BJ78" s="195"/>
      <x:c r="BK78" s="195"/>
      <x:c r="BL78" s="157"/>
      <x:c r="BM78" s="157"/>
      <x:c r="BN78" s="157"/>
      <x:c r="BO78" s="195"/>
      <x:c r="BP78" s="195"/>
      <x:c r="BQ78" s="157"/>
      <x:c r="BR78" s="157" t="str">
        <x:v>GIỮA LỀ TRÊN</x:v>
      </x:c>
      <x:c r="BS78" s="157" t="str">
        <x:v>CÓ</x:v>
      </x:c>
      <x:c r="BT78" s="157" t="str">
        <x:v>DocumentSettings</x:v>
      </x:c>
      <x:c r="BU78" s="157" t="str">
        <x:v>Word settings | Header footer settings + PAGE field</x:v>
      </x:c>
      <x:c r="BV78" s="196" t="str">
        <x:v>DỰ THẢO — CẦN DUYỆT HD05</x:v>
      </x:c>
      <x:c r="BW78" s="197" t="str">
        <x:v>ĐÃ TÁCH MỘT PHẦN</x:v>
      </x:c>
      <x:c r="BX78" s="157" t="str">
        <x:v>Cấu hình profile chưa được xác nhận; giữ nguyên chính sách CHECK_ONLY.</x:v>
      </x:c>
      <x:c r="BY78" t="str">
        <x:v>HD05.G.SO_TRANG.VI_TRI</x:v>
      </x:c>
      <x:c r="BZ78" t="n">
        <x:f>IFERROR(INDEX(HD05!$J$7:$J$300,MATCH($B78,HD05!$B$7:$B$300,0)),"UNRESOLVED")</x:f>
        <x:v>14</x:v>
      </x:c>
      <x:c r="CA78" t="str">
        <x:v>DOCUMENT_SETTING</x:v>
      </x:c>
      <x:c r="CB78" t="str">
        <x:v>party_issuer_confirmed AND issue_date&gt;=2026-05-27 AND doc_type_confirmed</x:v>
      </x:c>
      <x:c r="CC78" t="str">
        <x:f>IFERROR(INDEX(HD05!$X$7:$X$300,MATCH($B78,HD05!$B$7:$B$300,0)),"UNRESOLVED")</x:f>
        <x:v>CHỈ SAU REVIEW</x:v>
      </x:c>
      <x:c r="CD78" t="str">
        <x:f>IF(OR(ISNUMBER(SEARCH("READ_ONLY",CC78)),ISNUMBER(SEARCH("PROTECTED",CC78)),ISNUMBER(SEARCH("BẢO VỆ",CC78)),ISNUMBER(SEARCH("KHÔNG KÝ",CC78))),"PROTECTED","CHECK_ONLY")</x:f>
        <x:v>CHECK_ONLY</x:v>
      </x:c>
      <x:c r="CE78" t="str">
        <x:f>IF(AND(CD78="FORMAT_APPROVED",CU78="CÓ",CV78="CÓ",CH78="CÓ",CI78="CÓ",CJ78="CÓ"),"CÓ","KHÔNG")</x:f>
        <x:v>KHÔNG</x:v>
      </x:c>
      <x:c r="CF78" t="str">
        <x:v>KHÔNG</x:v>
      </x:c>
      <x:c r="CG78" t="str">
        <x:v>CÓ</x:v>
      </x:c>
      <x:c r="CH78" t="str">
        <x:v>KHÔNG</x:v>
      </x:c>
      <x:c r="CI78" t="str">
        <x:v>KHÔNG</x:v>
      </x:c>
      <x:c r="CJ78" t="str">
        <x:v>KHÔNG</x:v>
      </x:c>
      <x:c r="CK78" t="str">
        <x:f>IF(AND(CE78="CÓ",CF78="KHÔNG",CG78="CÓ",CU78="CÓ",CV78="CÓ",CH78="CÓ",CI78="CÓ",CJ78="CÓ"),"CÓ","KHÔNG")</x:f>
        <x:v>KHÔNG</x:v>
      </x:c>
      <x:c r="CL78" t="str">
        <x:v>PILOT_NORTH_PROFILE_DRAFT; chưa có master DOCX đã duyệt</x:v>
      </x:c>
      <x:c r="CM78" t="str">
        <x:v>v1.5 (nâng từ v1.4)</x:v>
      </x:c>
      <x:c r="CN78" t="str">
        <x:v>CHƯA XÁC NHẬN CHỦ THỂ ĐẢNG</x:v>
      </x:c>
      <x:c r="CO78" t="str">
        <x:v>HD05_G_SO_TRANG_VI_TRI_FIELD_ONLY; chưa tạo trong Word</x:v>
      </x:c>
      <x:c r="CP78" t="str">
        <x:v>Preset là cấu hình Công ty; không thay thế giới hạn của nguồn NĐ30/HD05</x:v>
      </x:c>
      <x:c r="CQ78" t="str">
        <x:f>IF(OR(BH78="CÓ",BH78=TRUE),BI78,"")</x:f>
      </x:c>
      <x:c r="CR78" t="str">
        <x:f>IF(OR(BH78="CÓ",BH78=TRUE),BJ78,"")</x:f>
      </x:c>
      <x:c r="CS78" t="str">
        <x:v>DOCUMENT_SETTINGS_CHECK_ONLY</x:v>
      </x:c>
      <x:c r="CT78" t="str">
        <x:v>PENDING_SOURCE_AND_DOCX_QA</x:v>
      </x:c>
      <x:c r="CU78" t="str">
        <x:v>KHÔNG</x:v>
      </x:c>
      <x:c r="CV78" t="str">
        <x:v>KHÔNG</x:v>
      </x:c>
      <x:c r="CW78" t="str"/>
    </x:row>
    <x:row r="79" ht="29" customHeight="1">
      <x:c r="A79" s="125" t="n">
        <x:v>73</x:v>
      </x:c>
      <x:c r="B79" s="123" t="str">
        <x:v>HD05.G.SO_TRANG.DINH_DANG</x:v>
      </x:c>
      <x:c r="C79" s="123" t="str">
        <x:v>Định dạng chung</x:v>
      </x:c>
      <x:c r="D79" s="123" t="str">
        <x:v>Đánh số trang</x:v>
      </x:c>
      <x:c r="E79" s="123" t="str">
        <x:v>Định dạng số trang</x:v>
      </x:c>
      <x:c r="F79" s="123" t="str">
        <x:v>—</x:v>
      </x:c>
      <x:c r="G79" s="123" t="str">
        <x:v>Dùng cho văn bản chính theo profile; loại trừ bản sao/phụ lục riêng khi chưa có route</x:v>
      </x:c>
      <x:c r="H79" s="123" t="str">
        <x:v>Số trang bằng chữ số Ả Rập, trang đầu không hiển thị</x:v>
      </x:c>
      <x:c r="I79" s="123" t="str">
        <x:v>Không áp dụng</x:v>
      </x:c>
      <x:c r="J79" s="136" t="str">
        <x:v>—</x:v>
      </x:c>
      <x:c r="K79" s="123"/>
      <x:c r="L79" s="123"/>
      <x:c r="M79" s="123"/>
      <x:c r="N79" s="123" t="str">
        <x:v>Căn giữa ngang vùng nội dung, trong lề trên</x:v>
      </x:c>
      <x:c r="O79" s="135"/>
      <x:c r="P79" s="135"/>
      <x:c r="Q79" s="123"/>
      <x:c r="R79" s="123" t="str">
        <x:v>PAGE field / header pagination; khác HEAD logic</x:v>
      </x:c>
      <x:c r="S79" s="123" t="str">
        <x:v>Số Ả Rập; TNR 14 pt; không tự đổi số thứ tự trang</x:v>
      </x:c>
      <x:c r="T79" s="123" t="str">
        <x:v>HD05, Phần II, IV; Phụ lục 2</x:v>
      </x:c>
      <x:c r="U79" s="123" t="str">
        <x:v>https://dangcongsan.vn/vanphongtrunguong/van-ban-cua-dang/huong-dan-so-05-hd-vptw-ngay-27-5-2026-cua-van-phong-trung-uong-dang-ve-the-thuc-va-ky-thuat-trinh-bay-van-ban-cua-dang.html?categoryId=3000525</x:v>
      </x:c>
      <x:c r="V79" s="123" t="str">
        <x:v>https://thuvienphapluat.vn/van-ban/Bo-may-hanh-chinh/Huong-dan-05-HD-VPTW-2026-the-thuc-va-ky-thuat-trinh-bay-van-ban-cua-Dang-707499.aspx</x:v>
      </x:c>
      <x:c r="W79" s="123" t="str">
        <x:v>ĐỐI CHIẾU MỘT PHẦN</x:v>
      </x:c>
      <x:c r="X79" s="123" t="str">
        <x:v>CHECK_ONLY</x:v>
      </x:c>
      <x:c r="Y79" s="123" t="str">
        <x:v>Không tự chèn/sửa khi chưa có chứng cứ về đối tượng và rule.</x:v>
      </x:c>
      <x:c r="Z79" s="135" t="str">
        <x:v>Số Ả Rập; TNR 14 pt; không tự đổi số thứ tự trang</x:v>
      </x:c>
      <x:c r="AA79" s="123" t="str">
        <x:v>DocumentSettings</x:v>
      </x:c>
      <x:c r="AB79" s="135" t="str">
        <x:v>DỰ THẢO — CẦN DUYỆT HD05</x:v>
      </x:c>
      <x:c r="AC79" s="123" t="str">
        <x:v>CHECK_ONLY</x:v>
      </x:c>
      <x:c r="AD79" s="123" t="str">
        <x:v>PLUGIN:HOA-TIEU-MIEN-BAC-PARTY-HD05-HEADER-2026 | NEEDS_REVIEW</x:v>
      </x:c>
      <x:c r="AE79" s="123" t="str">
        <x:v>GATE: xác minh chủ thể HD05 trước; Kiểm tra w:sectPr/w:pPr/w:rPr và bản render Word, đối chiếu quy định + preset.</x:v>
      </x:c>
      <x:c r="AF79" s="123" t="str">
        <x:v>Đảng ủy: chỉ chọn khi chủ thể ban hành và phạm vi HD05 đã được xác minh.</x:v>
      </x:c>
      <x:c r="AG79" s="157"/>
      <x:c r="AH79" s="157"/>
      <x:c r="AI79" s="157"/>
      <x:c r="AJ79" s="195"/>
      <x:c r="AK79" s="157"/>
      <x:c r="AL79" s="157"/>
      <x:c r="AM79" s="157"/>
      <x:c r="AN79" s="157" t="str">
        <x:v>CENTER</x:v>
      </x:c>
      <x:c r="AO79" s="157"/>
      <x:c r="AP79" s="157"/>
      <x:c r="AQ79" s="195"/>
      <x:c r="AR79" s="157"/>
      <x:c r="AS79" s="195"/>
      <x:c r="AT79" s="195"/>
      <x:c r="AU79" s="195"/>
      <x:c r="AV79" s="195"/>
      <x:c r="AW79" s="195"/>
      <x:c r="AX79" s="157"/>
      <x:c r="AY79" s="157"/>
      <x:c r="AZ79" s="157"/>
      <x:c r="BA79" s="195"/>
      <x:c r="BB79" s="195"/>
      <x:c r="BC79" s="157"/>
      <x:c r="BD79" s="195"/>
      <x:c r="BE79" s="195"/>
      <x:c r="BF79" s="195"/>
      <x:c r="BG79" s="195"/>
      <x:c r="BH79" s="157"/>
      <x:c r="BI79" s="195"/>
      <x:c r="BJ79" s="195"/>
      <x:c r="BK79" s="195"/>
      <x:c r="BL79" s="157"/>
      <x:c r="BM79" s="157"/>
      <x:c r="BN79" s="157"/>
      <x:c r="BO79" s="195"/>
      <x:c r="BP79" s="195"/>
      <x:c r="BQ79" s="157" t="str">
        <x:v>SỐ Ả RẬP</x:v>
      </x:c>
      <x:c r="BR79" s="157"/>
      <x:c r="BS79" s="157"/>
      <x:c r="BT79" s="157" t="str">
        <x:v>DocumentSettings</x:v>
      </x:c>
      <x:c r="BU79" s="157" t="str">
        <x:v>PAGE field / header pagination; khác HEAD logic</x:v>
      </x:c>
      <x:c r="BV79" s="196" t="str">
        <x:v>DỰ THẢO — CẦN DUYỆT HD05</x:v>
      </x:c>
      <x:c r="BW79" s="197" t="str">
        <x:v>CHƯA CÓ THÔNG SỐ ĐỊNH LƯỢNG</x:v>
      </x:c>
      <x:c r="BX79" s="157" t="str">
        <x:v>Cấu hình profile chưa được xác nhận; giữ nguyên chính sách CHECK_ONLY.</x:v>
      </x:c>
      <x:c r="BY79" t="str">
        <x:v>HD05.G.SO_TRANG.DINH_DANG</x:v>
      </x:c>
      <x:c r="BZ79" t="n">
        <x:f>IFERROR(INDEX(HD05!$J$7:$J$300,MATCH($B79,HD05!$B$7:$B$300,0)),"UNRESOLVED")</x:f>
        <x:v>14</x:v>
      </x:c>
      <x:c r="CA79" t="str">
        <x:v>DOCUMENT_SETTING</x:v>
      </x:c>
      <x:c r="CB79" t="str">
        <x:v>party_issuer_confirmed AND issue_date&gt;=2026-05-27 AND doc_type_confirmed</x:v>
      </x:c>
      <x:c r="CC79" t="str">
        <x:f>IFERROR(INDEX(HD05!$X$7:$X$300,MATCH($B79,HD05!$B$7:$B$300,0)),"UNRESOLVED")</x:f>
        <x:v>CHỈ SAU REVIEW</x:v>
      </x:c>
      <x:c r="CD79" t="str">
        <x:f>IF(OR(ISNUMBER(SEARCH("READ_ONLY",CC79)),ISNUMBER(SEARCH("PROTECTED",CC79)),ISNUMBER(SEARCH("BẢO VỆ",CC79)),ISNUMBER(SEARCH("KHÔNG KÝ",CC79))),"PROTECTED","CHECK_ONLY")</x:f>
        <x:v>CHECK_ONLY</x:v>
      </x:c>
      <x:c r="CE79" t="str">
        <x:f>IF(AND(CD79="FORMAT_APPROVED",CU79="CÓ",CV79="CÓ",CH79="CÓ",CI79="CÓ",CJ79="CÓ"),"CÓ","KHÔNG")</x:f>
        <x:v>KHÔNG</x:v>
      </x:c>
      <x:c r="CF79" t="str">
        <x:v>KHÔNG</x:v>
      </x:c>
      <x:c r="CG79" t="str">
        <x:v>CÓ</x:v>
      </x:c>
      <x:c r="CH79" t="str">
        <x:v>KHÔNG</x:v>
      </x:c>
      <x:c r="CI79" t="str">
        <x:v>KHÔNG</x:v>
      </x:c>
      <x:c r="CJ79" t="str">
        <x:v>KHÔNG</x:v>
      </x:c>
      <x:c r="CK79" t="str">
        <x:f>IF(AND(CE79="CÓ",CF79="KHÔNG",CG79="CÓ",CU79="CÓ",CV79="CÓ",CH79="CÓ",CI79="CÓ",CJ79="CÓ"),"CÓ","KHÔNG")</x:f>
        <x:v>KHÔNG</x:v>
      </x:c>
      <x:c r="CL79" t="str">
        <x:v>PILOT_NORTH_PROFILE_DRAFT; chưa có master DOCX đã duyệt</x:v>
      </x:c>
      <x:c r="CM79" t="str">
        <x:v>v1.5 (nâng từ v1.4)</x:v>
      </x:c>
      <x:c r="CN79" t="str">
        <x:v>CHƯA XÁC NHẬN CHỦ THỂ ĐẢNG</x:v>
      </x:c>
      <x:c r="CO79" t="str">
        <x:v>HD05_G_SO_TRANG_DINH_DANG_FIELD_ONLY; chưa tạo trong Word</x:v>
      </x:c>
      <x:c r="CP79" t="str">
        <x:v>Preset là cấu hình Công ty; không thay thế giới hạn của nguồn NĐ30/HD05</x:v>
      </x:c>
      <x:c r="CQ79" t="str">
        <x:f>IF(OR(BH79="CÓ",BH79=TRUE),BI79,"")</x:f>
      </x:c>
      <x:c r="CR79" t="str">
        <x:f>IF(OR(BH79="CÓ",BH79=TRUE),BJ79,"")</x:f>
      </x:c>
      <x:c r="CS79" t="str">
        <x:v>DOCUMENT_SETTINGS_CHECK_ONLY</x:v>
      </x:c>
      <x:c r="CT79" t="str">
        <x:v>PENDING_SOURCE_AND_DOCX_QA</x:v>
      </x:c>
      <x:c r="CU79" t="str">
        <x:v>KHÔNG</x:v>
      </x:c>
      <x:c r="CV79" t="str">
        <x:v>KHÔNG</x:v>
      </x:c>
      <x:c r="CW79" t="str"/>
    </x:row>
    <x:row r="80" ht="29" customHeight="1">
      <x:c r="A80" s="125" t="n">
        <x:v>74</x:v>
      </x:c>
      <x:c r="B80" s="123" t="str">
        <x:v>HD05.G.IN.HAI_MAT</x:v>
      </x:c>
      <x:c r="C80" s="123" t="str">
        <x:v>Định dạng chung</x:v>
      </x:c>
      <x:c r="D80" s="123" t="str">
        <x:v>Chế độ in</x:v>
      </x:c>
      <x:c r="E80" s="123" t="str">
        <x:v>In hai mặt/đối xứng lề theo HD05</x:v>
      </x:c>
      <x:c r="F80" s="123" t="str">
        <x:v>—</x:v>
      </x:c>
      <x:c r="G80" s="123" t="str">
        <x:v>Dùng cho văn bản chính theo profile; loại trừ bản sao/phụ lục riêng khi chưa có route</x:v>
      </x:c>
      <x:c r="H80" s="123" t="str">
        <x:v>Đối xứng lề mặt sau khi in hai mặt theo HD05</x:v>
      </x:c>
      <x:c r="I80" s="123" t="str">
        <x:v>Không áp dụng</x:v>
      </x:c>
      <x:c r="J80" s="136" t="str">
        <x:v>—</x:v>
      </x:c>
      <x:c r="K80" s="123" t="str">
        <x:v>Không áp dụng</x:v>
      </x:c>
      <x:c r="L80" s="123" t="str">
        <x:v>Không áp dụng</x:v>
      </x:c>
      <x:c r="M80" s="123" t="str">
        <x:v>Không áp dụng</x:v>
      </x:c>
      <x:c r="N80" s="123"/>
      <x:c r="O80" s="135"/>
      <x:c r="P80" s="135" t="str">
        <x:v>Nếu in 2 mặt: mặt sau Tr15 / P30 mm; T/D20 mm</x:v>
      </x:c>
      <x:c r="Q80" s="123"/>
      <x:c r="R80" s="123" t="str">
        <x:v>Word settings | w:mirrorMargins nếu in hai mặt</x:v>
      </x:c>
      <x:c r="S80" s="123" t="str">
        <x:v>Mặc định in một mặt; nếu in hai mặt, mặt sau trái 15 phải 30 mm; trên/dưới 20 mm</x:v>
      </x:c>
      <x:c r="T80" s="123" t="str">
        <x:v>HD05, Phần II, IV; Phụ lục 2</x:v>
      </x:c>
      <x:c r="U80" s="123" t="str">
        <x:v>https://dangcongsan.vn/vanphongtrunguong/van-ban-cua-dang/huong-dan-so-05-hd-vptw-ngay-27-5-2026-cua-van-phong-trung-uong-dang-ve-the-thuc-va-ky-thuat-trinh-bay-van-ban-cua-dang.html?categoryId=3000525</x:v>
      </x:c>
      <x:c r="V80" s="123" t="str">
        <x:v>https://thuvienphapluat.vn/van-ban/Bo-may-hanh-chinh/Huong-dan-05-HD-VPTW-2026-the-thuc-va-ky-thuat-trinh-bay-van-ban-cua-Dang-707499.aspx</x:v>
      </x:c>
      <x:c r="W80" s="123" t="str">
        <x:v>ĐỐI CHIẾU MỘT PHẦN</x:v>
      </x:c>
      <x:c r="X80" s="123" t="str">
        <x:v>CHECK_ONLY</x:v>
      </x:c>
      <x:c r="Y80" s="123" t="str">
        <x:v>Không tự chèn/sửa khi chưa có chứng cứ về đối tượng và rule.</x:v>
      </x:c>
      <x:c r="Z80" s="135" t="str">
        <x:v>Mặc định in một mặt; nếu in hai mặt, mặt sau trái 15 phải 30 mm; trên/dưới 20 mm</x:v>
      </x:c>
      <x:c r="AA80" s="123" t="str">
        <x:v>DocumentSettings</x:v>
      </x:c>
      <x:c r="AB80" s="135" t="str">
        <x:v>DỰ THẢO — CẦN DUYỆT HD05</x:v>
      </x:c>
      <x:c r="AC80" s="123" t="str">
        <x:v>CHECK_ONLY</x:v>
      </x:c>
      <x:c r="AD80" s="123" t="str">
        <x:v>PLUGIN:HOA-TIEU-MIEN-BAC-PARTY-HD05-HEADER-2026 | NEEDS_REVIEW</x:v>
      </x:c>
      <x:c r="AE80" s="123" t="str">
        <x:v>GATE: xác minh chủ thể HD05 trước; Kiểm tra w:sectPr/w:pPr/w:rPr và bản render Word, đối chiếu quy định + preset.</x:v>
      </x:c>
      <x:c r="AF80" s="123" t="str">
        <x:v>Đảng ủy: chỉ chọn khi chủ thể ban hành và phạm vi HD05 đã được xác minh.</x:v>
      </x:c>
      <x:c r="AG80" s="157"/>
      <x:c r="AH80" s="157"/>
      <x:c r="AI80" s="157"/>
      <x:c r="AJ80" s="195"/>
      <x:c r="AK80" s="157" t="str">
        <x:v>KHÔNG ÁP DỤNG</x:v>
      </x:c>
      <x:c r="AL80" s="157" t="str">
        <x:v>KHÔNG ÁP DỤNG</x:v>
      </x:c>
      <x:c r="AM80" s="157"/>
      <x:c r="AN80" s="157"/>
      <x:c r="AO80" s="157"/>
      <x:c r="AP80" s="157"/>
      <x:c r="AQ80" s="195"/>
      <x:c r="AR80" s="157"/>
      <x:c r="AS80" s="195"/>
      <x:c r="AT80" s="195"/>
      <x:c r="AU80" s="195"/>
      <x:c r="AV80" s="195"/>
      <x:c r="AW80" s="195"/>
      <x:c r="AX80" s="157"/>
      <x:c r="AY80" s="157"/>
      <x:c r="AZ80" s="157"/>
      <x:c r="BA80" s="195"/>
      <x:c r="BB80" s="195"/>
      <x:c r="BC80" s="157"/>
      <x:c r="BD80" s="195"/>
      <x:c r="BE80" s="195"/>
      <x:c r="BF80" s="195"/>
      <x:c r="BG80" s="195"/>
      <x:c r="BH80" s="157" t="str">
        <x:v>KHÔNG (mặc định)</x:v>
      </x:c>
      <x:c r="BI80" s="195" t="n">
        <x:v>15</x:v>
      </x:c>
      <x:c r="BJ80" s="195" t="n">
        <x:v>30</x:v>
      </x:c>
      <x:c r="BK80" s="195"/>
      <x:c r="BL80" s="157"/>
      <x:c r="BM80" s="157"/>
      <x:c r="BN80" s="157"/>
      <x:c r="BO80" s="195"/>
      <x:c r="BP80" s="195"/>
      <x:c r="BQ80" s="157"/>
      <x:c r="BR80" s="157"/>
      <x:c r="BS80" s="157"/>
      <x:c r="BT80" s="157" t="str">
        <x:v>DocumentSettings</x:v>
      </x:c>
      <x:c r="BU80" s="157" t="str">
        <x:v>Word settings | w:mirrorMargins nếu in hai mặt</x:v>
      </x:c>
      <x:c r="BV80" s="196" t="str">
        <x:v>DỰ THẢO — CẦN DUYỆT HD05</x:v>
      </x:c>
      <x:c r="BW80" s="197" t="str">
        <x:v>CHƯA CÓ THÔNG SỐ ĐỊNH LƯỢNG</x:v>
      </x:c>
      <x:c r="BX80" s="157" t="str">
        <x:v>Cấu hình profile chưa được xác nhận; giữ nguyên chính sách CHECK_ONLY.</x:v>
      </x:c>
      <x:c r="BY80" t="str">
        <x:v>HD05.G.IN.HAI_MAT</x:v>
      </x:c>
      <x:c r="BZ80" t="str">
        <x:f>IFERROR(INDEX(HD05!$J$7:$J$300,MATCH($B80,HD05!$B$7:$B$300,0)),"UNRESOLVED")</x:f>
        <x:v>Không áp dụng</x:v>
      </x:c>
      <x:c r="CA80" t="str">
        <x:v>DOCUMENT_SETTING</x:v>
      </x:c>
      <x:c r="CB80" t="str">
        <x:v>duplex_enabled=TRUE; chỉ khi tài liệu HD05 in hai mặt</x:v>
      </x:c>
      <x:c r="CC80" t="str">
        <x:f>IFERROR(INDEX(HD05!$X$7:$X$300,MATCH($B80,HD05!$B$7:$B$300,0)),"UNRESOLVED")</x:f>
        <x:v>CHỈ SAU REVIEW</x:v>
      </x:c>
      <x:c r="CD80" t="str">
        <x:f>IF(OR(ISNUMBER(SEARCH("READ_ONLY",CC80)),ISNUMBER(SEARCH("PROTECTED",CC80)),ISNUMBER(SEARCH("BẢO VỆ",CC80)),ISNUMBER(SEARCH("KHÔNG KÝ",CC80))),"PROTECTED","CHECK_ONLY")</x:f>
        <x:v>CHECK_ONLY</x:v>
      </x:c>
      <x:c r="CE80" t="str">
        <x:f>IF(AND(CD80="FORMAT_APPROVED",CU80="CÓ",CV80="CÓ",CH80="CÓ",CI80="CÓ",CJ80="CÓ"),"CÓ","KHÔNG")</x:f>
        <x:v>KHÔNG</x:v>
      </x:c>
      <x:c r="CF80" t="str">
        <x:v>KHÔNG</x:v>
      </x:c>
      <x:c r="CG80" t="str">
        <x:v>CÓ</x:v>
      </x:c>
      <x:c r="CH80" t="str">
        <x:v>KHÔNG</x:v>
      </x:c>
      <x:c r="CI80" t="str">
        <x:v>KHÔNG</x:v>
      </x:c>
      <x:c r="CJ80" t="str">
        <x:v>KHÔNG</x:v>
      </x:c>
      <x:c r="CK80" t="str">
        <x:f>IF(AND(CE80="CÓ",CF80="KHÔNG",CG80="CÓ",CU80="CÓ",CV80="CÓ",CH80="CÓ",CI80="CÓ",CJ80="CÓ"),"CÓ","KHÔNG")</x:f>
        <x:v>KHÔNG</x:v>
      </x:c>
      <x:c r="CL80" t="str">
        <x:v>PILOT_NORTH_PROFILE_DRAFT; chưa có master DOCX đã duyệt</x:v>
      </x:c>
      <x:c r="CM80" t="str">
        <x:v>v1.5 (nâng từ v1.4)</x:v>
      </x:c>
      <x:c r="CN80" t="str">
        <x:v>CHƯA XÁC NHẬN CHỦ THỂ ĐẢNG</x:v>
      </x:c>
      <x:c r="CO80" t="str">
        <x:v>HD05_G_IN_HAI_MAT_FIELD_ONLY; chưa tạo trong Word</x:v>
      </x:c>
      <x:c r="CP80" t="str">
        <x:v>Preset là cấu hình Công ty; không thay thế giới hạn của nguồn NĐ30/HD05</x:v>
      </x:c>
      <x:c r="CQ80" t="str">
        <x:f>IF(OR(BH80="CÓ",BH80=TRUE),BI80,"")</x:f>
      </x:c>
      <x:c r="CR80" t="str">
        <x:f>IF(OR(BH80="CÓ",BH80=TRUE),BJ80,"")</x:f>
      </x:c>
      <x:c r="CS80" t="str">
        <x:v>DOCUMENT_SETTINGS_CHECK_ONLY</x:v>
      </x:c>
      <x:c r="CT80" t="str">
        <x:v>PENDING_SOURCE_AND_DOCX_QA</x:v>
      </x:c>
      <x:c r="CU80" t="str">
        <x:v>KHÔNG</x:v>
      </x:c>
      <x:c r="CV80" t="str">
        <x:v>KHÔNG</x:v>
      </x:c>
      <x:c r="CW80" t="str"/>
    </x:row>
    <x:row r="81" ht="29" customHeight="1">
      <x:c r="A81" s="125" t="n">
        <x:v>75</x:v>
      </x:c>
      <x:c r="B81" s="123" t="str">
        <x:v>HD05.X.MAT.MUC_DO</x:v>
      </x:c>
      <x:c r="C81" s="123" t="str">
        <x:v>Thể thức bổ sung</x:v>
      </x:c>
      <x:c r="D81" s="123" t="str">
        <x:v>Chỉ độ mật</x:v>
      </x:c>
      <x:c r="E81" s="123" t="str">
        <x:v>Mức độ mật theo quy định bảo vệ bí mật có liên quan</x:v>
      </x:c>
      <x:c r="F81" s="123" t="str">
        <x:v>—</x:v>
      </x:c>
      <x:c r="G81" s="123" t="str">
        <x:v>Chỉ khi đủ chứng cứ/được phép hiện diện; không tự chèn giá trị</x:v>
      </x:c>
      <x:c r="H81" s="123" t="str">
        <x:v>Dấu mật, hình thức/độ mật theo pháp luật bảo vệ bí mật nhà nước</x:v>
      </x:c>
      <x:c r="I81" s="123" t="str">
        <x:v>Không áp dụng</x:v>
      </x:c>
      <x:c r="J81" s="136" t="str">
        <x:v>—</x:v>
      </x:c>
      <x:c r="K81" s="123" t="str">
        <x:v>Không áp dụng</x:v>
      </x:c>
      <x:c r="L81" s="123" t="str">
        <x:v>Không áp dụng</x:v>
      </x:c>
      <x:c r="M81" s="123" t="str">
        <x:v>Không áp dụng</x:v>
      </x:c>
      <x:c r="N81" s="123"/>
      <x:c r="O81" s="135"/>
      <x:c r="P81" s="135"/>
      <x:c r="Q81" s="123"/>
      <x:c r="R81" s="123" t="str">
        <x:v>Metadata + vùng trình bày có điều kiện; đánh giá thủ công trước sửa</x:v>
      </x:c>
      <x:c r="S81" s="123" t="str">
        <x:v>Thành phần bảo mật theo quy định bảo vệ bí mật nhà nước; nguồn này không quy định một ô độc lập trong sơ đồ Phụ lục 1; KHÔNG tự gán số ô</x:v>
      </x:c>
      <x:c r="T81" s="123" t="str">
        <x:v>HD05, Phần II, II.2; quy định BV BMNN</x:v>
      </x:c>
      <x:c r="U81" s="123" t="str">
        <x:v>https://dangcongsan.vn/vanphongtrunguong/van-ban-cua-dang/huong-dan-so-05-hd-vptw-ngay-27-5-2026-cua-van-phong-trung-uong-dang-ve-the-thuc-va-ky-thuat-trinh-bay-van-ban-cua-dang.html?categoryId=3000525</x:v>
      </x:c>
      <x:c r="V81" s="123" t="str">
        <x:v>https://thuvienphapluat.vn/van-ban/Bo-may-hanh-chinh/Huong-dan-05-HD-VPTW-2026-the-thuc-va-ky-thuat-trinh-bay-van-ban-cua-Dang-707499.aspx</x:v>
      </x:c>
      <x:c r="W81" s="123" t="str">
        <x:v>CHƯA ĐỦ BẰNG CHỨNG</x:v>
      </x:c>
      <x:c r="X81" s="123" t="str">
        <x:v>CHECK_ONLY</x:v>
      </x:c>
      <x:c r="Y81" s="123" t="str">
        <x:v>Không tự chèn/sửa khi chưa có chứng cứ về đối tượng và rule. | Trạng thái v1.0: BẢO VỆ</x:v>
      </x:c>
      <x:c r="Z81" s="135" t="str">
        <x:v>[CHỈ KHI VĂN BẢN CÓ PHÂN LOẠI MẬT HỢP LỆ]</x:v>
      </x:c>
      <x:c r="AA81" s="123" t="str">
        <x:v>Supplementary</x:v>
      </x:c>
      <x:c r="AB81" s="135" t="str">
        <x:v>BẢO VỆ</x:v>
      </x:c>
      <x:c r="AC81" s="123" t="str">
        <x:v>CHECK_ONLY</x:v>
      </x:c>
      <x:c r="AD81" s="123" t="str">
        <x:v>PLUGIN:HOA-TIEU-MIEN-BAC-PARTY-HD05-HEADER-2026 | NEEDS_REVIEW</x:v>
      </x:c>
      <x:c r="AE81" s="123" t="str">
        <x:v>GATE: xác minh chủ thể HD05 trước; Đối chiếu đúng vị trí; không điền dữ liệu; không chạm dấu/chữ ký hoặc trường được bảo vệ.</x:v>
      </x:c>
      <x:c r="AF81" s="123" t="str">
        <x:v>Đảng ủy: chỉ chọn khi chủ thể ban hành và phạm vi HD05 đã được xác minh.</x:v>
      </x:c>
      <x:c r="AG81" s="157"/>
      <x:c r="AH81" s="157"/>
      <x:c r="AI81" s="157"/>
      <x:c r="AJ81" s="195"/>
      <x:c r="AK81" s="157" t="str">
        <x:v>KHÔNG ÁP DỤNG</x:v>
      </x:c>
      <x:c r="AL81" s="157" t="str">
        <x:v>KHÔNG ÁP DỤNG</x:v>
      </x:c>
      <x:c r="AM81" s="157"/>
      <x:c r="AN81" s="157"/>
      <x:c r="AO81" s="157"/>
      <x:c r="AP81" s="157"/>
      <x:c r="AQ81" s="195"/>
      <x:c r="AR81" s="157"/>
      <x:c r="AS81" s="195"/>
      <x:c r="AT81" s="195"/>
      <x:c r="AU81" s="195"/>
      <x:c r="AV81" s="195"/>
      <x:c r="AW81" s="195"/>
      <x:c r="AX81" s="157"/>
      <x:c r="AY81" s="157"/>
      <x:c r="AZ81" s="157"/>
      <x:c r="BA81" s="195"/>
      <x:c r="BB81" s="195"/>
      <x:c r="BC81" s="157"/>
      <x:c r="BD81" s="195"/>
      <x:c r="BE81" s="195"/>
      <x:c r="BF81" s="195"/>
      <x:c r="BG81" s="195"/>
      <x:c r="BH81" s="157"/>
      <x:c r="BI81" s="195"/>
      <x:c r="BJ81" s="195"/>
      <x:c r="BK81" s="195"/>
      <x:c r="BL81" s="157"/>
      <x:c r="BM81" s="157"/>
      <x:c r="BN81" s="157"/>
      <x:c r="BO81" s="195"/>
      <x:c r="BP81" s="195"/>
      <x:c r="BQ81" s="157"/>
      <x:c r="BR81" s="157"/>
      <x:c r="BS81" s="157"/>
      <x:c r="BT81" s="157" t="str">
        <x:v>Supplementary</x:v>
      </x:c>
      <x:c r="BU81" s="157" t="str">
        <x:v>Metadata + vùng trình bày có điều kiện; đánh giá thủ công trước sửa</x:v>
      </x:c>
      <x:c r="BV81" s="196" t="str">
        <x:v>BẢO VỆ</x:v>
      </x:c>
      <x:c r="BW81" s="197" t="str">
        <x:v>CHƯA CÓ THÔNG SỐ ĐỊNH LƯỢNG</x:v>
      </x:c>
      <x:c r="BX81" s="157" t="str">
        <x:v>Chưa có giá trị nghiệp vụ; không tự điền.</x:v>
      </x:c>
      <x:c r="BY81" t="str">
        <x:v>HD05.X.MAT.MUC_DO</x:v>
      </x:c>
      <x:c r="BZ81" t="str">
        <x:f>IFERROR(INDEX(HD05!$J$7:$J$300,MATCH($B81,HD05!$B$7:$B$300,0)),"UNRESOLVED")</x:f>
      </x:c>
      <x:c r="CA81" t="str">
        <x:v>TEXT</x:v>
      </x:c>
      <x:c r="CB81" t="str">
        <x:v>party_issuer_confirmed AND issue_date&gt;=2026-05-27 AND doc_type_confirmed</x:v>
      </x:c>
      <x:c r="CC81" t="str">
        <x:f>IFERROR(INDEX(HD05!$X$7:$X$300,MATCH($B81,HD05!$B$7:$B$300,0)),"UNRESOLVED")</x:f>
        <x:v>BẢO VỆ / KHÔNG TỰ SỬA</x:v>
      </x:c>
      <x:c r="CD81" t="str">
        <x:f>IF(OR(ISNUMBER(SEARCH("READ_ONLY",CC81)),ISNUMBER(SEARCH("PROTECTED",CC81)),ISNUMBER(SEARCH("BẢO VỆ",CC81)),ISNUMBER(SEARCH("KHÔNG KÝ",CC81))),"PROTECTED","CHECK_ONLY")</x:f>
        <x:v>PROTECTED</x:v>
      </x:c>
      <x:c r="CE81" t="str">
        <x:f>IF(AND(CD81="FORMAT_APPROVED",CU81="CÓ",CV81="CÓ",CH81="CÓ",CI81="CÓ",CJ81="CÓ"),"CÓ","KHÔNG")</x:f>
        <x:v>KHÔNG</x:v>
      </x:c>
      <x:c r="CF81" t="str">
        <x:v>KHÔNG</x:v>
      </x:c>
      <x:c r="CG81" t="str">
        <x:v>CÓ</x:v>
      </x:c>
      <x:c r="CH81" t="str">
        <x:v>KHÔNG</x:v>
      </x:c>
      <x:c r="CI81" t="str">
        <x:v>KHÔNG</x:v>
      </x:c>
      <x:c r="CJ81" t="str">
        <x:v>KHÔNG</x:v>
      </x:c>
      <x:c r="CK81" t="str">
        <x:f>IF(AND(CE81="CÓ",CF81="KHÔNG",CG81="CÓ",CU81="CÓ",CV81="CÓ",CH81="CÓ",CI81="CÓ",CJ81="CÓ"),"CÓ","KHÔNG")</x:f>
        <x:v>KHÔNG</x:v>
      </x:c>
      <x:c r="CL81" t="str">
        <x:v>PILOT_NORTH_PROFILE_DRAFT; chưa có master DOCX đã duyệt</x:v>
      </x:c>
      <x:c r="CM81" t="str">
        <x:v>v1.5 (nâng từ v1.4)</x:v>
      </x:c>
      <x:c r="CN81" t="str">
        <x:v>CHƯA XÁC NHẬN CHỦ THỂ ĐẢNG</x:v>
      </x:c>
      <x:c r="CO81" t="str">
        <x:v>HD05_X_MAT_MUC_DO_FIELD_ONLY; chưa tạo trong Word</x:v>
      </x:c>
      <x:c r="CP81" t="str">
        <x:v>Preset là cấu hình Công ty; không thay thế giới hạn của nguồn NĐ30/HD05</x:v>
      </x:c>
      <x:c r="CQ81" t="str">
        <x:f>IF(OR(BH81="CÓ",BH81=TRUE),BI81,"")</x:f>
      </x:c>
      <x:c r="CR81" t="str">
        <x:f>IF(OR(BH81="CÓ",BH81=TRUE),BJ81,"")</x:f>
      </x:c>
      <x:c r="CS81" t="str">
        <x:v>FORMAT_CHECK_ONLY</x:v>
      </x:c>
      <x:c r="CT81" t="str">
        <x:v>PENDING_SOURCE_AND_DOCX_QA</x:v>
      </x:c>
      <x:c r="CU81" t="str">
        <x:v>KHÔNG</x:v>
      </x:c>
      <x:c r="CV81" t="str">
        <x:v>KHÔNG</x:v>
      </x:c>
      <x:c r="CW81" t="str"/>
    </x:row>
    <x:row r="82" ht="29" customHeight="1">
      <x:c r="A82" s="125" t="n">
        <x:v>76</x:v>
      </x:c>
      <x:c r="B82" s="123" t="str">
        <x:v>HD05.X.KHAN.MUC_DO</x:v>
      </x:c>
      <x:c r="C82" s="123" t="str">
        <x:v>Thể thức bổ sung</x:v>
      </x:c>
      <x:c r="D82" s="123" t="str">
        <x:v>Chỉ mức độ khẩn</x:v>
      </x:c>
      <x:c r="E82" s="123" t="str">
        <x:v>Mức độ khẩn</x:v>
      </x:c>
      <x:c r="F82" s="123" t="str">
        <x:v>10</x:v>
      </x:c>
      <x:c r="G82" s="123" t="str">
        <x:v>Chỉ khi đủ chứng cứ/được phép hiện diện; không tự chèn giá trị</x:v>
      </x:c>
      <x:c r="H82" s="123" t="str">
        <x:v>Dấu HỎA TỐC / THƯỢNG KHẨN / KHẨN theo quyết định có thẩm quyền</x:v>
      </x:c>
      <x:c r="I82" s="123" t="str">
        <x:v>Times New Roman | Unicode | đen</x:v>
      </x:c>
      <x:c r="J82" s="136" t="str">
        <x:v>14</x:v>
      </x:c>
      <x:c r="K82" s="123" t="str">
        <x:v>IN HOA</x:v>
      </x:c>
      <x:c r="L82" s="123" t="str">
        <x:v>Có</x:v>
      </x:c>
      <x:c r="M82" s="123" t="str">
        <x:v>Không</x:v>
      </x:c>
      <x:c r="N82" s="123"/>
      <x:c r="O82" s="135"/>
      <x:c r="P82" s="135"/>
      <x:c r="Q82" s="123"/>
      <x:c r="R82" s="123" t="str">
        <x:v>Metadata + vùng trình bày có điều kiện; đánh giá thủ công trước sửa</x:v>
      </x:c>
      <x:c r="S82" s="123" t="str">
        <x:v>HD05: trình bày dưới số/ký hiệu; với công văn dưới trích yếu</x:v>
      </x:c>
      <x:c r="T82" s="123" t="str">
        <x:v>HD05, Phần II, II (Các thành phần bổ sung); Phụ lục 2</x:v>
      </x:c>
      <x:c r="U82" s="123" t="str">
        <x:v>https://dangcongsan.vn/vanphongtrunguong/van-ban-cua-dang/huong-dan-so-05-hd-vptw-ngay-27-5-2026-cua-van-phong-trung-uong-dang-ve-the-thuc-va-ky-thuat-trinh-bay-van-ban-cua-dang.html?categoryId=3000525</x:v>
      </x:c>
      <x:c r="V82" s="123" t="str">
        <x:v>https://thuvienphapluat.vn/van-ban/Bo-may-hanh-chinh/Huong-dan-05-HD-VPTW-2026-the-thuc-va-ky-thuat-trinh-bay-van-ban-cua-Dang-707499.aspx</x:v>
      </x:c>
      <x:c r="W82" s="123" t="str">
        <x:v>CHƯA ĐỦ BẰNG CHỨNG</x:v>
      </x:c>
      <x:c r="X82" s="123" t="str">
        <x:v>CHECK_ONLY</x:v>
      </x:c>
      <x:c r="Y82" s="123" t="str">
        <x:v>Không tự chèn/sửa khi chưa có chứng cứ về đối tượng và rule. | Trạng thái v1.0: CÓ ĐIỀU KIỆN</x:v>
      </x:c>
      <x:c r="Z82" s="135" t="str">
        <x:v>[MỨC ĐỘ KHẨN THEO QUYẾT ĐỊNH CÓ THẨM QUYỀN]</x:v>
      </x:c>
      <x:c r="AA82" s="123" t="str">
        <x:v>Supplementary</x:v>
      </x:c>
      <x:c r="AB82" s="135" t="str">
        <x:v>BẢO VỆ</x:v>
      </x:c>
      <x:c r="AC82" s="123" t="str">
        <x:v>CHECK_ONLY</x:v>
      </x:c>
      <x:c r="AD82" s="123" t="str">
        <x:v>PLUGIN:HOA-TIEU-MIEN-BAC-PARTY-HD05-HEADER-2026 | NEEDS_REVIEW</x:v>
      </x:c>
      <x:c r="AE82" s="123" t="str">
        <x:v>GATE: xác minh chủ thể HD05 trước; Đối chiếu đúng vị trí; không điền dữ liệu; không chạm dấu/chữ ký hoặc trường được bảo vệ.</x:v>
      </x:c>
      <x:c r="AF82" s="123" t="str">
        <x:v>Đảng ủy: chỉ chọn khi chủ thể ban hành và phạm vi HD05 đã được xác minh.</x:v>
      </x:c>
      <x:c r="AG82" s="157" t="str">
        <x:v>Times New Roman</x:v>
      </x:c>
      <x:c r="AH82" s="157" t="str">
        <x:v>Unicode</x:v>
      </x:c>
      <x:c r="AI82" s="157" t="str">
        <x:v>#000000</x:v>
      </x:c>
      <x:c r="AJ82" s="195" t="n">
        <x:v>14</x:v>
      </x:c>
      <x:c r="AK82" s="157" t="str">
        <x:v>CÓ</x:v>
      </x:c>
      <x:c r="AL82" s="157" t="str">
        <x:v>KHÔNG</x:v>
      </x:c>
      <x:c r="AM82" s="157" t="str">
        <x:v>IN HOA</x:v>
      </x:c>
      <x:c r="AN82" s="157"/>
      <x:c r="AO82" s="157"/>
      <x:c r="AP82" s="157"/>
      <x:c r="AQ82" s="195"/>
      <x:c r="AR82" s="157"/>
      <x:c r="AS82" s="195"/>
      <x:c r="AT82" s="195"/>
      <x:c r="AU82" s="195"/>
      <x:c r="AV82" s="195"/>
      <x:c r="AW82" s="195"/>
      <x:c r="AX82" s="157"/>
      <x:c r="AY82" s="157"/>
      <x:c r="AZ82" s="157"/>
      <x:c r="BA82" s="195"/>
      <x:c r="BB82" s="195"/>
      <x:c r="BC82" s="157"/>
      <x:c r="BD82" s="195"/>
      <x:c r="BE82" s="195"/>
      <x:c r="BF82" s="195"/>
      <x:c r="BG82" s="195"/>
      <x:c r="BH82" s="157"/>
      <x:c r="BI82" s="195"/>
      <x:c r="BJ82" s="195"/>
      <x:c r="BK82" s="195"/>
      <x:c r="BL82" s="157"/>
      <x:c r="BM82" s="157"/>
      <x:c r="BN82" s="157"/>
      <x:c r="BO82" s="195"/>
      <x:c r="BP82" s="195"/>
      <x:c r="BQ82" s="157"/>
      <x:c r="BR82" s="157"/>
      <x:c r="BS82" s="157"/>
      <x:c r="BT82" s="157" t="str">
        <x:v>Supplementary</x:v>
      </x:c>
      <x:c r="BU82" s="157" t="str">
        <x:v>Metadata + vùng trình bày có điều kiện; đánh giá thủ công trước sửa</x:v>
      </x:c>
      <x:c r="BV82" s="196" t="str">
        <x:v>BẢO VỆ</x:v>
      </x:c>
      <x:c r="BW82" s="197" t="str">
        <x:v>ĐÃ TÁCH MỘT PHẦN</x:v>
      </x:c>
      <x:c r="BX82" s="157" t="str">
        <x:v>Đối chiếu mô tả gốc ở I–S, Z–AF nếu thuộc tính phụ thuộc mẫu.</x:v>
      </x:c>
      <x:c r="BY82" t="str">
        <x:v>HD05.X.KHAN.MUC_DO</x:v>
      </x:c>
      <x:c r="BZ82" t="n">
        <x:f>IFERROR(INDEX(HD05!$J$7:$J$300,MATCH($B82,HD05!$B$7:$B$300,0)),"UNRESOLVED")</x:f>
        <x:v>14</x:v>
      </x:c>
      <x:c r="CA82" t="str">
        <x:v>TEXT</x:v>
      </x:c>
      <x:c r="CB82" t="str">
        <x:v>party_issuer_confirmed AND issue_date&gt;=2026-05-27 AND doc_type_confirmed</x:v>
      </x:c>
      <x:c r="CC82" t="str">
        <x:f>IFERROR(INDEX(HD05!$X$7:$X$300,MATCH($B82,HD05!$B$7:$B$300,0)),"UNRESOLVED")</x:f>
        <x:v>KHÔNG TỰ CHÈN</x:v>
      </x:c>
      <x:c r="CD82" t="str">
        <x:f>IF(OR(ISNUMBER(SEARCH("READ_ONLY",CC82)),ISNUMBER(SEARCH("PROTECTED",CC82)),ISNUMBER(SEARCH("BẢO VỆ",CC82)),ISNUMBER(SEARCH("KHÔNG KÝ",CC82))),"PROTECTED","CHECK_ONLY")</x:f>
        <x:v>CHECK_ONLY</x:v>
      </x:c>
      <x:c r="CE82" t="str">
        <x:f>IF(AND(CD82="FORMAT_APPROVED",CU82="CÓ",CV82="CÓ",CH82="CÓ",CI82="CÓ",CJ82="CÓ"),"CÓ","KHÔNG")</x:f>
        <x:v>KHÔNG</x:v>
      </x:c>
      <x:c r="CF82" t="str">
        <x:v>KHÔNG</x:v>
      </x:c>
      <x:c r="CG82" t="str">
        <x:v>CÓ</x:v>
      </x:c>
      <x:c r="CH82" t="str">
        <x:v>KHÔNG</x:v>
      </x:c>
      <x:c r="CI82" t="str">
        <x:v>KHÔNG</x:v>
      </x:c>
      <x:c r="CJ82" t="str">
        <x:v>KHÔNG</x:v>
      </x:c>
      <x:c r="CK82" t="str">
        <x:f>IF(AND(CE82="CÓ",CF82="KHÔNG",CG82="CÓ",CU82="CÓ",CV82="CÓ",CH82="CÓ",CI82="CÓ",CJ82="CÓ"),"CÓ","KHÔNG")</x:f>
        <x:v>KHÔNG</x:v>
      </x:c>
      <x:c r="CL82" t="str">
        <x:v>PILOT_NORTH_PROFILE_DRAFT; chưa có master DOCX đã duyệt</x:v>
      </x:c>
      <x:c r="CM82" t="str">
        <x:v>v1.5 (nâng từ v1.4)</x:v>
      </x:c>
      <x:c r="CN82" t="str">
        <x:v>CHƯA XÁC NHẬN CHỦ THỂ ĐẢNG</x:v>
      </x:c>
      <x:c r="CO82" t="str">
        <x:v>HD05_X_KHAN_MUC_DO_FIELD_ONLY; chưa tạo trong Word</x:v>
      </x:c>
      <x:c r="CP82" t="str">
        <x:v>Preset là cấu hình Công ty; không thay thế giới hạn của nguồn NĐ30/HD05</x:v>
      </x:c>
      <x:c r="CQ82" t="str">
        <x:f>IF(OR(BH82="CÓ",BH82=TRUE),BI82,"")</x:f>
      </x:c>
      <x:c r="CR82" t="str">
        <x:f>IF(OR(BH82="CÓ",BH82=TRUE),BJ82,"")</x:f>
      </x:c>
      <x:c r="CS82" t="str">
        <x:v>FORMAT_CHECK_ONLY</x:v>
      </x:c>
      <x:c r="CT82" t="str">
        <x:v>PENDING_SOURCE_AND_DOCX_QA</x:v>
      </x:c>
      <x:c r="CU82" t="str">
        <x:v>KHÔNG</x:v>
      </x:c>
      <x:c r="CV82" t="str">
        <x:v>KHÔNG</x:v>
      </x:c>
      <x:c r="CW82" t="str"/>
    </x:row>
    <x:row r="83" ht="29" customHeight="1">
      <x:c r="A83" s="125" t="n">
        <x:v>77</x:v>
      </x:c>
      <x:c r="B83" s="123" t="str">
        <x:v>HD05.X.LUU_HANH.CHI_DAN</x:v>
      </x:c>
      <x:c r="C83" s="123" t="str">
        <x:v>Thể thức bổ sung</x:v>
      </x:c>
      <x:c r="D83" s="123" t="str">
        <x:v>Phạm vi lưu hành, phổ biến</x:v>
      </x:c>
      <x:c r="E83" s="123" t="str">
        <x:v>Chỉ dẫn phạm vi lưu hành, phổ biến</x:v>
      </x:c>
      <x:c r="F83" s="123" t="str">
        <x:v>11a</x:v>
      </x:c>
      <x:c r="G83" s="123" t="str">
        <x:v>Chỉ khi đủ chứng cứ/được phép hiện diện; không tự chèn giá trị</x:v>
      </x:c>
      <x:c r="H83" s="123" t="str">
        <x:v>Chỉ dẫn phạm vi lưu hành/phổ biến theo quyết định có thẩm quyền</x:v>
      </x:c>
      <x:c r="I83" s="123" t="str">
        <x:v>Times New Roman | Unicode | đen</x:v>
      </x:c>
      <x:c r="J83" s="136" t="str">
        <x:v>12</x:v>
      </x:c>
      <x:c r="K83" s="123" t="str">
        <x:v>IN HOA</x:v>
      </x:c>
      <x:c r="L83" s="123" t="str">
        <x:v>Có</x:v>
      </x:c>
      <x:c r="M83" s="123" t="str">
        <x:v>Không</x:v>
      </x:c>
      <x:c r="N83" s="123"/>
      <x:c r="O83" s="135"/>
      <x:c r="P83" s="135"/>
      <x:c r="Q83" s="123"/>
      <x:c r="R83" s="123" t="str">
        <x:v>Metadata + vùng trình bày có điều kiện; đánh giá thủ công trước sửa</x:v>
      </x:c>
      <x:c r="S83" s="123" t="str">
        <x:v>HD05: góc phải trang 1 (ngoại lệ “Không phổ biến...” ở trang cuối)</x:v>
      </x:c>
      <x:c r="T83" s="123" t="str">
        <x:v>HD05, Phần II, II (Các thành phần bổ sung); Phụ lục 2</x:v>
      </x:c>
      <x:c r="U83" s="123" t="str">
        <x:v>https://dangcongsan.vn/vanphongtrunguong/van-ban-cua-dang/huong-dan-so-05-hd-vptw-ngay-27-5-2026-cua-van-phong-trung-uong-dang-ve-the-thuc-va-ky-thuat-trinh-bay-van-ban-cua-dang.html?categoryId=3000525</x:v>
      </x:c>
      <x:c r="V83" s="123" t="str">
        <x:v>https://thuvienphapluat.vn/van-ban/Bo-may-hanh-chinh/Huong-dan-05-HD-VPTW-2026-the-thuc-va-ky-thuat-trinh-bay-van-ban-cua-Dang-707499.aspx</x:v>
      </x:c>
      <x:c r="W83" s="123" t="str">
        <x:v>CHƯA ĐỦ BẰNG CHỨNG</x:v>
      </x:c>
      <x:c r="X83" s="123" t="str">
        <x:v>PROTECT_CONTENT</x:v>
      </x:c>
      <x:c r="Y83" s="123" t="str">
        <x:v>Không tự chèn/sửa khi chưa có chứng cứ về đối tượng và rule. | Trạng thái v1.0: CÓ ĐIỀU KIỆN | So sánh cũ (không tham gia xác nhận): NĐ30: ô 11, khung viền đơn; HD05: góc phải trang 1 (ngoại lệ “Không phổ biến...” ở trang cuối)</x:v>
      </x:c>
      <x:c r="Z83" s="135" t="str">
        <x:v>[CHỈ DẪN LƯU HÀNH THEO MẪU ĐƯỢC PHÊ DUYỆT]</x:v>
      </x:c>
      <x:c r="AA83" s="123" t="str">
        <x:v>Supplementary</x:v>
      </x:c>
      <x:c r="AB83" s="135" t="str">
        <x:v>DỰ THẢO — CẦN DUYỆT HD05</x:v>
      </x:c>
      <x:c r="AC83" s="123" t="str">
        <x:v>PROTECT_CONTENT</x:v>
      </x:c>
      <x:c r="AD83" s="123" t="str">
        <x:v>PLUGIN:HOA-TIEU-MIEN-BAC-PARTY-HD05-HEADER-2026 | NEEDS_REVIEW</x:v>
      </x:c>
      <x:c r="AE83" s="123" t="str">
        <x:v>GATE: xác minh chủ thể HD05 trước; Đối chiếu đúng vị trí; không điền dữ liệu; không chạm dấu/chữ ký hoặc trường được bảo vệ.</x:v>
      </x:c>
      <x:c r="AF83" s="123" t="str">
        <x:v>Đảng ủy: chỉ chọn khi chủ thể ban hành và phạm vi HD05 đã được xác minh.</x:v>
      </x:c>
      <x:c r="AG83" s="157" t="str">
        <x:v>Times New Roman</x:v>
      </x:c>
      <x:c r="AH83" s="157" t="str">
        <x:v>Unicode</x:v>
      </x:c>
      <x:c r="AI83" s="157" t="str">
        <x:v>#000000</x:v>
      </x:c>
      <x:c r="AJ83" s="195" t="n">
        <x:v>12</x:v>
      </x:c>
      <x:c r="AK83" s="157" t="str">
        <x:v>CÓ</x:v>
      </x:c>
      <x:c r="AL83" s="157" t="str">
        <x:v>KHÔNG</x:v>
      </x:c>
      <x:c r="AM83" s="157" t="str">
        <x:v>IN HOA</x:v>
      </x:c>
      <x:c r="AN83" s="157"/>
      <x:c r="AO83" s="157"/>
      <x:c r="AP83" s="157"/>
      <x:c r="AQ83" s="195"/>
      <x:c r="AR83" s="157"/>
      <x:c r="AS83" s="195"/>
      <x:c r="AT83" s="195"/>
      <x:c r="AU83" s="195"/>
      <x:c r="AV83" s="195"/>
      <x:c r="AW83" s="195"/>
      <x:c r="AX83" s="157"/>
      <x:c r="AY83" s="157"/>
      <x:c r="AZ83" s="157"/>
      <x:c r="BA83" s="195"/>
      <x:c r="BB83" s="195"/>
      <x:c r="BC83" s="157"/>
      <x:c r="BD83" s="195"/>
      <x:c r="BE83" s="195"/>
      <x:c r="BF83" s="195"/>
      <x:c r="BG83" s="195"/>
      <x:c r="BH83" s="157"/>
      <x:c r="BI83" s="195"/>
      <x:c r="BJ83" s="195"/>
      <x:c r="BK83" s="195"/>
      <x:c r="BL83" s="157"/>
      <x:c r="BM83" s="157"/>
      <x:c r="BN83" s="157"/>
      <x:c r="BO83" s="195"/>
      <x:c r="BP83" s="195"/>
      <x:c r="BQ83" s="157"/>
      <x:c r="BR83" s="157"/>
      <x:c r="BS83" s="157"/>
      <x:c r="BT83" s="157" t="str">
        <x:v>Supplementary</x:v>
      </x:c>
      <x:c r="BU83" s="157" t="str">
        <x:v>Metadata + vùng trình bày có điều kiện; đánh giá thủ công trước sửa</x:v>
      </x:c>
      <x:c r="BV83" s="196" t="str">
        <x:v>DỰ THẢO — CẦN DUYỆT HD05</x:v>
      </x:c>
      <x:c r="BW83" s="197" t="str">
        <x:v>ĐÃ TÁCH MỘT PHẦN</x:v>
      </x:c>
      <x:c r="BX83" s="157" t="str">
        <x:v>Cấu hình profile chưa được xác nhận; giữ nguyên chính sách CHECK_ONLY.</x:v>
      </x:c>
      <x:c r="BY83" t="str">
        <x:v>HD05.X.LUU_HANH.CHI_DAN</x:v>
      </x:c>
      <x:c r="BZ83" t="n">
        <x:f>IFERROR(INDEX(HD05!$J$7:$J$300,MATCH($B83,HD05!$B$7:$B$300,0)),"UNRESOLVED")</x:f>
        <x:v>12</x:v>
      </x:c>
      <x:c r="CA83" t="str">
        <x:v>TEXT</x:v>
      </x:c>
      <x:c r="CB83" t="str">
        <x:v>party_issuer_confirmed AND issue_date&gt;=2026-05-27 AND doc_type_confirmed</x:v>
      </x:c>
      <x:c r="CC83" t="str">
        <x:f>IFERROR(INDEX(HD05!$X$7:$X$300,MATCH($B83,HD05!$B$7:$B$300,0)),"UNRESOLVED")</x:f>
        <x:v>KHÔNG TỰ CHÈN</x:v>
      </x:c>
      <x:c r="CD83" t="str">
        <x:f>IF(OR(ISNUMBER(SEARCH("READ_ONLY",CC83)),ISNUMBER(SEARCH("PROTECTED",CC83)),ISNUMBER(SEARCH("BẢO VỆ",CC83)),ISNUMBER(SEARCH("KHÔNG KÝ",CC83))),"PROTECTED","CHECK_ONLY")</x:f>
        <x:v>CHECK_ONLY</x:v>
      </x:c>
      <x:c r="CE83" t="str">
        <x:f>IF(AND(CD83="FORMAT_APPROVED",CU83="CÓ",CV83="CÓ",CH83="CÓ",CI83="CÓ",CJ83="CÓ"),"CÓ","KHÔNG")</x:f>
        <x:v>KHÔNG</x:v>
      </x:c>
      <x:c r="CF83" t="str">
        <x:v>KHÔNG</x:v>
      </x:c>
      <x:c r="CG83" t="str">
        <x:v>CÓ</x:v>
      </x:c>
      <x:c r="CH83" t="str">
        <x:v>KHÔNG</x:v>
      </x:c>
      <x:c r="CI83" t="str">
        <x:v>KHÔNG</x:v>
      </x:c>
      <x:c r="CJ83" t="str">
        <x:v>KHÔNG</x:v>
      </x:c>
      <x:c r="CK83" t="str">
        <x:f>IF(AND(CE83="CÓ",CF83="KHÔNG",CG83="CÓ",CU83="CÓ",CV83="CÓ",CH83="CÓ",CI83="CÓ",CJ83="CÓ"),"CÓ","KHÔNG")</x:f>
        <x:v>KHÔNG</x:v>
      </x:c>
      <x:c r="CL83" t="str">
        <x:v>PILOT_NORTH_PROFILE_DRAFT; chưa có master DOCX đã duyệt</x:v>
      </x:c>
      <x:c r="CM83" t="str">
        <x:v>v1.5 (nâng từ v1.4)</x:v>
      </x:c>
      <x:c r="CN83" t="str">
        <x:v>CHƯA XÁC NHẬN CHỦ THỂ ĐẢNG</x:v>
      </x:c>
      <x:c r="CO83" t="str">
        <x:v>HD05_X_LUU_HANH_CHI_DAN_FIELD_ONLY; chưa tạo trong Word</x:v>
      </x:c>
      <x:c r="CP83" t="str">
        <x:v>Preset là cấu hình Công ty; không thay thế giới hạn của nguồn NĐ30/HD05</x:v>
      </x:c>
      <x:c r="CQ83" t="str">
        <x:f>IF(OR(BH83="CÓ",BH83=TRUE),BI83,"")</x:f>
      </x:c>
      <x:c r="CR83" t="str">
        <x:f>IF(OR(BH83="CÓ",BH83=TRUE),BJ83,"")</x:f>
      </x:c>
      <x:c r="CS83" t="str">
        <x:v>FORMAT_CHECK_ONLY</x:v>
      </x:c>
      <x:c r="CT83" t="str">
        <x:v>PENDING_SOURCE_AND_DOCX_QA</x:v>
      </x:c>
      <x:c r="CU83" t="str">
        <x:v>KHÔNG</x:v>
      </x:c>
      <x:c r="CV83" t="str">
        <x:v>KHÔNG</x:v>
      </x:c>
      <x:c r="CW83" t="str"/>
    </x:row>
    <x:row r="84" ht="29" customHeight="1">
      <x:c r="A84" s="125" t="n">
        <x:v>78</x:v>
      </x:c>
      <x:c r="B84" s="123" t="str">
        <x:v>HD05.X.DU_THAO.CHI_DAN</x:v>
      </x:c>
      <x:c r="C84" s="123" t="str">
        <x:v>Thể thức bổ sung</x:v>
      </x:c>
      <x:c r="D84" s="123" t="str">
        <x:v>Dự thảo</x:v>
      </x:c>
      <x:c r="E84" s="123" t="str">
        <x:v>Chỉ dẫn dự thảo, lần dự thảo</x:v>
      </x:c>
      <x:c r="F84" s="123" t="str">
        <x:v>11b</x:v>
      </x:c>
      <x:c r="G84" s="123" t="str">
        <x:v>Chỉ khi đủ chứng cứ/được phép hiện diện; không tự chèn giá trị</x:v>
      </x:c>
      <x:c r="H84" s="123" t="str">
        <x:v>Chỉ dẫn dự thảo và lần dự thảo</x:v>
      </x:c>
      <x:c r="I84" s="123" t="str">
        <x:v>Times New Roman | Unicode | đen</x:v>
      </x:c>
      <x:c r="J84" s="136" t="str">
        <x:v>14</x:v>
      </x:c>
      <x:c r="K84" s="123" t="str">
        <x:v>In thường</x:v>
      </x:c>
      <x:c r="L84" s="123"/>
      <x:c r="M84" s="123" t="str">
        <x:v>Có</x:v>
      </x:c>
      <x:c r="N84" s="123"/>
      <x:c r="O84" s="135"/>
      <x:c r="P84" s="135"/>
      <x:c r="Q84" s="123"/>
      <x:c r="R84" s="123" t="str">
        <x:v>Metadata + vùng trình bày có điều kiện; đánh giá thủ công trước sửa</x:v>
      </x:c>
      <x:c r="S84" s="123" t="str">
        <x:v>HD05 ô 11b, dưới số và ký hiệu; không làm thành văn bản đã ban hành</x:v>
      </x:c>
      <x:c r="T84" s="123" t="str">
        <x:v>HD05, Phần II, II (Các thành phần bổ sung); Phụ lục 2</x:v>
      </x:c>
      <x:c r="U84" s="123" t="str">
        <x:v>https://dangcongsan.vn/vanphongtrunguong/van-ban-cua-dang/huong-dan-so-05-hd-vptw-ngay-27-5-2026-cua-van-phong-trung-uong-dang-ve-the-thuc-va-ky-thuat-trinh-bay-van-ban-cua-dang.html?categoryId=3000525</x:v>
      </x:c>
      <x:c r="V84" s="123" t="str">
        <x:v>https://thuvienphapluat.vn/van-ban/Bo-may-hanh-chinh/Huong-dan-05-HD-VPTW-2026-the-thuc-va-ky-thuat-trinh-bay-van-ban-cua-Dang-707499.aspx</x:v>
      </x:c>
      <x:c r="W84" s="123" t="str">
        <x:v>CHƯA ĐỦ BẰNG CHỨNG</x:v>
      </x:c>
      <x:c r="X84" s="123" t="str">
        <x:v>CHECK_ONLY</x:v>
      </x:c>
      <x:c r="Y84" s="123" t="str">
        <x:v>Không tự chèn/sửa khi chưa có chứng cứ về đối tượng và rule. | Trạng thái v1.0: CÓ ĐIỀU KIỆN</x:v>
      </x:c>
      <x:c r="Z84" s="135" t="str">
        <x:v>DỰ THẢO (chỉ khi tài liệu ở giai đoạn dự thảo, theo đúng HD05)</x:v>
      </x:c>
      <x:c r="AA84" s="123" t="str">
        <x:v>Supplementary</x:v>
      </x:c>
      <x:c r="AB84" s="135" t="str">
        <x:v>DỰ THẢO — CẦN DUYỆT HD05</x:v>
      </x:c>
      <x:c r="AC84" s="123" t="str">
        <x:v>CHECK_ONLY</x:v>
      </x:c>
      <x:c r="AD84" s="123" t="str">
        <x:v>PLUGIN:HOA-TIEU-MIEN-BAC-PARTY-HD05-HEADER-2026 | NEEDS_REVIEW</x:v>
      </x:c>
      <x:c r="AE84" s="123" t="str">
        <x:v>GATE: xác minh chủ thể HD05 trước; Đối chiếu đúng vị trí; không điền dữ liệu; không chạm dấu/chữ ký hoặc trường được bảo vệ.</x:v>
      </x:c>
      <x:c r="AF84" s="123" t="str">
        <x:v>Đảng ủy: chỉ chọn khi chủ thể ban hành và phạm vi HD05 đã được xác minh.</x:v>
      </x:c>
      <x:c r="AG84" s="157" t="str">
        <x:v>Times New Roman</x:v>
      </x:c>
      <x:c r="AH84" s="157" t="str">
        <x:v>Unicode</x:v>
      </x:c>
      <x:c r="AI84" s="157" t="str">
        <x:v>#000000</x:v>
      </x:c>
      <x:c r="AJ84" s="195" t="n">
        <x:v>14</x:v>
      </x:c>
      <x:c r="AK84" s="157"/>
      <x:c r="AL84" s="157" t="str">
        <x:v>CÓ</x:v>
      </x:c>
      <x:c r="AM84" s="157" t="str">
        <x:v>In thường</x:v>
      </x:c>
      <x:c r="AN84" s="157"/>
      <x:c r="AO84" s="157"/>
      <x:c r="AP84" s="157"/>
      <x:c r="AQ84" s="195"/>
      <x:c r="AR84" s="157"/>
      <x:c r="AS84" s="195"/>
      <x:c r="AT84" s="195"/>
      <x:c r="AU84" s="195"/>
      <x:c r="AV84" s="195"/>
      <x:c r="AW84" s="195"/>
      <x:c r="AX84" s="157"/>
      <x:c r="AY84" s="157"/>
      <x:c r="AZ84" s="157"/>
      <x:c r="BA84" s="195"/>
      <x:c r="BB84" s="195"/>
      <x:c r="BC84" s="157"/>
      <x:c r="BD84" s="195"/>
      <x:c r="BE84" s="195"/>
      <x:c r="BF84" s="195"/>
      <x:c r="BG84" s="195"/>
      <x:c r="BH84" s="157"/>
      <x:c r="BI84" s="195"/>
      <x:c r="BJ84" s="195"/>
      <x:c r="BK84" s="195"/>
      <x:c r="BL84" s="157"/>
      <x:c r="BM84" s="157"/>
      <x:c r="BN84" s="157"/>
      <x:c r="BO84" s="195"/>
      <x:c r="BP84" s="195"/>
      <x:c r="BQ84" s="157"/>
      <x:c r="BR84" s="157"/>
      <x:c r="BS84" s="157"/>
      <x:c r="BT84" s="157" t="str">
        <x:v>Supplementary</x:v>
      </x:c>
      <x:c r="BU84" s="157" t="str">
        <x:v>Metadata + vùng trình bày có điều kiện; đánh giá thủ công trước sửa</x:v>
      </x:c>
      <x:c r="BV84" s="196" t="str">
        <x:v>DỰ THẢO — CẦN DUYỆT HD05</x:v>
      </x:c>
      <x:c r="BW84" s="197" t="str">
        <x:v>ĐÃ TÁCH MỘT PHẦN</x:v>
      </x:c>
      <x:c r="BX84" s="157" t="str">
        <x:v>Cấu hình profile chưa được xác nhận; giữ nguyên chính sách CHECK_ONLY.</x:v>
      </x:c>
      <x:c r="BY84" t="str">
        <x:v>HD05.X.DU_THAO.CHI_DAN</x:v>
      </x:c>
      <x:c r="BZ84" t="n">
        <x:f>IFERROR(INDEX(HD05!$J$7:$J$300,MATCH($B84,HD05!$B$7:$B$300,0)),"UNRESOLVED")</x:f>
        <x:v>14</x:v>
      </x:c>
      <x:c r="CA84" t="str">
        <x:v>TEXT</x:v>
      </x:c>
      <x:c r="CB84" t="str">
        <x:v>party_issuer_confirmed AND issue_date&gt;=2026-05-27 AND doc_type_confirmed</x:v>
      </x:c>
      <x:c r="CC84" t="str">
        <x:f>IFERROR(INDEX(HD05!$X$7:$X$300,MATCH($B84,HD05!$B$7:$B$300,0)),"UNRESOLVED")</x:f>
        <x:v>KHÔNG TỰ CHÈN</x:v>
      </x:c>
      <x:c r="CD84" t="str">
        <x:f>IF(OR(ISNUMBER(SEARCH("READ_ONLY",CC84)),ISNUMBER(SEARCH("PROTECTED",CC84)),ISNUMBER(SEARCH("BẢO VỆ",CC84)),ISNUMBER(SEARCH("KHÔNG KÝ",CC84))),"PROTECTED","CHECK_ONLY")</x:f>
        <x:v>CHECK_ONLY</x:v>
      </x:c>
      <x:c r="CE84" t="str">
        <x:f>IF(AND(CD84="FORMAT_APPROVED",CU84="CÓ",CV84="CÓ",CH84="CÓ",CI84="CÓ",CJ84="CÓ"),"CÓ","KHÔNG")</x:f>
        <x:v>KHÔNG</x:v>
      </x:c>
      <x:c r="CF84" t="str">
        <x:v>KHÔNG</x:v>
      </x:c>
      <x:c r="CG84" t="str">
        <x:v>CÓ</x:v>
      </x:c>
      <x:c r="CH84" t="str">
        <x:v>KHÔNG</x:v>
      </x:c>
      <x:c r="CI84" t="str">
        <x:v>KHÔNG</x:v>
      </x:c>
      <x:c r="CJ84" t="str">
        <x:v>KHÔNG</x:v>
      </x:c>
      <x:c r="CK84" t="str">
        <x:f>IF(AND(CE84="CÓ",CF84="KHÔNG",CG84="CÓ",CU84="CÓ",CV84="CÓ",CH84="CÓ",CI84="CÓ",CJ84="CÓ"),"CÓ","KHÔNG")</x:f>
        <x:v>KHÔNG</x:v>
      </x:c>
      <x:c r="CL84" t="str">
        <x:v>PILOT_NORTH_PROFILE_DRAFT; chưa có master DOCX đã duyệt</x:v>
      </x:c>
      <x:c r="CM84" t="str">
        <x:v>v1.5 (nâng từ v1.4)</x:v>
      </x:c>
      <x:c r="CN84" t="str">
        <x:v>CHƯA XÁC NHẬN CHỦ THỂ ĐẢNG</x:v>
      </x:c>
      <x:c r="CO84" t="str">
        <x:v>HD05_X_DU_THAO_CHI_DAN_FIELD_ONLY; chưa tạo trong Word</x:v>
      </x:c>
      <x:c r="CP84" t="str">
        <x:v>Preset là cấu hình Công ty; không thay thế giới hạn của nguồn NĐ30/HD05</x:v>
      </x:c>
      <x:c r="CQ84" t="str">
        <x:f>IF(OR(BH84="CÓ",BH84=TRUE),BI84,"")</x:f>
      </x:c>
      <x:c r="CR84" t="str">
        <x:f>IF(OR(BH84="CÓ",BH84=TRUE),BJ84,"")</x:f>
      </x:c>
      <x:c r="CS84" t="str">
        <x:v>FORMAT_CHECK_ONLY</x:v>
      </x:c>
      <x:c r="CT84" t="str">
        <x:v>PENDING_SOURCE_AND_DOCX_QA</x:v>
      </x:c>
      <x:c r="CU84" t="str">
        <x:v>KHÔNG</x:v>
      </x:c>
      <x:c r="CV84" t="str">
        <x:v>KHÔNG</x:v>
      </x:c>
      <x:c r="CW84" t="str"/>
    </x:row>
    <x:row r="85" ht="29" customHeight="1">
      <x:c r="A85" s="125" t="n">
        <x:v>79</x:v>
      </x:c>
      <x:c r="B85" s="123" t="str">
        <x:v>HD05.X.SOAN.KY_HIEU_NGUOI_SOAN</x:v>
      </x:c>
      <x:c r="C85" s="123" t="str">
        <x:v>Thể thức bổ sung</x:v>
      </x:c>
      <x:c r="D85" s="123" t="str">
        <x:v>Thông tin soạn thảo/phát hành</x:v>
      </x:c>
      <x:c r="E85" s="123" t="str">
        <x:v>Ký hiệu người soạn</x:v>
      </x:c>
      <x:c r="F85" s="123" t="str">
        <x:v>12</x:v>
      </x:c>
      <x:c r="G85" s="123" t="str">
        <x:v>Chỉ khi đủ chứng cứ/được phép hiện diện; không tự chèn giá trị</x:v>
      </x:c>
      <x:c r="H85" s="123" t="str">
        <x:v>Ký hiệu soạn thảo và số bản phát hành lấy từ quy trình văn thư</x:v>
      </x:c>
      <x:c r="I85" s="123" t="str">
        <x:v>Times New Roman | Unicode | đen</x:v>
      </x:c>
      <x:c r="J85" s="136" t="str">
        <x:v>11</x:v>
      </x:c>
      <x:c r="K85" s="123" t="str">
        <x:v>IN HOA</x:v>
      </x:c>
      <x:c r="L85" s="123" t="str">
        <x:v>Không</x:v>
      </x:c>
      <x:c r="M85" s="123" t="str">
        <x:v>Không</x:v>
      </x:c>
      <x:c r="N85" s="123"/>
      <x:c r="O85" s="135"/>
      <x:c r="P85" s="135"/>
      <x:c r="Q85" s="123"/>
      <x:c r="R85" s="123" t="str">
        <x:v>Metadata + vùng trình bày có điều kiện; đánh giá thủ công trước sửa</x:v>
      </x:c>
      <x:c r="S85" s="123" t="str">
        <x:v>HD05: ô 12, cuối Nơi nhận</x:v>
      </x:c>
      <x:c r="T85" s="123" t="str">
        <x:v>HD05, Phần II, II (Các thành phần bổ sung); Phụ lục 2</x:v>
      </x:c>
      <x:c r="U85" s="123" t="str">
        <x:v>https://dangcongsan.vn/vanphongtrunguong/van-ban-cua-dang/huong-dan-so-05-hd-vptw-ngay-27-5-2026-cua-van-phong-trung-uong-dang-ve-the-thuc-va-ky-thuat-trinh-bay-van-ban-cua-dang.html?categoryId=3000525</x:v>
      </x:c>
      <x:c r="V85" s="123" t="str">
        <x:v>https://thuvienphapluat.vn/van-ban/Bo-may-hanh-chinh/Huong-dan-05-HD-VPTW-2026-the-thuc-va-ky-thuat-trinh-bay-van-ban-cua-Dang-707499.aspx</x:v>
      </x:c>
      <x:c r="W85" s="123" t="str">
        <x:v>CHƯA ĐỦ BẰNG CHỨNG</x:v>
      </x:c>
      <x:c r="X85" s="123" t="str">
        <x:v>PROTECT_CONTENT</x:v>
      </x:c>
      <x:c r="Y85" s="123" t="str">
        <x:v>Không tự chèn/sửa khi chưa có chứng cứ về đối tượng và rule. | Trạng thái v1.0: CÓ ĐIỀU KIỆN | So sánh cũ (không tham gia xác nhận): NĐ30: ô 12; HD05: ô 12, cuối Nơi nhận</x:v>
      </x:c>
      <x:c r="Z85" s="135" t="str">
        <x:v>[CHỈ KHI CÓ SỔ/ĐỊNH MỨC PHÁT HÀNH]</x:v>
      </x:c>
      <x:c r="AA85" s="123" t="str">
        <x:v>Supplementary</x:v>
      </x:c>
      <x:c r="AB85" s="135" t="str">
        <x:v>DỰ THẢO — CẦN DUYỆT HD05</x:v>
      </x:c>
      <x:c r="AC85" s="123" t="str">
        <x:v>PROTECT_CONTENT</x:v>
      </x:c>
      <x:c r="AD85" s="123" t="str">
        <x:v>PLUGIN:HOA-TIEU-MIEN-BAC-PARTY-HD05-HEADER-2026 | NEEDS_REVIEW</x:v>
      </x:c>
      <x:c r="AE85" s="123" t="str">
        <x:v>GATE: xác minh chủ thể HD05 trước; Đối chiếu đúng vị trí; không điền dữ liệu; không chạm dấu/chữ ký hoặc trường được bảo vệ.</x:v>
      </x:c>
      <x:c r="AF85" s="123" t="str">
        <x:v>Đảng ủy: chỉ chọn khi chủ thể ban hành và phạm vi HD05 đã được xác minh.</x:v>
      </x:c>
      <x:c r="AG85" s="157" t="str">
        <x:v>Times New Roman</x:v>
      </x:c>
      <x:c r="AH85" s="157" t="str">
        <x:v>Unicode</x:v>
      </x:c>
      <x:c r="AI85" s="157" t="str">
        <x:v>#000000</x:v>
      </x:c>
      <x:c r="AJ85" s="195" t="n">
        <x:v>11</x:v>
      </x:c>
      <x:c r="AK85" s="157" t="str">
        <x:v>KHÔNG</x:v>
      </x:c>
      <x:c r="AL85" s="157" t="str">
        <x:v>KHÔNG</x:v>
      </x:c>
      <x:c r="AM85" s="157" t="str">
        <x:v>IN HOA</x:v>
      </x:c>
      <x:c r="AN85" s="157"/>
      <x:c r="AO85" s="157"/>
      <x:c r="AP85" s="157"/>
      <x:c r="AQ85" s="195"/>
      <x:c r="AR85" s="157"/>
      <x:c r="AS85" s="195"/>
      <x:c r="AT85" s="195"/>
      <x:c r="AU85" s="195"/>
      <x:c r="AV85" s="195"/>
      <x:c r="AW85" s="195"/>
      <x:c r="AX85" s="157"/>
      <x:c r="AY85" s="157"/>
      <x:c r="AZ85" s="157"/>
      <x:c r="BA85" s="195"/>
      <x:c r="BB85" s="195"/>
      <x:c r="BC85" s="157"/>
      <x:c r="BD85" s="195"/>
      <x:c r="BE85" s="195"/>
      <x:c r="BF85" s="195"/>
      <x:c r="BG85" s="195"/>
      <x:c r="BH85" s="157"/>
      <x:c r="BI85" s="195"/>
      <x:c r="BJ85" s="195"/>
      <x:c r="BK85" s="195"/>
      <x:c r="BL85" s="157"/>
      <x:c r="BM85" s="157"/>
      <x:c r="BN85" s="157"/>
      <x:c r="BO85" s="195"/>
      <x:c r="BP85" s="195"/>
      <x:c r="BQ85" s="157"/>
      <x:c r="BR85" s="157"/>
      <x:c r="BS85" s="157"/>
      <x:c r="BT85" s="157" t="str">
        <x:v>Supplementary</x:v>
      </x:c>
      <x:c r="BU85" s="157" t="str">
        <x:v>Metadata + vùng trình bày có điều kiện; đánh giá thủ công trước sửa</x:v>
      </x:c>
      <x:c r="BV85" s="196" t="str">
        <x:v>DỰ THẢO — CẦN DUYỆT HD05</x:v>
      </x:c>
      <x:c r="BW85" s="197" t="str">
        <x:v>ĐÃ TÁCH MỘT PHẦN</x:v>
      </x:c>
      <x:c r="BX85" s="157" t="str">
        <x:v>Cấu hình profile chưa được xác nhận; giữ nguyên chính sách CHECK_ONLY.</x:v>
      </x:c>
      <x:c r="BY85" t="str">
        <x:v>HD05.X.SOAN.KY_HIEU_NGUOI_SOAN</x:v>
      </x:c>
      <x:c r="BZ85" t="n">
        <x:f>IFERROR(INDEX(HD05!$J$7:$J$300,MATCH($B85,HD05!$B$7:$B$300,0)),"UNRESOLVED")</x:f>
        <x:v>11</x:v>
      </x:c>
      <x:c r="CA85" t="str">
        <x:v>TEXT</x:v>
      </x:c>
      <x:c r="CB85" t="str">
        <x:v>party_issuer_confirmed AND issue_date&gt;=2026-05-27 AND doc_type_confirmed</x:v>
      </x:c>
      <x:c r="CC85" t="str">
        <x:f>IFERROR(INDEX(HD05!$X$7:$X$300,MATCH($B85,HD05!$B$7:$B$300,0)),"UNRESOLVED")</x:f>
        <x:v>KHÔNG TỰ CHÈN</x:v>
      </x:c>
      <x:c r="CD85" t="str">
        <x:f>IF(OR(ISNUMBER(SEARCH("READ_ONLY",CC85)),ISNUMBER(SEARCH("PROTECTED",CC85)),ISNUMBER(SEARCH("BẢO VỆ",CC85)),ISNUMBER(SEARCH("KHÔNG KÝ",CC85))),"PROTECTED","CHECK_ONLY")</x:f>
        <x:v>CHECK_ONLY</x:v>
      </x:c>
      <x:c r="CE85" t="str">
        <x:f>IF(AND(CD85="FORMAT_APPROVED",CU85="CÓ",CV85="CÓ",CH85="CÓ",CI85="CÓ",CJ85="CÓ"),"CÓ","KHÔNG")</x:f>
        <x:v>KHÔNG</x:v>
      </x:c>
      <x:c r="CF85" t="str">
        <x:v>KHÔNG</x:v>
      </x:c>
      <x:c r="CG85" t="str">
        <x:v>CÓ</x:v>
      </x:c>
      <x:c r="CH85" t="str">
        <x:v>KHÔNG</x:v>
      </x:c>
      <x:c r="CI85" t="str">
        <x:v>KHÔNG</x:v>
      </x:c>
      <x:c r="CJ85" t="str">
        <x:v>KHÔNG</x:v>
      </x:c>
      <x:c r="CK85" t="str">
        <x:f>IF(AND(CE85="CÓ",CF85="KHÔNG",CG85="CÓ",CU85="CÓ",CV85="CÓ",CH85="CÓ",CI85="CÓ",CJ85="CÓ"),"CÓ","KHÔNG")</x:f>
        <x:v>KHÔNG</x:v>
      </x:c>
      <x:c r="CL85" t="str">
        <x:v>PILOT_NORTH_PROFILE_DRAFT; chưa có master DOCX đã duyệt</x:v>
      </x:c>
      <x:c r="CM85" t="str">
        <x:v>v1.5 (nâng từ v1.4)</x:v>
      </x:c>
      <x:c r="CN85" t="str">
        <x:v>CHƯA XÁC NHẬN CHỦ THỂ ĐẢNG</x:v>
      </x:c>
      <x:c r="CO85" t="str">
        <x:v>HD05_X_SOAN_KY_HIEU_NGUOI_SOAN_FIELD_ONLY; chưa tạo trong Word</x:v>
      </x:c>
      <x:c r="CP85" t="str">
        <x:v>Preset là cấu hình Công ty; không thay thế giới hạn của nguồn NĐ30/HD05</x:v>
      </x:c>
      <x:c r="CQ85" t="str">
        <x:f>IF(OR(BH85="CÓ",BH85=TRUE),BI85,"")</x:f>
      </x:c>
      <x:c r="CR85" t="str">
        <x:f>IF(OR(BH85="CÓ",BH85=TRUE),BJ85,"")</x:f>
      </x:c>
      <x:c r="CS85" t="str">
        <x:v>FORMAT_CHECK_ONLY</x:v>
      </x:c>
      <x:c r="CT85" t="str">
        <x:v>PENDING_SOURCE_AND_DOCX_QA</x:v>
      </x:c>
      <x:c r="CU85" t="str">
        <x:v>KHÔNG</x:v>
      </x:c>
      <x:c r="CV85" t="str">
        <x:v>KHÔNG</x:v>
      </x:c>
      <x:c r="CW85" t="str"/>
    </x:row>
    <x:row r="86" ht="29" customHeight="1">
      <x:c r="A86" s="125" t="n">
        <x:v>80</x:v>
      </x:c>
      <x:c r="B86" s="123" t="str">
        <x:v>HD05.X.SOAN.SO_BAN</x:v>
      </x:c>
      <x:c r="C86" s="123" t="str">
        <x:v>Thể thức bổ sung</x:v>
      </x:c>
      <x:c r="D86" s="123" t="str">
        <x:v>Thông tin soạn thảo/phát hành</x:v>
      </x:c>
      <x:c r="E86" s="123" t="str">
        <x:v>Số lượng bản phát hành</x:v>
      </x:c>
      <x:c r="F86" s="123" t="str">
        <x:v>12</x:v>
      </x:c>
      <x:c r="G86" s="123" t="str">
        <x:v>Chỉ khi đủ chứng cứ/được phép hiện diện; không tự chèn giá trị</x:v>
      </x:c>
      <x:c r="H86" s="123" t="str">
        <x:v>Ký hiệu soạn thảo và số bản phát hành lấy từ quy trình văn thư</x:v>
      </x:c>
      <x:c r="I86" s="123" t="str">
        <x:v>Times New Roman | Unicode | đen</x:v>
      </x:c>
      <x:c r="J86" s="136" t="str">
        <x:v>11</x:v>
      </x:c>
      <x:c r="K86" s="123" t="str">
        <x:v>Chữ số Ả Rập</x:v>
      </x:c>
      <x:c r="L86" s="123" t="str">
        <x:v>Không</x:v>
      </x:c>
      <x:c r="M86" s="123" t="str">
        <x:v>Không</x:v>
      </x:c>
      <x:c r="N86" s="123"/>
      <x:c r="O86" s="135"/>
      <x:c r="P86" s="135"/>
      <x:c r="Q86" s="123"/>
      <x:c r="R86" s="123" t="str">
        <x:v>Metadata + vùng trình bày có điều kiện; đánh giá thủ công trước sửa</x:v>
      </x:c>
      <x:c r="S86" s="123" t="str">
        <x:v>Số lượng bản phát hành dùng chữ số Ả Rập; cỡ 11 pt; không tự cấp hoặc tự sửa số bản</x:v>
      </x:c>
      <x:c r="T86" s="123" t="str">
        <x:v>HD05, Phần II, II (Các thành phần bổ sung); Phụ lục 2</x:v>
      </x:c>
      <x:c r="U86" s="123" t="str">
        <x:v>https://dangcongsan.vn/vanphongtrunguong/van-ban-cua-dang/huong-dan-so-05-hd-vptw-ngay-27-5-2026-cua-van-phong-trung-uong-dang-ve-the-thuc-va-ky-thuat-trinh-bay-van-ban-cua-dang.html?categoryId=3000525</x:v>
      </x:c>
      <x:c r="V86" s="123" t="str">
        <x:v>https://thuvienphapluat.vn/van-ban/Bo-may-hanh-chinh/Huong-dan-05-HD-VPTW-2026-the-thuc-va-ky-thuat-trinh-bay-van-ban-cua-Dang-707499.aspx</x:v>
      </x:c>
      <x:c r="W86" s="123" t="str">
        <x:v>CHƯA ĐỦ BẰNG CHỨNG</x:v>
      </x:c>
      <x:c r="X86" s="123" t="str">
        <x:v>PROTECT_CONTENT</x:v>
      </x:c>
      <x:c r="Y86" s="123" t="str">
        <x:v>Không tự chèn/sửa khi chưa có chứng cứ về đối tượng và rule. | Trạng thái v1.0: CÓ ĐIỀU KIỆN | So sánh cũ (không tham gia xác nhận): NĐ30: ô 12; HD05: ô 12, cuối Nơi nhận</x:v>
      </x:c>
      <x:c r="Z86" s="135" t="str">
        <x:v>[CHỈ KHI CÓ SỔ/ĐỊNH MỨC PHÁT HÀNH]</x:v>
      </x:c>
      <x:c r="AA86" s="123" t="str">
        <x:v>Supplementary</x:v>
      </x:c>
      <x:c r="AB86" s="135" t="str">
        <x:v>DỰ THẢO — CẦN DUYỆT HD05</x:v>
      </x:c>
      <x:c r="AC86" s="123" t="str">
        <x:v>PROTECT_CONTENT</x:v>
      </x:c>
      <x:c r="AD86" s="123" t="str">
        <x:v>PLUGIN:HOA-TIEU-MIEN-BAC-PARTY-HD05-HEADER-2026 | NEEDS_REVIEW</x:v>
      </x:c>
      <x:c r="AE86" s="123" t="str">
        <x:v>GATE: xác minh chủ thể HD05 trước; Đối chiếu đúng vị trí; không điền dữ liệu; không chạm dấu/chữ ký hoặc trường được bảo vệ.</x:v>
      </x:c>
      <x:c r="AF86" s="123" t="str">
        <x:v>Đảng ủy: chỉ chọn khi chủ thể ban hành và phạm vi HD05 đã được xác minh.</x:v>
      </x:c>
      <x:c r="AG86" s="157" t="str">
        <x:v>Times New Roman</x:v>
      </x:c>
      <x:c r="AH86" s="157" t="str">
        <x:v>Unicode</x:v>
      </x:c>
      <x:c r="AI86" s="157" t="str">
        <x:v>#000000</x:v>
      </x:c>
      <x:c r="AJ86" s="195" t="n">
        <x:v>11</x:v>
      </x:c>
      <x:c r="AK86" s="157" t="str">
        <x:v>KHÔNG</x:v>
      </x:c>
      <x:c r="AL86" s="157" t="str">
        <x:v>KHÔNG</x:v>
      </x:c>
      <x:c r="AM86" s="157" t="str">
        <x:v>Chữ số Ả Rập</x:v>
      </x:c>
      <x:c r="AN86" s="157"/>
      <x:c r="AO86" s="157"/>
      <x:c r="AP86" s="157"/>
      <x:c r="AQ86" s="195"/>
      <x:c r="AR86" s="157"/>
      <x:c r="AS86" s="195"/>
      <x:c r="AT86" s="195"/>
      <x:c r="AU86" s="195"/>
      <x:c r="AV86" s="195"/>
      <x:c r="AW86" s="195"/>
      <x:c r="AX86" s="157"/>
      <x:c r="AY86" s="157"/>
      <x:c r="AZ86" s="157"/>
      <x:c r="BA86" s="195"/>
      <x:c r="BB86" s="195"/>
      <x:c r="BC86" s="157"/>
      <x:c r="BD86" s="195"/>
      <x:c r="BE86" s="195"/>
      <x:c r="BF86" s="195"/>
      <x:c r="BG86" s="195"/>
      <x:c r="BH86" s="157"/>
      <x:c r="BI86" s="195"/>
      <x:c r="BJ86" s="195"/>
      <x:c r="BK86" s="195"/>
      <x:c r="BL86" s="157"/>
      <x:c r="BM86" s="157"/>
      <x:c r="BN86" s="157"/>
      <x:c r="BO86" s="195"/>
      <x:c r="BP86" s="195"/>
      <x:c r="BQ86" s="157"/>
      <x:c r="BR86" s="157"/>
      <x:c r="BS86" s="157"/>
      <x:c r="BT86" s="157" t="str">
        <x:v>Supplementary</x:v>
      </x:c>
      <x:c r="BU86" s="157" t="str">
        <x:v>Metadata + vùng trình bày có điều kiện; đánh giá thủ công trước sửa</x:v>
      </x:c>
      <x:c r="BV86" s="196" t="str">
        <x:v>DỰ THẢO — CẦN DUYỆT HD05</x:v>
      </x:c>
      <x:c r="BW86" s="197" t="str">
        <x:v>ĐÃ TÁCH MỘT PHẦN</x:v>
      </x:c>
      <x:c r="BX86" s="157" t="str">
        <x:v>Cấu hình profile chưa được xác nhận; giữ nguyên chính sách CHECK_ONLY.</x:v>
      </x:c>
      <x:c r="BY86" t="str">
        <x:v>HD05.X.SOAN.SO_BAN</x:v>
      </x:c>
      <x:c r="BZ86" t="n">
        <x:f>IFERROR(INDEX(HD05!$J$7:$J$300,MATCH($B86,HD05!$B$7:$B$300,0)),"UNRESOLVED")</x:f>
        <x:v>11</x:v>
      </x:c>
      <x:c r="CA86" t="str">
        <x:v>TEXT</x:v>
      </x:c>
      <x:c r="CB86" t="str">
        <x:v>party_issuer_confirmed AND issue_date&gt;=2026-05-27 AND doc_type_confirmed</x:v>
      </x:c>
      <x:c r="CC86" t="str">
        <x:f>IFERROR(INDEX(HD05!$X$7:$X$300,MATCH($B86,HD05!$B$7:$B$300,0)),"UNRESOLVED")</x:f>
        <x:v>KHÔNG TỰ CHÈN</x:v>
      </x:c>
      <x:c r="CD86" t="str">
        <x:f>IF(OR(ISNUMBER(SEARCH("READ_ONLY",CC86)),ISNUMBER(SEARCH("PROTECTED",CC86)),ISNUMBER(SEARCH("BẢO VỆ",CC86)),ISNUMBER(SEARCH("KHÔNG KÝ",CC86))),"PROTECTED","CHECK_ONLY")</x:f>
        <x:v>CHECK_ONLY</x:v>
      </x:c>
      <x:c r="CE86" t="str">
        <x:f>IF(AND(CD86="FORMAT_APPROVED",CU86="CÓ",CV86="CÓ",CH86="CÓ",CI86="CÓ",CJ86="CÓ"),"CÓ","KHÔNG")</x:f>
        <x:v>KHÔNG</x:v>
      </x:c>
      <x:c r="CF86" t="str">
        <x:v>KHÔNG</x:v>
      </x:c>
      <x:c r="CG86" t="str">
        <x:v>CÓ</x:v>
      </x:c>
      <x:c r="CH86" t="str">
        <x:v>KHÔNG</x:v>
      </x:c>
      <x:c r="CI86" t="str">
        <x:v>KHÔNG</x:v>
      </x:c>
      <x:c r="CJ86" t="str">
        <x:v>KHÔNG</x:v>
      </x:c>
      <x:c r="CK86" t="str">
        <x:f>IF(AND(CE86="CÓ",CF86="KHÔNG",CG86="CÓ",CU86="CÓ",CV86="CÓ",CH86="CÓ",CI86="CÓ",CJ86="CÓ"),"CÓ","KHÔNG")</x:f>
        <x:v>KHÔNG</x:v>
      </x:c>
      <x:c r="CL86" t="str">
        <x:v>PILOT_NORTH_PROFILE_DRAFT; chưa có master DOCX đã duyệt</x:v>
      </x:c>
      <x:c r="CM86" t="str">
        <x:v>v1.5 (nâng từ v1.4)</x:v>
      </x:c>
      <x:c r="CN86" t="str">
        <x:v>CHƯA XÁC NHẬN CHỦ THỂ ĐẢNG</x:v>
      </x:c>
      <x:c r="CO86" t="str">
        <x:v>HD05_X_SOAN_SO_BAN_FIELD_ONLY; chưa tạo trong Word</x:v>
      </x:c>
      <x:c r="CP86" t="str">
        <x:v>Preset là cấu hình Công ty; không thay thế giới hạn của nguồn NĐ30/HD05</x:v>
      </x:c>
      <x:c r="CQ86" t="str">
        <x:f>IF(OR(BH86="CÓ",BH86=TRUE),BI86,"")</x:f>
      </x:c>
      <x:c r="CR86" t="str">
        <x:f>IF(OR(BH86="CÓ",BH86=TRUE),BJ86,"")</x:f>
      </x:c>
      <x:c r="CS86" t="str">
        <x:v>FORMAT_CHECK_ONLY</x:v>
      </x:c>
      <x:c r="CT86" t="str">
        <x:v>PENDING_SOURCE_AND_DOCX_QA</x:v>
      </x:c>
      <x:c r="CU86" t="str">
        <x:v>KHÔNG</x:v>
      </x:c>
      <x:c r="CV86" t="str">
        <x:v>KHÔNG</x:v>
      </x:c>
      <x:c r="CW86" t="str"/>
    </x:row>
    <x:row r="87" ht="29" customHeight="1">
      <x:c r="A87" s="125" t="n">
        <x:v>81</x:v>
      </x:c>
      <x:c r="B87" s="123" t="str">
        <x:v>HD05.X.LIEN_HE.DIA_CHI</x:v>
      </x:c>
      <x:c r="C87" s="123" t="str">
        <x:v>Thể thức bổ sung</x:v>
      </x:c>
      <x:c r="D87" s="123" t="str">
        <x:v>Thông tin liên hệ</x:v>
      </x:c>
      <x:c r="E87" s="123" t="str">
        <x:v>Địa chỉ</x:v>
      </x:c>
      <x:c r="F87" s="123" t="str">
        <x:v>13</x:v>
      </x:c>
      <x:c r="G87" s="123" t="str">
        <x:v>Chỉ khi đủ chứng cứ/được phép hiện diện; không tự chèn giá trị</x:v>
      </x:c>
      <x:c r="H87" s="123" t="str">
        <x:v>Thông tin liên hệ cơ quan chỉ khi cần thiết</x:v>
      </x:c>
      <x:c r="I87" s="123" t="str">
        <x:v>Times New Roman | Unicode | đen</x:v>
      </x:c>
      <x:c r="J87" s="136" t="str">
        <x:v>10</x:v>
      </x:c>
      <x:c r="K87" s="123" t="str">
        <x:v>Theo dữ liệu</x:v>
      </x:c>
      <x:c r="L87" s="123" t="str">
        <x:v>Không</x:v>
      </x:c>
      <x:c r="M87" s="123" t="str">
        <x:v>Không</x:v>
      </x:c>
      <x:c r="N87" s="123"/>
      <x:c r="O87" s="135"/>
      <x:c r="P87" s="135"/>
      <x:c r="Q87" s="123"/>
      <x:c r="R87" s="123" t="str">
        <x:v>Paragraph/contact block; preserve hyperlink and text</x:v>
      </x:c>
      <x:c r="S87" s="123" t="str">
        <x:v>HD05: trang cuối dưới đường kẻ ngang</x:v>
      </x:c>
      <x:c r="T87" s="123" t="str">
        <x:v>HD05, Phần II, II (Các thành phần bổ sung); Phụ lục 2</x:v>
      </x:c>
      <x:c r="U87" s="123" t="str">
        <x:v>https://dangcongsan.vn/vanphongtrunguong/van-ban-cua-dang/huong-dan-so-05-hd-vptw-ngay-27-5-2026-cua-van-phong-trung-uong-dang-ve-the-thuc-va-ky-thuat-trinh-bay-van-ban-cua-dang.html?categoryId=3000525</x:v>
      </x:c>
      <x:c r="V87" s="123" t="str">
        <x:v>https://thuvienphapluat.vn/van-ban/Bo-may-hanh-chinh/Huong-dan-05-HD-VPTW-2026-the-thuc-va-ky-thuat-trinh-bay-van-ban-cua-Dang-707499.aspx</x:v>
      </x:c>
      <x:c r="W87" s="123" t="str">
        <x:v>CHƯA ĐỦ BẰNG CHỨNG</x:v>
      </x:c>
      <x:c r="X87" s="123" t="str">
        <x:v>PROTECT_CONTENT</x:v>
      </x:c>
      <x:c r="Y87" s="123" t="str">
        <x:v>Không tự chèn/sửa khi chưa có chứng cứ về đối tượng và rule. | Trạng thái v1.0: CÓ ĐIỀU KIỆN | So sánh cũ (không tham gia xác nhận): NĐ30: trang đầu, dưới đường kẻ ngang hết vùng trình bày; HD05: trang cuối dưới đường kẻ ngang</x:v>
      </x:c>
      <x:c r="Z87" s="135" t="str">
        <x:v>Tầng 12 và 14, Tòa nhà CATBI PLAZA, số 1A Lê Hồng Phong, TP. Hải Phòng</x:v>
      </x:c>
      <x:c r="AA87" s="123" t="str">
        <x:v>Supplementary</x:v>
      </x:c>
      <x:c r="AB87" s="135" t="str">
        <x:v>PROFILE_CHOT_THEO_TRAO_DOI</x:v>
      </x:c>
      <x:c r="AC87" s="123" t="str">
        <x:v>PROTECT_CONTENT</x:v>
      </x:c>
      <x:c r="AD87" s="123" t="str">
        <x:v>https://www.pilotconorth.com/lien-he | Người dùng chốt trong trao đổi 29/10/2026; PROFILE NỘI BỘ; chưa có văn bản phê duyệt doanh nghiệp</x:v>
      </x:c>
      <x:c r="AE87" s="123" t="str">
        <x:v>GATE: xác minh chủ thể HD05 trước; Đối chiếu đúng vị trí; không điền dữ liệu; không chạm dấu/chữ ký hoặc trường được bảo vệ.</x:v>
      </x:c>
      <x:c r="AF87" s="123" t="str">
        <x:v>Trụ sở tham khảo theo website; địa giới/phường trên các trang có khác biệt, không tự điền phường. Mặc định không hiển thị; chỉ hiển thị khi có yêu cầu liên hệ đối ngoại phù hợp và được duyệt.</x:v>
      </x:c>
      <x:c r="AG87" s="157" t="str">
        <x:v>Times New Roman</x:v>
      </x:c>
      <x:c r="AH87" s="157" t="str">
        <x:v>Unicode</x:v>
      </x:c>
      <x:c r="AI87" s="157" t="str">
        <x:v>#000000</x:v>
      </x:c>
      <x:c r="AJ87" s="195" t="n">
        <x:v>10</x:v>
      </x:c>
      <x:c r="AK87" s="157" t="str">
        <x:v>KHÔNG</x:v>
      </x:c>
      <x:c r="AL87" s="157" t="str">
        <x:v>KHÔNG</x:v>
      </x:c>
      <x:c r="AM87" s="157" t="str">
        <x:v>Theo dữ liệu</x:v>
      </x:c>
      <x:c r="AN87" s="157"/>
      <x:c r="AO87" s="157"/>
      <x:c r="AP87" s="157"/>
      <x:c r="AQ87" s="195"/>
      <x:c r="AR87" s="157"/>
      <x:c r="AS87" s="195"/>
      <x:c r="AT87" s="195"/>
      <x:c r="AU87" s="195"/>
      <x:c r="AV87" s="195"/>
      <x:c r="AW87" s="195"/>
      <x:c r="AX87" s="157"/>
      <x:c r="AY87" s="157"/>
      <x:c r="AZ87" s="157"/>
      <x:c r="BA87" s="195"/>
      <x:c r="BB87" s="195"/>
      <x:c r="BC87" s="157"/>
      <x:c r="BD87" s="195"/>
      <x:c r="BE87" s="195"/>
      <x:c r="BF87" s="195"/>
      <x:c r="BG87" s="195"/>
      <x:c r="BH87" s="157"/>
      <x:c r="BI87" s="195"/>
      <x:c r="BJ87" s="195"/>
      <x:c r="BK87" s="195"/>
      <x:c r="BL87" s="157"/>
      <x:c r="BM87" s="157"/>
      <x:c r="BN87" s="157"/>
      <x:c r="BO87" s="195"/>
      <x:c r="BP87" s="195"/>
      <x:c r="BQ87" s="157"/>
      <x:c r="BR87" s="157"/>
      <x:c r="BS87" s="157"/>
      <x:c r="BT87" s="157" t="str">
        <x:v>Supplementary</x:v>
      </x:c>
      <x:c r="BU87" s="157" t="str">
        <x:v>Paragraph/contact block; preserve hyperlink and text</x:v>
      </x:c>
      <x:c r="BV87" s="196" t="str">
        <x:v>CẦN XÁC NHẬN</x:v>
      </x:c>
      <x:c r="BW87" s="197" t="str">
        <x:v>ĐÃ TÁCH MỘT PHẦN</x:v>
      </x:c>
      <x:c r="BX87" s="157" t="str">
        <x:v>Cấu hình profile chưa được xác nhận; giữ nguyên chính sách CHECK_ONLY.</x:v>
      </x:c>
      <x:c r="BY87" t="str">
        <x:v>HD05.X.LIEN_HE.DIA_CHI</x:v>
      </x:c>
      <x:c r="BZ87" t="n">
        <x:f>IFERROR(INDEX(HD05!$J$7:$J$300,MATCH($B87,HD05!$B$7:$B$300,0)),"UNRESOLVED")</x:f>
        <x:v>10</x:v>
      </x:c>
      <x:c r="CA87" t="str">
        <x:v>TEXT</x:v>
      </x:c>
      <x:c r="CB87" t="str">
        <x:v>Mặc định KHÔNG HIỂN THỊ; chỉ khi cần thông tin giao dịch/đối ngoại được phép mới xét trình bày.</x:v>
      </x:c>
      <x:c r="CC87" t="str">
        <x:f>IFERROR(INDEX(HD05!$X$7:$X$300,MATCH($B87,HD05!$B$7:$B$300,0)),"UNRESOLVED")</x:f>
        <x:v>KHÔNG TỰ CHÈN</x:v>
      </x:c>
      <x:c r="CD87" t="str">
        <x:f>IF(OR(ISNUMBER(SEARCH("READ_ONLY",CC87)),ISNUMBER(SEARCH("PROTECTED",CC87)),ISNUMBER(SEARCH("BẢO VỆ",CC87)),ISNUMBER(SEARCH("KHÔNG KÝ",CC87))),"PROTECTED","CHECK_ONLY")</x:f>
        <x:v>CHECK_ONLY</x:v>
      </x:c>
      <x:c r="CE87" t="str">
        <x:f>IF(AND(CD87="FORMAT_APPROVED",CU87="CÓ",CV87="CÓ",CH87="CÓ",CI87="CÓ",CJ87="CÓ"),"CÓ","KHÔNG")</x:f>
        <x:v>KHÔNG</x:v>
      </x:c>
      <x:c r="CF87" t="str">
        <x:v>KHÔNG</x:v>
      </x:c>
      <x:c r="CG87" t="str">
        <x:v>CÓ</x:v>
      </x:c>
      <x:c r="CH87" t="str">
        <x:v>KHÔNG</x:v>
      </x:c>
      <x:c r="CI87" t="str">
        <x:v>KHÔNG</x:v>
      </x:c>
      <x:c r="CJ87" t="str">
        <x:v>KHÔNG</x:v>
      </x:c>
      <x:c r="CK87" t="str">
        <x:f>IF(AND(CE87="CÓ",CF87="KHÔNG",CG87="CÓ",CU87="CÓ",CV87="CÓ",CH87="CÓ",CI87="CÓ",CJ87="CÓ"),"CÓ","KHÔNG")</x:f>
        <x:v>KHÔNG</x:v>
      </x:c>
      <x:c r="CL87" t="str">
        <x:v>https://www.pilotconorth.com/lien-he | Người dùng chốt trong trao đổi 29/10/2026; PROFILE NỘI BỘ; chưa có văn bản phê duyệt doanh nghiệp</x:v>
      </x:c>
      <x:c r="CM87" t="str">
        <x:v>v1.5 (nâng từ v1.4)</x:v>
      </x:c>
      <x:c r="CN87" t="str">
        <x:v>CHƯA XÁC NHẬN CHỦ THỂ ĐẢNG</x:v>
      </x:c>
      <x:c r="CO87" t="str">
        <x:v>HD05_X_LIEN_HE_DIA_CHI_FIELD_ONLY; chưa tạo trong Word</x:v>
      </x:c>
      <x:c r="CP87" t="str">
        <x:v>Khác biệt giữa giá trị profile và nguồn pháp lý phải tiếp tục được kiểm chứng; không cho tự sửa DOCX.</x:v>
      </x:c>
      <x:c r="CQ87" t="str">
        <x:f>IF(OR(BH87="CÓ",BH87=TRUE),BI87,"")</x:f>
      </x:c>
      <x:c r="CR87" t="str">
        <x:f>IF(OR(BH87="CÓ",BH87=TRUE),BJ87,"")</x:f>
      </x:c>
      <x:c r="CS87" t="str">
        <x:v>FORMAT_CHECK_ONLY</x:v>
      </x:c>
      <x:c r="CT87" t="str">
        <x:v>VERIFIED_PROFILE_PRESET</x:v>
      </x:c>
      <x:c r="CU87" t="str">
        <x:v>CÓ</x:v>
      </x:c>
      <x:c r="CV87" t="str">
        <x:v>KHÔNG</x:v>
      </x:c>
      <x:c r="CW87" t="str"/>
    </x:row>
    <x:row r="88" ht="29" customHeight="1">
      <x:c r="A88" s="125" t="n">
        <x:v>82</x:v>
      </x:c>
      <x:c r="B88" s="123" t="str">
        <x:v>HD05.X.LIEN_HE.EMAIL</x:v>
      </x:c>
      <x:c r="C88" s="123" t="str">
        <x:v>Thể thức bổ sung</x:v>
      </x:c>
      <x:c r="D88" s="123" t="str">
        <x:v>Thông tin liên hệ</x:v>
      </x:c>
      <x:c r="E88" s="123" t="str">
        <x:v>Email</x:v>
      </x:c>
      <x:c r="F88" s="123" t="str">
        <x:v>13</x:v>
      </x:c>
      <x:c r="G88" s="123" t="str">
        <x:v>Chỉ khi đủ chứng cứ/được phép hiện diện; không tự chèn giá trị</x:v>
      </x:c>
      <x:c r="H88" s="123" t="str">
        <x:v>Thông tin liên hệ cơ quan chỉ khi cần thiết</x:v>
      </x:c>
      <x:c r="I88" s="123" t="str">
        <x:v>Times New Roman | Unicode | đen</x:v>
      </x:c>
      <x:c r="J88" s="136" t="str">
        <x:v>10</x:v>
      </x:c>
      <x:c r="K88" s="123" t="str">
        <x:v>Theo dữ liệu</x:v>
      </x:c>
      <x:c r="L88" s="123" t="str">
        <x:v>Không</x:v>
      </x:c>
      <x:c r="M88" s="123" t="str">
        <x:v>Không</x:v>
      </x:c>
      <x:c r="N88" s="123"/>
      <x:c r="O88" s="135"/>
      <x:c r="P88" s="135"/>
      <x:c r="Q88" s="123"/>
      <x:c r="R88" s="123" t="str">
        <x:v>Paragraph/contact block; preserve hyperlink and text</x:v>
      </x:c>
      <x:c r="S88" s="123" t="str">
        <x:v>HD05: trang cuối dưới đường kẻ ngang</x:v>
      </x:c>
      <x:c r="T88" s="123" t="str">
        <x:v>HD05, Phần II, II (Các thành phần bổ sung); Phụ lục 2</x:v>
      </x:c>
      <x:c r="U88" s="123" t="str">
        <x:v>https://dangcongsan.vn/vanphongtrunguong/van-ban-cua-dang/huong-dan-so-05-hd-vptw-ngay-27-5-2026-cua-van-phong-trung-uong-dang-ve-the-thuc-va-ky-thuat-trinh-bay-van-ban-cua-dang.html?categoryId=3000525</x:v>
      </x:c>
      <x:c r="V88" s="123" t="str">
        <x:v>https://thuvienphapluat.vn/van-ban/Bo-may-hanh-chinh/Huong-dan-05-HD-VPTW-2026-the-thuc-va-ky-thuat-trinh-bay-van-ban-cua-Dang-707499.aspx</x:v>
      </x:c>
      <x:c r="W88" s="123" t="str">
        <x:v>CHƯA ĐỦ BẰNG CHỨNG</x:v>
      </x:c>
      <x:c r="X88" s="123" t="str">
        <x:v>PROTECT_CONTENT</x:v>
      </x:c>
      <x:c r="Y88" s="123" t="str">
        <x:v>Không tự chèn/sửa khi chưa có chứng cứ về đối tượng và rule. | Trạng thái v1.0: CÓ ĐIỀU KIỆN | So sánh cũ (không tham gia xác nhận): NĐ30: trang đầu, dưới đường kẻ ngang hết vùng trình bày; HD05: trang cuối dưới đường kẻ ngang</x:v>
      </x:c>
      <x:c r="Z88" s="135" t="str">
        <x:v>congtyhoatieumienbac@vnn.vn</x:v>
      </x:c>
      <x:c r="AA88" s="123" t="str">
        <x:v>Supplementary</x:v>
      </x:c>
      <x:c r="AB88" s="135" t="str">
        <x:v>PROFILE_CHOT_THEO_TRAO_DOI</x:v>
      </x:c>
      <x:c r="AC88" s="123" t="str">
        <x:v>PROTECT_CONTENT</x:v>
      </x:c>
      <x:c r="AD88" s="123" t="str">
        <x:v>https://www.pilotconorth.com/lien-he | Người dùng chốt trong trao đổi 29/10/2026; PROFILE NỘI BỘ; chưa có văn bản phê duyệt doanh nghiệp</x:v>
      </x:c>
      <x:c r="AE88" s="123" t="str">
        <x:v>GATE: xác minh chủ thể HD05 trước; Đối chiếu đúng vị trí; không điền dữ liệu; không chạm dấu/chữ ký hoặc trường được bảo vệ.</x:v>
      </x:c>
      <x:c r="AF88" s="123" t="str">
        <x:v>Email của Công ty, không có xác nhận email riêng Đảng ủy. Mặc định không hiển thị; chỉ hiển thị khi có yêu cầu liên hệ đối ngoại phù hợp và được duyệt.</x:v>
      </x:c>
      <x:c r="AG88" s="157" t="str">
        <x:v>Times New Roman</x:v>
      </x:c>
      <x:c r="AH88" s="157" t="str">
        <x:v>Unicode</x:v>
      </x:c>
      <x:c r="AI88" s="157" t="str">
        <x:v>#000000</x:v>
      </x:c>
      <x:c r="AJ88" s="195" t="n">
        <x:v>10</x:v>
      </x:c>
      <x:c r="AK88" s="157" t="str">
        <x:v>KHÔNG</x:v>
      </x:c>
      <x:c r="AL88" s="157" t="str">
        <x:v>KHÔNG</x:v>
      </x:c>
      <x:c r="AM88" s="157" t="str">
        <x:v>Theo dữ liệu</x:v>
      </x:c>
      <x:c r="AN88" s="157"/>
      <x:c r="AO88" s="157"/>
      <x:c r="AP88" s="157"/>
      <x:c r="AQ88" s="195"/>
      <x:c r="AR88" s="157"/>
      <x:c r="AS88" s="195"/>
      <x:c r="AT88" s="195"/>
      <x:c r="AU88" s="195"/>
      <x:c r="AV88" s="195"/>
      <x:c r="AW88" s="195"/>
      <x:c r="AX88" s="157"/>
      <x:c r="AY88" s="157"/>
      <x:c r="AZ88" s="157"/>
      <x:c r="BA88" s="195"/>
      <x:c r="BB88" s="195"/>
      <x:c r="BC88" s="157"/>
      <x:c r="BD88" s="195"/>
      <x:c r="BE88" s="195"/>
      <x:c r="BF88" s="195"/>
      <x:c r="BG88" s="195"/>
      <x:c r="BH88" s="157"/>
      <x:c r="BI88" s="195"/>
      <x:c r="BJ88" s="195"/>
      <x:c r="BK88" s="195"/>
      <x:c r="BL88" s="157"/>
      <x:c r="BM88" s="157"/>
      <x:c r="BN88" s="157"/>
      <x:c r="BO88" s="195"/>
      <x:c r="BP88" s="195"/>
      <x:c r="BQ88" s="157"/>
      <x:c r="BR88" s="157"/>
      <x:c r="BS88" s="157"/>
      <x:c r="BT88" s="157" t="str">
        <x:v>Supplementary</x:v>
      </x:c>
      <x:c r="BU88" s="157" t="str">
        <x:v>Paragraph/contact block; preserve hyperlink and text</x:v>
      </x:c>
      <x:c r="BV88" s="196" t="str">
        <x:v>CẦN XÁC NHẬN</x:v>
      </x:c>
      <x:c r="BW88" s="197" t="str">
        <x:v>ĐÃ TÁCH MỘT PHẦN</x:v>
      </x:c>
      <x:c r="BX88" s="157" t="str">
        <x:v>Cấu hình profile chưa được xác nhận; giữ nguyên chính sách CHECK_ONLY.</x:v>
      </x:c>
      <x:c r="BY88" t="str">
        <x:v>HD05.X.LIEN_HE.EMAIL</x:v>
      </x:c>
      <x:c r="BZ88" t="n">
        <x:f>IFERROR(INDEX(HD05!$J$7:$J$300,MATCH($B88,HD05!$B$7:$B$300,0)),"UNRESOLVED")</x:f>
        <x:v>10</x:v>
      </x:c>
      <x:c r="CA88" t="str">
        <x:v>TEXT</x:v>
      </x:c>
      <x:c r="CB88" t="str">
        <x:v>Mặc định KHÔNG HIỂN THỊ; chỉ khi cần thông tin giao dịch/đối ngoại được phép mới xét trình bày.</x:v>
      </x:c>
      <x:c r="CC88" t="str">
        <x:f>IFERROR(INDEX(HD05!$X$7:$X$300,MATCH($B88,HD05!$B$7:$B$300,0)),"UNRESOLVED")</x:f>
        <x:v>KHÔNG TỰ CHÈN</x:v>
      </x:c>
      <x:c r="CD88" t="str">
        <x:f>IF(OR(ISNUMBER(SEARCH("READ_ONLY",CC88)),ISNUMBER(SEARCH("PROTECTED",CC88)),ISNUMBER(SEARCH("BẢO VỆ",CC88)),ISNUMBER(SEARCH("KHÔNG KÝ",CC88))),"PROTECTED","CHECK_ONLY")</x:f>
        <x:v>CHECK_ONLY</x:v>
      </x:c>
      <x:c r="CE88" t="str">
        <x:f>IF(AND(CD88="FORMAT_APPROVED",CU88="CÓ",CV88="CÓ",CH88="CÓ",CI88="CÓ",CJ88="CÓ"),"CÓ","KHÔNG")</x:f>
        <x:v>KHÔNG</x:v>
      </x:c>
      <x:c r="CF88" t="str">
        <x:v>KHÔNG</x:v>
      </x:c>
      <x:c r="CG88" t="str">
        <x:v>CÓ</x:v>
      </x:c>
      <x:c r="CH88" t="str">
        <x:v>KHÔNG</x:v>
      </x:c>
      <x:c r="CI88" t="str">
        <x:v>KHÔNG</x:v>
      </x:c>
      <x:c r="CJ88" t="str">
        <x:v>KHÔNG</x:v>
      </x:c>
      <x:c r="CK88" t="str">
        <x:f>IF(AND(CE88="CÓ",CF88="KHÔNG",CG88="CÓ",CU88="CÓ",CV88="CÓ",CH88="CÓ",CI88="CÓ",CJ88="CÓ"),"CÓ","KHÔNG")</x:f>
        <x:v>KHÔNG</x:v>
      </x:c>
      <x:c r="CL88" t="str">
        <x:v>https://www.pilotconorth.com/lien-he | Người dùng chốt trong trao đổi 29/10/2026; PROFILE NỘI BỘ; chưa có văn bản phê duyệt doanh nghiệp</x:v>
      </x:c>
      <x:c r="CM88" t="str">
        <x:v>v1.5 (nâng từ v1.4)</x:v>
      </x:c>
      <x:c r="CN88" t="str">
        <x:v>CHƯA XÁC NHẬN CHỦ THỂ ĐẢNG</x:v>
      </x:c>
      <x:c r="CO88" t="str">
        <x:v>HD05_X_LIEN_HE_EMAIL_FIELD_ONLY; chưa tạo trong Word</x:v>
      </x:c>
      <x:c r="CP88" t="str">
        <x:v>Khác biệt giữa giá trị profile và nguồn pháp lý phải tiếp tục được kiểm chứng; không cho tự sửa DOCX.</x:v>
      </x:c>
      <x:c r="CQ88" t="str">
        <x:f>IF(OR(BH88="CÓ",BH88=TRUE),BI88,"")</x:f>
      </x:c>
      <x:c r="CR88" t="str">
        <x:f>IF(OR(BH88="CÓ",BH88=TRUE),BJ88,"")</x:f>
      </x:c>
      <x:c r="CS88" t="str">
        <x:v>FORMAT_CHECK_ONLY</x:v>
      </x:c>
      <x:c r="CT88" t="str">
        <x:v>VERIFIED_PROFILE_PRESET</x:v>
      </x:c>
      <x:c r="CU88" t="str">
        <x:v>CÓ</x:v>
      </x:c>
      <x:c r="CV88" t="str">
        <x:v>KHÔNG</x:v>
      </x:c>
      <x:c r="CW88" t="str"/>
    </x:row>
    <x:row r="89" ht="29" customHeight="1">
      <x:c r="A89" s="125" t="n">
        <x:v>83</x:v>
      </x:c>
      <x:c r="B89" s="123" t="str">
        <x:v>HD05.X.LIEN_HE.DIEN_THOAI</x:v>
      </x:c>
      <x:c r="C89" s="123" t="str">
        <x:v>Thể thức bổ sung</x:v>
      </x:c>
      <x:c r="D89" s="123" t="str">
        <x:v>Thông tin liên hệ</x:v>
      </x:c>
      <x:c r="E89" s="123" t="str">
        <x:v>Điện thoại</x:v>
      </x:c>
      <x:c r="F89" s="123" t="str">
        <x:v>13</x:v>
      </x:c>
      <x:c r="G89" s="123" t="str">
        <x:v>Chỉ khi đủ chứng cứ/được phép hiện diện; không tự chèn giá trị</x:v>
      </x:c>
      <x:c r="H89" s="123" t="str">
        <x:v>Thông tin liên hệ cơ quan chỉ khi cần thiết</x:v>
      </x:c>
      <x:c r="I89" s="123" t="str">
        <x:v>Times New Roman | Unicode | đen</x:v>
      </x:c>
      <x:c r="J89" s="136" t="str">
        <x:v>10</x:v>
      </x:c>
      <x:c r="K89" s="123" t="str">
        <x:v>Theo dữ liệu</x:v>
      </x:c>
      <x:c r="L89" s="123" t="str">
        <x:v>Không</x:v>
      </x:c>
      <x:c r="M89" s="123" t="str">
        <x:v>Không</x:v>
      </x:c>
      <x:c r="N89" s="123"/>
      <x:c r="O89" s="135"/>
      <x:c r="P89" s="135"/>
      <x:c r="Q89" s="123"/>
      <x:c r="R89" s="123" t="str">
        <x:v>Paragraph/contact block; preserve hyperlink and text</x:v>
      </x:c>
      <x:c r="S89" s="123" t="str">
        <x:v>HD05: trang cuối dưới đường kẻ ngang</x:v>
      </x:c>
      <x:c r="T89" s="123" t="str">
        <x:v>HD05, Phần II, II (Các thành phần bổ sung); Phụ lục 2</x:v>
      </x:c>
      <x:c r="U89" s="123" t="str">
        <x:v>https://dangcongsan.vn/vanphongtrunguong/van-ban-cua-dang/huong-dan-so-05-hd-vptw-ngay-27-5-2026-cua-van-phong-trung-uong-dang-ve-the-thuc-va-ky-thuat-trinh-bay-van-ban-cua-dang.html?categoryId=3000525</x:v>
      </x:c>
      <x:c r="V89" s="123" t="str">
        <x:v>https://thuvienphapluat.vn/van-ban/Bo-may-hanh-chinh/Huong-dan-05-HD-VPTW-2026-the-thuc-va-ky-thuat-trinh-bay-van-ban-cua-Dang-707499.aspx</x:v>
      </x:c>
      <x:c r="W89" s="123" t="str">
        <x:v>CHƯA ĐỦ BẰNG CHỨNG</x:v>
      </x:c>
      <x:c r="X89" s="123" t="str">
        <x:v>PROTECT_CONTENT</x:v>
      </x:c>
      <x:c r="Y89" s="123" t="str">
        <x:v>Không tự chèn/sửa khi chưa có chứng cứ về đối tượng và rule. | Trạng thái v1.0: CÓ ĐIỀU KIỆN | So sánh cũ (không tham gia xác nhận): NĐ30: trang đầu, dưới đường kẻ ngang hết vùng trình bày; HD05: trang cuối dưới đường kẻ ngang</x:v>
      </x:c>
      <x:c r="Z89" s="135" t="str">
        <x:v>0225 3859133</x:v>
      </x:c>
      <x:c r="AA89" s="123" t="str">
        <x:v>Supplementary</x:v>
      </x:c>
      <x:c r="AB89" s="135" t="str">
        <x:v>PROFILE_CHOT_THEO_TRAO_DOI</x:v>
      </x:c>
      <x:c r="AC89" s="123" t="str">
        <x:v>PROTECT_CONTENT</x:v>
      </x:c>
      <x:c r="AD89" s="123" t="str">
        <x:v>https://www.pilotconorth.com/lien-he | Người dùng chốt trong trao đổi 29/10/2026; PROFILE NỘI BỘ; chưa có văn bản phê duyệt doanh nghiệp</x:v>
      </x:c>
      <x:c r="AE89" s="123" t="str">
        <x:v>GATE: xác minh chủ thể HD05 trước; Đối chiếu đúng vị trí; không điền dữ liệu; không chạm dấu/chữ ký hoặc trường được bảo vệ.</x:v>
      </x:c>
      <x:c r="AF89" s="123" t="str">
        <x:v>Điện thoại đăng công khai trên trang Công ty. Mặc định không hiển thị; chỉ hiển thị khi có yêu cầu liên hệ đối ngoại phù hợp và được duyệt.</x:v>
      </x:c>
      <x:c r="AG89" s="157" t="str">
        <x:v>Times New Roman</x:v>
      </x:c>
      <x:c r="AH89" s="157" t="str">
        <x:v>Unicode</x:v>
      </x:c>
      <x:c r="AI89" s="157" t="str">
        <x:v>#000000</x:v>
      </x:c>
      <x:c r="AJ89" s="195" t="n">
        <x:v>10</x:v>
      </x:c>
      <x:c r="AK89" s="157" t="str">
        <x:v>KHÔNG</x:v>
      </x:c>
      <x:c r="AL89" s="157" t="str">
        <x:v>KHÔNG</x:v>
      </x:c>
      <x:c r="AM89" s="157" t="str">
        <x:v>Theo dữ liệu</x:v>
      </x:c>
      <x:c r="AN89" s="157"/>
      <x:c r="AO89" s="157"/>
      <x:c r="AP89" s="157"/>
      <x:c r="AQ89" s="195"/>
      <x:c r="AR89" s="157"/>
      <x:c r="AS89" s="195"/>
      <x:c r="AT89" s="195"/>
      <x:c r="AU89" s="195"/>
      <x:c r="AV89" s="195"/>
      <x:c r="AW89" s="195"/>
      <x:c r="AX89" s="157"/>
      <x:c r="AY89" s="157"/>
      <x:c r="AZ89" s="157"/>
      <x:c r="BA89" s="195"/>
      <x:c r="BB89" s="195"/>
      <x:c r="BC89" s="157"/>
      <x:c r="BD89" s="195"/>
      <x:c r="BE89" s="195"/>
      <x:c r="BF89" s="195"/>
      <x:c r="BG89" s="195"/>
      <x:c r="BH89" s="157"/>
      <x:c r="BI89" s="195"/>
      <x:c r="BJ89" s="195"/>
      <x:c r="BK89" s="195"/>
      <x:c r="BL89" s="157"/>
      <x:c r="BM89" s="157"/>
      <x:c r="BN89" s="157"/>
      <x:c r="BO89" s="195"/>
      <x:c r="BP89" s="195"/>
      <x:c r="BQ89" s="157"/>
      <x:c r="BR89" s="157"/>
      <x:c r="BS89" s="157"/>
      <x:c r="BT89" s="157" t="str">
        <x:v>Supplementary</x:v>
      </x:c>
      <x:c r="BU89" s="157" t="str">
        <x:v>Paragraph/contact block; preserve hyperlink and text</x:v>
      </x:c>
      <x:c r="BV89" s="196" t="str">
        <x:v>CẦN XÁC NHẬN</x:v>
      </x:c>
      <x:c r="BW89" s="197" t="str">
        <x:v>ĐÃ TÁCH MỘT PHẦN</x:v>
      </x:c>
      <x:c r="BX89" s="157" t="str">
        <x:v>Cấu hình profile chưa được xác nhận; giữ nguyên chính sách CHECK_ONLY.</x:v>
      </x:c>
      <x:c r="BY89" t="str">
        <x:v>HD05.X.LIEN_HE.DIEN_THOAI</x:v>
      </x:c>
      <x:c r="BZ89" t="n">
        <x:f>IFERROR(INDEX(HD05!$J$7:$J$300,MATCH($B89,HD05!$B$7:$B$300,0)),"UNRESOLVED")</x:f>
        <x:v>10</x:v>
      </x:c>
      <x:c r="CA89" t="str">
        <x:v>TEXT</x:v>
      </x:c>
      <x:c r="CB89" t="str">
        <x:v>Mặc định KHÔNG HIỂN THỊ; chỉ khi cần thông tin giao dịch/đối ngoại được phép mới xét trình bày.</x:v>
      </x:c>
      <x:c r="CC89" t="str">
        <x:f>IFERROR(INDEX(HD05!$X$7:$X$300,MATCH($B89,HD05!$B$7:$B$300,0)),"UNRESOLVED")</x:f>
        <x:v>KHÔNG TỰ CHÈN</x:v>
      </x:c>
      <x:c r="CD89" t="str">
        <x:f>IF(OR(ISNUMBER(SEARCH("READ_ONLY",CC89)),ISNUMBER(SEARCH("PROTECTED",CC89)),ISNUMBER(SEARCH("BẢO VỆ",CC89)),ISNUMBER(SEARCH("KHÔNG KÝ",CC89))),"PROTECTED","CHECK_ONLY")</x:f>
        <x:v>CHECK_ONLY</x:v>
      </x:c>
      <x:c r="CE89" t="str">
        <x:f>IF(AND(CD89="FORMAT_APPROVED",CU89="CÓ",CV89="CÓ",CH89="CÓ",CI89="CÓ",CJ89="CÓ"),"CÓ","KHÔNG")</x:f>
        <x:v>KHÔNG</x:v>
      </x:c>
      <x:c r="CF89" t="str">
        <x:v>KHÔNG</x:v>
      </x:c>
      <x:c r="CG89" t="str">
        <x:v>CÓ</x:v>
      </x:c>
      <x:c r="CH89" t="str">
        <x:v>KHÔNG</x:v>
      </x:c>
      <x:c r="CI89" t="str">
        <x:v>KHÔNG</x:v>
      </x:c>
      <x:c r="CJ89" t="str">
        <x:v>KHÔNG</x:v>
      </x:c>
      <x:c r="CK89" t="str">
        <x:f>IF(AND(CE89="CÓ",CF89="KHÔNG",CG89="CÓ",CU89="CÓ",CV89="CÓ",CH89="CÓ",CI89="CÓ",CJ89="CÓ"),"CÓ","KHÔNG")</x:f>
        <x:v>KHÔNG</x:v>
      </x:c>
      <x:c r="CL89" t="str">
        <x:v>https://www.pilotconorth.com/lien-he | Người dùng chốt trong trao đổi 29/10/2026; PROFILE NỘI BỘ; chưa có văn bản phê duyệt doanh nghiệp</x:v>
      </x:c>
      <x:c r="CM89" t="str">
        <x:v>v1.5 (nâng từ v1.4)</x:v>
      </x:c>
      <x:c r="CN89" t="str">
        <x:v>CHƯA XÁC NHẬN CHỦ THỂ ĐẢNG</x:v>
      </x:c>
      <x:c r="CO89" t="str">
        <x:v>HD05_X_LIEN_HE_DIEN_THOAI_FIELD_ONLY; chưa tạo trong Word</x:v>
      </x:c>
      <x:c r="CP89" t="str">
        <x:v>Khác biệt giữa giá trị profile và nguồn pháp lý phải tiếp tục được kiểm chứng; không cho tự sửa DOCX.</x:v>
      </x:c>
      <x:c r="CQ89" t="str">
        <x:f>IF(OR(BH89="CÓ",BH89=TRUE),BI89,"")</x:f>
      </x:c>
      <x:c r="CR89" t="str">
        <x:f>IF(OR(BH89="CÓ",BH89=TRUE),BJ89,"")</x:f>
      </x:c>
      <x:c r="CS89" t="str">
        <x:v>FORMAT_CHECK_ONLY</x:v>
      </x:c>
      <x:c r="CT89" t="str">
        <x:v>VERIFIED_PROFILE_PRESET</x:v>
      </x:c>
      <x:c r="CU89" t="str">
        <x:v>CÓ</x:v>
      </x:c>
      <x:c r="CV89" t="str">
        <x:v>KHÔNG</x:v>
      </x:c>
      <x:c r="CW89" t="str"/>
    </x:row>
    <x:row r="90" ht="29" customHeight="1">
      <x:c r="A90" s="125" t="n">
        <x:v>84</x:v>
      </x:c>
      <x:c r="B90" s="123" t="str">
        <x:v>HD05.X.LIEN_HE.WEB</x:v>
      </x:c>
      <x:c r="C90" s="123" t="str">
        <x:v>Thể thức bổ sung</x:v>
      </x:c>
      <x:c r="D90" s="123" t="str">
        <x:v>Thông tin liên hệ</x:v>
      </x:c>
      <x:c r="E90" s="123" t="str">
        <x:v>Website</x:v>
      </x:c>
      <x:c r="F90" s="123" t="str">
        <x:v>13</x:v>
      </x:c>
      <x:c r="G90" s="123" t="str">
        <x:v>Chỉ khi đủ chứng cứ/được phép hiện diện; không tự chèn giá trị</x:v>
      </x:c>
      <x:c r="H90" s="123" t="str">
        <x:v>Thông tin liên hệ cơ quan chỉ khi cần thiết</x:v>
      </x:c>
      <x:c r="I90" s="123" t="str">
        <x:v>Times New Roman | Unicode | đen</x:v>
      </x:c>
      <x:c r="J90" s="136" t="str">
        <x:v>10</x:v>
      </x:c>
      <x:c r="K90" s="123" t="str">
        <x:v>Theo dữ liệu</x:v>
      </x:c>
      <x:c r="L90" s="123" t="str">
        <x:v>Không</x:v>
      </x:c>
      <x:c r="M90" s="123" t="str">
        <x:v>Không</x:v>
      </x:c>
      <x:c r="N90" s="123"/>
      <x:c r="O90" s="135"/>
      <x:c r="P90" s="135"/>
      <x:c r="Q90" s="123"/>
      <x:c r="R90" s="123" t="str">
        <x:v>Paragraph/contact block; preserve hyperlink and text</x:v>
      </x:c>
      <x:c r="S90" s="123" t="str">
        <x:v>HD05: trang cuối dưới đường kẻ ngang</x:v>
      </x:c>
      <x:c r="T90" s="123" t="str">
        <x:v>HD05, Phần II, II (Các thành phần bổ sung); Phụ lục 2</x:v>
      </x:c>
      <x:c r="U90" s="123" t="str">
        <x:v>https://dangcongsan.vn/vanphongtrunguong/van-ban-cua-dang/huong-dan-so-05-hd-vptw-ngay-27-5-2026-cua-van-phong-trung-uong-dang-ve-the-thuc-va-ky-thuat-trinh-bay-van-ban-cua-dang.html?categoryId=3000525</x:v>
      </x:c>
      <x:c r="V90" s="123" t="str">
        <x:v>https://thuvienphapluat.vn/van-ban/Bo-may-hanh-chinh/Huong-dan-05-HD-VPTW-2026-the-thuc-va-ky-thuat-trinh-bay-van-ban-cua-Dang-707499.aspx</x:v>
      </x:c>
      <x:c r="W90" s="123" t="str">
        <x:v>CHƯA ĐỦ BẰNG CHỨNG</x:v>
      </x:c>
      <x:c r="X90" s="123" t="str">
        <x:v>PROTECT_CONTENT</x:v>
      </x:c>
      <x:c r="Y90" s="123" t="str">
        <x:v>Không tự chèn/sửa khi chưa có chứng cứ về đối tượng và rule. | Trạng thái v1.0: CÓ ĐIỀU KIỆN | So sánh cũ (không tham gia xác nhận): NĐ30: trang đầu, dưới đường kẻ ngang hết vùng trình bày; HD05: trang cuối dưới đường kẻ ngang</x:v>
      </x:c>
      <x:c r="Z90" s="135" t="str">
        <x:v>https://www.pilotconorth.com</x:v>
      </x:c>
      <x:c r="AA90" s="123" t="str">
        <x:v>Supplementary</x:v>
      </x:c>
      <x:c r="AB90" s="135" t="str">
        <x:v>PROFILE_CHOT_THEO_TRAO_DOI</x:v>
      </x:c>
      <x:c r="AC90" s="123" t="str">
        <x:v>PROTECT_CONTENT</x:v>
      </x:c>
      <x:c r="AD90" s="123" t="str">
        <x:v>https://www.pilotconorth.com/lien-he | Người dùng chốt trong trao đổi 29/10/2026; PROFILE NỘI BỘ; chưa có văn bản phê duyệt doanh nghiệp</x:v>
      </x:c>
      <x:c r="AE90" s="123" t="str">
        <x:v>GATE: xác minh chủ thể HD05 trước; Đối chiếu đúng vị trí; không điền dữ liệu; không chạm dấu/chữ ký hoặc trường được bảo vệ.</x:v>
      </x:c>
      <x:c r="AF90" s="123" t="str">
        <x:v>Website của Công ty, không có xác nhận website riêng Đảng ủy. Mặc định không hiển thị; chỉ hiển thị khi có yêu cầu liên hệ đối ngoại phù hợp và được duyệt.</x:v>
      </x:c>
      <x:c r="AG90" s="157" t="str">
        <x:v>Times New Roman</x:v>
      </x:c>
      <x:c r="AH90" s="157" t="str">
        <x:v>Unicode</x:v>
      </x:c>
      <x:c r="AI90" s="157" t="str">
        <x:v>#000000</x:v>
      </x:c>
      <x:c r="AJ90" s="195" t="n">
        <x:v>10</x:v>
      </x:c>
      <x:c r="AK90" s="157" t="str">
        <x:v>KHÔNG</x:v>
      </x:c>
      <x:c r="AL90" s="157" t="str">
        <x:v>KHÔNG</x:v>
      </x:c>
      <x:c r="AM90" s="157" t="str">
        <x:v>Theo dữ liệu</x:v>
      </x:c>
      <x:c r="AN90" s="157"/>
      <x:c r="AO90" s="157"/>
      <x:c r="AP90" s="157"/>
      <x:c r="AQ90" s="195"/>
      <x:c r="AR90" s="157"/>
      <x:c r="AS90" s="195"/>
      <x:c r="AT90" s="195"/>
      <x:c r="AU90" s="195"/>
      <x:c r="AV90" s="195"/>
      <x:c r="AW90" s="195"/>
      <x:c r="AX90" s="157"/>
      <x:c r="AY90" s="157"/>
      <x:c r="AZ90" s="157"/>
      <x:c r="BA90" s="195"/>
      <x:c r="BB90" s="195"/>
      <x:c r="BC90" s="157"/>
      <x:c r="BD90" s="195"/>
      <x:c r="BE90" s="195"/>
      <x:c r="BF90" s="195"/>
      <x:c r="BG90" s="195"/>
      <x:c r="BH90" s="157"/>
      <x:c r="BI90" s="195"/>
      <x:c r="BJ90" s="195"/>
      <x:c r="BK90" s="195"/>
      <x:c r="BL90" s="157"/>
      <x:c r="BM90" s="157"/>
      <x:c r="BN90" s="157"/>
      <x:c r="BO90" s="195"/>
      <x:c r="BP90" s="195"/>
      <x:c r="BQ90" s="157"/>
      <x:c r="BR90" s="157"/>
      <x:c r="BS90" s="157"/>
      <x:c r="BT90" s="157" t="str">
        <x:v>Supplementary</x:v>
      </x:c>
      <x:c r="BU90" s="157" t="str">
        <x:v>Paragraph/contact block; preserve hyperlink and text</x:v>
      </x:c>
      <x:c r="BV90" s="196" t="str">
        <x:v>CẦN XÁC NHẬN</x:v>
      </x:c>
      <x:c r="BW90" s="197" t="str">
        <x:v>ĐÃ TÁCH MỘT PHẦN</x:v>
      </x:c>
      <x:c r="BX90" s="157" t="str">
        <x:v>Cấu hình profile chưa được xác nhận; giữ nguyên chính sách CHECK_ONLY.</x:v>
      </x:c>
      <x:c r="BY90" t="str">
        <x:v>HD05.X.LIEN_HE.WEB</x:v>
      </x:c>
      <x:c r="BZ90" t="n">
        <x:f>IFERROR(INDEX(HD05!$J$7:$J$300,MATCH($B90,HD05!$B$7:$B$300,0)),"UNRESOLVED")</x:f>
        <x:v>10</x:v>
      </x:c>
      <x:c r="CA90" t="str">
        <x:v>TEXT</x:v>
      </x:c>
      <x:c r="CB90" t="str">
        <x:v>Mặc định KHÔNG HIỂN THỊ; chỉ khi cần thông tin giao dịch/đối ngoại được phép mới xét trình bày.</x:v>
      </x:c>
      <x:c r="CC90" t="str">
        <x:f>IFERROR(INDEX(HD05!$X$7:$X$300,MATCH($B90,HD05!$B$7:$B$300,0)),"UNRESOLVED")</x:f>
        <x:v>KHÔNG TỰ CHÈN</x:v>
      </x:c>
      <x:c r="CD90" t="str">
        <x:f>IF(OR(ISNUMBER(SEARCH("READ_ONLY",CC90)),ISNUMBER(SEARCH("PROTECTED",CC90)),ISNUMBER(SEARCH("BẢO VỆ",CC90)),ISNUMBER(SEARCH("KHÔNG KÝ",CC90))),"PROTECTED","CHECK_ONLY")</x:f>
        <x:v>CHECK_ONLY</x:v>
      </x:c>
      <x:c r="CE90" t="str">
        <x:f>IF(AND(CD90="FORMAT_APPROVED",CU90="CÓ",CV90="CÓ",CH90="CÓ",CI90="CÓ",CJ90="CÓ"),"CÓ","KHÔNG")</x:f>
        <x:v>KHÔNG</x:v>
      </x:c>
      <x:c r="CF90" t="str">
        <x:v>KHÔNG</x:v>
      </x:c>
      <x:c r="CG90" t="str">
        <x:v>CÓ</x:v>
      </x:c>
      <x:c r="CH90" t="str">
        <x:v>KHÔNG</x:v>
      </x:c>
      <x:c r="CI90" t="str">
        <x:v>KHÔNG</x:v>
      </x:c>
      <x:c r="CJ90" t="str">
        <x:v>KHÔNG</x:v>
      </x:c>
      <x:c r="CK90" t="str">
        <x:f>IF(AND(CE90="CÓ",CF90="KHÔNG",CG90="CÓ",CU90="CÓ",CV90="CÓ",CH90="CÓ",CI90="CÓ",CJ90="CÓ"),"CÓ","KHÔNG")</x:f>
        <x:v>KHÔNG</x:v>
      </x:c>
      <x:c r="CL90" t="str">
        <x:v>https://www.pilotconorth.com/lien-he | Người dùng chốt trong trao đổi 29/10/2026; PROFILE NỘI BỘ; chưa có văn bản phê duyệt doanh nghiệp</x:v>
      </x:c>
      <x:c r="CM90" t="str">
        <x:v>v1.5 (nâng từ v1.4)</x:v>
      </x:c>
      <x:c r="CN90" t="str">
        <x:v>CHƯA XÁC NHẬN CHỦ THỂ ĐẢNG</x:v>
      </x:c>
      <x:c r="CO90" t="str">
        <x:v>HD05_X_LIEN_HE_WEB_FIELD_ONLY; chưa tạo trong Word</x:v>
      </x:c>
      <x:c r="CP90" t="str">
        <x:v>Khác biệt giữa giá trị profile và nguồn pháp lý phải tiếp tục được kiểm chứng; không cho tự sửa DOCX.</x:v>
      </x:c>
      <x:c r="CQ90" t="str">
        <x:f>IF(OR(BH90="CÓ",BH90=TRUE),BI90,"")</x:f>
      </x:c>
      <x:c r="CR90" t="str">
        <x:f>IF(OR(BH90="CÓ",BH90=TRUE),BJ90,"")</x:f>
      </x:c>
      <x:c r="CS90" t="str">
        <x:v>FORMAT_CHECK_ONLY</x:v>
      </x:c>
      <x:c r="CT90" t="str">
        <x:v>VERIFIED_PROFILE_PRESET</x:v>
      </x:c>
      <x:c r="CU90" t="str">
        <x:v>CÓ</x:v>
      </x:c>
      <x:c r="CV90" t="str">
        <x:v>KHÔNG</x:v>
      </x:c>
      <x:c r="CW90" t="str"/>
    </x:row>
    <x:row r="91" ht="29" customHeight="1">
      <x:c r="A91" s="125" t="n">
        <x:v>85</x:v>
      </x:c>
      <x:c r="B91" s="123" t="str">
        <x:v>HD05.X.LIEN_HE.FAX</x:v>
      </x:c>
      <x:c r="C91" s="123" t="str">
        <x:v>Thể thức bổ sung</x:v>
      </x:c>
      <x:c r="D91" s="123" t="str">
        <x:v>Thông tin liên hệ</x:v>
      </x:c>
      <x:c r="E91" s="123" t="str">
        <x:v>Số fax</x:v>
      </x:c>
      <x:c r="F91" s="123" t="str">
        <x:v>13</x:v>
      </x:c>
      <x:c r="G91" s="123" t="str">
        <x:v>Chỉ khi đủ chứng cứ/được phép hiện diện; không tự chèn giá trị</x:v>
      </x:c>
      <x:c r="H91" s="123" t="str">
        <x:v>Thông tin liên hệ cơ quan chỉ khi cần thiết</x:v>
      </x:c>
      <x:c r="I91" s="123" t="str">
        <x:v>Times New Roman | Unicode | đen</x:v>
      </x:c>
      <x:c r="J91" s="136" t="str">
        <x:v>10</x:v>
      </x:c>
      <x:c r="K91" s="123" t="str">
        <x:v>Theo dữ liệu</x:v>
      </x:c>
      <x:c r="L91" s="123" t="str">
        <x:v>Không</x:v>
      </x:c>
      <x:c r="M91" s="123" t="str">
        <x:v>Không</x:v>
      </x:c>
      <x:c r="N91" s="123"/>
      <x:c r="O91" s="135"/>
      <x:c r="P91" s="135"/>
      <x:c r="Q91" s="123"/>
      <x:c r="R91" s="123" t="str">
        <x:v>Paragraph/contact block; preserve hyperlink and text</x:v>
      </x:c>
      <x:c r="S91" s="123" t="str">
        <x:v>HD05: trang cuối dưới đường kẻ ngang</x:v>
      </x:c>
      <x:c r="T91" s="123" t="str">
        <x:v>HD05, Phần II, II (Các thành phần bổ sung); Phụ lục 2</x:v>
      </x:c>
      <x:c r="U91" s="123" t="str">
        <x:v>https://dangcongsan.vn/vanphongtrunguong/van-ban-cua-dang/huong-dan-so-05-hd-vptw-ngay-27-5-2026-cua-van-phong-trung-uong-dang-ve-the-thuc-va-ky-thuat-trinh-bay-van-ban-cua-dang.html?categoryId=3000525</x:v>
      </x:c>
      <x:c r="V91" s="123" t="str">
        <x:v>https://thuvienphapluat.vn/van-ban/Bo-may-hanh-chinh/Huong-dan-05-HD-VPTW-2026-the-thuc-va-ky-thuat-trinh-bay-van-ban-cua-Dang-707499.aspx</x:v>
      </x:c>
      <x:c r="W91" s="123" t="str">
        <x:v>CHƯA ĐỦ BẰNG CHỨNG</x:v>
      </x:c>
      <x:c r="X91" s="123" t="str">
        <x:v>PROTECT_CONTENT</x:v>
      </x:c>
      <x:c r="Y91" s="123" t="str">
        <x:v>Không tự chèn/sửa khi chưa có chứng cứ về đối tượng và rule. | Trạng thái v1.0: CÓ ĐIỀU KIỆN | So sánh cũ (không tham gia xác nhận): NĐ30: trang đầu, dưới đường kẻ ngang hết vùng trình bày; HD05: trang cuối dưới đường kẻ ngang</x:v>
      </x:c>
      <x:c r="Z91" s="135" t="str">
        <x:v>0225 3796666</x:v>
      </x:c>
      <x:c r="AA91" s="123" t="str">
        <x:v>Supplementary</x:v>
      </x:c>
      <x:c r="AB91" s="135" t="str">
        <x:v>PROFILE_CHOT_THEO_TRAO_DOI</x:v>
      </x:c>
      <x:c r="AC91" s="123" t="str">
        <x:v>PROTECT_CONTENT</x:v>
      </x:c>
      <x:c r="AD91" s="123" t="str">
        <x:v>https://www.pilotconorth.com/lien-he | Người dùng chốt trong trao đổi 29/10/2026; PROFILE NỘI BỘ; chưa có văn bản phê duyệt doanh nghiệp</x:v>
      </x:c>
      <x:c r="AE91" s="123" t="str">
        <x:v>GATE: xác minh chủ thể HD05 trước; Đối chiếu đúng vị trí; không điền dữ liệu; không chạm dấu/chữ ký hoặc trường được bảo vệ.</x:v>
      </x:c>
      <x:c r="AF91" s="123" t="str">
        <x:v>Website Công ty còn công bố 0225 3827543, do đó giữ số người dùng chọn cho profile, không coi là số fax duy nhất. Mặc định không hiển thị; chỉ hiển thị khi có yêu cầu liên hệ đối ngoại phù hợp và được duyệt.</x:v>
      </x:c>
      <x:c r="AG91" s="157" t="str">
        <x:v>Times New Roman</x:v>
      </x:c>
      <x:c r="AH91" s="157" t="str">
        <x:v>Unicode</x:v>
      </x:c>
      <x:c r="AI91" s="157" t="str">
        <x:v>#000000</x:v>
      </x:c>
      <x:c r="AJ91" s="195" t="n">
        <x:v>10</x:v>
      </x:c>
      <x:c r="AK91" s="157" t="str">
        <x:v>KHÔNG</x:v>
      </x:c>
      <x:c r="AL91" s="157" t="str">
        <x:v>KHÔNG</x:v>
      </x:c>
      <x:c r="AM91" s="157" t="str">
        <x:v>Theo dữ liệu</x:v>
      </x:c>
      <x:c r="AN91" s="157"/>
      <x:c r="AO91" s="157"/>
      <x:c r="AP91" s="157"/>
      <x:c r="AQ91" s="195"/>
      <x:c r="AR91" s="157"/>
      <x:c r="AS91" s="195"/>
      <x:c r="AT91" s="195"/>
      <x:c r="AU91" s="195"/>
      <x:c r="AV91" s="195"/>
      <x:c r="AW91" s="195"/>
      <x:c r="AX91" s="157"/>
      <x:c r="AY91" s="157"/>
      <x:c r="AZ91" s="157"/>
      <x:c r="BA91" s="195"/>
      <x:c r="BB91" s="195"/>
      <x:c r="BC91" s="157"/>
      <x:c r="BD91" s="195"/>
      <x:c r="BE91" s="195"/>
      <x:c r="BF91" s="195"/>
      <x:c r="BG91" s="195"/>
      <x:c r="BH91" s="157"/>
      <x:c r="BI91" s="195"/>
      <x:c r="BJ91" s="195"/>
      <x:c r="BK91" s="195"/>
      <x:c r="BL91" s="157"/>
      <x:c r="BM91" s="157"/>
      <x:c r="BN91" s="157"/>
      <x:c r="BO91" s="195"/>
      <x:c r="BP91" s="195"/>
      <x:c r="BQ91" s="157"/>
      <x:c r="BR91" s="157"/>
      <x:c r="BS91" s="157"/>
      <x:c r="BT91" s="157" t="str">
        <x:v>Supplementary</x:v>
      </x:c>
      <x:c r="BU91" s="157" t="str">
        <x:v>Paragraph/contact block; preserve hyperlink and text</x:v>
      </x:c>
      <x:c r="BV91" s="196" t="str">
        <x:v>CẦN XÁC NHẬN</x:v>
      </x:c>
      <x:c r="BW91" s="197" t="str">
        <x:v>ĐÃ TÁCH MỘT PHẦN</x:v>
      </x:c>
      <x:c r="BX91" s="157" t="str">
        <x:v>Cấu hình profile chưa được xác nhận; giữ nguyên chính sách CHECK_ONLY.</x:v>
      </x:c>
      <x:c r="BY91" t="str">
        <x:v>HD05.X.LIEN_HE.FAX</x:v>
      </x:c>
      <x:c r="BZ91" t="n">
        <x:f>IFERROR(INDEX(HD05!$J$7:$J$300,MATCH($B91,HD05!$B$7:$B$300,0)),"UNRESOLVED")</x:f>
        <x:v>10</x:v>
      </x:c>
      <x:c r="CA91" t="str">
        <x:v>TEXT</x:v>
      </x:c>
      <x:c r="CB91" t="str">
        <x:v>Mặc định KHÔNG HIỂN THỊ; chỉ khi cần thông tin giao dịch/đối ngoại được phép mới xét trình bày.</x:v>
      </x:c>
      <x:c r="CC91" t="str">
        <x:f>IFERROR(INDEX(HD05!$X$7:$X$300,MATCH($B91,HD05!$B$7:$B$300,0)),"UNRESOLVED")</x:f>
        <x:v>KHÔNG TỰ CHÈN</x:v>
      </x:c>
      <x:c r="CD91" t="str">
        <x:f>IF(OR(ISNUMBER(SEARCH("READ_ONLY",CC91)),ISNUMBER(SEARCH("PROTECTED",CC91)),ISNUMBER(SEARCH("BẢO VỆ",CC91)),ISNUMBER(SEARCH("KHÔNG KÝ",CC91))),"PROTECTED","CHECK_ONLY")</x:f>
        <x:v>CHECK_ONLY</x:v>
      </x:c>
      <x:c r="CE91" t="str">
        <x:f>IF(AND(CD91="FORMAT_APPROVED",CU91="CÓ",CV91="CÓ",CH91="CÓ",CI91="CÓ",CJ91="CÓ"),"CÓ","KHÔNG")</x:f>
        <x:v>KHÔNG</x:v>
      </x:c>
      <x:c r="CF91" t="str">
        <x:v>KHÔNG</x:v>
      </x:c>
      <x:c r="CG91" t="str">
        <x:v>CÓ</x:v>
      </x:c>
      <x:c r="CH91" t="str">
        <x:v>KHÔNG</x:v>
      </x:c>
      <x:c r="CI91" t="str">
        <x:v>KHÔNG</x:v>
      </x:c>
      <x:c r="CJ91" t="str">
        <x:v>KHÔNG</x:v>
      </x:c>
      <x:c r="CK91" t="str">
        <x:f>IF(AND(CE91="CÓ",CF91="KHÔNG",CG91="CÓ",CU91="CÓ",CV91="CÓ",CH91="CÓ",CI91="CÓ",CJ91="CÓ"),"CÓ","KHÔNG")</x:f>
        <x:v>KHÔNG</x:v>
      </x:c>
      <x:c r="CL91" t="str">
        <x:v>https://www.pilotconorth.com/lien-he | Người dùng chốt trong trao đổi 29/10/2026; PROFILE NỘI BỘ; chưa có văn bản phê duyệt doanh nghiệp</x:v>
      </x:c>
      <x:c r="CM91" t="str">
        <x:v>v1.5 (nâng từ v1.4)</x:v>
      </x:c>
      <x:c r="CN91" t="str">
        <x:v>CHƯA XÁC NHẬN CHỦ THỂ ĐẢNG</x:v>
      </x:c>
      <x:c r="CO91" t="str">
        <x:v>HD05_X_LIEN_HE_FAX_FIELD_ONLY; chưa tạo trong Word</x:v>
      </x:c>
      <x:c r="CP91" t="str">
        <x:v>Khác biệt giữa giá trị profile và nguồn pháp lý phải tiếp tục được kiểm chứng; không cho tự sửa DOCX.</x:v>
      </x:c>
      <x:c r="CQ91" t="str">
        <x:f>IF(OR(BH91="CÓ",BH91=TRUE),BI91,"")</x:f>
      </x:c>
      <x:c r="CR91" t="str">
        <x:f>IF(OR(BH91="CÓ",BH91=TRUE),BJ91,"")</x:f>
      </x:c>
      <x:c r="CS91" t="str">
        <x:v>FORMAT_CHECK_ONLY</x:v>
      </x:c>
      <x:c r="CT91" t="str">
        <x:v>VERIFIED_PROFILE_PRESET</x:v>
      </x:c>
      <x:c r="CU91" t="str">
        <x:v>CÓ</x:v>
      </x:c>
      <x:c r="CV91" t="str">
        <x:v>KHÔNG</x:v>
      </x:c>
      <x:c r="CW91" t="str"/>
    </x:row>
  </x:sheetData>
  <x:mergeCells>
    <x:mergeCell ref="A1:H1"/>
    <x:mergeCell ref="A2:H2"/>
    <x:mergeCell ref="A3:H3"/>
    <x:mergeCell ref="A4:H4"/>
    <x:mergeCell ref="AG5:AM5"/>
    <x:mergeCell ref="AN5:AY5"/>
    <x:mergeCell ref="AZ5:BJ5"/>
    <x:mergeCell ref="BK5:BL5"/>
    <x:mergeCell ref="BM5:BP5"/>
    <x:mergeCell ref="BQ5:BS5"/>
    <x:mergeCell ref="BT5:BX5"/>
    <x:mergeCell ref="AG1:BX1"/>
    <x:mergeCell ref="AG2:BX2"/>
    <x:mergeCell ref="AG3:BX3"/>
    <x:mergeCell ref="AG4:BX4"/>
  </x:mergeCells>
  <x:dataValidations count="7">
    <x:dataValidation type="list" sqref="AB7:AB91">
      <x:formula1>"THAM KHẢO,CÓ ĐIỀU KIỆN,CẦN QA RENDER,CẦN XÁC NHẬN,BẢO VỆ,BẢO VỆ NỘI DUNG,DỰ THẢO — CẦN DUYỆT HD05"</x:formula1>
    </x:dataValidation>
    <x:dataValidation type="list" sqref="CH7:CH91">
      <x:formula1>"CÓ,KHÔNG"</x:formula1>
    </x:dataValidation>
    <x:dataValidation type="list" sqref="CI7:CI91">
      <x:formula1>"CÓ,KHÔNG"</x:formula1>
    </x:dataValidation>
    <x:dataValidation type="list" sqref="CJ7:CJ91">
      <x:formula1>"CÓ,KHÔNG"</x:formula1>
    </x:dataValidation>
    <x:dataValidation type="list" sqref="CF7:CF91">
      <x:formula1>"CÓ,KHÔNG"</x:formula1>
    </x:dataValidation>
    <x:dataValidation type="list" sqref="CA7:CA91">
      <x:formula1>"SIGNATURE_OR_SEAL,IMAGE,STRUCTURAL_TABLE,TABLE,SEPARATOR,DOCUMENT_SETTING,PROTECTED_TEXT,TEXT"</x:formula1>
    </x:dataValidation>
    <x:dataValidation type="list" sqref="CU7:CV91">
      <x:formula1>"CÓ,KHÔNG"</x:formula1>
    </x:dataValidation>
  </x:dataValidations>
  <x:pageMargins left="0.7" right="0.7" top="0.75" bottom="0.75" header="0.3" footer="0.3"/>
  <x:tableParts count="1">
    <x:tablePart xmlns:r="http://schemas.openxmlformats.org/officeDocument/2006/relationships" r:id="R51b9a878ca354aed"/>
  </x:tableParts>
</x:worksheet>
</file>

<file path=xl/worksheets/sheet9.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5" hidden="0" customWidth="1"/>
    <x:col min="2" max="2" width="49" hidden="0" customWidth="1"/>
    <x:col min="3" max="3" width="23" hidden="0" customWidth="1"/>
    <x:col min="4" max="4" width="23" hidden="0" customWidth="1"/>
    <x:col min="5" max="5" width="23"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2" hidden="0" customWidth="1"/>
  </x:cols>
  <x:sheetData>
    <x:row r="1" ht="32" customHeight="1">
      <x:c r="A1" s="213" t="str">
        <x:v>KIỂM TRA LIÊN KẾT PROFILE NĐ30 / HD05 • v1.5</x:v>
      </x:c>
      <x:c r="B1" s="213"/>
      <x:c r="C1" s="213"/>
      <x:c r="D1" s="213"/>
      <x:c r="E1" s="213"/>
      <x:c r="F1" s="213"/>
      <x:c r="G1" s="213"/>
      <x:c r="H1" s="213"/>
      <x:c r="I1" s="213"/>
      <x:c r="J1" s="213"/>
      <x:c r="K1" s="213"/>
      <x:c r="L1" s="213"/>
      <x:c r="M1" s="213"/>
    </x:row>
    <x:row r="2">
      <x:c r="A2" t="str">
        <x:v>Đọc theo mã trường; mọi quyết định tự động đều CHECK_ONLY khi thiếu duyệt, nguồn và QA DOCX.</x:v>
      </x:c>
    </x:row>
    <x:row r="3">
      <x:c r="A3" t="str">
        <x:v>Bộ kiểm tra mở sẵn đến dòng 500 ở từng sheet; cần mở rộng vùng khi catalog vượt 500 dòng.</x:v>
      </x:c>
    </x:row>
    <x:row r="6" ht="35" customHeight="1">
      <x:c r="A6" s="217" t="str">
        <x:v>Hệ</x:v>
      </x:c>
      <x:c r="B6" s="217" t="str">
        <x:v>Mã trường nguồn</x:v>
      </x:c>
      <x:c r="C6" s="217" t="str">
        <x:v>Số bản ghi profile</x:v>
      </x:c>
      <x:c r="D6" s="217" t="str">
        <x:v>Namespace</x:v>
      </x:c>
      <x:c r="E6" s="217" t="str">
        <x:v>Nguồn có mã</x:v>
      </x:c>
      <x:c r="F6" s="217" t="str">
        <x:v>Chính sách gốc</x:v>
      </x:c>
      <x:c r="G6" s="217" t="str">
        <x:v>Quyền hiệu lực</x:v>
      </x:c>
      <x:c r="H6" s="217" t="str">
        <x:v>Autofix</x:v>
      </x:c>
      <x:c r="I6" s="217" t="str">
        <x:v>Loại đối tượng</x:v>
      </x:c>
      <x:c r="J6" s="217" t="str">
        <x:v>Cỡ pháp lý gốc</x:v>
      </x:c>
      <x:c r="K6" s="217" t="str">
        <x:v>Cỡ profile</x:v>
      </x:c>
      <x:c r="L6" s="217" t="str">
        <x:v>Đối chiếu cỡ</x:v>
      </x:c>
      <x:c r="M6" s="217" t="str">
        <x:v>Kết luận</x:v>
      </x:c>
    </x:row>
    <x:row r="7">
      <x:c r="A7" t="str">
        <x:v>ND30</x:v>
      </x:c>
      <x:c r="B7" t="str">
        <x:f>ND30!B7</x:f>
        <x:v>ND30.D.CQ.CAP_TREN</x:v>
      </x:c>
      <x:c r="C7" t="n">
        <x:f>COUNTIF(PROFILE_ND30!$B$7:$B$500,B7)</x:f>
        <x:v>1</x:v>
      </x:c>
      <x:c r="D7" t="str">
        <x:f>IF(LEFT(B7,LEN(A7)+1)=A7&amp;".","OK","SAI PREFIX")</x:f>
        <x:v>OK</x:v>
      </x:c>
      <x:c r="E7" t="str">
        <x:f>IF(COUNTIF(ND30!$B$7:$B$500,B7)=1,"OK","MÃ NGUỒN KHÔNG DUY NHẤT")</x:f>
        <x:v>OK</x:v>
      </x:c>
      <x:c r="F7" t="str">
        <x:f>IFERROR(INDEX(PROFILE_ND30!$CC$7:$CC$500,MATCH($B7,PROFILE_ND30!$B$7:$B$500,0)),"UNRESOLVED")</x:f>
        <x:v>READ_ONLY</x:v>
      </x:c>
      <x:c r="G7" t="str">
        <x:f>IFERROR(INDEX(PROFILE_ND30!$CD$7:$CD$500,MATCH($B7,PROFILE_ND30!$B$7:$B$500,0)),"UNRESOLVED")</x:f>
        <x:v>PROTECTED</x:v>
      </x:c>
      <x:c r="H7" t="str">
        <x:f>IFERROR(INDEX(PROFILE_ND30!$CK$7:$CK$500,MATCH($B7,PROFILE_ND30!$B$7:$B$500,0)),"UNRESOLVED")</x:f>
        <x:v>KHÔNG</x:v>
      </x:c>
      <x:c r="I7" t="str">
        <x:f>IFERROR(INDEX(PROFILE_ND30!$CA$7:$CA$500,MATCH($B7,PROFILE_ND30!$B$7:$B$500,0)),"UNRESOLVED")</x:f>
        <x:v>TEXT</x:v>
      </x:c>
      <x:c r="J7" t="str">
        <x:f>IFERROR(INDEX(PROFILE_ND30!$BZ$7:$BZ$500,MATCH($B7,PROFILE_ND30!$B$7:$B$500,0)),"UNRESOLVED")</x:f>
        <x:v>12–13</x:v>
      </x:c>
      <x:c r="K7" t="n">
        <x:f>IFERROR(INDEX(PROFILE_ND30!$AJ$7:$AJ$500,MATCH($B7,PROFILE_ND30!$B$7:$B$500,0)),"UNRESOLVED")</x:f>
        <x:v>12</x:v>
      </x:c>
      <x:c r="L7" t="str">
        <x:f>IF(K7="","N/A / CHƯA NHẬP",IF(AND(ISNUMBER(J7),ISNUMBER(K7),J7=K7),"KHỚP SỐ","CẦN KIỂM TRA THỦ CÔNG"))</x:f>
        <x:v>CẦN KIỂM TRA THỦ CÔNG</x:v>
      </x:c>
      <x:c r="M7" t="str">
        <x:f>IF(OR(C7&lt;&gt;1,D7&lt;&gt;"OK",E7&lt;&gt;"OK",H7&lt;&gt;"KHÔNG"),"BLOCK",IF(G7="PROTECTED","PROTECTED","CHECK_ONLY"))</x:f>
        <x:v>PROTECTED</x:v>
      </x:c>
    </x:row>
    <x:row r="8">
      <x:c r="A8" t="str">
        <x:v>ND30</x:v>
      </x:c>
      <x:c r="B8" t="str">
        <x:f>ND30!B8</x:f>
        <x:v>ND30.D.CQ.BAN_HANH</x:v>
      </x:c>
      <x:c r="C8" t="n">
        <x:f>COUNTIF(PROFILE_ND30!$B$7:$B$500,B8)</x:f>
        <x:v>1</x:v>
      </x:c>
      <x:c r="D8" t="str">
        <x:f>IF(LEFT(B8,LEN(A8)+1)=A8&amp;".","OK","SAI PREFIX")</x:f>
        <x:v>OK</x:v>
      </x:c>
      <x:c r="E8" t="str">
        <x:f>IF(COUNTIF(ND30!$B$7:$B$500,B8)=1,"OK","MÃ NGUỒN KHÔNG DUY NHẤT")</x:f>
        <x:v>OK</x:v>
      </x:c>
      <x:c r="F8" t="str">
        <x:f>IFERROR(INDEX(PROFILE_ND30!$CC$7:$CC$500,MATCH($B8,PROFILE_ND30!$B$7:$B$500,0)),"UNRESOLVED")</x:f>
        <x:v>READ_ONLY</x:v>
      </x:c>
      <x:c r="G8" t="str">
        <x:f>IFERROR(INDEX(PROFILE_ND30!$CD$7:$CD$500,MATCH($B8,PROFILE_ND30!$B$7:$B$500,0)),"UNRESOLVED")</x:f>
        <x:v>PROTECTED</x:v>
      </x:c>
      <x:c r="H8" t="str">
        <x:f>IFERROR(INDEX(PROFILE_ND30!$CK$7:$CK$500,MATCH($B8,PROFILE_ND30!$B$7:$B$500,0)),"UNRESOLVED")</x:f>
        <x:v>KHÔNG</x:v>
      </x:c>
      <x:c r="I8" t="str">
        <x:f>IFERROR(INDEX(PROFILE_ND30!$CA$7:$CA$500,MATCH($B8,PROFILE_ND30!$B$7:$B$500,0)),"UNRESOLVED")</x:f>
        <x:v>TEXT</x:v>
      </x:c>
      <x:c r="J8" t="str">
        <x:f>IFERROR(INDEX(PROFILE_ND30!$BZ$7:$BZ$500,MATCH($B8,PROFILE_ND30!$B$7:$B$500,0)),"UNRESOLVED")</x:f>
        <x:v>12–13</x:v>
      </x:c>
      <x:c r="K8" t="n">
        <x:f>IFERROR(INDEX(PROFILE_ND30!$AJ$7:$AJ$500,MATCH($B8,PROFILE_ND30!$B$7:$B$500,0)),"UNRESOLVED")</x:f>
        <x:v>12</x:v>
      </x:c>
      <x:c r="L8" t="str">
        <x:f>IF(K8="","N/A / CHƯA NHẬP",IF(AND(ISNUMBER(J8),ISNUMBER(K8),J8=K8),"KHỚP SỐ","CẦN KIỂM TRA THỦ CÔNG"))</x:f>
        <x:v>CẦN KIỂM TRA THỦ CÔNG</x:v>
      </x:c>
      <x:c r="M8" t="str">
        <x:f>IF(OR(C8&lt;&gt;1,D8&lt;&gt;"OK",E8&lt;&gt;"OK",H8&lt;&gt;"KHÔNG"),"BLOCK",IF(G8="PROTECTED","PROTECTED","CHECK_ONLY"))</x:f>
        <x:v>PROTECTED</x:v>
      </x:c>
    </x:row>
    <x:row r="9">
      <x:c r="A9" t="str">
        <x:v>ND30</x:v>
      </x:c>
      <x:c r="B9" t="str">
        <x:f>ND30!B9</x:f>
        <x:v>ND30.D.CQ.DUONG_KE</x:v>
      </x:c>
      <x:c r="C9" t="n">
        <x:f>COUNTIF(PROFILE_ND30!$B$7:$B$500,B9)</x:f>
        <x:v>1</x:v>
      </x:c>
      <x:c r="D9" t="str">
        <x:f>IF(LEFT(B9,LEN(A9)+1)=A9&amp;".","OK","SAI PREFIX")</x:f>
        <x:v>OK</x:v>
      </x:c>
      <x:c r="E9" t="str">
        <x:f>IF(COUNTIF(ND30!$B$7:$B$500,B9)=1,"OK","MÃ NGUỒN KHÔNG DUY NHẤT")</x:f>
        <x:v>OK</x:v>
      </x:c>
      <x:c r="F9" t="str">
        <x:f>IFERROR(INDEX(PROFILE_ND30!$CC$7:$CC$500,MATCH($B9,PROFILE_ND30!$B$7:$B$500,0)),"UNRESOLVED")</x:f>
        <x:v>REVIEW TRƯỚC KHI SỬA</x:v>
      </x:c>
      <x:c r="G9" t="str">
        <x:f>IFERROR(INDEX(PROFILE_ND30!$CD$7:$CD$500,MATCH($B9,PROFILE_ND30!$B$7:$B$500,0)),"UNRESOLVED")</x:f>
        <x:v>CHECK_ONLY</x:v>
      </x:c>
      <x:c r="H9" t="str">
        <x:f>IFERROR(INDEX(PROFILE_ND30!$CK$7:$CK$500,MATCH($B9,PROFILE_ND30!$B$7:$B$500,0)),"UNRESOLVED")</x:f>
        <x:v>KHÔNG</x:v>
      </x:c>
      <x:c r="I9" t="str">
        <x:f>IFERROR(INDEX(PROFILE_ND30!$CA$7:$CA$500,MATCH($B9,PROFILE_ND30!$B$7:$B$500,0)),"UNRESOLVED")</x:f>
        <x:v>SEPARATOR</x:v>
      </x:c>
      <x:c r="J9" t="str">
        <x:f>IFERROR(INDEX(PROFILE_ND30!$BZ$7:$BZ$500,MATCH($B9,PROFILE_ND30!$B$7:$B$500,0)),"UNRESOLVED")</x:f>
        <x:v>Không áp dụng</x:v>
      </x:c>
      <x:c r="K9" t="str">
        <x:f>IFERROR(INDEX(PROFILE_ND30!$AJ$7:$AJ$500,MATCH($B9,PROFILE_ND30!$B$7:$B$500,0)),"UNRESOLVED")</x:f>
      </x:c>
      <x:c r="L9" t="str">
        <x:f>IF(K9="","N/A / CHƯA NHẬP",IF(AND(ISNUMBER(J9),ISNUMBER(K9),J9=K9),"KHỚP SỐ","CẦN KIỂM TRA THỦ CÔNG"))</x:f>
        <x:v>N/A / CHƯA NHẬP</x:v>
      </x:c>
      <x:c r="M9" t="str">
        <x:f>IF(OR(C9&lt;&gt;1,D9&lt;&gt;"OK",E9&lt;&gt;"OK",H9&lt;&gt;"KHÔNG"),"BLOCK",IF(G9="PROTECTED","PROTECTED","CHECK_ONLY"))</x:f>
        <x:v>CHECK_ONLY</x:v>
      </x:c>
    </x:row>
    <x:row r="10">
      <x:c r="A10" t="str">
        <x:v>ND30</x:v>
      </x:c>
      <x:c r="B10" t="str">
        <x:f>ND30!B10</x:f>
        <x:v>ND30.D.CQ.LIEN_CO_QUAN</x:v>
      </x:c>
      <x:c r="C10" t="n">
        <x:f>COUNTIF(PROFILE_ND30!$B$7:$B$500,B10)</x:f>
        <x:v>1</x:v>
      </x:c>
      <x:c r="D10" t="str">
        <x:f>IF(LEFT(B10,LEN(A10)+1)=A10&amp;".","OK","SAI PREFIX")</x:f>
        <x:v>OK</x:v>
      </x:c>
      <x:c r="E10" t="str">
        <x:f>IF(COUNTIF(ND30!$B$7:$B$500,B10)=1,"OK","MÃ NGUỒN KHÔNG DUY NHẤT")</x:f>
        <x:v>OK</x:v>
      </x:c>
      <x:c r="F10" t="str">
        <x:f>IFERROR(INDEX(PROFILE_ND30!$CC$7:$CC$500,MATCH($B10,PROFILE_ND30!$B$7:$B$500,0)),"UNRESOLVED")</x:f>
        <x:v>READ_ONLY</x:v>
      </x:c>
      <x:c r="G10" t="str">
        <x:f>IFERROR(INDEX(PROFILE_ND30!$CD$7:$CD$500,MATCH($B10,PROFILE_ND30!$B$7:$B$500,0)),"UNRESOLVED")</x:f>
        <x:v>PROTECTED</x:v>
      </x:c>
      <x:c r="H10" t="str">
        <x:f>IFERROR(INDEX(PROFILE_ND30!$CK$7:$CK$500,MATCH($B10,PROFILE_ND30!$B$7:$B$500,0)),"UNRESOLVED")</x:f>
        <x:v>KHÔNG</x:v>
      </x:c>
      <x:c r="I10" t="str">
        <x:f>IFERROR(INDEX(PROFILE_ND30!$CA$7:$CA$500,MATCH($B10,PROFILE_ND30!$B$7:$B$500,0)),"UNRESOLVED")</x:f>
        <x:v>TEXT</x:v>
      </x:c>
      <x:c r="J10" t="str">
        <x:f>IFERROR(INDEX(PROFILE_ND30!$BZ$7:$BZ$500,MATCH($B10,PROFILE_ND30!$B$7:$B$500,0)),"UNRESOLVED")</x:f>
        <x:v>12–13</x:v>
      </x:c>
      <x:c r="K10" t="n">
        <x:f>IFERROR(INDEX(PROFILE_ND30!$AJ$7:$AJ$500,MATCH($B10,PROFILE_ND30!$B$7:$B$500,0)),"UNRESOLVED")</x:f>
        <x:v>12</x:v>
      </x:c>
      <x:c r="L10" t="str">
        <x:f>IF(K10="","N/A / CHƯA NHẬP",IF(AND(ISNUMBER(J10),ISNUMBER(K10),J10=K10),"KHỚP SỐ","CẦN KIỂM TRA THỦ CÔNG"))</x:f>
        <x:v>CẦN KIỂM TRA THỦ CÔNG</x:v>
      </x:c>
      <x:c r="M10" t="str">
        <x:f>IF(OR(C10&lt;&gt;1,D10&lt;&gt;"OK",E10&lt;&gt;"OK",H10&lt;&gt;"KHÔNG"),"BLOCK",IF(G10="PROTECTED","PROTECTED","CHECK_ONLY"))</x:f>
        <x:v>PROTECTED</x:v>
      </x:c>
    </x:row>
    <x:row r="11">
      <x:c r="A11" t="str">
        <x:v>ND30</x:v>
      </x:c>
      <x:c r="B11" t="str">
        <x:f>ND30!B11</x:f>
        <x:v>ND30.D.QH.QUOC_HIEU</x:v>
      </x:c>
      <x:c r="C11" t="n">
        <x:f>COUNTIF(PROFILE_ND30!$B$7:$B$500,B11)</x:f>
        <x:v>1</x:v>
      </x:c>
      <x:c r="D11" t="str">
        <x:f>IF(LEFT(B11,LEN(A11)+1)=A11&amp;".","OK","SAI PREFIX")</x:f>
        <x:v>OK</x:v>
      </x:c>
      <x:c r="E11" t="str">
        <x:f>IF(COUNTIF(ND30!$B$7:$B$500,B11)=1,"OK","MÃ NGUỒN KHÔNG DUY NHẤT")</x:f>
        <x:v>OK</x:v>
      </x:c>
      <x:c r="F11" t="str">
        <x:f>IFERROR(INDEX(PROFILE_ND30!$CC$7:$CC$500,MATCH($B11,PROFILE_ND30!$B$7:$B$500,0)),"UNRESOLVED")</x:f>
        <x:v>READ_ONLY</x:v>
      </x:c>
      <x:c r="G11" t="str">
        <x:f>IFERROR(INDEX(PROFILE_ND30!$CD$7:$CD$500,MATCH($B11,PROFILE_ND30!$B$7:$B$500,0)),"UNRESOLVED")</x:f>
        <x:v>PROTECTED</x:v>
      </x:c>
      <x:c r="H11" t="str">
        <x:f>IFERROR(INDEX(PROFILE_ND30!$CK$7:$CK$500,MATCH($B11,PROFILE_ND30!$B$7:$B$500,0)),"UNRESOLVED")</x:f>
        <x:v>KHÔNG</x:v>
      </x:c>
      <x:c r="I11" t="str">
        <x:f>IFERROR(INDEX(PROFILE_ND30!$CA$7:$CA$500,MATCH($B11,PROFILE_ND30!$B$7:$B$500,0)),"UNRESOLVED")</x:f>
        <x:v>TEXT</x:v>
      </x:c>
      <x:c r="J11" t="str">
        <x:f>IFERROR(INDEX(PROFILE_ND30!$BZ$7:$BZ$500,MATCH($B11,PROFILE_ND30!$B$7:$B$500,0)),"UNRESOLVED")</x:f>
        <x:v>12–13</x:v>
      </x:c>
      <x:c r="K11" t="n">
        <x:f>IFERROR(INDEX(PROFILE_ND30!$AJ$7:$AJ$500,MATCH($B11,PROFILE_ND30!$B$7:$B$500,0)),"UNRESOLVED")</x:f>
        <x:v>12</x:v>
      </x:c>
      <x:c r="L11" t="str">
        <x:f>IF(K11="","N/A / CHƯA NHẬP",IF(AND(ISNUMBER(J11),ISNUMBER(K11),J11=K11),"KHỚP SỐ","CẦN KIỂM TRA THỦ CÔNG"))</x:f>
        <x:v>CẦN KIỂM TRA THỦ CÔNG</x:v>
      </x:c>
      <x:c r="M11" t="str">
        <x:f>IF(OR(C11&lt;&gt;1,D11&lt;&gt;"OK",E11&lt;&gt;"OK",H11&lt;&gt;"KHÔNG"),"BLOCK",IF(G11="PROTECTED","PROTECTED","CHECK_ONLY"))</x:f>
        <x:v>PROTECTED</x:v>
      </x:c>
    </x:row>
    <x:row r="12">
      <x:c r="A12" t="str">
        <x:v>ND30</x:v>
      </x:c>
      <x:c r="B12" t="str">
        <x:f>ND30!B12</x:f>
        <x:v>ND30.D.QH.TIEU_NGU</x:v>
      </x:c>
      <x:c r="C12" t="n">
        <x:f>COUNTIF(PROFILE_ND30!$B$7:$B$500,B12)</x:f>
        <x:v>1</x:v>
      </x:c>
      <x:c r="D12" t="str">
        <x:f>IF(LEFT(B12,LEN(A12)+1)=A12&amp;".","OK","SAI PREFIX")</x:f>
        <x:v>OK</x:v>
      </x:c>
      <x:c r="E12" t="str">
        <x:f>IF(COUNTIF(ND30!$B$7:$B$500,B12)=1,"OK","MÃ NGUỒN KHÔNG DUY NHẤT")</x:f>
        <x:v>OK</x:v>
      </x:c>
      <x:c r="F12" t="str">
        <x:f>IFERROR(INDEX(PROFILE_ND30!$CC$7:$CC$500,MATCH($B12,PROFILE_ND30!$B$7:$B$500,0)),"UNRESOLVED")</x:f>
        <x:v>READ_ONLY</x:v>
      </x:c>
      <x:c r="G12" t="str">
        <x:f>IFERROR(INDEX(PROFILE_ND30!$CD$7:$CD$500,MATCH($B12,PROFILE_ND30!$B$7:$B$500,0)),"UNRESOLVED")</x:f>
        <x:v>PROTECTED</x:v>
      </x:c>
      <x:c r="H12" t="str">
        <x:f>IFERROR(INDEX(PROFILE_ND30!$CK$7:$CK$500,MATCH($B12,PROFILE_ND30!$B$7:$B$500,0)),"UNRESOLVED")</x:f>
        <x:v>KHÔNG</x:v>
      </x:c>
      <x:c r="I12" t="str">
        <x:f>IFERROR(INDEX(PROFILE_ND30!$CA$7:$CA$500,MATCH($B12,PROFILE_ND30!$B$7:$B$500,0)),"UNRESOLVED")</x:f>
        <x:v>TEXT</x:v>
      </x:c>
      <x:c r="J12" t="str">
        <x:f>IFERROR(INDEX(PROFILE_ND30!$BZ$7:$BZ$500,MATCH($B12,PROFILE_ND30!$B$7:$B$500,0)),"UNRESOLVED")</x:f>
        <x:v>13–14</x:v>
      </x:c>
      <x:c r="K12" t="n">
        <x:f>IFERROR(INDEX(PROFILE_ND30!$AJ$7:$AJ$500,MATCH($B12,PROFILE_ND30!$B$7:$B$500,0)),"UNRESOLVED")</x:f>
        <x:v>13</x:v>
      </x:c>
      <x:c r="L12" t="str">
        <x:f>IF(K12="","N/A / CHƯA NHẬP",IF(AND(ISNUMBER(J12),ISNUMBER(K12),J12=K12),"KHỚP SỐ","CẦN KIỂM TRA THỦ CÔNG"))</x:f>
        <x:v>CẦN KIỂM TRA THỦ CÔNG</x:v>
      </x:c>
      <x:c r="M12" t="str">
        <x:f>IF(OR(C12&lt;&gt;1,D12&lt;&gt;"OK",E12&lt;&gt;"OK",H12&lt;&gt;"KHÔNG"),"BLOCK",IF(G12="PROTECTED","PROTECTED","CHECK_ONLY"))</x:f>
        <x:v>PROTECTED</x:v>
      </x:c>
    </x:row>
    <x:row r="13">
      <x:c r="A13" t="str">
        <x:v>ND30</x:v>
      </x:c>
      <x:c r="B13" t="str">
        <x:f>ND30!B13</x:f>
        <x:v>ND30.D.QH.DUONG_KE</x:v>
      </x:c>
      <x:c r="C13" t="n">
        <x:f>COUNTIF(PROFILE_ND30!$B$7:$B$500,B13)</x:f>
        <x:v>1</x:v>
      </x:c>
      <x:c r="D13" t="str">
        <x:f>IF(LEFT(B13,LEN(A13)+1)=A13&amp;".","OK","SAI PREFIX")</x:f>
        <x:v>OK</x:v>
      </x:c>
      <x:c r="E13" t="str">
        <x:f>IF(COUNTIF(ND30!$B$7:$B$500,B13)=1,"OK","MÃ NGUỒN KHÔNG DUY NHẤT")</x:f>
        <x:v>OK</x:v>
      </x:c>
      <x:c r="F13" t="str">
        <x:f>IFERROR(INDEX(PROFILE_ND30!$CC$7:$CC$500,MATCH($B13,PROFILE_ND30!$B$7:$B$500,0)),"UNRESOLVED")</x:f>
        <x:v>READ_ONLY</x:v>
      </x:c>
      <x:c r="G13" t="str">
        <x:f>IFERROR(INDEX(PROFILE_ND30!$CD$7:$CD$500,MATCH($B13,PROFILE_ND30!$B$7:$B$500,0)),"UNRESOLVED")</x:f>
        <x:v>PROTECTED</x:v>
      </x:c>
      <x:c r="H13" t="str">
        <x:f>IFERROR(INDEX(PROFILE_ND30!$CK$7:$CK$500,MATCH($B13,PROFILE_ND30!$B$7:$B$500,0)),"UNRESOLVED")</x:f>
        <x:v>KHÔNG</x:v>
      </x:c>
      <x:c r="I13" t="str">
        <x:f>IFERROR(INDEX(PROFILE_ND30!$CA$7:$CA$500,MATCH($B13,PROFILE_ND30!$B$7:$B$500,0)),"UNRESOLVED")</x:f>
        <x:v>SEPARATOR</x:v>
      </x:c>
      <x:c r="J13" t="str">
        <x:f>IFERROR(INDEX(PROFILE_ND30!$BZ$7:$BZ$500,MATCH($B13,PROFILE_ND30!$B$7:$B$500,0)),"UNRESOLVED")</x:f>
        <x:v>Không áp dụng</x:v>
      </x:c>
      <x:c r="K13" t="str">
        <x:f>IFERROR(INDEX(PROFILE_ND30!$AJ$7:$AJ$500,MATCH($B13,PROFILE_ND30!$B$7:$B$500,0)),"UNRESOLVED")</x:f>
      </x:c>
      <x:c r="L13" t="str">
        <x:f>IF(K13="","N/A / CHƯA NHẬP",IF(AND(ISNUMBER(J13),ISNUMBER(K13),J13=K13),"KHỚP SỐ","CẦN KIỂM TRA THỦ CÔNG"))</x:f>
        <x:v>N/A / CHƯA NHẬP</x:v>
      </x:c>
      <x:c r="M13" t="str">
        <x:f>IF(OR(C13&lt;&gt;1,D13&lt;&gt;"OK",E13&lt;&gt;"OK",H13&lt;&gt;"KHÔNG"),"BLOCK",IF(G13="PROTECTED","PROTECTED","CHECK_ONLY"))</x:f>
        <x:v>PROTECTED</x:v>
      </x:c>
    </x:row>
    <x:row r="14">
      <x:c r="A14" t="str">
        <x:v>ND30</x:v>
      </x:c>
      <x:c r="B14" t="str">
        <x:f>ND30!B14</x:f>
        <x:v>ND30.D.SK.NHAN_SO</x:v>
      </x:c>
      <x:c r="C14" t="n">
        <x:f>COUNTIF(PROFILE_ND30!$B$7:$B$500,B14)</x:f>
        <x:v>1</x:v>
      </x:c>
      <x:c r="D14" t="str">
        <x:f>IF(LEFT(B14,LEN(A14)+1)=A14&amp;".","OK","SAI PREFIX")</x:f>
        <x:v>OK</x:v>
      </x:c>
      <x:c r="E14" t="str">
        <x:f>IF(COUNTIF(ND30!$B$7:$B$500,B14)=1,"OK","MÃ NGUỒN KHÔNG DUY NHẤT")</x:f>
        <x:v>OK</x:v>
      </x:c>
      <x:c r="F14" t="str">
        <x:f>IFERROR(INDEX(PROFILE_ND30!$CC$7:$CC$500,MATCH($B14,PROFILE_ND30!$B$7:$B$500,0)),"UNRESOLVED")</x:f>
        <x:v>READ_ONLY</x:v>
      </x:c>
      <x:c r="G14" t="str">
        <x:f>IFERROR(INDEX(PROFILE_ND30!$CD$7:$CD$500,MATCH($B14,PROFILE_ND30!$B$7:$B$500,0)),"UNRESOLVED")</x:f>
        <x:v>PROTECTED</x:v>
      </x:c>
      <x:c r="H14" t="str">
        <x:f>IFERROR(INDEX(PROFILE_ND30!$CK$7:$CK$500,MATCH($B14,PROFILE_ND30!$B$7:$B$500,0)),"UNRESOLVED")</x:f>
        <x:v>KHÔNG</x:v>
      </x:c>
      <x:c r="I14" t="str">
        <x:f>IFERROR(INDEX(PROFILE_ND30!$CA$7:$CA$500,MATCH($B14,PROFILE_ND30!$B$7:$B$500,0)),"UNRESOLVED")</x:f>
        <x:v>TEXT</x:v>
      </x:c>
      <x:c r="J14" t="n">
        <x:f>IFERROR(INDEX(PROFILE_ND30!$BZ$7:$BZ$500,MATCH($B14,PROFILE_ND30!$B$7:$B$500,0)),"UNRESOLVED")</x:f>
        <x:v>13</x:v>
      </x:c>
      <x:c r="K14" t="n">
        <x:f>IFERROR(INDEX(PROFILE_ND30!$AJ$7:$AJ$500,MATCH($B14,PROFILE_ND30!$B$7:$B$500,0)),"UNRESOLVED")</x:f>
        <x:v>13</x:v>
      </x:c>
      <x:c r="L14" t="str">
        <x:f>IF(K14="","N/A / CHƯA NHẬP",IF(AND(ISNUMBER(J14),ISNUMBER(K14),J14=K14),"KHỚP SỐ","CẦN KIỂM TRA THỦ CÔNG"))</x:f>
        <x:v>KHỚP SỐ</x:v>
      </x:c>
      <x:c r="M14" t="str">
        <x:f>IF(OR(C14&lt;&gt;1,D14&lt;&gt;"OK",E14&lt;&gt;"OK",H14&lt;&gt;"KHÔNG"),"BLOCK",IF(G14="PROTECTED","PROTECTED","CHECK_ONLY"))</x:f>
        <x:v>PROTECTED</x:v>
      </x:c>
    </x:row>
    <x:row r="15">
      <x:c r="A15" t="str">
        <x:v>ND30</x:v>
      </x:c>
      <x:c r="B15" t="str">
        <x:f>ND30!B15</x:f>
        <x:v>ND30.D.SK.SO_VAN_BAN</x:v>
      </x:c>
      <x:c r="C15" t="n">
        <x:f>COUNTIF(PROFILE_ND30!$B$7:$B$500,B15)</x:f>
        <x:v>1</x:v>
      </x:c>
      <x:c r="D15" t="str">
        <x:f>IF(LEFT(B15,LEN(A15)+1)=A15&amp;".","OK","SAI PREFIX")</x:f>
        <x:v>OK</x:v>
      </x:c>
      <x:c r="E15" t="str">
        <x:f>IF(COUNTIF(ND30!$B$7:$B$500,B15)=1,"OK","MÃ NGUỒN KHÔNG DUY NHẤT")</x:f>
        <x:v>OK</x:v>
      </x:c>
      <x:c r="F15" t="str">
        <x:f>IFERROR(INDEX(PROFILE_ND30!$CC$7:$CC$500,MATCH($B15,PROFILE_ND30!$B$7:$B$500,0)),"UNRESOLVED")</x:f>
        <x:v>KHÔNG TỰ CẤP SỐ</x:v>
      </x:c>
      <x:c r="G15" t="str">
        <x:f>IFERROR(INDEX(PROFILE_ND30!$CD$7:$CD$500,MATCH($B15,PROFILE_ND30!$B$7:$B$500,0)),"UNRESOLVED")</x:f>
        <x:v>CHECK_ONLY</x:v>
      </x:c>
      <x:c r="H15" t="str">
        <x:f>IFERROR(INDEX(PROFILE_ND30!$CK$7:$CK$500,MATCH($B15,PROFILE_ND30!$B$7:$B$500,0)),"UNRESOLVED")</x:f>
        <x:v>KHÔNG</x:v>
      </x:c>
      <x:c r="I15" t="str">
        <x:f>IFERROR(INDEX(PROFILE_ND30!$CA$7:$CA$500,MATCH($B15,PROFILE_ND30!$B$7:$B$500,0)),"UNRESOLVED")</x:f>
        <x:v>PROTECTED_TEXT</x:v>
      </x:c>
      <x:c r="J15" t="n">
        <x:f>IFERROR(INDEX(PROFILE_ND30!$BZ$7:$BZ$500,MATCH($B15,PROFILE_ND30!$B$7:$B$500,0)),"UNRESOLVED")</x:f>
        <x:v>13</x:v>
      </x:c>
      <x:c r="K15" t="n">
        <x:f>IFERROR(INDEX(PROFILE_ND30!$AJ$7:$AJ$500,MATCH($B15,PROFILE_ND30!$B$7:$B$500,0)),"UNRESOLVED")</x:f>
        <x:v>13</x:v>
      </x:c>
      <x:c r="L15" t="str">
        <x:f>IF(K15="","N/A / CHƯA NHẬP",IF(AND(ISNUMBER(J15),ISNUMBER(K15),J15=K15),"KHỚP SỐ","CẦN KIỂM TRA THỦ CÔNG"))</x:f>
        <x:v>KHỚP SỐ</x:v>
      </x:c>
      <x:c r="M15" t="str">
        <x:f>IF(OR(C15&lt;&gt;1,D15&lt;&gt;"OK",E15&lt;&gt;"OK",H15&lt;&gt;"KHÔNG"),"BLOCK",IF(G15="PROTECTED","PROTECTED","CHECK_ONLY"))</x:f>
        <x:v>CHECK_ONLY</x:v>
      </x:c>
    </x:row>
    <x:row r="16">
      <x:c r="A16" t="str">
        <x:v>ND30</x:v>
      </x:c>
      <x:c r="B16" t="str">
        <x:f>ND30!B16</x:f>
        <x:v>ND30.D.SK.KY_HIEU_LOAI</x:v>
      </x:c>
      <x:c r="C16" t="n">
        <x:f>COUNTIF(PROFILE_ND30!$B$7:$B$500,B16)</x:f>
        <x:v>1</x:v>
      </x:c>
      <x:c r="D16" t="str">
        <x:f>IF(LEFT(B16,LEN(A16)+1)=A16&amp;".","OK","SAI PREFIX")</x:f>
        <x:v>OK</x:v>
      </x:c>
      <x:c r="E16" t="str">
        <x:f>IF(COUNTIF(ND30!$B$7:$B$500,B16)=1,"OK","MÃ NGUỒN KHÔNG DUY NHẤT")</x:f>
        <x:v>OK</x:v>
      </x:c>
      <x:c r="F16" t="str">
        <x:f>IFERROR(INDEX(PROFILE_ND30!$CC$7:$CC$500,MATCH($B16,PROFILE_ND30!$B$7:$B$500,0)),"UNRESOLVED")</x:f>
        <x:v>KHÔNG TỰ SUY DIỄN MÃ</x:v>
      </x:c>
      <x:c r="G16" t="str">
        <x:f>IFERROR(INDEX(PROFILE_ND30!$CD$7:$CD$500,MATCH($B16,PROFILE_ND30!$B$7:$B$500,0)),"UNRESOLVED")</x:f>
        <x:v>CHECK_ONLY</x:v>
      </x:c>
      <x:c r="H16" t="str">
        <x:f>IFERROR(INDEX(PROFILE_ND30!$CK$7:$CK$500,MATCH($B16,PROFILE_ND30!$B$7:$B$500,0)),"UNRESOLVED")</x:f>
        <x:v>KHÔNG</x:v>
      </x:c>
      <x:c r="I16" t="str">
        <x:f>IFERROR(INDEX(PROFILE_ND30!$CA$7:$CA$500,MATCH($B16,PROFILE_ND30!$B$7:$B$500,0)),"UNRESOLVED")</x:f>
        <x:v>TEXT</x:v>
      </x:c>
      <x:c r="J16" t="n">
        <x:f>IFERROR(INDEX(PROFILE_ND30!$BZ$7:$BZ$500,MATCH($B16,PROFILE_ND30!$B$7:$B$500,0)),"UNRESOLVED")</x:f>
        <x:v>13</x:v>
      </x:c>
      <x:c r="K16" t="n">
        <x:f>IFERROR(INDEX(PROFILE_ND30!$AJ$7:$AJ$500,MATCH($B16,PROFILE_ND30!$B$7:$B$500,0)),"UNRESOLVED")</x:f>
        <x:v>13</x:v>
      </x:c>
      <x:c r="L16" t="str">
        <x:f>IF(K16="","N/A / CHƯA NHẬP",IF(AND(ISNUMBER(J16),ISNUMBER(K16),J16=K16),"KHỚP SỐ","CẦN KIỂM TRA THỦ CÔNG"))</x:f>
        <x:v>KHỚP SỐ</x:v>
      </x:c>
      <x:c r="M16" t="str">
        <x:f>IF(OR(C16&lt;&gt;1,D16&lt;&gt;"OK",E16&lt;&gt;"OK",H16&lt;&gt;"KHÔNG"),"BLOCK",IF(G16="PROTECTED","PROTECTED","CHECK_ONLY"))</x:f>
        <x:v>CHECK_ONLY</x:v>
      </x:c>
    </x:row>
    <x:row r="17">
      <x:c r="A17" t="str">
        <x:v>ND30</x:v>
      </x:c>
      <x:c r="B17" t="str">
        <x:f>ND30!B17</x:f>
        <x:v>ND30.D.SK.KY_HIEU_CO_QUAN</x:v>
      </x:c>
      <x:c r="C17" t="n">
        <x:f>COUNTIF(PROFILE_ND30!$B$7:$B$500,B17)</x:f>
        <x:v>1</x:v>
      </x:c>
      <x:c r="D17" t="str">
        <x:f>IF(LEFT(B17,LEN(A17)+1)=A17&amp;".","OK","SAI PREFIX")</x:f>
        <x:v>OK</x:v>
      </x:c>
      <x:c r="E17" t="str">
        <x:f>IF(COUNTIF(ND30!$B$7:$B$500,B17)=1,"OK","MÃ NGUỒN KHÔNG DUY NHẤT")</x:f>
        <x:v>OK</x:v>
      </x:c>
      <x:c r="F17" t="str">
        <x:f>IFERROR(INDEX(PROFILE_ND30!$CC$7:$CC$500,MATCH($B17,PROFILE_ND30!$B$7:$B$500,0)),"UNRESOLVED")</x:f>
        <x:v>KHÔNG TỰ ĐIỀN MÃ</x:v>
      </x:c>
      <x:c r="G17" t="str">
        <x:f>IFERROR(INDEX(PROFILE_ND30!$CD$7:$CD$500,MATCH($B17,PROFILE_ND30!$B$7:$B$500,0)),"UNRESOLVED")</x:f>
        <x:v>CHECK_ONLY</x:v>
      </x:c>
      <x:c r="H17" t="str">
        <x:f>IFERROR(INDEX(PROFILE_ND30!$CK$7:$CK$500,MATCH($B17,PROFILE_ND30!$B$7:$B$500,0)),"UNRESOLVED")</x:f>
        <x:v>KHÔNG</x:v>
      </x:c>
      <x:c r="I17" t="str">
        <x:f>IFERROR(INDEX(PROFILE_ND30!$CA$7:$CA$500,MATCH($B17,PROFILE_ND30!$B$7:$B$500,0)),"UNRESOLVED")</x:f>
        <x:v>TEXT</x:v>
      </x:c>
      <x:c r="J17" t="n">
        <x:f>IFERROR(INDEX(PROFILE_ND30!$BZ$7:$BZ$500,MATCH($B17,PROFILE_ND30!$B$7:$B$500,0)),"UNRESOLVED")</x:f>
        <x:v>13</x:v>
      </x:c>
      <x:c r="K17" t="n">
        <x:f>IFERROR(INDEX(PROFILE_ND30!$AJ$7:$AJ$500,MATCH($B17,PROFILE_ND30!$B$7:$B$500,0)),"UNRESOLVED")</x:f>
        <x:v>13</x:v>
      </x:c>
      <x:c r="L17" t="str">
        <x:f>IF(K17="","N/A / CHƯA NHẬP",IF(AND(ISNUMBER(J17),ISNUMBER(K17),J17=K17),"KHỚP SỐ","CẦN KIỂM TRA THỦ CÔNG"))</x:f>
        <x:v>KHỚP SỐ</x:v>
      </x:c>
      <x:c r="M17" t="str">
        <x:f>IF(OR(C17&lt;&gt;1,D17&lt;&gt;"OK",E17&lt;&gt;"OK",H17&lt;&gt;"KHÔNG"),"BLOCK",IF(G17="PROTECTED","PROTECTED","CHECK_ONLY"))</x:f>
        <x:v>CHECK_ONLY</x:v>
      </x:c>
    </x:row>
    <x:row r="18">
      <x:c r="A18" t="str">
        <x:v>ND30</x:v>
      </x:c>
      <x:c r="B18" t="str">
        <x:f>ND30!B18</x:f>
        <x:v>ND30.D.SK.DAU_PHAN_CACH</x:v>
      </x:c>
      <x:c r="C18" t="n">
        <x:f>COUNTIF(PROFILE_ND30!$B$7:$B$500,B18)</x:f>
        <x:v>1</x:v>
      </x:c>
      <x:c r="D18" t="str">
        <x:f>IF(LEFT(B18,LEN(A18)+1)=A18&amp;".","OK","SAI PREFIX")</x:f>
        <x:v>OK</x:v>
      </x:c>
      <x:c r="E18" t="str">
        <x:f>IF(COUNTIF(ND30!$B$7:$B$500,B18)=1,"OK","MÃ NGUỒN KHÔNG DUY NHẤT")</x:f>
        <x:v>OK</x:v>
      </x:c>
      <x:c r="F18" t="str">
        <x:f>IFERROR(INDEX(PROFILE_ND30!$CC$7:$CC$500,MATCH($B18,PROFILE_ND30!$B$7:$B$500,0)),"UNRESOLVED")</x:f>
        <x:v>READ_ONLY</x:v>
      </x:c>
      <x:c r="G18" t="str">
        <x:f>IFERROR(INDEX(PROFILE_ND30!$CD$7:$CD$500,MATCH($B18,PROFILE_ND30!$B$7:$B$500,0)),"UNRESOLVED")</x:f>
        <x:v>PROTECTED</x:v>
      </x:c>
      <x:c r="H18" t="str">
        <x:f>IFERROR(INDEX(PROFILE_ND30!$CK$7:$CK$500,MATCH($B18,PROFILE_ND30!$B$7:$B$500,0)),"UNRESOLVED")</x:f>
        <x:v>KHÔNG</x:v>
      </x:c>
      <x:c r="I18" t="str">
        <x:f>IFERROR(INDEX(PROFILE_ND30!$CA$7:$CA$500,MATCH($B18,PROFILE_ND30!$B$7:$B$500,0)),"UNRESOLVED")</x:f>
        <x:v>SEPARATOR</x:v>
      </x:c>
      <x:c r="J18" t="n">
        <x:f>IFERROR(INDEX(PROFILE_ND30!$BZ$7:$BZ$500,MATCH($B18,PROFILE_ND30!$B$7:$B$500,0)),"UNRESOLVED")</x:f>
        <x:v>13</x:v>
      </x:c>
      <x:c r="K18" t="n">
        <x:f>IFERROR(INDEX(PROFILE_ND30!$AJ$7:$AJ$500,MATCH($B18,PROFILE_ND30!$B$7:$B$500,0)),"UNRESOLVED")</x:f>
        <x:v>13</x:v>
      </x:c>
      <x:c r="L18" t="str">
        <x:f>IF(K18="","N/A / CHƯA NHẬP",IF(AND(ISNUMBER(J18),ISNUMBER(K18),J18=K18),"KHỚP SỐ","CẦN KIỂM TRA THỦ CÔNG"))</x:f>
        <x:v>KHỚP SỐ</x:v>
      </x:c>
      <x:c r="M18" t="str">
        <x:f>IF(OR(C18&lt;&gt;1,D18&lt;&gt;"OK",E18&lt;&gt;"OK",H18&lt;&gt;"KHÔNG"),"BLOCK",IF(G18="PROTECTED","PROTECTED","CHECK_ONLY"))</x:f>
        <x:v>PROTECTED</x:v>
      </x:c>
    </x:row>
    <x:row r="19">
      <x:c r="A19" t="str">
        <x:v>ND30</x:v>
      </x:c>
      <x:c r="B19" t="str">
        <x:f>ND30!B19</x:f>
        <x:v>ND30.D.NG.DIA_DANH</x:v>
      </x:c>
      <x:c r="C19" t="n">
        <x:f>COUNTIF(PROFILE_ND30!$B$7:$B$500,B19)</x:f>
        <x:v>1</x:v>
      </x:c>
      <x:c r="D19" t="str">
        <x:f>IF(LEFT(B19,LEN(A19)+1)=A19&amp;".","OK","SAI PREFIX")</x:f>
        <x:v>OK</x:v>
      </x:c>
      <x:c r="E19" t="str">
        <x:f>IF(COUNTIF(ND30!$B$7:$B$500,B19)=1,"OK","MÃ NGUỒN KHÔNG DUY NHẤT")</x:f>
        <x:v>OK</x:v>
      </x:c>
      <x:c r="F19" t="str">
        <x:f>IFERROR(INDEX(PROFILE_ND30!$CC$7:$CC$500,MATCH($B19,PROFILE_ND30!$B$7:$B$500,0)),"UNRESOLVED")</x:f>
        <x:v>KHÔNG TỰ SINH ĐỊA DANH</x:v>
      </x:c>
      <x:c r="G19" t="str">
        <x:f>IFERROR(INDEX(PROFILE_ND30!$CD$7:$CD$500,MATCH($B19,PROFILE_ND30!$B$7:$B$500,0)),"UNRESOLVED")</x:f>
        <x:v>CHECK_ONLY</x:v>
      </x:c>
      <x:c r="H19" t="str">
        <x:f>IFERROR(INDEX(PROFILE_ND30!$CK$7:$CK$500,MATCH($B19,PROFILE_ND30!$B$7:$B$500,0)),"UNRESOLVED")</x:f>
        <x:v>KHÔNG</x:v>
      </x:c>
      <x:c r="I19" t="str">
        <x:f>IFERROR(INDEX(PROFILE_ND30!$CA$7:$CA$500,MATCH($B19,PROFILE_ND30!$B$7:$B$500,0)),"UNRESOLVED")</x:f>
        <x:v>TEXT</x:v>
      </x:c>
      <x:c r="J19" t="str">
        <x:f>IFERROR(INDEX(PROFILE_ND30!$BZ$7:$BZ$500,MATCH($B19,PROFILE_ND30!$B$7:$B$500,0)),"UNRESOLVED")</x:f>
        <x:v>13–14</x:v>
      </x:c>
      <x:c r="K19" t="n">
        <x:f>IFERROR(INDEX(PROFILE_ND30!$AJ$7:$AJ$500,MATCH($B19,PROFILE_ND30!$B$7:$B$500,0)),"UNRESOLVED")</x:f>
        <x:v>13</x:v>
      </x:c>
      <x:c r="L19" t="str">
        <x:f>IF(K19="","N/A / CHƯA NHẬP",IF(AND(ISNUMBER(J19),ISNUMBER(K19),J19=K19),"KHỚP SỐ","CẦN KIỂM TRA THỦ CÔNG"))</x:f>
        <x:v>CẦN KIỂM TRA THỦ CÔNG</x:v>
      </x:c>
      <x:c r="M19" t="str">
        <x:f>IF(OR(C19&lt;&gt;1,D19&lt;&gt;"OK",E19&lt;&gt;"OK",H19&lt;&gt;"KHÔNG"),"BLOCK",IF(G19="PROTECTED","PROTECTED","CHECK_ONLY"))</x:f>
        <x:v>CHECK_ONLY</x:v>
      </x:c>
    </x:row>
    <x:row r="20">
      <x:c r="A20" t="str">
        <x:v>ND30</x:v>
      </x:c>
      <x:c r="B20" t="str">
        <x:f>ND30!B20</x:f>
        <x:v>ND30.D.NG.NGAY</x:v>
      </x:c>
      <x:c r="C20" t="n">
        <x:f>COUNTIF(PROFILE_ND30!$B$7:$B$500,B20)</x:f>
        <x:v>1</x:v>
      </x:c>
      <x:c r="D20" t="str">
        <x:f>IF(LEFT(B20,LEN(A20)+1)=A20&amp;".","OK","SAI PREFIX")</x:f>
        <x:v>OK</x:v>
      </x:c>
      <x:c r="E20" t="str">
        <x:f>IF(COUNTIF(ND30!$B$7:$B$500,B20)=1,"OK","MÃ NGUỒN KHÔNG DUY NHẤT")</x:f>
        <x:v>OK</x:v>
      </x:c>
      <x:c r="F20" t="str">
        <x:f>IFERROR(INDEX(PROFILE_ND30!$CC$7:$CC$500,MATCH($B20,PROFILE_ND30!$B$7:$B$500,0)),"UNRESOLVED")</x:f>
        <x:v>KHÔNG TỰ ĐIỀN NGÀY</x:v>
      </x:c>
      <x:c r="G20" t="str">
        <x:f>IFERROR(INDEX(PROFILE_ND30!$CD$7:$CD$500,MATCH($B20,PROFILE_ND30!$B$7:$B$500,0)),"UNRESOLVED")</x:f>
        <x:v>CHECK_ONLY</x:v>
      </x:c>
      <x:c r="H20" t="str">
        <x:f>IFERROR(INDEX(PROFILE_ND30!$CK$7:$CK$500,MATCH($B20,PROFILE_ND30!$B$7:$B$500,0)),"UNRESOLVED")</x:f>
        <x:v>KHÔNG</x:v>
      </x:c>
      <x:c r="I20" t="str">
        <x:f>IFERROR(INDEX(PROFILE_ND30!$CA$7:$CA$500,MATCH($B20,PROFILE_ND30!$B$7:$B$500,0)),"UNRESOLVED")</x:f>
        <x:v>PROTECTED_TEXT</x:v>
      </x:c>
      <x:c r="J20" t="str">
        <x:f>IFERROR(INDEX(PROFILE_ND30!$BZ$7:$BZ$500,MATCH($B20,PROFILE_ND30!$B$7:$B$500,0)),"UNRESOLVED")</x:f>
        <x:v>13–14</x:v>
      </x:c>
      <x:c r="K20" t="n">
        <x:f>IFERROR(INDEX(PROFILE_ND30!$AJ$7:$AJ$500,MATCH($B20,PROFILE_ND30!$B$7:$B$500,0)),"UNRESOLVED")</x:f>
        <x:v>13</x:v>
      </x:c>
      <x:c r="L20" t="str">
        <x:f>IF(K20="","N/A / CHƯA NHẬP",IF(AND(ISNUMBER(J20),ISNUMBER(K20),J20=K20),"KHỚP SỐ","CẦN KIỂM TRA THỦ CÔNG"))</x:f>
        <x:v>CẦN KIỂM TRA THỦ CÔNG</x:v>
      </x:c>
      <x:c r="M20" t="str">
        <x:f>IF(OR(C20&lt;&gt;1,D20&lt;&gt;"OK",E20&lt;&gt;"OK",H20&lt;&gt;"KHÔNG"),"BLOCK",IF(G20="PROTECTED","PROTECTED","CHECK_ONLY"))</x:f>
        <x:v>CHECK_ONLY</x:v>
      </x:c>
    </x:row>
    <x:row r="21">
      <x:c r="A21" t="str">
        <x:v>ND30</x:v>
      </x:c>
      <x:c r="B21" t="str">
        <x:f>ND30!B21</x:f>
        <x:v>ND30.D.NG.THANG</x:v>
      </x:c>
      <x:c r="C21" t="n">
        <x:f>COUNTIF(PROFILE_ND30!$B$7:$B$500,B21)</x:f>
        <x:v>1</x:v>
      </x:c>
      <x:c r="D21" t="str">
        <x:f>IF(LEFT(B21,LEN(A21)+1)=A21&amp;".","OK","SAI PREFIX")</x:f>
        <x:v>OK</x:v>
      </x:c>
      <x:c r="E21" t="str">
        <x:f>IF(COUNTIF(ND30!$B$7:$B$500,B21)=1,"OK","MÃ NGUỒN KHÔNG DUY NHẤT")</x:f>
        <x:v>OK</x:v>
      </x:c>
      <x:c r="F21" t="str">
        <x:f>IFERROR(INDEX(PROFILE_ND30!$CC$7:$CC$500,MATCH($B21,PROFILE_ND30!$B$7:$B$500,0)),"UNRESOLVED")</x:f>
        <x:v>KHÔNG TỰ ĐIỀN NGÀY</x:v>
      </x:c>
      <x:c r="G21" t="str">
        <x:f>IFERROR(INDEX(PROFILE_ND30!$CD$7:$CD$500,MATCH($B21,PROFILE_ND30!$B$7:$B$500,0)),"UNRESOLVED")</x:f>
        <x:v>CHECK_ONLY</x:v>
      </x:c>
      <x:c r="H21" t="str">
        <x:f>IFERROR(INDEX(PROFILE_ND30!$CK$7:$CK$500,MATCH($B21,PROFILE_ND30!$B$7:$B$500,0)),"UNRESOLVED")</x:f>
        <x:v>KHÔNG</x:v>
      </x:c>
      <x:c r="I21" t="str">
        <x:f>IFERROR(INDEX(PROFILE_ND30!$CA$7:$CA$500,MATCH($B21,PROFILE_ND30!$B$7:$B$500,0)),"UNRESOLVED")</x:f>
        <x:v>PROTECTED_TEXT</x:v>
      </x:c>
      <x:c r="J21" t="str">
        <x:f>IFERROR(INDEX(PROFILE_ND30!$BZ$7:$BZ$500,MATCH($B21,PROFILE_ND30!$B$7:$B$500,0)),"UNRESOLVED")</x:f>
        <x:v>13–14</x:v>
      </x:c>
      <x:c r="K21" t="n">
        <x:f>IFERROR(INDEX(PROFILE_ND30!$AJ$7:$AJ$500,MATCH($B21,PROFILE_ND30!$B$7:$B$500,0)),"UNRESOLVED")</x:f>
        <x:v>13</x:v>
      </x:c>
      <x:c r="L21" t="str">
        <x:f>IF(K21="","N/A / CHƯA NHẬP",IF(AND(ISNUMBER(J21),ISNUMBER(K21),J21=K21),"KHỚP SỐ","CẦN KIỂM TRA THỦ CÔNG"))</x:f>
        <x:v>CẦN KIỂM TRA THỦ CÔNG</x:v>
      </x:c>
      <x:c r="M21" t="str">
        <x:f>IF(OR(C21&lt;&gt;1,D21&lt;&gt;"OK",E21&lt;&gt;"OK",H21&lt;&gt;"KHÔNG"),"BLOCK",IF(G21="PROTECTED","PROTECTED","CHECK_ONLY"))</x:f>
        <x:v>CHECK_ONLY</x:v>
      </x:c>
    </x:row>
    <x:row r="22">
      <x:c r="A22" t="str">
        <x:v>ND30</x:v>
      </x:c>
      <x:c r="B22" t="str">
        <x:f>ND30!B22</x:f>
        <x:v>ND30.D.NG.NAM</x:v>
      </x:c>
      <x:c r="C22" t="n">
        <x:f>COUNTIF(PROFILE_ND30!$B$7:$B$500,B22)</x:f>
        <x:v>1</x:v>
      </x:c>
      <x:c r="D22" t="str">
        <x:f>IF(LEFT(B22,LEN(A22)+1)=A22&amp;".","OK","SAI PREFIX")</x:f>
        <x:v>OK</x:v>
      </x:c>
      <x:c r="E22" t="str">
        <x:f>IF(COUNTIF(ND30!$B$7:$B$500,B22)=1,"OK","MÃ NGUỒN KHÔNG DUY NHẤT")</x:f>
        <x:v>OK</x:v>
      </x:c>
      <x:c r="F22" t="str">
        <x:f>IFERROR(INDEX(PROFILE_ND30!$CC$7:$CC$500,MATCH($B22,PROFILE_ND30!$B$7:$B$500,0)),"UNRESOLVED")</x:f>
        <x:v>KHÔNG TỰ ĐIỀN NGÀY</x:v>
      </x:c>
      <x:c r="G22" t="str">
        <x:f>IFERROR(INDEX(PROFILE_ND30!$CD$7:$CD$500,MATCH($B22,PROFILE_ND30!$B$7:$B$500,0)),"UNRESOLVED")</x:f>
        <x:v>CHECK_ONLY</x:v>
      </x:c>
      <x:c r="H22" t="str">
        <x:f>IFERROR(INDEX(PROFILE_ND30!$CK$7:$CK$500,MATCH($B22,PROFILE_ND30!$B$7:$B$500,0)),"UNRESOLVED")</x:f>
        <x:v>KHÔNG</x:v>
      </x:c>
      <x:c r="I22" t="str">
        <x:f>IFERROR(INDEX(PROFILE_ND30!$CA$7:$CA$500,MATCH($B22,PROFILE_ND30!$B$7:$B$500,0)),"UNRESOLVED")</x:f>
        <x:v>PROTECTED_TEXT</x:v>
      </x:c>
      <x:c r="J22" t="str">
        <x:f>IFERROR(INDEX(PROFILE_ND30!$BZ$7:$BZ$500,MATCH($B22,PROFILE_ND30!$B$7:$B$500,0)),"UNRESOLVED")</x:f>
        <x:v>13–14</x:v>
      </x:c>
      <x:c r="K22" t="n">
        <x:f>IFERROR(INDEX(PROFILE_ND30!$AJ$7:$AJ$500,MATCH($B22,PROFILE_ND30!$B$7:$B$500,0)),"UNRESOLVED")</x:f>
        <x:v>13</x:v>
      </x:c>
      <x:c r="L22" t="str">
        <x:f>IF(K22="","N/A / CHƯA NHẬP",IF(AND(ISNUMBER(J22),ISNUMBER(K22),J22=K22),"KHỚP SỐ","CẦN KIỂM TRA THỦ CÔNG"))</x:f>
        <x:v>CẦN KIỂM TRA THỦ CÔNG</x:v>
      </x:c>
      <x:c r="M22" t="str">
        <x:f>IF(OR(C22&lt;&gt;1,D22&lt;&gt;"OK",E22&lt;&gt;"OK",H22&lt;&gt;"KHÔNG"),"BLOCK",IF(G22="PROTECTED","PROTECTED","CHECK_ONLY"))</x:f>
        <x:v>CHECK_ONLY</x:v>
      </x:c>
    </x:row>
    <x:row r="23">
      <x:c r="A23" t="str">
        <x:v>ND30</x:v>
      </x:c>
      <x:c r="B23" t="str">
        <x:f>ND30!B23</x:f>
        <x:v>ND30.D.TY.TEN_LOAI</x:v>
      </x:c>
      <x:c r="C23" t="n">
        <x:f>COUNTIF(PROFILE_ND30!$B$7:$B$500,B23)</x:f>
        <x:v>1</x:v>
      </x:c>
      <x:c r="D23" t="str">
        <x:f>IF(LEFT(B23,LEN(A23)+1)=A23&amp;".","OK","SAI PREFIX")</x:f>
        <x:v>OK</x:v>
      </x:c>
      <x:c r="E23" t="str">
        <x:f>IF(COUNTIF(ND30!$B$7:$B$500,B23)=1,"OK","MÃ NGUỒN KHÔNG DUY NHẤT")</x:f>
        <x:v>OK</x:v>
      </x:c>
      <x:c r="F23" t="str">
        <x:f>IFERROR(INDEX(PROFILE_ND30!$CC$7:$CC$500,MATCH($B23,PROFILE_ND30!$B$7:$B$500,0)),"UNRESOLVED")</x:f>
        <x:v>READ_ONLY</x:v>
      </x:c>
      <x:c r="G23" t="str">
        <x:f>IFERROR(INDEX(PROFILE_ND30!$CD$7:$CD$500,MATCH($B23,PROFILE_ND30!$B$7:$B$500,0)),"UNRESOLVED")</x:f>
        <x:v>PROTECTED</x:v>
      </x:c>
      <x:c r="H23" t="str">
        <x:f>IFERROR(INDEX(PROFILE_ND30!$CK$7:$CK$500,MATCH($B23,PROFILE_ND30!$B$7:$B$500,0)),"UNRESOLVED")</x:f>
        <x:v>KHÔNG</x:v>
      </x:c>
      <x:c r="I23" t="str">
        <x:f>IFERROR(INDEX(PROFILE_ND30!$CA$7:$CA$500,MATCH($B23,PROFILE_ND30!$B$7:$B$500,0)),"UNRESOLVED")</x:f>
        <x:v>TEXT</x:v>
      </x:c>
      <x:c r="J23" t="str">
        <x:f>IFERROR(INDEX(PROFILE_ND30!$BZ$7:$BZ$500,MATCH($B23,PROFILE_ND30!$B$7:$B$500,0)),"UNRESOLVED")</x:f>
        <x:v>13–14</x:v>
      </x:c>
      <x:c r="K23" t="n">
        <x:f>IFERROR(INDEX(PROFILE_ND30!$AJ$7:$AJ$500,MATCH($B23,PROFILE_ND30!$B$7:$B$500,0)),"UNRESOLVED")</x:f>
        <x:v>14</x:v>
      </x:c>
      <x:c r="L23" t="str">
        <x:f>IF(K23="","N/A / CHƯA NHẬP",IF(AND(ISNUMBER(J23),ISNUMBER(K23),J23=K23),"KHỚP SỐ","CẦN KIỂM TRA THỦ CÔNG"))</x:f>
        <x:v>CẦN KIỂM TRA THỦ CÔNG</x:v>
      </x:c>
      <x:c r="M23" t="str">
        <x:f>IF(OR(C23&lt;&gt;1,D23&lt;&gt;"OK",E23&lt;&gt;"OK",H23&lt;&gt;"KHÔNG"),"BLOCK",IF(G23="PROTECTED","PROTECTED","CHECK_ONLY"))</x:f>
        <x:v>PROTECTED</x:v>
      </x:c>
    </x:row>
    <x:row r="24">
      <x:c r="A24" t="str">
        <x:v>ND30</x:v>
      </x:c>
      <x:c r="B24" t="str">
        <x:f>ND30!B24</x:f>
        <x:v>ND30.D.TY.TRICH_YEU</x:v>
      </x:c>
      <x:c r="C24" t="n">
        <x:f>COUNTIF(PROFILE_ND30!$B$7:$B$500,B24)</x:f>
        <x:v>1</x:v>
      </x:c>
      <x:c r="D24" t="str">
        <x:f>IF(LEFT(B24,LEN(A24)+1)=A24&amp;".","OK","SAI PREFIX")</x:f>
        <x:v>OK</x:v>
      </x:c>
      <x:c r="E24" t="str">
        <x:f>IF(COUNTIF(ND30!$B$7:$B$500,B24)=1,"OK","MÃ NGUỒN KHÔNG DUY NHẤT")</x:f>
        <x:v>OK</x:v>
      </x:c>
      <x:c r="F24" t="str">
        <x:f>IFERROR(INDEX(PROFILE_ND30!$CC$7:$CC$500,MATCH($B24,PROFILE_ND30!$B$7:$B$500,0)),"UNRESOLVED")</x:f>
        <x:v>READ_ONLY</x:v>
      </x:c>
      <x:c r="G24" t="str">
        <x:f>IFERROR(INDEX(PROFILE_ND30!$CD$7:$CD$500,MATCH($B24,PROFILE_ND30!$B$7:$B$500,0)),"UNRESOLVED")</x:f>
        <x:v>PROTECTED</x:v>
      </x:c>
      <x:c r="H24" t="str">
        <x:f>IFERROR(INDEX(PROFILE_ND30!$CK$7:$CK$500,MATCH($B24,PROFILE_ND30!$B$7:$B$500,0)),"UNRESOLVED")</x:f>
        <x:v>KHÔNG</x:v>
      </x:c>
      <x:c r="I24" t="str">
        <x:f>IFERROR(INDEX(PROFILE_ND30!$CA$7:$CA$500,MATCH($B24,PROFILE_ND30!$B$7:$B$500,0)),"UNRESOLVED")</x:f>
        <x:v>TEXT</x:v>
      </x:c>
      <x:c r="J24" t="str">
        <x:f>IFERROR(INDEX(PROFILE_ND30!$BZ$7:$BZ$500,MATCH($B24,PROFILE_ND30!$B$7:$B$500,0)),"UNRESOLVED")</x:f>
        <x:v>13–14</x:v>
      </x:c>
      <x:c r="K24" t="n">
        <x:f>IFERROR(INDEX(PROFILE_ND30!$AJ$7:$AJ$500,MATCH($B24,PROFILE_ND30!$B$7:$B$500,0)),"UNRESOLVED")</x:f>
        <x:v>14</x:v>
      </x:c>
      <x:c r="L24" t="str">
        <x:f>IF(K24="","N/A / CHƯA NHẬP",IF(AND(ISNUMBER(J24),ISNUMBER(K24),J24=K24),"KHỚP SỐ","CẦN KIỂM TRA THỦ CÔNG"))</x:f>
        <x:v>CẦN KIỂM TRA THỦ CÔNG</x:v>
      </x:c>
      <x:c r="M24" t="str">
        <x:f>IF(OR(C24&lt;&gt;1,D24&lt;&gt;"OK",E24&lt;&gt;"OK",H24&lt;&gt;"KHÔNG"),"BLOCK",IF(G24="PROTECTED","PROTECTED","CHECK_ONLY"))</x:f>
        <x:v>PROTECTED</x:v>
      </x:c>
    </x:row>
    <x:row r="25">
      <x:c r="A25" t="str">
        <x:v>ND30</x:v>
      </x:c>
      <x:c r="B25" t="str">
        <x:f>ND30!B25</x:f>
        <x:v>ND30.D.TY.DUONG_KE</x:v>
      </x:c>
      <x:c r="C25" t="n">
        <x:f>COUNTIF(PROFILE_ND30!$B$7:$B$500,B25)</x:f>
        <x:v>1</x:v>
      </x:c>
      <x:c r="D25" t="str">
        <x:f>IF(LEFT(B25,LEN(A25)+1)=A25&amp;".","OK","SAI PREFIX")</x:f>
        <x:v>OK</x:v>
      </x:c>
      <x:c r="E25" t="str">
        <x:f>IF(COUNTIF(ND30!$B$7:$B$500,B25)=1,"OK","MÃ NGUỒN KHÔNG DUY NHẤT")</x:f>
        <x:v>OK</x:v>
      </x:c>
      <x:c r="F25" t="str">
        <x:f>IFERROR(INDEX(PROFILE_ND30!$CC$7:$CC$500,MATCH($B25,PROFILE_ND30!$B$7:$B$500,0)),"UNRESOLVED")</x:f>
        <x:v>REVIEW TRƯỚC KHI SỬA</x:v>
      </x:c>
      <x:c r="G25" t="str">
        <x:f>IFERROR(INDEX(PROFILE_ND30!$CD$7:$CD$500,MATCH($B25,PROFILE_ND30!$B$7:$B$500,0)),"UNRESOLVED")</x:f>
        <x:v>CHECK_ONLY</x:v>
      </x:c>
      <x:c r="H25" t="str">
        <x:f>IFERROR(INDEX(PROFILE_ND30!$CK$7:$CK$500,MATCH($B25,PROFILE_ND30!$B$7:$B$500,0)),"UNRESOLVED")</x:f>
        <x:v>KHÔNG</x:v>
      </x:c>
      <x:c r="I25" t="str">
        <x:f>IFERROR(INDEX(PROFILE_ND30!$CA$7:$CA$500,MATCH($B25,PROFILE_ND30!$B$7:$B$500,0)),"UNRESOLVED")</x:f>
        <x:v>SEPARATOR</x:v>
      </x:c>
      <x:c r="J25" t="str">
        <x:f>IFERROR(INDEX(PROFILE_ND30!$BZ$7:$BZ$500,MATCH($B25,PROFILE_ND30!$B$7:$B$500,0)),"UNRESOLVED")</x:f>
        <x:v>Không áp dụng</x:v>
      </x:c>
      <x:c r="K25" t="str">
        <x:f>IFERROR(INDEX(PROFILE_ND30!$AJ$7:$AJ$500,MATCH($B25,PROFILE_ND30!$B$7:$B$500,0)),"UNRESOLVED")</x:f>
      </x:c>
      <x:c r="L25" t="str">
        <x:f>IF(K25="","N/A / CHƯA NHẬP",IF(AND(ISNUMBER(J25),ISNUMBER(K25),J25=K25),"KHỚP SỐ","CẦN KIỂM TRA THỦ CÔNG"))</x:f>
        <x:v>N/A / CHƯA NHẬP</x:v>
      </x:c>
      <x:c r="M25" t="str">
        <x:f>IF(OR(C25&lt;&gt;1,D25&lt;&gt;"OK",E25&lt;&gt;"OK",H25&lt;&gt;"KHÔNG"),"BLOCK",IF(G25="PROTECTED","PROTECTED","CHECK_ONLY"))</x:f>
        <x:v>CHECK_ONLY</x:v>
      </x:c>
    </x:row>
    <x:row r="26">
      <x:c r="A26" t="str">
        <x:v>ND30</x:v>
      </x:c>
      <x:c r="B26" t="str">
        <x:f>ND30!B26</x:f>
        <x:v>ND30.D.TY.NHAN_VV</x:v>
      </x:c>
      <x:c r="C26" t="n">
        <x:f>COUNTIF(PROFILE_ND30!$B$7:$B$500,B26)</x:f>
        <x:v>1</x:v>
      </x:c>
      <x:c r="D26" t="str">
        <x:f>IF(LEFT(B26,LEN(A26)+1)=A26&amp;".","OK","SAI PREFIX")</x:f>
        <x:v>OK</x:v>
      </x:c>
      <x:c r="E26" t="str">
        <x:f>IF(COUNTIF(ND30!$B$7:$B$500,B26)=1,"OK","MÃ NGUỒN KHÔNG DUY NHẤT")</x:f>
        <x:v>OK</x:v>
      </x:c>
      <x:c r="F26" t="str">
        <x:f>IFERROR(INDEX(PROFILE_ND30!$CC$7:$CC$500,MATCH($B26,PROFILE_ND30!$B$7:$B$500,0)),"UNRESOLVED")</x:f>
        <x:v>READ_ONLY</x:v>
      </x:c>
      <x:c r="G26" t="str">
        <x:f>IFERROR(INDEX(PROFILE_ND30!$CD$7:$CD$500,MATCH($B26,PROFILE_ND30!$B$7:$B$500,0)),"UNRESOLVED")</x:f>
        <x:v>PROTECTED</x:v>
      </x:c>
      <x:c r="H26" t="str">
        <x:f>IFERROR(INDEX(PROFILE_ND30!$CK$7:$CK$500,MATCH($B26,PROFILE_ND30!$B$7:$B$500,0)),"UNRESOLVED")</x:f>
        <x:v>KHÔNG</x:v>
      </x:c>
      <x:c r="I26" t="str">
        <x:f>IFERROR(INDEX(PROFILE_ND30!$CA$7:$CA$500,MATCH($B26,PROFILE_ND30!$B$7:$B$500,0)),"UNRESOLVED")</x:f>
        <x:v>TEXT</x:v>
      </x:c>
      <x:c r="J26" t="str">
        <x:f>IFERROR(INDEX(PROFILE_ND30!$BZ$7:$BZ$500,MATCH($B26,PROFILE_ND30!$B$7:$B$500,0)),"UNRESOLVED")</x:f>
        <x:v>12–13</x:v>
      </x:c>
      <x:c r="K26" t="n">
        <x:f>IFERROR(INDEX(PROFILE_ND30!$AJ$7:$AJ$500,MATCH($B26,PROFILE_ND30!$B$7:$B$500,0)),"UNRESOLVED")</x:f>
        <x:v>13</x:v>
      </x:c>
      <x:c r="L26" t="str">
        <x:f>IF(K26="","N/A / CHƯA NHẬP",IF(AND(ISNUMBER(J26),ISNUMBER(K26),J26=K26),"KHỚP SỐ","CẦN KIỂM TRA THỦ CÔNG"))</x:f>
        <x:v>CẦN KIỂM TRA THỦ CÔNG</x:v>
      </x:c>
      <x:c r="M26" t="str">
        <x:f>IF(OR(C26&lt;&gt;1,D26&lt;&gt;"OK",E26&lt;&gt;"OK",H26&lt;&gt;"KHÔNG"),"BLOCK",IF(G26="PROTECTED","PROTECTED","CHECK_ONLY"))</x:f>
        <x:v>PROTECTED</x:v>
      </x:c>
    </x:row>
    <x:row r="27">
      <x:c r="A27" t="str">
        <x:v>ND30</x:v>
      </x:c>
      <x:c r="B27" t="str">
        <x:f>ND30!B27</x:f>
        <x:v>ND30.D.TY.TRICH_YEU_CV</x:v>
      </x:c>
      <x:c r="C27" t="n">
        <x:f>COUNTIF(PROFILE_ND30!$B$7:$B$500,B27)</x:f>
        <x:v>1</x:v>
      </x:c>
      <x:c r="D27" t="str">
        <x:f>IF(LEFT(B27,LEN(A27)+1)=A27&amp;".","OK","SAI PREFIX")</x:f>
        <x:v>OK</x:v>
      </x:c>
      <x:c r="E27" t="str">
        <x:f>IF(COUNTIF(ND30!$B$7:$B$500,B27)=1,"OK","MÃ NGUỒN KHÔNG DUY NHẤT")</x:f>
        <x:v>OK</x:v>
      </x:c>
      <x:c r="F27" t="str">
        <x:f>IFERROR(INDEX(PROFILE_ND30!$CC$7:$CC$500,MATCH($B27,PROFILE_ND30!$B$7:$B$500,0)),"UNRESOLVED")</x:f>
        <x:v>READ_ONLY</x:v>
      </x:c>
      <x:c r="G27" t="str">
        <x:f>IFERROR(INDEX(PROFILE_ND30!$CD$7:$CD$500,MATCH($B27,PROFILE_ND30!$B$7:$B$500,0)),"UNRESOLVED")</x:f>
        <x:v>PROTECTED</x:v>
      </x:c>
      <x:c r="H27" t="str">
        <x:f>IFERROR(INDEX(PROFILE_ND30!$CK$7:$CK$500,MATCH($B27,PROFILE_ND30!$B$7:$B$500,0)),"UNRESOLVED")</x:f>
        <x:v>KHÔNG</x:v>
      </x:c>
      <x:c r="I27" t="str">
        <x:f>IFERROR(INDEX(PROFILE_ND30!$CA$7:$CA$500,MATCH($B27,PROFILE_ND30!$B$7:$B$500,0)),"UNRESOLVED")</x:f>
        <x:v>TEXT</x:v>
      </x:c>
      <x:c r="J27" t="str">
        <x:f>IFERROR(INDEX(PROFILE_ND30!$BZ$7:$BZ$500,MATCH($B27,PROFILE_ND30!$B$7:$B$500,0)),"UNRESOLVED")</x:f>
        <x:v>12–13</x:v>
      </x:c>
      <x:c r="K27" t="n">
        <x:f>IFERROR(INDEX(PROFILE_ND30!$AJ$7:$AJ$500,MATCH($B27,PROFILE_ND30!$B$7:$B$500,0)),"UNRESOLVED")</x:f>
        <x:v>13</x:v>
      </x:c>
      <x:c r="L27" t="str">
        <x:f>IF(K27="","N/A / CHƯA NHẬP",IF(AND(ISNUMBER(J27),ISNUMBER(K27),J27=K27),"KHỚP SỐ","CẦN KIỂM TRA THỦ CÔNG"))</x:f>
        <x:v>CẦN KIỂM TRA THỦ CÔNG</x:v>
      </x:c>
      <x:c r="M27" t="str">
        <x:f>IF(OR(C27&lt;&gt;1,D27&lt;&gt;"OK",E27&lt;&gt;"OK",H27&lt;&gt;"KHÔNG"),"BLOCK",IF(G27="PROTECTED","PROTECTED","CHECK_ONLY"))</x:f>
        <x:v>PROTECTED</x:v>
      </x:c>
    </x:row>
    <x:row r="28">
      <x:c r="A28" t="str">
        <x:v>ND30</x:v>
      </x:c>
      <x:c r="B28" t="str">
        <x:f>ND30!B28</x:f>
        <x:v>ND30.D.NHAN.KINH_GUI</x:v>
      </x:c>
      <x:c r="C28" t="n">
        <x:f>COUNTIF(PROFILE_ND30!$B$7:$B$500,B28)</x:f>
        <x:v>1</x:v>
      </x:c>
      <x:c r="D28" t="str">
        <x:f>IF(LEFT(B28,LEN(A28)+1)=A28&amp;".","OK","SAI PREFIX")</x:f>
        <x:v>OK</x:v>
      </x:c>
      <x:c r="E28" t="str">
        <x:f>IF(COUNTIF(ND30!$B$7:$B$500,B28)=1,"OK","MÃ NGUỒN KHÔNG DUY NHẤT")</x:f>
        <x:v>OK</x:v>
      </x:c>
      <x:c r="F28" t="str">
        <x:f>IFERROR(INDEX(PROFILE_ND30!$CC$7:$CC$500,MATCH($B28,PROFILE_ND30!$B$7:$B$500,0)),"UNRESOLVED")</x:f>
        <x:v>READ_ONLY</x:v>
      </x:c>
      <x:c r="G28" t="str">
        <x:f>IFERROR(INDEX(PROFILE_ND30!$CD$7:$CD$500,MATCH($B28,PROFILE_ND30!$B$7:$B$500,0)),"UNRESOLVED")</x:f>
        <x:v>PROTECTED</x:v>
      </x:c>
      <x:c r="H28" t="str">
        <x:f>IFERROR(INDEX(PROFILE_ND30!$CK$7:$CK$500,MATCH($B28,PROFILE_ND30!$B$7:$B$500,0)),"UNRESOLVED")</x:f>
        <x:v>KHÔNG</x:v>
      </x:c>
      <x:c r="I28" t="str">
        <x:f>IFERROR(INDEX(PROFILE_ND30!$CA$7:$CA$500,MATCH($B28,PROFILE_ND30!$B$7:$B$500,0)),"UNRESOLVED")</x:f>
        <x:v>TEXT</x:v>
      </x:c>
      <x:c r="J28" t="str">
        <x:f>IFERROR(INDEX(PROFILE_ND30!$BZ$7:$BZ$500,MATCH($B28,PROFILE_ND30!$B$7:$B$500,0)),"UNRESOLVED")</x:f>
        <x:v>13–14</x:v>
      </x:c>
      <x:c r="K28" t="n">
        <x:f>IFERROR(INDEX(PROFILE_ND30!$AJ$7:$AJ$500,MATCH($B28,PROFILE_ND30!$B$7:$B$500,0)),"UNRESOLVED")</x:f>
        <x:v>14</x:v>
      </x:c>
      <x:c r="L28" t="str">
        <x:f>IF(K28="","N/A / CHƯA NHẬP",IF(AND(ISNUMBER(J28),ISNUMBER(K28),J28=K28),"KHỚP SỐ","CẦN KIỂM TRA THỦ CÔNG"))</x:f>
        <x:v>CẦN KIỂM TRA THỦ CÔNG</x:v>
      </x:c>
      <x:c r="M28" t="str">
        <x:f>IF(OR(C28&lt;&gt;1,D28&lt;&gt;"OK",E28&lt;&gt;"OK",H28&lt;&gt;"KHÔNG"),"BLOCK",IF(G28="PROTECTED","PROTECTED","CHECK_ONLY"))</x:f>
        <x:v>PROTECTED</x:v>
      </x:c>
    </x:row>
    <x:row r="29">
      <x:c r="A29" t="str">
        <x:v>ND30</x:v>
      </x:c>
      <x:c r="B29" t="str">
        <x:f>ND30!B29</x:f>
        <x:v>ND30.D.NHAN.DS_KINH_GUI</x:v>
      </x:c>
      <x:c r="C29" t="n">
        <x:f>COUNTIF(PROFILE_ND30!$B$7:$B$500,B29)</x:f>
        <x:v>1</x:v>
      </x:c>
      <x:c r="D29" t="str">
        <x:f>IF(LEFT(B29,LEN(A29)+1)=A29&amp;".","OK","SAI PREFIX")</x:f>
        <x:v>OK</x:v>
      </x:c>
      <x:c r="E29" t="str">
        <x:f>IF(COUNTIF(ND30!$B$7:$B$500,B29)=1,"OK","MÃ NGUỒN KHÔNG DUY NHẤT")</x:f>
        <x:v>OK</x:v>
      </x:c>
      <x:c r="F29" t="str">
        <x:f>IFERROR(INDEX(PROFILE_ND30!$CC$7:$CC$500,MATCH($B29,PROFILE_ND30!$B$7:$B$500,0)),"UNRESOLVED")</x:f>
        <x:v>KHÔNG TỰ ĐIỀN NGƯỜI NHẬN</x:v>
      </x:c>
      <x:c r="G29" t="str">
        <x:f>IFERROR(INDEX(PROFILE_ND30!$CD$7:$CD$500,MATCH($B29,PROFILE_ND30!$B$7:$B$500,0)),"UNRESOLVED")</x:f>
        <x:v>CHECK_ONLY</x:v>
      </x:c>
      <x:c r="H29" t="str">
        <x:f>IFERROR(INDEX(PROFILE_ND30!$CK$7:$CK$500,MATCH($B29,PROFILE_ND30!$B$7:$B$500,0)),"UNRESOLVED")</x:f>
        <x:v>KHÔNG</x:v>
      </x:c>
      <x:c r="I29" t="str">
        <x:f>IFERROR(INDEX(PROFILE_ND30!$CA$7:$CA$500,MATCH($B29,PROFILE_ND30!$B$7:$B$500,0)),"UNRESOLVED")</x:f>
        <x:v>PROTECTED_TEXT</x:v>
      </x:c>
      <x:c r="J29" t="str">
        <x:f>IFERROR(INDEX(PROFILE_ND30!$BZ$7:$BZ$500,MATCH($B29,PROFILE_ND30!$B$7:$B$500,0)),"UNRESOLVED")</x:f>
        <x:v>13–14</x:v>
      </x:c>
      <x:c r="K29" t="n">
        <x:f>IFERROR(INDEX(PROFILE_ND30!$AJ$7:$AJ$500,MATCH($B29,PROFILE_ND30!$B$7:$B$500,0)),"UNRESOLVED")</x:f>
        <x:v>14</x:v>
      </x:c>
      <x:c r="L29" t="str">
        <x:f>IF(K29="","N/A / CHƯA NHẬP",IF(AND(ISNUMBER(J29),ISNUMBER(K29),J29=K29),"KHỚP SỐ","CẦN KIỂM TRA THỦ CÔNG"))</x:f>
        <x:v>CẦN KIỂM TRA THỦ CÔNG</x:v>
      </x:c>
      <x:c r="M29" t="str">
        <x:f>IF(OR(C29&lt;&gt;1,D29&lt;&gt;"OK",E29&lt;&gt;"OK",H29&lt;&gt;"KHÔNG"),"BLOCK",IF(G29="PROTECTED","PROTECTED","CHECK_ONLY"))</x:f>
        <x:v>CHECK_ONLY</x:v>
      </x:c>
    </x:row>
    <x:row r="30">
      <x:c r="A30" t="str">
        <x:v>ND30</x:v>
      </x:c>
      <x:c r="B30" t="str">
        <x:f>ND30!B30</x:f>
        <x:v>ND30.N.MD.MO_DAU</x:v>
      </x:c>
      <x:c r="C30" t="n">
        <x:f>COUNTIF(PROFILE_ND30!$B$7:$B$500,B30)</x:f>
        <x:v>1</x:v>
      </x:c>
      <x:c r="D30" t="str">
        <x:f>IF(LEFT(B30,LEN(A30)+1)=A30&amp;".","OK","SAI PREFIX")</x:f>
        <x:v>OK</x:v>
      </x:c>
      <x:c r="E30" t="str">
        <x:f>IF(COUNTIF(ND30!$B$7:$B$500,B30)=1,"OK","MÃ NGUỒN KHÔNG DUY NHẤT")</x:f>
        <x:v>OK</x:v>
      </x:c>
      <x:c r="F30" t="str">
        <x:f>IFERROR(INDEX(PROFILE_ND30!$CC$7:$CC$500,MATCH($B30,PROFILE_ND30!$B$7:$B$500,0)),"UNRESOLVED")</x:f>
        <x:v>CHỈ SAU REVIEW</x:v>
      </x:c>
      <x:c r="G30" t="str">
        <x:f>IFERROR(INDEX(PROFILE_ND30!$CD$7:$CD$500,MATCH($B30,PROFILE_ND30!$B$7:$B$500,0)),"UNRESOLVED")</x:f>
        <x:v>CHECK_ONLY</x:v>
      </x:c>
      <x:c r="H30" t="str">
        <x:f>IFERROR(INDEX(PROFILE_ND30!$CK$7:$CK$500,MATCH($B30,PROFILE_ND30!$B$7:$B$500,0)),"UNRESOLVED")</x:f>
        <x:v>KHÔNG</x:v>
      </x:c>
      <x:c r="I30" t="str">
        <x:f>IFERROR(INDEX(PROFILE_ND30!$CA$7:$CA$500,MATCH($B30,PROFILE_ND30!$B$7:$B$500,0)),"UNRESOLVED")</x:f>
        <x:v>TEXT</x:v>
      </x:c>
      <x:c r="J30" t="str">
        <x:f>IFERROR(INDEX(PROFILE_ND30!$BZ$7:$BZ$500,MATCH($B30,PROFILE_ND30!$B$7:$B$500,0)),"UNRESOLVED")</x:f>
        <x:v>13–14</x:v>
      </x:c>
      <x:c r="K30" t="n">
        <x:f>IFERROR(INDEX(PROFILE_ND30!$AJ$7:$AJ$500,MATCH($B30,PROFILE_ND30!$B$7:$B$500,0)),"UNRESOLVED")</x:f>
        <x:v>14</x:v>
      </x:c>
      <x:c r="L30" t="str">
        <x:f>IF(K30="","N/A / CHƯA NHẬP",IF(AND(ISNUMBER(J30),ISNUMBER(K30),J30=K30),"KHỚP SỐ","CẦN KIỂM TRA THỦ CÔNG"))</x:f>
        <x:v>CẦN KIỂM TRA THỦ CÔNG</x:v>
      </x:c>
      <x:c r="M30" t="str">
        <x:f>IF(OR(C30&lt;&gt;1,D30&lt;&gt;"OK",E30&lt;&gt;"OK",H30&lt;&gt;"KHÔNG"),"BLOCK",IF(G30="PROTECTED","PROTECTED","CHECK_ONLY"))</x:f>
        <x:v>CHECK_ONLY</x:v>
      </x:c>
    </x:row>
    <x:row r="31">
      <x:c r="A31" t="str">
        <x:v>ND30</x:v>
      </x:c>
      <x:c r="B31" t="str">
        <x:f>ND30!B31</x:f>
        <x:v>ND30.N.MD.CAN_CU</x:v>
      </x:c>
      <x:c r="C31" t="n">
        <x:f>COUNTIF(PROFILE_ND30!$B$7:$B$500,B31)</x:f>
        <x:v>1</x:v>
      </x:c>
      <x:c r="D31" t="str">
        <x:f>IF(LEFT(B31,LEN(A31)+1)=A31&amp;".","OK","SAI PREFIX")</x:f>
        <x:v>OK</x:v>
      </x:c>
      <x:c r="E31" t="str">
        <x:f>IF(COUNTIF(ND30!$B$7:$B$500,B31)=1,"OK","MÃ NGUỒN KHÔNG DUY NHẤT")</x:f>
        <x:v>OK</x:v>
      </x:c>
      <x:c r="F31" t="str">
        <x:f>IFERROR(INDEX(PROFILE_ND30!$CC$7:$CC$500,MATCH($B31,PROFILE_ND30!$B$7:$B$500,0)),"UNRESOLVED")</x:f>
        <x:v>CHỈ SAU REVIEW</x:v>
      </x:c>
      <x:c r="G31" t="str">
        <x:f>IFERROR(INDEX(PROFILE_ND30!$CD$7:$CD$500,MATCH($B31,PROFILE_ND30!$B$7:$B$500,0)),"UNRESOLVED")</x:f>
        <x:v>CHECK_ONLY</x:v>
      </x:c>
      <x:c r="H31" t="str">
        <x:f>IFERROR(INDEX(PROFILE_ND30!$CK$7:$CK$500,MATCH($B31,PROFILE_ND30!$B$7:$B$500,0)),"UNRESOLVED")</x:f>
        <x:v>KHÔNG</x:v>
      </x:c>
      <x:c r="I31" t="str">
        <x:f>IFERROR(INDEX(PROFILE_ND30!$CA$7:$CA$500,MATCH($B31,PROFILE_ND30!$B$7:$B$500,0)),"UNRESOLVED")</x:f>
        <x:v>TEXT</x:v>
      </x:c>
      <x:c r="J31" t="str">
        <x:f>IFERROR(INDEX(PROFILE_ND30!$BZ$7:$BZ$500,MATCH($B31,PROFILE_ND30!$B$7:$B$500,0)),"UNRESOLVED")</x:f>
        <x:v>13–14</x:v>
      </x:c>
      <x:c r="K31" t="n">
        <x:f>IFERROR(INDEX(PROFILE_ND30!$AJ$7:$AJ$500,MATCH($B31,PROFILE_ND30!$B$7:$B$500,0)),"UNRESOLVED")</x:f>
        <x:v>14</x:v>
      </x:c>
      <x:c r="L31" t="str">
        <x:f>IF(K31="","N/A / CHƯA NHẬP",IF(AND(ISNUMBER(J31),ISNUMBER(K31),J31=K31),"KHỚP SỐ","CẦN KIỂM TRA THỦ CÔNG"))</x:f>
        <x:v>CẦN KIỂM TRA THỦ CÔNG</x:v>
      </x:c>
      <x:c r="M31" t="str">
        <x:f>IF(OR(C31&lt;&gt;1,D31&lt;&gt;"OK",E31&lt;&gt;"OK",H31&lt;&gt;"KHÔNG"),"BLOCK",IF(G31="PROTECTED","PROTECTED","CHECK_ONLY"))</x:f>
        <x:v>CHECK_ONLY</x:v>
      </x:c>
    </x:row>
    <x:row r="32">
      <x:c r="A32" t="str">
        <x:v>ND30</x:v>
      </x:c>
      <x:c r="B32" t="str">
        <x:f>ND30!B32</x:f>
        <x:v>ND30.N.DM.PHAN</x:v>
      </x:c>
      <x:c r="C32" t="n">
        <x:f>COUNTIF(PROFILE_ND30!$B$7:$B$500,B32)</x:f>
        <x:v>1</x:v>
      </x:c>
      <x:c r="D32" t="str">
        <x:f>IF(LEFT(B32,LEN(A32)+1)=A32&amp;".","OK","SAI PREFIX")</x:f>
        <x:v>OK</x:v>
      </x:c>
      <x:c r="E32" t="str">
        <x:f>IF(COUNTIF(ND30!$B$7:$B$500,B32)=1,"OK","MÃ NGUỒN KHÔNG DUY NHẤT")</x:f>
        <x:v>OK</x:v>
      </x:c>
      <x:c r="F32" t="str">
        <x:f>IFERROR(INDEX(PROFILE_ND30!$CC$7:$CC$500,MATCH($B32,PROFILE_ND30!$B$7:$B$500,0)),"UNRESOLVED")</x:f>
        <x:v>CHỈ SAU REVIEW</x:v>
      </x:c>
      <x:c r="G32" t="str">
        <x:f>IFERROR(INDEX(PROFILE_ND30!$CD$7:$CD$500,MATCH($B32,PROFILE_ND30!$B$7:$B$500,0)),"UNRESOLVED")</x:f>
        <x:v>CHECK_ONLY</x:v>
      </x:c>
      <x:c r="H32" t="str">
        <x:f>IFERROR(INDEX(PROFILE_ND30!$CK$7:$CK$500,MATCH($B32,PROFILE_ND30!$B$7:$B$500,0)),"UNRESOLVED")</x:f>
        <x:v>KHÔNG</x:v>
      </x:c>
      <x:c r="I32" t="str">
        <x:f>IFERROR(INDEX(PROFILE_ND30!$CA$7:$CA$500,MATCH($B32,PROFILE_ND30!$B$7:$B$500,0)),"UNRESOLVED")</x:f>
        <x:v>TEXT</x:v>
      </x:c>
      <x:c r="J32" t="str">
        <x:f>IFERROR(INDEX(PROFILE_ND30!$BZ$7:$BZ$500,MATCH($B32,PROFILE_ND30!$B$7:$B$500,0)),"UNRESOLVED")</x:f>
        <x:v>13–14</x:v>
      </x:c>
      <x:c r="K32" t="n">
        <x:f>IFERROR(INDEX(PROFILE_ND30!$AJ$7:$AJ$500,MATCH($B32,PROFILE_ND30!$B$7:$B$500,0)),"UNRESOLVED")</x:f>
        <x:v>14</x:v>
      </x:c>
      <x:c r="L32" t="str">
        <x:f>IF(K32="","N/A / CHƯA NHẬP",IF(AND(ISNUMBER(J32),ISNUMBER(K32),J32=K32),"KHỚP SỐ","CẦN KIỂM TRA THỦ CÔNG"))</x:f>
        <x:v>CẦN KIỂM TRA THỦ CÔNG</x:v>
      </x:c>
      <x:c r="M32" t="str">
        <x:f>IF(OR(C32&lt;&gt;1,D32&lt;&gt;"OK",E32&lt;&gt;"OK",H32&lt;&gt;"KHÔNG"),"BLOCK",IF(G32="PROTECTED","PROTECTED","CHECK_ONLY"))</x:f>
        <x:v>CHECK_ONLY</x:v>
      </x:c>
    </x:row>
    <x:row r="33">
      <x:c r="A33" t="str">
        <x:v>ND30</x:v>
      </x:c>
      <x:c r="B33" t="str">
        <x:f>ND30!B33</x:f>
        <x:v>ND30.N.DM.CHUONG</x:v>
      </x:c>
      <x:c r="C33" t="n">
        <x:f>COUNTIF(PROFILE_ND30!$B$7:$B$500,B33)</x:f>
        <x:v>1</x:v>
      </x:c>
      <x:c r="D33" t="str">
        <x:f>IF(LEFT(B33,LEN(A33)+1)=A33&amp;".","OK","SAI PREFIX")</x:f>
        <x:v>OK</x:v>
      </x:c>
      <x:c r="E33" t="str">
        <x:f>IF(COUNTIF(ND30!$B$7:$B$500,B33)=1,"OK","MÃ NGUỒN KHÔNG DUY NHẤT")</x:f>
        <x:v>OK</x:v>
      </x:c>
      <x:c r="F33" t="str">
        <x:f>IFERROR(INDEX(PROFILE_ND30!$CC$7:$CC$500,MATCH($B33,PROFILE_ND30!$B$7:$B$500,0)),"UNRESOLVED")</x:f>
        <x:v>CHỈ SAU REVIEW</x:v>
      </x:c>
      <x:c r="G33" t="str">
        <x:f>IFERROR(INDEX(PROFILE_ND30!$CD$7:$CD$500,MATCH($B33,PROFILE_ND30!$B$7:$B$500,0)),"UNRESOLVED")</x:f>
        <x:v>CHECK_ONLY</x:v>
      </x:c>
      <x:c r="H33" t="str">
        <x:f>IFERROR(INDEX(PROFILE_ND30!$CK$7:$CK$500,MATCH($B33,PROFILE_ND30!$B$7:$B$500,0)),"UNRESOLVED")</x:f>
        <x:v>KHÔNG</x:v>
      </x:c>
      <x:c r="I33" t="str">
        <x:f>IFERROR(INDEX(PROFILE_ND30!$CA$7:$CA$500,MATCH($B33,PROFILE_ND30!$B$7:$B$500,0)),"UNRESOLVED")</x:f>
        <x:v>TEXT</x:v>
      </x:c>
      <x:c r="J33" t="str">
        <x:f>IFERROR(INDEX(PROFILE_ND30!$BZ$7:$BZ$500,MATCH($B33,PROFILE_ND30!$B$7:$B$500,0)),"UNRESOLVED")</x:f>
        <x:v>13–14</x:v>
      </x:c>
      <x:c r="K33" t="n">
        <x:f>IFERROR(INDEX(PROFILE_ND30!$AJ$7:$AJ$500,MATCH($B33,PROFILE_ND30!$B$7:$B$500,0)),"UNRESOLVED")</x:f>
        <x:v>14</x:v>
      </x:c>
      <x:c r="L33" t="str">
        <x:f>IF(K33="","N/A / CHƯA NHẬP",IF(AND(ISNUMBER(J33),ISNUMBER(K33),J33=K33),"KHỚP SỐ","CẦN KIỂM TRA THỦ CÔNG"))</x:f>
        <x:v>CẦN KIỂM TRA THỦ CÔNG</x:v>
      </x:c>
      <x:c r="M33" t="str">
        <x:f>IF(OR(C33&lt;&gt;1,D33&lt;&gt;"OK",E33&lt;&gt;"OK",H33&lt;&gt;"KHÔNG"),"BLOCK",IF(G33="PROTECTED","PROTECTED","CHECK_ONLY"))</x:f>
        <x:v>CHECK_ONLY</x:v>
      </x:c>
    </x:row>
    <x:row r="34">
      <x:c r="A34" t="str">
        <x:v>ND30</x:v>
      </x:c>
      <x:c r="B34" t="str">
        <x:f>ND30!B34</x:f>
        <x:v>ND30.N.DM.MUC</x:v>
      </x:c>
      <x:c r="C34" t="n">
        <x:f>COUNTIF(PROFILE_ND30!$B$7:$B$500,B34)</x:f>
        <x:v>1</x:v>
      </x:c>
      <x:c r="D34" t="str">
        <x:f>IF(LEFT(B34,LEN(A34)+1)=A34&amp;".","OK","SAI PREFIX")</x:f>
        <x:v>OK</x:v>
      </x:c>
      <x:c r="E34" t="str">
        <x:f>IF(COUNTIF(ND30!$B$7:$B$500,B34)=1,"OK","MÃ NGUỒN KHÔNG DUY NHẤT")</x:f>
        <x:v>OK</x:v>
      </x:c>
      <x:c r="F34" t="str">
        <x:f>IFERROR(INDEX(PROFILE_ND30!$CC$7:$CC$500,MATCH($B34,PROFILE_ND30!$B$7:$B$500,0)),"UNRESOLVED")</x:f>
        <x:v>CHỈ SAU REVIEW</x:v>
      </x:c>
      <x:c r="G34" t="str">
        <x:f>IFERROR(INDEX(PROFILE_ND30!$CD$7:$CD$500,MATCH($B34,PROFILE_ND30!$B$7:$B$500,0)),"UNRESOLVED")</x:f>
        <x:v>CHECK_ONLY</x:v>
      </x:c>
      <x:c r="H34" t="str">
        <x:f>IFERROR(INDEX(PROFILE_ND30!$CK$7:$CK$500,MATCH($B34,PROFILE_ND30!$B$7:$B$500,0)),"UNRESOLVED")</x:f>
        <x:v>KHÔNG</x:v>
      </x:c>
      <x:c r="I34" t="str">
        <x:f>IFERROR(INDEX(PROFILE_ND30!$CA$7:$CA$500,MATCH($B34,PROFILE_ND30!$B$7:$B$500,0)),"UNRESOLVED")</x:f>
        <x:v>TEXT</x:v>
      </x:c>
      <x:c r="J34" t="str">
        <x:f>IFERROR(INDEX(PROFILE_ND30!$BZ$7:$BZ$500,MATCH($B34,PROFILE_ND30!$B$7:$B$500,0)),"UNRESOLVED")</x:f>
        <x:v>13–14</x:v>
      </x:c>
      <x:c r="K34" t="n">
        <x:f>IFERROR(INDEX(PROFILE_ND30!$AJ$7:$AJ$500,MATCH($B34,PROFILE_ND30!$B$7:$B$500,0)),"UNRESOLVED")</x:f>
        <x:v>14</x:v>
      </x:c>
      <x:c r="L34" t="str">
        <x:f>IF(K34="","N/A / CHƯA NHẬP",IF(AND(ISNUMBER(J34),ISNUMBER(K34),J34=K34),"KHỚP SỐ","CẦN KIỂM TRA THỦ CÔNG"))</x:f>
        <x:v>CẦN KIỂM TRA THỦ CÔNG</x:v>
      </x:c>
      <x:c r="M34" t="str">
        <x:f>IF(OR(C34&lt;&gt;1,D34&lt;&gt;"OK",E34&lt;&gt;"OK",H34&lt;&gt;"KHÔNG"),"BLOCK",IF(G34="PROTECTED","PROTECTED","CHECK_ONLY"))</x:f>
        <x:v>CHECK_ONLY</x:v>
      </x:c>
    </x:row>
    <x:row r="35">
      <x:c r="A35" t="str">
        <x:v>ND30</x:v>
      </x:c>
      <x:c r="B35" t="str">
        <x:f>ND30!B35</x:f>
        <x:v>ND30.N.DM.TIEU_MUC</x:v>
      </x:c>
      <x:c r="C35" t="n">
        <x:f>COUNTIF(PROFILE_ND30!$B$7:$B$500,B35)</x:f>
        <x:v>1</x:v>
      </x:c>
      <x:c r="D35" t="str">
        <x:f>IF(LEFT(B35,LEN(A35)+1)=A35&amp;".","OK","SAI PREFIX")</x:f>
        <x:v>OK</x:v>
      </x:c>
      <x:c r="E35" t="str">
        <x:f>IF(COUNTIF(ND30!$B$7:$B$500,B35)=1,"OK","MÃ NGUỒN KHÔNG DUY NHẤT")</x:f>
        <x:v>OK</x:v>
      </x:c>
      <x:c r="F35" t="str">
        <x:f>IFERROR(INDEX(PROFILE_ND30!$CC$7:$CC$500,MATCH($B35,PROFILE_ND30!$B$7:$B$500,0)),"UNRESOLVED")</x:f>
        <x:v>CHỈ SAU REVIEW</x:v>
      </x:c>
      <x:c r="G35" t="str">
        <x:f>IFERROR(INDEX(PROFILE_ND30!$CD$7:$CD$500,MATCH($B35,PROFILE_ND30!$B$7:$B$500,0)),"UNRESOLVED")</x:f>
        <x:v>CHECK_ONLY</x:v>
      </x:c>
      <x:c r="H35" t="str">
        <x:f>IFERROR(INDEX(PROFILE_ND30!$CK$7:$CK$500,MATCH($B35,PROFILE_ND30!$B$7:$B$500,0)),"UNRESOLVED")</x:f>
        <x:v>KHÔNG</x:v>
      </x:c>
      <x:c r="I35" t="str">
        <x:f>IFERROR(INDEX(PROFILE_ND30!$CA$7:$CA$500,MATCH($B35,PROFILE_ND30!$B$7:$B$500,0)),"UNRESOLVED")</x:f>
        <x:v>TEXT</x:v>
      </x:c>
      <x:c r="J35" t="str">
        <x:f>IFERROR(INDEX(PROFILE_ND30!$BZ$7:$BZ$500,MATCH($B35,PROFILE_ND30!$B$7:$B$500,0)),"UNRESOLVED")</x:f>
        <x:v>13–14</x:v>
      </x:c>
      <x:c r="K35" t="n">
        <x:f>IFERROR(INDEX(PROFILE_ND30!$AJ$7:$AJ$500,MATCH($B35,PROFILE_ND30!$B$7:$B$500,0)),"UNRESOLVED")</x:f>
        <x:v>14</x:v>
      </x:c>
      <x:c r="L35" t="str">
        <x:f>IF(K35="","N/A / CHƯA NHẬP",IF(AND(ISNUMBER(J35),ISNUMBER(K35),J35=K35),"KHỚP SỐ","CẦN KIỂM TRA THỦ CÔNG"))</x:f>
        <x:v>CẦN KIỂM TRA THỦ CÔNG</x:v>
      </x:c>
      <x:c r="M35" t="str">
        <x:f>IF(OR(C35&lt;&gt;1,D35&lt;&gt;"OK",E35&lt;&gt;"OK",H35&lt;&gt;"KHÔNG"),"BLOCK",IF(G35="PROTECTED","PROTECTED","CHECK_ONLY"))</x:f>
        <x:v>CHECK_ONLY</x:v>
      </x:c>
    </x:row>
    <x:row r="36">
      <x:c r="A36" t="str">
        <x:v>ND30</x:v>
      </x:c>
      <x:c r="B36" t="str">
        <x:f>ND30!B36</x:f>
        <x:v>ND30.N.DIEU.SO_DIEU</x:v>
      </x:c>
      <x:c r="C36" t="n">
        <x:f>COUNTIF(PROFILE_ND30!$B$7:$B$500,B36)</x:f>
        <x:v>1</x:v>
      </x:c>
      <x:c r="D36" t="str">
        <x:f>IF(LEFT(B36,LEN(A36)+1)=A36&amp;".","OK","SAI PREFIX")</x:f>
        <x:v>OK</x:v>
      </x:c>
      <x:c r="E36" t="str">
        <x:f>IF(COUNTIF(ND30!$B$7:$B$500,B36)=1,"OK","MÃ NGUỒN KHÔNG DUY NHẤT")</x:f>
        <x:v>OK</x:v>
      </x:c>
      <x:c r="F36" t="str">
        <x:f>IFERROR(INDEX(PROFILE_ND30!$CC$7:$CC$500,MATCH($B36,PROFILE_ND30!$B$7:$B$500,0)),"UNRESOLVED")</x:f>
        <x:v>CHỈ SAU REVIEW</x:v>
      </x:c>
      <x:c r="G36" t="str">
        <x:f>IFERROR(INDEX(PROFILE_ND30!$CD$7:$CD$500,MATCH($B36,PROFILE_ND30!$B$7:$B$500,0)),"UNRESOLVED")</x:f>
        <x:v>CHECK_ONLY</x:v>
      </x:c>
      <x:c r="H36" t="str">
        <x:f>IFERROR(INDEX(PROFILE_ND30!$CK$7:$CK$500,MATCH($B36,PROFILE_ND30!$B$7:$B$500,0)),"UNRESOLVED")</x:f>
        <x:v>KHÔNG</x:v>
      </x:c>
      <x:c r="I36" t="str">
        <x:f>IFERROR(INDEX(PROFILE_ND30!$CA$7:$CA$500,MATCH($B36,PROFILE_ND30!$B$7:$B$500,0)),"UNRESOLVED")</x:f>
        <x:v>TEXT</x:v>
      </x:c>
      <x:c r="J36" t="str">
        <x:f>IFERROR(INDEX(PROFILE_ND30!$BZ$7:$BZ$500,MATCH($B36,PROFILE_ND30!$B$7:$B$500,0)),"UNRESOLVED")</x:f>
        <x:v>13–14</x:v>
      </x:c>
      <x:c r="K36" t="n">
        <x:f>IFERROR(INDEX(PROFILE_ND30!$AJ$7:$AJ$500,MATCH($B36,PROFILE_ND30!$B$7:$B$500,0)),"UNRESOLVED")</x:f>
        <x:v>14</x:v>
      </x:c>
      <x:c r="L36" t="str">
        <x:f>IF(K36="","N/A / CHƯA NHẬP",IF(AND(ISNUMBER(J36),ISNUMBER(K36),J36=K36),"KHỚP SỐ","CẦN KIỂM TRA THỦ CÔNG"))</x:f>
        <x:v>CẦN KIỂM TRA THỦ CÔNG</x:v>
      </x:c>
      <x:c r="M36" t="str">
        <x:f>IF(OR(C36&lt;&gt;1,D36&lt;&gt;"OK",E36&lt;&gt;"OK",H36&lt;&gt;"KHÔNG"),"BLOCK",IF(G36="PROTECTED","PROTECTED","CHECK_ONLY"))</x:f>
        <x:v>CHECK_ONLY</x:v>
      </x:c>
    </x:row>
    <x:row r="37">
      <x:c r="A37" t="str">
        <x:v>ND30</x:v>
      </x:c>
      <x:c r="B37" t="str">
        <x:f>ND30!B37</x:f>
        <x:v>ND30.N.DIEU.TEN_DIEU</x:v>
      </x:c>
      <x:c r="C37" t="n">
        <x:f>COUNTIF(PROFILE_ND30!$B$7:$B$500,B37)</x:f>
        <x:v>1</x:v>
      </x:c>
      <x:c r="D37" t="str">
        <x:f>IF(LEFT(B37,LEN(A37)+1)=A37&amp;".","OK","SAI PREFIX")</x:f>
        <x:v>OK</x:v>
      </x:c>
      <x:c r="E37" t="str">
        <x:f>IF(COUNTIF(ND30!$B$7:$B$500,B37)=1,"OK","MÃ NGUỒN KHÔNG DUY NHẤT")</x:f>
        <x:v>OK</x:v>
      </x:c>
      <x:c r="F37" t="str">
        <x:f>IFERROR(INDEX(PROFILE_ND30!$CC$7:$CC$500,MATCH($B37,PROFILE_ND30!$B$7:$B$500,0)),"UNRESOLVED")</x:f>
        <x:v>CHỈ SAU REVIEW</x:v>
      </x:c>
      <x:c r="G37" t="str">
        <x:f>IFERROR(INDEX(PROFILE_ND30!$CD$7:$CD$500,MATCH($B37,PROFILE_ND30!$B$7:$B$500,0)),"UNRESOLVED")</x:f>
        <x:v>CHECK_ONLY</x:v>
      </x:c>
      <x:c r="H37" t="str">
        <x:f>IFERROR(INDEX(PROFILE_ND30!$CK$7:$CK$500,MATCH($B37,PROFILE_ND30!$B$7:$B$500,0)),"UNRESOLVED")</x:f>
        <x:v>KHÔNG</x:v>
      </x:c>
      <x:c r="I37" t="str">
        <x:f>IFERROR(INDEX(PROFILE_ND30!$CA$7:$CA$500,MATCH($B37,PROFILE_ND30!$B$7:$B$500,0)),"UNRESOLVED")</x:f>
        <x:v>TEXT</x:v>
      </x:c>
      <x:c r="J37" t="str">
        <x:f>IFERROR(INDEX(PROFILE_ND30!$BZ$7:$BZ$500,MATCH($B37,PROFILE_ND30!$B$7:$B$500,0)),"UNRESOLVED")</x:f>
        <x:v>13–14</x:v>
      </x:c>
      <x:c r="K37" t="n">
        <x:f>IFERROR(INDEX(PROFILE_ND30!$AJ$7:$AJ$500,MATCH($B37,PROFILE_ND30!$B$7:$B$500,0)),"UNRESOLVED")</x:f>
        <x:v>14</x:v>
      </x:c>
      <x:c r="L37" t="str">
        <x:f>IF(K37="","N/A / CHƯA NHẬP",IF(AND(ISNUMBER(J37),ISNUMBER(K37),J37=K37),"KHỚP SỐ","CẦN KIỂM TRA THỦ CÔNG"))</x:f>
        <x:v>CẦN KIỂM TRA THỦ CÔNG</x:v>
      </x:c>
      <x:c r="M37" t="str">
        <x:f>IF(OR(C37&lt;&gt;1,D37&lt;&gt;"OK",E37&lt;&gt;"OK",H37&lt;&gt;"KHÔNG"),"BLOCK",IF(G37="PROTECTED","PROTECTED","CHECK_ONLY"))</x:f>
        <x:v>CHECK_ONLY</x:v>
      </x:c>
    </x:row>
    <x:row r="38">
      <x:c r="A38" t="str">
        <x:v>ND30</x:v>
      </x:c>
      <x:c r="B38" t="str">
        <x:f>ND30!B38</x:f>
        <x:v>ND30.N.DIEU.NOI_DUNG_DIEU</x:v>
      </x:c>
      <x:c r="C38" t="n">
        <x:f>COUNTIF(PROFILE_ND30!$B$7:$B$500,B38)</x:f>
        <x:v>1</x:v>
      </x:c>
      <x:c r="D38" t="str">
        <x:f>IF(LEFT(B38,LEN(A38)+1)=A38&amp;".","OK","SAI PREFIX")</x:f>
        <x:v>OK</x:v>
      </x:c>
      <x:c r="E38" t="str">
        <x:f>IF(COUNTIF(ND30!$B$7:$B$500,B38)=1,"OK","MÃ NGUỒN KHÔNG DUY NHẤT")</x:f>
        <x:v>OK</x:v>
      </x:c>
      <x:c r="F38" t="str">
        <x:f>IFERROR(INDEX(PROFILE_ND30!$CC$7:$CC$500,MATCH($B38,PROFILE_ND30!$B$7:$B$500,0)),"UNRESOLVED")</x:f>
        <x:v>CHỈ SAU REVIEW</x:v>
      </x:c>
      <x:c r="G38" t="str">
        <x:f>IFERROR(INDEX(PROFILE_ND30!$CD$7:$CD$500,MATCH($B38,PROFILE_ND30!$B$7:$B$500,0)),"UNRESOLVED")</x:f>
        <x:v>CHECK_ONLY</x:v>
      </x:c>
      <x:c r="H38" t="str">
        <x:f>IFERROR(INDEX(PROFILE_ND30!$CK$7:$CK$500,MATCH($B38,PROFILE_ND30!$B$7:$B$500,0)),"UNRESOLVED")</x:f>
        <x:v>KHÔNG</x:v>
      </x:c>
      <x:c r="I38" t="str">
        <x:f>IFERROR(INDEX(PROFILE_ND30!$CA$7:$CA$500,MATCH($B38,PROFILE_ND30!$B$7:$B$500,0)),"UNRESOLVED")</x:f>
        <x:v>TEXT</x:v>
      </x:c>
      <x:c r="J38" t="str">
        <x:f>IFERROR(INDEX(PROFILE_ND30!$BZ$7:$BZ$500,MATCH($B38,PROFILE_ND30!$B$7:$B$500,0)),"UNRESOLVED")</x:f>
        <x:v>13–14</x:v>
      </x:c>
      <x:c r="K38" t="n">
        <x:f>IFERROR(INDEX(PROFILE_ND30!$AJ$7:$AJ$500,MATCH($B38,PROFILE_ND30!$B$7:$B$500,0)),"UNRESOLVED")</x:f>
        <x:v>14</x:v>
      </x:c>
      <x:c r="L38" t="str">
        <x:f>IF(K38="","N/A / CHƯA NHẬP",IF(AND(ISNUMBER(J38),ISNUMBER(K38),J38=K38),"KHỚP SỐ","CẦN KIỂM TRA THỦ CÔNG"))</x:f>
        <x:v>CẦN KIỂM TRA THỦ CÔNG</x:v>
      </x:c>
      <x:c r="M38" t="str">
        <x:f>IF(OR(C38&lt;&gt;1,D38&lt;&gt;"OK",E38&lt;&gt;"OK",H38&lt;&gt;"KHÔNG"),"BLOCK",IF(G38="PROTECTED","PROTECTED","CHECK_ONLY"))</x:f>
        <x:v>CHECK_ONLY</x:v>
      </x:c>
    </x:row>
    <x:row r="39">
      <x:c r="A39" t="str">
        <x:v>ND30</x:v>
      </x:c>
      <x:c r="B39" t="str">
        <x:f>ND30!B39</x:f>
        <x:v>ND30.N.KD.KHOAN</x:v>
      </x:c>
      <x:c r="C39" t="n">
        <x:f>COUNTIF(PROFILE_ND30!$B$7:$B$500,B39)</x:f>
        <x:v>1</x:v>
      </x:c>
      <x:c r="D39" t="str">
        <x:f>IF(LEFT(B39,LEN(A39)+1)=A39&amp;".","OK","SAI PREFIX")</x:f>
        <x:v>OK</x:v>
      </x:c>
      <x:c r="E39" t="str">
        <x:f>IF(COUNTIF(ND30!$B$7:$B$500,B39)=1,"OK","MÃ NGUỒN KHÔNG DUY NHẤT")</x:f>
        <x:v>OK</x:v>
      </x:c>
      <x:c r="F39" t="str">
        <x:f>IFERROR(INDEX(PROFILE_ND30!$CC$7:$CC$500,MATCH($B39,PROFILE_ND30!$B$7:$B$500,0)),"UNRESOLVED")</x:f>
        <x:v>CHỈ SAU REVIEW</x:v>
      </x:c>
      <x:c r="G39" t="str">
        <x:f>IFERROR(INDEX(PROFILE_ND30!$CD$7:$CD$500,MATCH($B39,PROFILE_ND30!$B$7:$B$500,0)),"UNRESOLVED")</x:f>
        <x:v>CHECK_ONLY</x:v>
      </x:c>
      <x:c r="H39" t="str">
        <x:f>IFERROR(INDEX(PROFILE_ND30!$CK$7:$CK$500,MATCH($B39,PROFILE_ND30!$B$7:$B$500,0)),"UNRESOLVED")</x:f>
        <x:v>KHÔNG</x:v>
      </x:c>
      <x:c r="I39" t="str">
        <x:f>IFERROR(INDEX(PROFILE_ND30!$CA$7:$CA$500,MATCH($B39,PROFILE_ND30!$B$7:$B$500,0)),"UNRESOLVED")</x:f>
        <x:v>TEXT</x:v>
      </x:c>
      <x:c r="J39" t="str">
        <x:f>IFERROR(INDEX(PROFILE_ND30!$BZ$7:$BZ$500,MATCH($B39,PROFILE_ND30!$B$7:$B$500,0)),"UNRESOLVED")</x:f>
        <x:v>13–14</x:v>
      </x:c>
      <x:c r="K39" t="n">
        <x:f>IFERROR(INDEX(PROFILE_ND30!$AJ$7:$AJ$500,MATCH($B39,PROFILE_ND30!$B$7:$B$500,0)),"UNRESOLVED")</x:f>
        <x:v>14</x:v>
      </x:c>
      <x:c r="L39" t="str">
        <x:f>IF(K39="","N/A / CHƯA NHẬP",IF(AND(ISNUMBER(J39),ISNUMBER(K39),J39=K39),"KHỚP SỐ","CẦN KIỂM TRA THỦ CÔNG"))</x:f>
        <x:v>CẦN KIỂM TRA THỦ CÔNG</x:v>
      </x:c>
      <x:c r="M39" t="str">
        <x:f>IF(OR(C39&lt;&gt;1,D39&lt;&gt;"OK",E39&lt;&gt;"OK",H39&lt;&gt;"KHÔNG"),"BLOCK",IF(G39="PROTECTED","PROTECTED","CHECK_ONLY"))</x:f>
        <x:v>CHECK_ONLY</x:v>
      </x:c>
    </x:row>
    <x:row r="40">
      <x:c r="A40" t="str">
        <x:v>ND30</x:v>
      </x:c>
      <x:c r="B40" t="str">
        <x:f>ND30!B40</x:f>
        <x:v>ND30.N.KD.DIEM</x:v>
      </x:c>
      <x:c r="C40" t="n">
        <x:f>COUNTIF(PROFILE_ND30!$B$7:$B$500,B40)</x:f>
        <x:v>1</x:v>
      </x:c>
      <x:c r="D40" t="str">
        <x:f>IF(LEFT(B40,LEN(A40)+1)=A40&amp;".","OK","SAI PREFIX")</x:f>
        <x:v>OK</x:v>
      </x:c>
      <x:c r="E40" t="str">
        <x:f>IF(COUNTIF(ND30!$B$7:$B$500,B40)=1,"OK","MÃ NGUỒN KHÔNG DUY NHẤT")</x:f>
        <x:v>OK</x:v>
      </x:c>
      <x:c r="F40" t="str">
        <x:f>IFERROR(INDEX(PROFILE_ND30!$CC$7:$CC$500,MATCH($B40,PROFILE_ND30!$B$7:$B$500,0)),"UNRESOLVED")</x:f>
        <x:v>CHỈ SAU REVIEW</x:v>
      </x:c>
      <x:c r="G40" t="str">
        <x:f>IFERROR(INDEX(PROFILE_ND30!$CD$7:$CD$500,MATCH($B40,PROFILE_ND30!$B$7:$B$500,0)),"UNRESOLVED")</x:f>
        <x:v>CHECK_ONLY</x:v>
      </x:c>
      <x:c r="H40" t="str">
        <x:f>IFERROR(INDEX(PROFILE_ND30!$CK$7:$CK$500,MATCH($B40,PROFILE_ND30!$B$7:$B$500,0)),"UNRESOLVED")</x:f>
        <x:v>KHÔNG</x:v>
      </x:c>
      <x:c r="I40" t="str">
        <x:f>IFERROR(INDEX(PROFILE_ND30!$CA$7:$CA$500,MATCH($B40,PROFILE_ND30!$B$7:$B$500,0)),"UNRESOLVED")</x:f>
        <x:v>TEXT</x:v>
      </x:c>
      <x:c r="J40" t="str">
        <x:f>IFERROR(INDEX(PROFILE_ND30!$BZ$7:$BZ$500,MATCH($B40,PROFILE_ND30!$B$7:$B$500,0)),"UNRESOLVED")</x:f>
        <x:v>13–14</x:v>
      </x:c>
      <x:c r="K40" t="n">
        <x:f>IFERROR(INDEX(PROFILE_ND30!$AJ$7:$AJ$500,MATCH($B40,PROFILE_ND30!$B$7:$B$500,0)),"UNRESOLVED")</x:f>
        <x:v>14</x:v>
      </x:c>
      <x:c r="L40" t="str">
        <x:f>IF(K40="","N/A / CHƯA NHẬP",IF(AND(ISNUMBER(J40),ISNUMBER(K40),J40=K40),"KHỚP SỐ","CẦN KIỂM TRA THỦ CÔNG"))</x:f>
        <x:v>CẦN KIỂM TRA THỦ CÔNG</x:v>
      </x:c>
      <x:c r="M40" t="str">
        <x:f>IF(OR(C40&lt;&gt;1,D40&lt;&gt;"OK",E40&lt;&gt;"OK",H40&lt;&gt;"KHÔNG"),"BLOCK",IF(G40="PROTECTED","PROTECTED","CHECK_ONLY"))</x:f>
        <x:v>CHECK_ONLY</x:v>
      </x:c>
    </x:row>
    <x:row r="41">
      <x:c r="A41" t="str">
        <x:v>ND30</x:v>
      </x:c>
      <x:c r="B41" t="str">
        <x:f>ND30!B41</x:f>
        <x:v>ND30.N.KD.DANH_SACH</x:v>
      </x:c>
      <x:c r="C41" t="n">
        <x:f>COUNTIF(PROFILE_ND30!$B$7:$B$500,B41)</x:f>
        <x:v>1</x:v>
      </x:c>
      <x:c r="D41" t="str">
        <x:f>IF(LEFT(B41,LEN(A41)+1)=A41&amp;".","OK","SAI PREFIX")</x:f>
        <x:v>OK</x:v>
      </x:c>
      <x:c r="E41" t="str">
        <x:f>IF(COUNTIF(ND30!$B$7:$B$500,B41)=1,"OK","MÃ NGUỒN KHÔNG DUY NHẤT")</x:f>
        <x:v>OK</x:v>
      </x:c>
      <x:c r="F41" t="str">
        <x:f>IFERROR(INDEX(PROFILE_ND30!$CC$7:$CC$500,MATCH($B41,PROFILE_ND30!$B$7:$B$500,0)),"UNRESOLVED")</x:f>
        <x:v>CHỈ SAU REVIEW</x:v>
      </x:c>
      <x:c r="G41" t="str">
        <x:f>IFERROR(INDEX(PROFILE_ND30!$CD$7:$CD$500,MATCH($B41,PROFILE_ND30!$B$7:$B$500,0)),"UNRESOLVED")</x:f>
        <x:v>CHECK_ONLY</x:v>
      </x:c>
      <x:c r="H41" t="str">
        <x:f>IFERROR(INDEX(PROFILE_ND30!$CK$7:$CK$500,MATCH($B41,PROFILE_ND30!$B$7:$B$500,0)),"UNRESOLVED")</x:f>
        <x:v>KHÔNG</x:v>
      </x:c>
      <x:c r="I41" t="str">
        <x:f>IFERROR(INDEX(PROFILE_ND30!$CA$7:$CA$500,MATCH($B41,PROFILE_ND30!$B$7:$B$500,0)),"UNRESOLVED")</x:f>
        <x:v>TEXT</x:v>
      </x:c>
      <x:c r="J41" t="str">
        <x:f>IFERROR(INDEX(PROFILE_ND30!$BZ$7:$BZ$500,MATCH($B41,PROFILE_ND30!$B$7:$B$500,0)),"UNRESOLVED")</x:f>
        <x:v>13–14</x:v>
      </x:c>
      <x:c r="K41" t="n">
        <x:f>IFERROR(INDEX(PROFILE_ND30!$AJ$7:$AJ$500,MATCH($B41,PROFILE_ND30!$B$7:$B$500,0)),"UNRESOLVED")</x:f>
        <x:v>14</x:v>
      </x:c>
      <x:c r="L41" t="str">
        <x:f>IF(K41="","N/A / CHƯA NHẬP",IF(AND(ISNUMBER(J41),ISNUMBER(K41),J41=K41),"KHỚP SỐ","CẦN KIỂM TRA THỦ CÔNG"))</x:f>
        <x:v>CẦN KIỂM TRA THỦ CÔNG</x:v>
      </x:c>
      <x:c r="M41" t="str">
        <x:f>IF(OR(C41&lt;&gt;1,D41&lt;&gt;"OK",E41&lt;&gt;"OK",H41&lt;&gt;"KHÔNG"),"BLOCK",IF(G41="PROTECTED","PROTECTED","CHECK_ONLY"))</x:f>
        <x:v>CHECK_ONLY</x:v>
      </x:c>
    </x:row>
    <x:row r="42">
      <x:c r="A42" t="str">
        <x:v>ND30</x:v>
      </x:c>
      <x:c r="B42" t="str">
        <x:f>ND30!B42</x:f>
        <x:v>ND30.N.DOAN.VAN_BAN</x:v>
      </x:c>
      <x:c r="C42" t="n">
        <x:f>COUNTIF(PROFILE_ND30!$B$7:$B$500,B42)</x:f>
        <x:v>1</x:v>
      </x:c>
      <x:c r="D42" t="str">
        <x:f>IF(LEFT(B42,LEN(A42)+1)=A42&amp;".","OK","SAI PREFIX")</x:f>
        <x:v>OK</x:v>
      </x:c>
      <x:c r="E42" t="str">
        <x:f>IF(COUNTIF(ND30!$B$7:$B$500,B42)=1,"OK","MÃ NGUỒN KHÔNG DUY NHẤT")</x:f>
        <x:v>OK</x:v>
      </x:c>
      <x:c r="F42" t="str">
        <x:f>IFERROR(INDEX(PROFILE_ND30!$CC$7:$CC$500,MATCH($B42,PROFILE_ND30!$B$7:$B$500,0)),"UNRESOLVED")</x:f>
        <x:v>CHỈ SAU REVIEW</x:v>
      </x:c>
      <x:c r="G42" t="str">
        <x:f>IFERROR(INDEX(PROFILE_ND30!$CD$7:$CD$500,MATCH($B42,PROFILE_ND30!$B$7:$B$500,0)),"UNRESOLVED")</x:f>
        <x:v>CHECK_ONLY</x:v>
      </x:c>
      <x:c r="H42" t="str">
        <x:f>IFERROR(INDEX(PROFILE_ND30!$CK$7:$CK$500,MATCH($B42,PROFILE_ND30!$B$7:$B$500,0)),"UNRESOLVED")</x:f>
        <x:v>KHÔNG</x:v>
      </x:c>
      <x:c r="I42" t="str">
        <x:f>IFERROR(INDEX(PROFILE_ND30!$CA$7:$CA$500,MATCH($B42,PROFILE_ND30!$B$7:$B$500,0)),"UNRESOLVED")</x:f>
        <x:v>TEXT</x:v>
      </x:c>
      <x:c r="J42" t="str">
        <x:f>IFERROR(INDEX(PROFILE_ND30!$BZ$7:$BZ$500,MATCH($B42,PROFILE_ND30!$B$7:$B$500,0)),"UNRESOLVED")</x:f>
        <x:v>13–14</x:v>
      </x:c>
      <x:c r="K42" t="n">
        <x:f>IFERROR(INDEX(PROFILE_ND30!$AJ$7:$AJ$500,MATCH($B42,PROFILE_ND30!$B$7:$B$500,0)),"UNRESOLVED")</x:f>
        <x:v>14</x:v>
      </x:c>
      <x:c r="L42" t="str">
        <x:f>IF(K42="","N/A / CHƯA NHẬP",IF(AND(ISNUMBER(J42),ISNUMBER(K42),J42=K42),"KHỚP SỐ","CẦN KIỂM TRA THỦ CÔNG"))</x:f>
        <x:v>CẦN KIỂM TRA THỦ CÔNG</x:v>
      </x:c>
      <x:c r="M42" t="str">
        <x:f>IF(OR(C42&lt;&gt;1,D42&lt;&gt;"OK",E42&lt;&gt;"OK",H42&lt;&gt;"KHÔNG"),"BLOCK",IF(G42="PROTECTED","PROTECTED","CHECK_ONLY"))</x:f>
        <x:v>CHECK_ONLY</x:v>
      </x:c>
    </x:row>
    <x:row r="43">
      <x:c r="A43" t="str">
        <x:v>ND30</x:v>
      </x:c>
      <x:c r="B43" t="str">
        <x:f>ND30!B43</x:f>
        <x:v>ND30.N.BANG.TIEU_DE</x:v>
      </x:c>
      <x:c r="C43" t="n">
        <x:f>COUNTIF(PROFILE_ND30!$B$7:$B$500,B43)</x:f>
        <x:v>1</x:v>
      </x:c>
      <x:c r="D43" t="str">
        <x:f>IF(LEFT(B43,LEN(A43)+1)=A43&amp;".","OK","SAI PREFIX")</x:f>
        <x:v>OK</x:v>
      </x:c>
      <x:c r="E43" t="str">
        <x:f>IF(COUNTIF(ND30!$B$7:$B$500,B43)=1,"OK","MÃ NGUỒN KHÔNG DUY NHẤT")</x:f>
        <x:v>OK</x:v>
      </x:c>
      <x:c r="F43" t="str">
        <x:f>IFERROR(INDEX(PROFILE_ND30!$CC$7:$CC$500,MATCH($B43,PROFILE_ND30!$B$7:$B$500,0)),"UNRESOLVED")</x:f>
        <x:v>READ_ONLY</x:v>
      </x:c>
      <x:c r="G43" t="str">
        <x:f>IFERROR(INDEX(PROFILE_ND30!$CD$7:$CD$500,MATCH($B43,PROFILE_ND30!$B$7:$B$500,0)),"UNRESOLVED")</x:f>
        <x:v>PROTECTED</x:v>
      </x:c>
      <x:c r="H43" t="str">
        <x:f>IFERROR(INDEX(PROFILE_ND30!$CK$7:$CK$500,MATCH($B43,PROFILE_ND30!$B$7:$B$500,0)),"UNRESOLVED")</x:f>
        <x:v>KHÔNG</x:v>
      </x:c>
      <x:c r="I43" t="str">
        <x:f>IFERROR(INDEX(PROFILE_ND30!$CA$7:$CA$500,MATCH($B43,PROFILE_ND30!$B$7:$B$500,0)),"UNRESOLVED")</x:f>
        <x:v>TABLE</x:v>
      </x:c>
      <x:c r="J43" t="str">
        <x:f>IFERROR(INDEX(PROFILE_ND30!$BZ$7:$BZ$500,MATCH($B43,PROFILE_ND30!$B$7:$B$500,0)),"UNRESOLVED")</x:f>
        <x:v>Theo khối/bảng đã xác minh</x:v>
      </x:c>
      <x:c r="K43" t="n">
        <x:f>IFERROR(INDEX(PROFILE_ND30!$AJ$7:$AJ$500,MATCH($B43,PROFILE_ND30!$B$7:$B$500,0)),"UNRESOLVED")</x:f>
        <x:v>13</x:v>
      </x:c>
      <x:c r="L43" t="str">
        <x:f>IF(K43="","N/A / CHƯA NHẬP",IF(AND(ISNUMBER(J43),ISNUMBER(K43),J43=K43),"KHỚP SỐ","CẦN KIỂM TRA THỦ CÔNG"))</x:f>
        <x:v>CẦN KIỂM TRA THỦ CÔNG</x:v>
      </x:c>
      <x:c r="M43" t="str">
        <x:f>IF(OR(C43&lt;&gt;1,D43&lt;&gt;"OK",E43&lt;&gt;"OK",H43&lt;&gt;"KHÔNG"),"BLOCK",IF(G43="PROTECTED","PROTECTED","CHECK_ONLY"))</x:f>
        <x:v>PROTECTED</x:v>
      </x:c>
    </x:row>
    <x:row r="44">
      <x:c r="A44" t="str">
        <x:v>ND30</x:v>
      </x:c>
      <x:c r="B44" t="str">
        <x:f>ND30!B44</x:f>
        <x:v>ND30.N.BANG.DAU_BANG</x:v>
      </x:c>
      <x:c r="C44" t="n">
        <x:f>COUNTIF(PROFILE_ND30!$B$7:$B$500,B44)</x:f>
        <x:v>1</x:v>
      </x:c>
      <x:c r="D44" t="str">
        <x:f>IF(LEFT(B44,LEN(A44)+1)=A44&amp;".","OK","SAI PREFIX")</x:f>
        <x:v>OK</x:v>
      </x:c>
      <x:c r="E44" t="str">
        <x:f>IF(COUNTIF(ND30!$B$7:$B$500,B44)=1,"OK","MÃ NGUỒN KHÔNG DUY NHẤT")</x:f>
        <x:v>OK</x:v>
      </x:c>
      <x:c r="F44" t="str">
        <x:f>IFERROR(INDEX(PROFILE_ND30!$CC$7:$CC$500,MATCH($B44,PROFILE_ND30!$B$7:$B$500,0)),"UNRESOLVED")</x:f>
        <x:v>READ_ONLY</x:v>
      </x:c>
      <x:c r="G44" t="str">
        <x:f>IFERROR(INDEX(PROFILE_ND30!$CD$7:$CD$500,MATCH($B44,PROFILE_ND30!$B$7:$B$500,0)),"UNRESOLVED")</x:f>
        <x:v>PROTECTED</x:v>
      </x:c>
      <x:c r="H44" t="str">
        <x:f>IFERROR(INDEX(PROFILE_ND30!$CK$7:$CK$500,MATCH($B44,PROFILE_ND30!$B$7:$B$500,0)),"UNRESOLVED")</x:f>
        <x:v>KHÔNG</x:v>
      </x:c>
      <x:c r="I44" t="str">
        <x:f>IFERROR(INDEX(PROFILE_ND30!$CA$7:$CA$500,MATCH($B44,PROFILE_ND30!$B$7:$B$500,0)),"UNRESOLVED")</x:f>
        <x:v>TABLE</x:v>
      </x:c>
      <x:c r="J44" t="str">
        <x:f>IFERROR(INDEX(PROFILE_ND30!$BZ$7:$BZ$500,MATCH($B44,PROFILE_ND30!$B$7:$B$500,0)),"UNRESOLVED")</x:f>
        <x:v>Theo khối/bảng đã xác minh</x:v>
      </x:c>
      <x:c r="K44" t="n">
        <x:f>IFERROR(INDEX(PROFILE_ND30!$AJ$7:$AJ$500,MATCH($B44,PROFILE_ND30!$B$7:$B$500,0)),"UNRESOLVED")</x:f>
        <x:v>13</x:v>
      </x:c>
      <x:c r="L44" t="str">
        <x:f>IF(K44="","N/A / CHƯA NHẬP",IF(AND(ISNUMBER(J44),ISNUMBER(K44),J44=K44),"KHỚP SỐ","CẦN KIỂM TRA THỦ CÔNG"))</x:f>
        <x:v>CẦN KIỂM TRA THỦ CÔNG</x:v>
      </x:c>
      <x:c r="M44" t="str">
        <x:f>IF(OR(C44&lt;&gt;1,D44&lt;&gt;"OK",E44&lt;&gt;"OK",H44&lt;&gt;"KHÔNG"),"BLOCK",IF(G44="PROTECTED","PROTECTED","CHECK_ONLY"))</x:f>
        <x:v>PROTECTED</x:v>
      </x:c>
    </x:row>
    <x:row r="45">
      <x:c r="A45" t="str">
        <x:v>ND30</x:v>
      </x:c>
      <x:c r="B45" t="str">
        <x:f>ND30!B45</x:f>
        <x:v>ND30.N.BANG.HANG</x:v>
      </x:c>
      <x:c r="C45" t="n">
        <x:f>COUNTIF(PROFILE_ND30!$B$7:$B$500,B45)</x:f>
        <x:v>1</x:v>
      </x:c>
      <x:c r="D45" t="str">
        <x:f>IF(LEFT(B45,LEN(A45)+1)=A45&amp;".","OK","SAI PREFIX")</x:f>
        <x:v>OK</x:v>
      </x:c>
      <x:c r="E45" t="str">
        <x:f>IF(COUNTIF(ND30!$B$7:$B$500,B45)=1,"OK","MÃ NGUỒN KHÔNG DUY NHẤT")</x:f>
        <x:v>OK</x:v>
      </x:c>
      <x:c r="F45" t="str">
        <x:f>IFERROR(INDEX(PROFILE_ND30!$CC$7:$CC$500,MATCH($B45,PROFILE_ND30!$B$7:$B$500,0)),"UNRESOLVED")</x:f>
        <x:v>READ_ONLY</x:v>
      </x:c>
      <x:c r="G45" t="str">
        <x:f>IFERROR(INDEX(PROFILE_ND30!$CD$7:$CD$500,MATCH($B45,PROFILE_ND30!$B$7:$B$500,0)),"UNRESOLVED")</x:f>
        <x:v>PROTECTED</x:v>
      </x:c>
      <x:c r="H45" t="str">
        <x:f>IFERROR(INDEX(PROFILE_ND30!$CK$7:$CK$500,MATCH($B45,PROFILE_ND30!$B$7:$B$500,0)),"UNRESOLVED")</x:f>
        <x:v>KHÔNG</x:v>
      </x:c>
      <x:c r="I45" t="str">
        <x:f>IFERROR(INDEX(PROFILE_ND30!$CA$7:$CA$500,MATCH($B45,PROFILE_ND30!$B$7:$B$500,0)),"UNRESOLVED")</x:f>
        <x:v>TABLE</x:v>
      </x:c>
      <x:c r="J45" t="str">
        <x:f>IFERROR(INDEX(PROFILE_ND30!$BZ$7:$BZ$500,MATCH($B45,PROFILE_ND30!$B$7:$B$500,0)),"UNRESOLVED")</x:f>
        <x:v>Theo khối/bảng đã xác minh</x:v>
      </x:c>
      <x:c r="K45" t="n">
        <x:f>IFERROR(INDEX(PROFILE_ND30!$AJ$7:$AJ$500,MATCH($B45,PROFILE_ND30!$B$7:$B$500,0)),"UNRESOLVED")</x:f>
        <x:v>13</x:v>
      </x:c>
      <x:c r="L45" t="str">
        <x:f>IF(K45="","N/A / CHƯA NHẬP",IF(AND(ISNUMBER(J45),ISNUMBER(K45),J45=K45),"KHỚP SỐ","CẦN KIỂM TRA THỦ CÔNG"))</x:f>
        <x:v>CẦN KIỂM TRA THỦ CÔNG</x:v>
      </x:c>
      <x:c r="M45" t="str">
        <x:f>IF(OR(C45&lt;&gt;1,D45&lt;&gt;"OK",E45&lt;&gt;"OK",H45&lt;&gt;"KHÔNG"),"BLOCK",IF(G45="PROTECTED","PROTECTED","CHECK_ONLY"))</x:f>
        <x:v>PROTECTED</x:v>
      </x:c>
    </x:row>
    <x:row r="46">
      <x:c r="A46" t="str">
        <x:v>ND30</x:v>
      </x:c>
      <x:c r="B46" t="str">
        <x:f>ND30!B46</x:f>
        <x:v>ND30.N.BANG.O</x:v>
      </x:c>
      <x:c r="C46" t="n">
        <x:f>COUNTIF(PROFILE_ND30!$B$7:$B$500,B46)</x:f>
        <x:v>1</x:v>
      </x:c>
      <x:c r="D46" t="str">
        <x:f>IF(LEFT(B46,LEN(A46)+1)=A46&amp;".","OK","SAI PREFIX")</x:f>
        <x:v>OK</x:v>
      </x:c>
      <x:c r="E46" t="str">
        <x:f>IF(COUNTIF(ND30!$B$7:$B$500,B46)=1,"OK","MÃ NGUỒN KHÔNG DUY NHẤT")</x:f>
        <x:v>OK</x:v>
      </x:c>
      <x:c r="F46" t="str">
        <x:f>IFERROR(INDEX(PROFILE_ND30!$CC$7:$CC$500,MATCH($B46,PROFILE_ND30!$B$7:$B$500,0)),"UNRESOLVED")</x:f>
        <x:v>READ_ONLY</x:v>
      </x:c>
      <x:c r="G46" t="str">
        <x:f>IFERROR(INDEX(PROFILE_ND30!$CD$7:$CD$500,MATCH($B46,PROFILE_ND30!$B$7:$B$500,0)),"UNRESOLVED")</x:f>
        <x:v>PROTECTED</x:v>
      </x:c>
      <x:c r="H46" t="str">
        <x:f>IFERROR(INDEX(PROFILE_ND30!$CK$7:$CK$500,MATCH($B46,PROFILE_ND30!$B$7:$B$500,0)),"UNRESOLVED")</x:f>
        <x:v>KHÔNG</x:v>
      </x:c>
      <x:c r="I46" t="str">
        <x:f>IFERROR(INDEX(PROFILE_ND30!$CA$7:$CA$500,MATCH($B46,PROFILE_ND30!$B$7:$B$500,0)),"UNRESOLVED")</x:f>
        <x:v>TABLE</x:v>
      </x:c>
      <x:c r="J46" t="str">
        <x:f>IFERROR(INDEX(PROFILE_ND30!$BZ$7:$BZ$500,MATCH($B46,PROFILE_ND30!$B$7:$B$500,0)),"UNRESOLVED")</x:f>
        <x:v>Theo khối/bảng đã xác minh</x:v>
      </x:c>
      <x:c r="K46" t="n">
        <x:f>IFERROR(INDEX(PROFILE_ND30!$AJ$7:$AJ$500,MATCH($B46,PROFILE_ND30!$B$7:$B$500,0)),"UNRESOLVED")</x:f>
        <x:v>13</x:v>
      </x:c>
      <x:c r="L46" t="str">
        <x:f>IF(K46="","N/A / CHƯA NHẬP",IF(AND(ISNUMBER(J46),ISNUMBER(K46),J46=K46),"KHỚP SỐ","CẦN KIỂM TRA THỦ CÔNG"))</x:f>
        <x:v>CẦN KIỂM TRA THỦ CÔNG</x:v>
      </x:c>
      <x:c r="M46" t="str">
        <x:f>IF(OR(C46&lt;&gt;1,D46&lt;&gt;"OK",E46&lt;&gt;"OK",H46&lt;&gt;"KHÔNG"),"BLOCK",IF(G46="PROTECTED","PROTECTED","CHECK_ONLY"))</x:f>
        <x:v>PROTECTED</x:v>
      </x:c>
    </x:row>
    <x:row r="47">
      <x:c r="A47" t="str">
        <x:v>ND30</x:v>
      </x:c>
      <x:c r="B47" t="str">
        <x:f>ND30!B47</x:f>
        <x:v>ND30.N.BANG.GOP_O</x:v>
      </x:c>
      <x:c r="C47" t="n">
        <x:f>COUNTIF(PROFILE_ND30!$B$7:$B$500,B47)</x:f>
        <x:v>1</x:v>
      </x:c>
      <x:c r="D47" t="str">
        <x:f>IF(LEFT(B47,LEN(A47)+1)=A47&amp;".","OK","SAI PREFIX")</x:f>
        <x:v>OK</x:v>
      </x:c>
      <x:c r="E47" t="str">
        <x:f>IF(COUNTIF(ND30!$B$7:$B$500,B47)=1,"OK","MÃ NGUỒN KHÔNG DUY NHẤT")</x:f>
        <x:v>OK</x:v>
      </x:c>
      <x:c r="F47" t="str">
        <x:f>IFERROR(INDEX(PROFILE_ND30!$CC$7:$CC$500,MATCH($B47,PROFILE_ND30!$B$7:$B$500,0)),"UNRESOLVED")</x:f>
        <x:v>READ_ONLY</x:v>
      </x:c>
      <x:c r="G47" t="str">
        <x:f>IFERROR(INDEX(PROFILE_ND30!$CD$7:$CD$500,MATCH($B47,PROFILE_ND30!$B$7:$B$500,0)),"UNRESOLVED")</x:f>
        <x:v>PROTECTED</x:v>
      </x:c>
      <x:c r="H47" t="str">
        <x:f>IFERROR(INDEX(PROFILE_ND30!$CK$7:$CK$500,MATCH($B47,PROFILE_ND30!$B$7:$B$500,0)),"UNRESOLVED")</x:f>
        <x:v>KHÔNG</x:v>
      </x:c>
      <x:c r="I47" t="str">
        <x:f>IFERROR(INDEX(PROFILE_ND30!$CA$7:$CA$500,MATCH($B47,PROFILE_ND30!$B$7:$B$500,0)),"UNRESOLVED")</x:f>
        <x:v>STRUCTURAL_TABLE</x:v>
      </x:c>
      <x:c r="J47" t="str">
        <x:f>IFERROR(INDEX(PROFILE_ND30!$BZ$7:$BZ$500,MATCH($B47,PROFILE_ND30!$B$7:$B$500,0)),"UNRESOLVED")</x:f>
        <x:v>Theo khối/bảng đã xác minh</x:v>
      </x:c>
      <x:c r="K47" t="n">
        <x:f>IFERROR(INDEX(PROFILE_ND30!$AJ$7:$AJ$500,MATCH($B47,PROFILE_ND30!$B$7:$B$500,0)),"UNRESOLVED")</x:f>
        <x:v>13</x:v>
      </x:c>
      <x:c r="L47" t="str">
        <x:f>IF(K47="","N/A / CHƯA NHẬP",IF(AND(ISNUMBER(J47),ISNUMBER(K47),J47=K47),"KHỚP SỐ","CẦN KIỂM TRA THỦ CÔNG"))</x:f>
        <x:v>CẦN KIỂM TRA THỦ CÔNG</x:v>
      </x:c>
      <x:c r="M47" t="str">
        <x:f>IF(OR(C47&lt;&gt;1,D47&lt;&gt;"OK",E47&lt;&gt;"OK",H47&lt;&gt;"KHÔNG"),"BLOCK",IF(G47="PROTECTED","PROTECTED","CHECK_ONLY"))</x:f>
        <x:v>PROTECTED</x:v>
      </x:c>
    </x:row>
    <x:row r="48">
      <x:c r="A48" t="str">
        <x:v>ND30</x:v>
      </x:c>
      <x:c r="B48" t="str">
        <x:f>ND30!B48</x:f>
        <x:v>ND30.N.HINH.DOI_TUONG</x:v>
      </x:c>
      <x:c r="C48" t="n">
        <x:f>COUNTIF(PROFILE_ND30!$B$7:$B$500,B48)</x:f>
        <x:v>1</x:v>
      </x:c>
      <x:c r="D48" t="str">
        <x:f>IF(LEFT(B48,LEN(A48)+1)=A48&amp;".","OK","SAI PREFIX")</x:f>
        <x:v>OK</x:v>
      </x:c>
      <x:c r="E48" t="str">
        <x:f>IF(COUNTIF(ND30!$B$7:$B$500,B48)=1,"OK","MÃ NGUỒN KHÔNG DUY NHẤT")</x:f>
        <x:v>OK</x:v>
      </x:c>
      <x:c r="F48" t="str">
        <x:f>IFERROR(INDEX(PROFILE_ND30!$CC$7:$CC$500,MATCH($B48,PROFILE_ND30!$B$7:$B$500,0)),"UNRESOLVED")</x:f>
        <x:v>READ_ONLY</x:v>
      </x:c>
      <x:c r="G48" t="str">
        <x:f>IFERROR(INDEX(PROFILE_ND30!$CD$7:$CD$500,MATCH($B48,PROFILE_ND30!$B$7:$B$500,0)),"UNRESOLVED")</x:f>
        <x:v>PROTECTED</x:v>
      </x:c>
      <x:c r="H48" t="str">
        <x:f>IFERROR(INDEX(PROFILE_ND30!$CK$7:$CK$500,MATCH($B48,PROFILE_ND30!$B$7:$B$500,0)),"UNRESOLVED")</x:f>
        <x:v>KHÔNG</x:v>
      </x:c>
      <x:c r="I48" t="str">
        <x:f>IFERROR(INDEX(PROFILE_ND30!$CA$7:$CA$500,MATCH($B48,PROFILE_ND30!$B$7:$B$500,0)),"UNRESOLVED")</x:f>
        <x:v>IMAGE</x:v>
      </x:c>
      <x:c r="J48" t="str">
        <x:f>IFERROR(INDEX(PROFILE_ND30!$BZ$7:$BZ$500,MATCH($B48,PROFILE_ND30!$B$7:$B$500,0)),"UNRESOLVED")</x:f>
        <x:v>Theo đối tượng/mẫu</x:v>
      </x:c>
      <x:c r="K48" t="str">
        <x:f>IFERROR(INDEX(PROFILE_ND30!$AJ$7:$AJ$500,MATCH($B48,PROFILE_ND30!$B$7:$B$500,0)),"UNRESOLVED")</x:f>
      </x:c>
      <x:c r="L48" t="str">
        <x:f>IF(K48="","N/A / CHƯA NHẬP",IF(AND(ISNUMBER(J48),ISNUMBER(K48),J48=K48),"KHỚP SỐ","CẦN KIỂM TRA THỦ CÔNG"))</x:f>
        <x:v>N/A / CHƯA NHẬP</x:v>
      </x:c>
      <x:c r="M48" t="str">
        <x:f>IF(OR(C48&lt;&gt;1,D48&lt;&gt;"OK",E48&lt;&gt;"OK",H48&lt;&gt;"KHÔNG"),"BLOCK",IF(G48="PROTECTED","PROTECTED","CHECK_ONLY"))</x:f>
        <x:v>PROTECTED</x:v>
      </x:c>
    </x:row>
    <x:row r="49">
      <x:c r="A49" t="str">
        <x:v>ND30</x:v>
      </x:c>
      <x:c r="B49" t="str">
        <x:f>ND30!B49</x:f>
        <x:v>ND30.N.HINH.CHU_THICH</x:v>
      </x:c>
      <x:c r="C49" t="n">
        <x:f>COUNTIF(PROFILE_ND30!$B$7:$B$500,B49)</x:f>
        <x:v>1</x:v>
      </x:c>
      <x:c r="D49" t="str">
        <x:f>IF(LEFT(B49,LEN(A49)+1)=A49&amp;".","OK","SAI PREFIX")</x:f>
        <x:v>OK</x:v>
      </x:c>
      <x:c r="E49" t="str">
        <x:f>IF(COUNTIF(ND30!$B$7:$B$500,B49)=1,"OK","MÃ NGUỒN KHÔNG DUY NHẤT")</x:f>
        <x:v>OK</x:v>
      </x:c>
      <x:c r="F49" t="str">
        <x:f>IFERROR(INDEX(PROFILE_ND30!$CC$7:$CC$500,MATCH($B49,PROFILE_ND30!$B$7:$B$500,0)),"UNRESOLVED")</x:f>
        <x:v>READ_ONLY</x:v>
      </x:c>
      <x:c r="G49" t="str">
        <x:f>IFERROR(INDEX(PROFILE_ND30!$CD$7:$CD$500,MATCH($B49,PROFILE_ND30!$B$7:$B$500,0)),"UNRESOLVED")</x:f>
        <x:v>PROTECTED</x:v>
      </x:c>
      <x:c r="H49" t="str">
        <x:f>IFERROR(INDEX(PROFILE_ND30!$CK$7:$CK$500,MATCH($B49,PROFILE_ND30!$B$7:$B$500,0)),"UNRESOLVED")</x:f>
        <x:v>KHÔNG</x:v>
      </x:c>
      <x:c r="I49" t="str">
        <x:f>IFERROR(INDEX(PROFILE_ND30!$CA$7:$CA$500,MATCH($B49,PROFILE_ND30!$B$7:$B$500,0)),"UNRESOLVED")</x:f>
        <x:v>TEXT</x:v>
      </x:c>
      <x:c r="J49" t="str">
        <x:f>IFERROR(INDEX(PROFILE_ND30!$BZ$7:$BZ$500,MATCH($B49,PROFILE_ND30!$B$7:$B$500,0)),"UNRESOLVED")</x:f>
        <x:v>Theo đối tượng/mẫu</x:v>
      </x:c>
      <x:c r="K49" t="n">
        <x:f>IFERROR(INDEX(PROFILE_ND30!$AJ$7:$AJ$500,MATCH($B49,PROFILE_ND30!$B$7:$B$500,0)),"UNRESOLVED")</x:f>
        <x:v>12</x:v>
      </x:c>
      <x:c r="L49" t="str">
        <x:f>IF(K49="","N/A / CHƯA NHẬP",IF(AND(ISNUMBER(J49),ISNUMBER(K49),J49=K49),"KHỚP SỐ","CẦN KIỂM TRA THỦ CÔNG"))</x:f>
        <x:v>CẦN KIỂM TRA THỦ CÔNG</x:v>
      </x:c>
      <x:c r="M49" t="str">
        <x:f>IF(OR(C49&lt;&gt;1,D49&lt;&gt;"OK",E49&lt;&gt;"OK",H49&lt;&gt;"KHÔNG"),"BLOCK",IF(G49="PROTECTED","PROTECTED","CHECK_ONLY"))</x:f>
        <x:v>PROTECTED</x:v>
      </x:c>
    </x:row>
    <x:row r="50">
      <x:c r="A50" t="str">
        <x:v>ND30</x:v>
      </x:c>
      <x:c r="B50" t="str">
        <x:f>ND30!B50</x:f>
        <x:v>ND30.N.KET.DOAN_KET</x:v>
      </x:c>
      <x:c r="C50" t="n">
        <x:f>COUNTIF(PROFILE_ND30!$B$7:$B$500,B50)</x:f>
        <x:v>1</x:v>
      </x:c>
      <x:c r="D50" t="str">
        <x:f>IF(LEFT(B50,LEN(A50)+1)=A50&amp;".","OK","SAI PREFIX")</x:f>
        <x:v>OK</x:v>
      </x:c>
      <x:c r="E50" t="str">
        <x:f>IF(COUNTIF(ND30!$B$7:$B$500,B50)=1,"OK","MÃ NGUỒN KHÔNG DUY NHẤT")</x:f>
        <x:v>OK</x:v>
      </x:c>
      <x:c r="F50" t="str">
        <x:f>IFERROR(INDEX(PROFILE_ND30!$CC$7:$CC$500,MATCH($B50,PROFILE_ND30!$B$7:$B$500,0)),"UNRESOLVED")</x:f>
        <x:v>CHỈ SAU REVIEW</x:v>
      </x:c>
      <x:c r="G50" t="str">
        <x:f>IFERROR(INDEX(PROFILE_ND30!$CD$7:$CD$500,MATCH($B50,PROFILE_ND30!$B$7:$B$500,0)),"UNRESOLVED")</x:f>
        <x:v>CHECK_ONLY</x:v>
      </x:c>
      <x:c r="H50" t="str">
        <x:f>IFERROR(INDEX(PROFILE_ND30!$CK$7:$CK$500,MATCH($B50,PROFILE_ND30!$B$7:$B$500,0)),"UNRESOLVED")</x:f>
        <x:v>KHÔNG</x:v>
      </x:c>
      <x:c r="I50" t="str">
        <x:f>IFERROR(INDEX(PROFILE_ND30!$CA$7:$CA$500,MATCH($B50,PROFILE_ND30!$B$7:$B$500,0)),"UNRESOLVED")</x:f>
        <x:v>TEXT</x:v>
      </x:c>
      <x:c r="J50" t="str">
        <x:f>IFERROR(INDEX(PROFILE_ND30!$BZ$7:$BZ$500,MATCH($B50,PROFILE_ND30!$B$7:$B$500,0)),"UNRESOLVED")</x:f>
        <x:v>13–14</x:v>
      </x:c>
      <x:c r="K50" t="n">
        <x:f>IFERROR(INDEX(PROFILE_ND30!$AJ$7:$AJ$500,MATCH($B50,PROFILE_ND30!$B$7:$B$500,0)),"UNRESOLVED")</x:f>
        <x:v>14</x:v>
      </x:c>
      <x:c r="L50" t="str">
        <x:f>IF(K50="","N/A / CHƯA NHẬP",IF(AND(ISNUMBER(J50),ISNUMBER(K50),J50=K50),"KHỚP SỐ","CẦN KIỂM TRA THỦ CÔNG"))</x:f>
        <x:v>CẦN KIỂM TRA THỦ CÔNG</x:v>
      </x:c>
      <x:c r="M50" t="str">
        <x:f>IF(OR(C50&lt;&gt;1,D50&lt;&gt;"OK",E50&lt;&gt;"OK",H50&lt;&gt;"KHÔNG"),"BLOCK",IF(G50="PROTECTED","PROTECTED","CHECK_ONLY"))</x:f>
        <x:v>CHECK_ONLY</x:v>
      </x:c>
    </x:row>
    <x:row r="51">
      <x:c r="A51" t="str">
        <x:v>ND30</x:v>
      </x:c>
      <x:c r="B51" t="str">
        <x:f>ND30!B51</x:f>
        <x:v>ND30.C.NN.NHAN_NOI_NHAN</x:v>
      </x:c>
      <x:c r="C51" t="n">
        <x:f>COUNTIF(PROFILE_ND30!$B$7:$B$500,B51)</x:f>
        <x:v>1</x:v>
      </x:c>
      <x:c r="D51" t="str">
        <x:f>IF(LEFT(B51,LEN(A51)+1)=A51&amp;".","OK","SAI PREFIX")</x:f>
        <x:v>OK</x:v>
      </x:c>
      <x:c r="E51" t="str">
        <x:f>IF(COUNTIF(ND30!$B$7:$B$500,B51)=1,"OK","MÃ NGUỒN KHÔNG DUY NHẤT")</x:f>
        <x:v>OK</x:v>
      </x:c>
      <x:c r="F51" t="str">
        <x:f>IFERROR(INDEX(PROFILE_ND30!$CC$7:$CC$500,MATCH($B51,PROFILE_ND30!$B$7:$B$500,0)),"UNRESOLVED")</x:f>
        <x:v>READ_ONLY</x:v>
      </x:c>
      <x:c r="G51" t="str">
        <x:f>IFERROR(INDEX(PROFILE_ND30!$CD$7:$CD$500,MATCH($B51,PROFILE_ND30!$B$7:$B$500,0)),"UNRESOLVED")</x:f>
        <x:v>PROTECTED</x:v>
      </x:c>
      <x:c r="H51" t="str">
        <x:f>IFERROR(INDEX(PROFILE_ND30!$CK$7:$CK$500,MATCH($B51,PROFILE_ND30!$B$7:$B$500,0)),"UNRESOLVED")</x:f>
        <x:v>KHÔNG</x:v>
      </x:c>
      <x:c r="I51" t="str">
        <x:f>IFERROR(INDEX(PROFILE_ND30!$CA$7:$CA$500,MATCH($B51,PROFILE_ND30!$B$7:$B$500,0)),"UNRESOLVED")</x:f>
        <x:v>TEXT</x:v>
      </x:c>
      <x:c r="J51" t="n">
        <x:f>IFERROR(INDEX(PROFILE_ND30!$BZ$7:$BZ$500,MATCH($B51,PROFILE_ND30!$B$7:$B$500,0)),"UNRESOLVED")</x:f>
        <x:v>12</x:v>
      </x:c>
      <x:c r="K51" t="n">
        <x:f>IFERROR(INDEX(PROFILE_ND30!$AJ$7:$AJ$500,MATCH($B51,PROFILE_ND30!$B$7:$B$500,0)),"UNRESOLVED")</x:f>
        <x:v>12</x:v>
      </x:c>
      <x:c r="L51" t="str">
        <x:f>IF(K51="","N/A / CHƯA NHẬP",IF(AND(ISNUMBER(J51),ISNUMBER(K51),J51=K51),"KHỚP SỐ","CẦN KIỂM TRA THỦ CÔNG"))</x:f>
        <x:v>KHỚP SỐ</x:v>
      </x:c>
      <x:c r="M51" t="str">
        <x:f>IF(OR(C51&lt;&gt;1,D51&lt;&gt;"OK",E51&lt;&gt;"OK",H51&lt;&gt;"KHÔNG"),"BLOCK",IF(G51="PROTECTED","PROTECTED","CHECK_ONLY"))</x:f>
        <x:v>PROTECTED</x:v>
      </x:c>
    </x:row>
    <x:row r="52">
      <x:c r="A52" t="str">
        <x:v>ND30</x:v>
      </x:c>
      <x:c r="B52" t="str">
        <x:f>ND30!B52</x:f>
        <x:v>ND30.C.NN.DANH_SACH</x:v>
      </x:c>
      <x:c r="C52" t="n">
        <x:f>COUNTIF(PROFILE_ND30!$B$7:$B$500,B52)</x:f>
        <x:v>1</x:v>
      </x:c>
      <x:c r="D52" t="str">
        <x:f>IF(LEFT(B52,LEN(A52)+1)=A52&amp;".","OK","SAI PREFIX")</x:f>
        <x:v>OK</x:v>
      </x:c>
      <x:c r="E52" t="str">
        <x:f>IF(COUNTIF(ND30!$B$7:$B$500,B52)=1,"OK","MÃ NGUỒN KHÔNG DUY NHẤT")</x:f>
        <x:v>OK</x:v>
      </x:c>
      <x:c r="F52" t="str">
        <x:f>IFERROR(INDEX(PROFILE_ND30!$CC$7:$CC$500,MATCH($B52,PROFILE_ND30!$B$7:$B$500,0)),"UNRESOLVED")</x:f>
        <x:v>KHÔNG TỰ ĐIỀN ĐƠN VỊ NHẬN</x:v>
      </x:c>
      <x:c r="G52" t="str">
        <x:f>IFERROR(INDEX(PROFILE_ND30!$CD$7:$CD$500,MATCH($B52,PROFILE_ND30!$B$7:$B$500,0)),"UNRESOLVED")</x:f>
        <x:v>CHECK_ONLY</x:v>
      </x:c>
      <x:c r="H52" t="str">
        <x:f>IFERROR(INDEX(PROFILE_ND30!$CK$7:$CK$500,MATCH($B52,PROFILE_ND30!$B$7:$B$500,0)),"UNRESOLVED")</x:f>
        <x:v>KHÔNG</x:v>
      </x:c>
      <x:c r="I52" t="str">
        <x:f>IFERROR(INDEX(PROFILE_ND30!$CA$7:$CA$500,MATCH($B52,PROFILE_ND30!$B$7:$B$500,0)),"UNRESOLVED")</x:f>
        <x:v>TEXT</x:v>
      </x:c>
      <x:c r="J52" t="n">
        <x:f>IFERROR(INDEX(PROFILE_ND30!$BZ$7:$BZ$500,MATCH($B52,PROFILE_ND30!$B$7:$B$500,0)),"UNRESOLVED")</x:f>
        <x:v>11</x:v>
      </x:c>
      <x:c r="K52" t="n">
        <x:f>IFERROR(INDEX(PROFILE_ND30!$AJ$7:$AJ$500,MATCH($B52,PROFILE_ND30!$B$7:$B$500,0)),"UNRESOLVED")</x:f>
        <x:v>11</x:v>
      </x:c>
      <x:c r="L52" t="str">
        <x:f>IF(K52="","N/A / CHƯA NHẬP",IF(AND(ISNUMBER(J52),ISNUMBER(K52),J52=K52),"KHỚP SỐ","CẦN KIỂM TRA THỦ CÔNG"))</x:f>
        <x:v>KHỚP SỐ</x:v>
      </x:c>
      <x:c r="M52" t="str">
        <x:f>IF(OR(C52&lt;&gt;1,D52&lt;&gt;"OK",E52&lt;&gt;"OK",H52&lt;&gt;"KHÔNG"),"BLOCK",IF(G52="PROTECTED","PROTECTED","CHECK_ONLY"))</x:f>
        <x:v>CHECK_ONLY</x:v>
      </x:c>
    </x:row>
    <x:row r="53">
      <x:c r="A53" t="str">
        <x:v>ND30</x:v>
      </x:c>
      <x:c r="B53" t="str">
        <x:f>ND30!B53</x:f>
        <x:v>ND30.C.NN.NHU_TREN</x:v>
      </x:c>
      <x:c r="C53" t="n">
        <x:f>COUNTIF(PROFILE_ND30!$B$7:$B$500,B53)</x:f>
        <x:v>1</x:v>
      </x:c>
      <x:c r="D53" t="str">
        <x:f>IF(LEFT(B53,LEN(A53)+1)=A53&amp;".","OK","SAI PREFIX")</x:f>
        <x:v>OK</x:v>
      </x:c>
      <x:c r="E53" t="str">
        <x:f>IF(COUNTIF(ND30!$B$7:$B$500,B53)=1,"OK","MÃ NGUỒN KHÔNG DUY NHẤT")</x:f>
        <x:v>OK</x:v>
      </x:c>
      <x:c r="F53" t="str">
        <x:f>IFERROR(INDEX(PROFILE_ND30!$CC$7:$CC$500,MATCH($B53,PROFILE_ND30!$B$7:$B$500,0)),"UNRESOLVED")</x:f>
        <x:v>KHÔNG TỰ ĐIỀN ĐƠN VỊ NHẬN</x:v>
      </x:c>
      <x:c r="G53" t="str">
        <x:f>IFERROR(INDEX(PROFILE_ND30!$CD$7:$CD$500,MATCH($B53,PROFILE_ND30!$B$7:$B$500,0)),"UNRESOLVED")</x:f>
        <x:v>CHECK_ONLY</x:v>
      </x:c>
      <x:c r="H53" t="str">
        <x:f>IFERROR(INDEX(PROFILE_ND30!$CK$7:$CK$500,MATCH($B53,PROFILE_ND30!$B$7:$B$500,0)),"UNRESOLVED")</x:f>
        <x:v>KHÔNG</x:v>
      </x:c>
      <x:c r="I53" t="str">
        <x:f>IFERROR(INDEX(PROFILE_ND30!$CA$7:$CA$500,MATCH($B53,PROFILE_ND30!$B$7:$B$500,0)),"UNRESOLVED")</x:f>
        <x:v>TEXT</x:v>
      </x:c>
      <x:c r="J53" t="n">
        <x:f>IFERROR(INDEX(PROFILE_ND30!$BZ$7:$BZ$500,MATCH($B53,PROFILE_ND30!$B$7:$B$500,0)),"UNRESOLVED")</x:f>
        <x:v>11</x:v>
      </x:c>
      <x:c r="K53" t="n">
        <x:f>IFERROR(INDEX(PROFILE_ND30!$AJ$7:$AJ$500,MATCH($B53,PROFILE_ND30!$B$7:$B$500,0)),"UNRESOLVED")</x:f>
        <x:v>11</x:v>
      </x:c>
      <x:c r="L53" t="str">
        <x:f>IF(K53="","N/A / CHƯA NHẬP",IF(AND(ISNUMBER(J53),ISNUMBER(K53),J53=K53),"KHỚP SỐ","CẦN KIỂM TRA THỦ CÔNG"))</x:f>
        <x:v>KHỚP SỐ</x:v>
      </x:c>
      <x:c r="M53" t="str">
        <x:f>IF(OR(C53&lt;&gt;1,D53&lt;&gt;"OK",E53&lt;&gt;"OK",H53&lt;&gt;"KHÔNG"),"BLOCK",IF(G53="PROTECTED","PROTECTED","CHECK_ONLY"))</x:f>
        <x:v>CHECK_ONLY</x:v>
      </x:c>
    </x:row>
    <x:row r="54">
      <x:c r="A54" t="str">
        <x:v>ND30</x:v>
      </x:c>
      <x:c r="B54" t="str">
        <x:f>ND30!B54</x:f>
        <x:v>ND30.C.NN.NOI_LUU</x:v>
      </x:c>
      <x:c r="C54" t="n">
        <x:f>COUNTIF(PROFILE_ND30!$B$7:$B$500,B54)</x:f>
        <x:v>1</x:v>
      </x:c>
      <x:c r="D54" t="str">
        <x:f>IF(LEFT(B54,LEN(A54)+1)=A54&amp;".","OK","SAI PREFIX")</x:f>
        <x:v>OK</x:v>
      </x:c>
      <x:c r="E54" t="str">
        <x:f>IF(COUNTIF(ND30!$B$7:$B$500,B54)=1,"OK","MÃ NGUỒN KHÔNG DUY NHẤT")</x:f>
        <x:v>OK</x:v>
      </x:c>
      <x:c r="F54" t="str">
        <x:f>IFERROR(INDEX(PROFILE_ND30!$CC$7:$CC$500,MATCH($B54,PROFILE_ND30!$B$7:$B$500,0)),"UNRESOLVED")</x:f>
        <x:v>KHÔNG TỰ ĐIỀN ĐƠN VỊ NHẬN</x:v>
      </x:c>
      <x:c r="G54" t="str">
        <x:f>IFERROR(INDEX(PROFILE_ND30!$CD$7:$CD$500,MATCH($B54,PROFILE_ND30!$B$7:$B$500,0)),"UNRESOLVED")</x:f>
        <x:v>CHECK_ONLY</x:v>
      </x:c>
      <x:c r="H54" t="str">
        <x:f>IFERROR(INDEX(PROFILE_ND30!$CK$7:$CK$500,MATCH($B54,PROFILE_ND30!$B$7:$B$500,0)),"UNRESOLVED")</x:f>
        <x:v>KHÔNG</x:v>
      </x:c>
      <x:c r="I54" t="str">
        <x:f>IFERROR(INDEX(PROFILE_ND30!$CA$7:$CA$500,MATCH($B54,PROFILE_ND30!$B$7:$B$500,0)),"UNRESOLVED")</x:f>
        <x:v>TEXT</x:v>
      </x:c>
      <x:c r="J54" t="n">
        <x:f>IFERROR(INDEX(PROFILE_ND30!$BZ$7:$BZ$500,MATCH($B54,PROFILE_ND30!$B$7:$B$500,0)),"UNRESOLVED")</x:f>
        <x:v>11</x:v>
      </x:c>
      <x:c r="K54" t="n">
        <x:f>IFERROR(INDEX(PROFILE_ND30!$AJ$7:$AJ$500,MATCH($B54,PROFILE_ND30!$B$7:$B$500,0)),"UNRESOLVED")</x:f>
        <x:v>11</x:v>
      </x:c>
      <x:c r="L54" t="str">
        <x:f>IF(K54="","N/A / CHƯA NHẬP",IF(AND(ISNUMBER(J54),ISNUMBER(K54),J54=K54),"KHỚP SỐ","CẦN KIỂM TRA THỦ CÔNG"))</x:f>
        <x:v>KHỚP SỐ</x:v>
      </x:c>
      <x:c r="M54" t="str">
        <x:f>IF(OR(C54&lt;&gt;1,D54&lt;&gt;"OK",E54&lt;&gt;"OK",H54&lt;&gt;"KHÔNG"),"BLOCK",IF(G54="PROTECTED","PROTECTED","CHECK_ONLY"))</x:f>
        <x:v>CHECK_ONLY</x:v>
      </x:c>
    </x:row>
    <x:row r="55">
      <x:c r="A55" t="str">
        <x:v>ND30</x:v>
      </x:c>
      <x:c r="B55" t="str">
        <x:f>ND30!B55</x:f>
        <x:v>ND30.C.KY.QUYEN_HAN</x:v>
      </x:c>
      <x:c r="C55" t="n">
        <x:f>COUNTIF(PROFILE_ND30!$B$7:$B$500,B55)</x:f>
        <x:v>1</x:v>
      </x:c>
      <x:c r="D55" t="str">
        <x:f>IF(LEFT(B55,LEN(A55)+1)=A55&amp;".","OK","SAI PREFIX")</x:f>
        <x:v>OK</x:v>
      </x:c>
      <x:c r="E55" t="str">
        <x:f>IF(COUNTIF(ND30!$B$7:$B$500,B55)=1,"OK","MÃ NGUỒN KHÔNG DUY NHẤT")</x:f>
        <x:v>OK</x:v>
      </x:c>
      <x:c r="F55" t="str">
        <x:f>IFERROR(INDEX(PROFILE_ND30!$CC$7:$CC$500,MATCH($B55,PROFILE_ND30!$B$7:$B$500,0)),"UNRESOLVED")</x:f>
        <x:v>KHÔNG TỰ XÁC NHẬN THẨM QUYỀN</x:v>
      </x:c>
      <x:c r="G55" t="str">
        <x:f>IFERROR(INDEX(PROFILE_ND30!$CD$7:$CD$500,MATCH($B55,PROFILE_ND30!$B$7:$B$500,0)),"UNRESOLVED")</x:f>
        <x:v>CHECK_ONLY</x:v>
      </x:c>
      <x:c r="H55" t="str">
        <x:f>IFERROR(INDEX(PROFILE_ND30!$CK$7:$CK$500,MATCH($B55,PROFILE_ND30!$B$7:$B$500,0)),"UNRESOLVED")</x:f>
        <x:v>KHÔNG</x:v>
      </x:c>
      <x:c r="I55" t="str">
        <x:f>IFERROR(INDEX(PROFILE_ND30!$CA$7:$CA$500,MATCH($B55,PROFILE_ND30!$B$7:$B$500,0)),"UNRESOLVED")</x:f>
        <x:v>TEXT</x:v>
      </x:c>
      <x:c r="J55" t="str">
        <x:f>IFERROR(INDEX(PROFILE_ND30!$BZ$7:$BZ$500,MATCH($B55,PROFILE_ND30!$B$7:$B$500,0)),"UNRESOLVED")</x:f>
        <x:v>13–14</x:v>
      </x:c>
      <x:c r="K55" t="n">
        <x:f>IFERROR(INDEX(PROFILE_ND30!$AJ$7:$AJ$500,MATCH($B55,PROFILE_ND30!$B$7:$B$500,0)),"UNRESOLVED")</x:f>
        <x:v>14</x:v>
      </x:c>
      <x:c r="L55" t="str">
        <x:f>IF(K55="","N/A / CHƯA NHẬP",IF(AND(ISNUMBER(J55),ISNUMBER(K55),J55=K55),"KHỚP SỐ","CẦN KIỂM TRA THỦ CÔNG"))</x:f>
        <x:v>CẦN KIỂM TRA THỦ CÔNG</x:v>
      </x:c>
      <x:c r="M55" t="str">
        <x:f>IF(OR(C55&lt;&gt;1,D55&lt;&gt;"OK",E55&lt;&gt;"OK",H55&lt;&gt;"KHÔNG"),"BLOCK",IF(G55="PROTECTED","PROTECTED","CHECK_ONLY"))</x:f>
        <x:v>CHECK_ONLY</x:v>
      </x:c>
    </x:row>
    <x:row r="56">
      <x:c r="A56" t="str">
        <x:v>ND30</x:v>
      </x:c>
      <x:c r="B56" t="str">
        <x:f>ND30!B56</x:f>
        <x:v>ND30.C.KY.CHUC_VU</x:v>
      </x:c>
      <x:c r="C56" t="n">
        <x:f>COUNTIF(PROFILE_ND30!$B$7:$B$500,B56)</x:f>
        <x:v>1</x:v>
      </x:c>
      <x:c r="D56" t="str">
        <x:f>IF(LEFT(B56,LEN(A56)+1)=A56&amp;".","OK","SAI PREFIX")</x:f>
        <x:v>OK</x:v>
      </x:c>
      <x:c r="E56" t="str">
        <x:f>IF(COUNTIF(ND30!$B$7:$B$500,B56)=1,"OK","MÃ NGUỒN KHÔNG DUY NHẤT")</x:f>
        <x:v>OK</x:v>
      </x:c>
      <x:c r="F56" t="str">
        <x:f>IFERROR(INDEX(PROFILE_ND30!$CC$7:$CC$500,MATCH($B56,PROFILE_ND30!$B$7:$B$500,0)),"UNRESOLVED")</x:f>
        <x:v>READ_ONLY</x:v>
      </x:c>
      <x:c r="G56" t="str">
        <x:f>IFERROR(INDEX(PROFILE_ND30!$CD$7:$CD$500,MATCH($B56,PROFILE_ND30!$B$7:$B$500,0)),"UNRESOLVED")</x:f>
        <x:v>PROTECTED</x:v>
      </x:c>
      <x:c r="H56" t="str">
        <x:f>IFERROR(INDEX(PROFILE_ND30!$CK$7:$CK$500,MATCH($B56,PROFILE_ND30!$B$7:$B$500,0)),"UNRESOLVED")</x:f>
        <x:v>KHÔNG</x:v>
      </x:c>
      <x:c r="I56" t="str">
        <x:f>IFERROR(INDEX(PROFILE_ND30!$CA$7:$CA$500,MATCH($B56,PROFILE_ND30!$B$7:$B$500,0)),"UNRESOLVED")</x:f>
        <x:v>TEXT</x:v>
      </x:c>
      <x:c r="J56" t="str">
        <x:f>IFERROR(INDEX(PROFILE_ND30!$BZ$7:$BZ$500,MATCH($B56,PROFILE_ND30!$B$7:$B$500,0)),"UNRESOLVED")</x:f>
        <x:v>13–14</x:v>
      </x:c>
      <x:c r="K56" t="n">
        <x:f>IFERROR(INDEX(PROFILE_ND30!$AJ$7:$AJ$500,MATCH($B56,PROFILE_ND30!$B$7:$B$500,0)),"UNRESOLVED")</x:f>
        <x:v>14</x:v>
      </x:c>
      <x:c r="L56" t="str">
        <x:f>IF(K56="","N/A / CHƯA NHẬP",IF(AND(ISNUMBER(J56),ISNUMBER(K56),J56=K56),"KHỚP SỐ","CẦN KIỂM TRA THỦ CÔNG"))</x:f>
        <x:v>CẦN KIỂM TRA THỦ CÔNG</x:v>
      </x:c>
      <x:c r="M56" t="str">
        <x:f>IF(OR(C56&lt;&gt;1,D56&lt;&gt;"OK",E56&lt;&gt;"OK",H56&lt;&gt;"KHÔNG"),"BLOCK",IF(G56="PROTECTED","PROTECTED","CHECK_ONLY"))</x:f>
        <x:v>PROTECTED</x:v>
      </x:c>
    </x:row>
    <x:row r="57">
      <x:c r="A57" t="str">
        <x:v>ND30</x:v>
      </x:c>
      <x:c r="B57" t="str">
        <x:f>ND30!B57</x:f>
        <x:v>ND30.C.KY.CHU_KY</x:v>
      </x:c>
      <x:c r="C57" t="n">
        <x:f>COUNTIF(PROFILE_ND30!$B$7:$B$500,B57)</x:f>
        <x:v>1</x:v>
      </x:c>
      <x:c r="D57" t="str">
        <x:f>IF(LEFT(B57,LEN(A57)+1)=A57&amp;".","OK","SAI PREFIX")</x:f>
        <x:v>OK</x:v>
      </x:c>
      <x:c r="E57" t="str">
        <x:f>IF(COUNTIF(ND30!$B$7:$B$500,B57)=1,"OK","MÃ NGUỒN KHÔNG DUY NHẤT")</x:f>
        <x:v>OK</x:v>
      </x:c>
      <x:c r="F57" t="str">
        <x:f>IFERROR(INDEX(PROFILE_ND30!$CC$7:$CC$500,MATCH($B57,PROFILE_ND30!$B$7:$B$500,0)),"UNRESOLVED")</x:f>
        <x:v>PROTECTED; KHÔNG KÝ</x:v>
      </x:c>
      <x:c r="G57" t="str">
        <x:f>IFERROR(INDEX(PROFILE_ND30!$CD$7:$CD$500,MATCH($B57,PROFILE_ND30!$B$7:$B$500,0)),"UNRESOLVED")</x:f>
        <x:v>PROTECTED</x:v>
      </x:c>
      <x:c r="H57" t="str">
        <x:f>IFERROR(INDEX(PROFILE_ND30!$CK$7:$CK$500,MATCH($B57,PROFILE_ND30!$B$7:$B$500,0)),"UNRESOLVED")</x:f>
        <x:v>KHÔNG</x:v>
      </x:c>
      <x:c r="I57" t="str">
        <x:f>IFERROR(INDEX(PROFILE_ND30!$CA$7:$CA$500,MATCH($B57,PROFILE_ND30!$B$7:$B$500,0)),"UNRESOLVED")</x:f>
        <x:v>SIGNATURE_OR_SEAL</x:v>
      </x:c>
      <x:c r="J57" t="str">
        <x:f>IFERROR(INDEX(PROFILE_ND30!$BZ$7:$BZ$500,MATCH($B57,PROFILE_ND30!$B$7:$B$500,0)),"UNRESOLVED")</x:f>
        <x:v>Không áp dụng</x:v>
      </x:c>
      <x:c r="K57" t="str">
        <x:f>IFERROR(INDEX(PROFILE_ND30!$AJ$7:$AJ$500,MATCH($B57,PROFILE_ND30!$B$7:$B$500,0)),"UNRESOLVED")</x:f>
      </x:c>
      <x:c r="L57" t="str">
        <x:f>IF(K57="","N/A / CHƯA NHẬP",IF(AND(ISNUMBER(J57),ISNUMBER(K57),J57=K57),"KHỚP SỐ","CẦN KIỂM TRA THỦ CÔNG"))</x:f>
        <x:v>N/A / CHƯA NHẬP</x:v>
      </x:c>
      <x:c r="M57" t="str">
        <x:f>IF(OR(C57&lt;&gt;1,D57&lt;&gt;"OK",E57&lt;&gt;"OK",H57&lt;&gt;"KHÔNG"),"BLOCK",IF(G57="PROTECTED","PROTECTED","CHECK_ONLY"))</x:f>
        <x:v>PROTECTED</x:v>
      </x:c>
    </x:row>
    <x:row r="58">
      <x:c r="A58" t="str">
        <x:v>ND30</x:v>
      </x:c>
      <x:c r="B58" t="str">
        <x:f>ND30!B58</x:f>
        <x:v>ND30.C.KY.HO_TEN</x:v>
      </x:c>
      <x:c r="C58" t="n">
        <x:f>COUNTIF(PROFILE_ND30!$B$7:$B$500,B58)</x:f>
        <x:v>1</x:v>
      </x:c>
      <x:c r="D58" t="str">
        <x:f>IF(LEFT(B58,LEN(A58)+1)=A58&amp;".","OK","SAI PREFIX")</x:f>
        <x:v>OK</x:v>
      </x:c>
      <x:c r="E58" t="str">
        <x:f>IF(COUNTIF(ND30!$B$7:$B$500,B58)=1,"OK","MÃ NGUỒN KHÔNG DUY NHẤT")</x:f>
        <x:v>OK</x:v>
      </x:c>
      <x:c r="F58" t="str">
        <x:f>IFERROR(INDEX(PROFILE_ND30!$CC$7:$CC$500,MATCH($B58,PROFILE_ND30!$B$7:$B$500,0)),"UNRESOLVED")</x:f>
        <x:v>READ_ONLY</x:v>
      </x:c>
      <x:c r="G58" t="str">
        <x:f>IFERROR(INDEX(PROFILE_ND30!$CD$7:$CD$500,MATCH($B58,PROFILE_ND30!$B$7:$B$500,0)),"UNRESOLVED")</x:f>
        <x:v>PROTECTED</x:v>
      </x:c>
      <x:c r="H58" t="str">
        <x:f>IFERROR(INDEX(PROFILE_ND30!$CK$7:$CK$500,MATCH($B58,PROFILE_ND30!$B$7:$B$500,0)),"UNRESOLVED")</x:f>
        <x:v>KHÔNG</x:v>
      </x:c>
      <x:c r="I58" t="str">
        <x:f>IFERROR(INDEX(PROFILE_ND30!$CA$7:$CA$500,MATCH($B58,PROFILE_ND30!$B$7:$B$500,0)),"UNRESOLVED")</x:f>
        <x:v>PROTECTED_TEXT</x:v>
      </x:c>
      <x:c r="J58" t="str">
        <x:f>IFERROR(INDEX(PROFILE_ND30!$BZ$7:$BZ$500,MATCH($B58,PROFILE_ND30!$B$7:$B$500,0)),"UNRESOLVED")</x:f>
        <x:v>13–14</x:v>
      </x:c>
      <x:c r="K58" t="n">
        <x:f>IFERROR(INDEX(PROFILE_ND30!$AJ$7:$AJ$500,MATCH($B58,PROFILE_ND30!$B$7:$B$500,0)),"UNRESOLVED")</x:f>
        <x:v>14</x:v>
      </x:c>
      <x:c r="L58" t="str">
        <x:f>IF(K58="","N/A / CHƯA NHẬP",IF(AND(ISNUMBER(J58),ISNUMBER(K58),J58=K58),"KHỚP SỐ","CẦN KIỂM TRA THỦ CÔNG"))</x:f>
        <x:v>CẦN KIỂM TRA THỦ CÔNG</x:v>
      </x:c>
      <x:c r="M58" t="str">
        <x:f>IF(OR(C58&lt;&gt;1,D58&lt;&gt;"OK",E58&lt;&gt;"OK",H58&lt;&gt;"KHÔNG"),"BLOCK",IF(G58="PROTECTED","PROTECTED","CHECK_ONLY"))</x:f>
        <x:v>PROTECTED</x:v>
      </x:c>
    </x:row>
    <x:row r="59">
      <x:c r="A59" t="str">
        <x:v>ND30</x:v>
      </x:c>
      <x:c r="B59" t="str">
        <x:f>ND30!B59</x:f>
        <x:v>ND30.C.KY.KHOI_KY</x:v>
      </x:c>
      <x:c r="C59" t="n">
        <x:f>COUNTIF(PROFILE_ND30!$B$7:$B$500,B59)</x:f>
        <x:v>1</x:v>
      </x:c>
      <x:c r="D59" t="str">
        <x:f>IF(LEFT(B59,LEN(A59)+1)=A59&amp;".","OK","SAI PREFIX")</x:f>
        <x:v>OK</x:v>
      </x:c>
      <x:c r="E59" t="str">
        <x:f>IF(COUNTIF(ND30!$B$7:$B$500,B59)=1,"OK","MÃ NGUỒN KHÔNG DUY NHẤT")</x:f>
        <x:v>OK</x:v>
      </x:c>
      <x:c r="F59" t="str">
        <x:f>IFERROR(INDEX(PROFILE_ND30!$CC$7:$CC$500,MATCH($B59,PROFILE_ND30!$B$7:$B$500,0)),"UNRESOLVED")</x:f>
        <x:v>READ_ONLY</x:v>
      </x:c>
      <x:c r="G59" t="str">
        <x:f>IFERROR(INDEX(PROFILE_ND30!$CD$7:$CD$500,MATCH($B59,PROFILE_ND30!$B$7:$B$500,0)),"UNRESOLVED")</x:f>
        <x:v>PROTECTED</x:v>
      </x:c>
      <x:c r="H59" t="str">
        <x:f>IFERROR(INDEX(PROFILE_ND30!$CK$7:$CK$500,MATCH($B59,PROFILE_ND30!$B$7:$B$500,0)),"UNRESOLVED")</x:f>
        <x:v>KHÔNG</x:v>
      </x:c>
      <x:c r="I59" t="str">
        <x:f>IFERROR(INDEX(PROFILE_ND30!$CA$7:$CA$500,MATCH($B59,PROFILE_ND30!$B$7:$B$500,0)),"UNRESOLVED")</x:f>
        <x:v>TEXT</x:v>
      </x:c>
      <x:c r="J59" t="str">
        <x:f>IFERROR(INDEX(PROFILE_ND30!$BZ$7:$BZ$500,MATCH($B59,PROFILE_ND30!$B$7:$B$500,0)),"UNRESOLVED")</x:f>
        <x:v>Theo trường con</x:v>
      </x:c>
      <x:c r="K59" t="str">
        <x:f>IFERROR(INDEX(PROFILE_ND30!$AJ$7:$AJ$500,MATCH($B59,PROFILE_ND30!$B$7:$B$500,0)),"UNRESOLVED")</x:f>
      </x:c>
      <x:c r="L59" t="str">
        <x:f>IF(K59="","N/A / CHƯA NHẬP",IF(AND(ISNUMBER(J59),ISNUMBER(K59),J59=K59),"KHỚP SỐ","CẦN KIỂM TRA THỦ CÔNG"))</x:f>
        <x:v>N/A / CHƯA NHẬP</x:v>
      </x:c>
      <x:c r="M59" t="str">
        <x:f>IF(OR(C59&lt;&gt;1,D59&lt;&gt;"OK",E59&lt;&gt;"OK",H59&lt;&gt;"KHÔNG"),"BLOCK",IF(G59="PROTECTED","PROTECTED","CHECK_ONLY"))</x:f>
        <x:v>PROTECTED</x:v>
      </x:c>
    </x:row>
    <x:row r="60">
      <x:c r="A60" t="str">
        <x:v>ND30</x:v>
      </x:c>
      <x:c r="B60" t="str">
        <x:f>ND30!B60</x:f>
        <x:v>ND30.C.DAU.DAU_CO_QUAN</x:v>
      </x:c>
      <x:c r="C60" t="n">
        <x:f>COUNTIF(PROFILE_ND30!$B$7:$B$500,B60)</x:f>
        <x:v>1</x:v>
      </x:c>
      <x:c r="D60" t="str">
        <x:f>IF(LEFT(B60,LEN(A60)+1)=A60&amp;".","OK","SAI PREFIX")</x:f>
        <x:v>OK</x:v>
      </x:c>
      <x:c r="E60" t="str">
        <x:f>IF(COUNTIF(ND30!$B$7:$B$500,B60)=1,"OK","MÃ NGUỒN KHÔNG DUY NHẤT")</x:f>
        <x:v>OK</x:v>
      </x:c>
      <x:c r="F60" t="str">
        <x:f>IFERROR(INDEX(PROFILE_ND30!$CC$7:$CC$500,MATCH($B60,PROFILE_ND30!$B$7:$B$500,0)),"UNRESOLVED")</x:f>
        <x:v>BẢO VỆ / KHÔNG TỰ SỬA</x:v>
      </x:c>
      <x:c r="G60" t="str">
        <x:f>IFERROR(INDEX(PROFILE_ND30!$CD$7:$CD$500,MATCH($B60,PROFILE_ND30!$B$7:$B$500,0)),"UNRESOLVED")</x:f>
        <x:v>PROTECTED</x:v>
      </x:c>
      <x:c r="H60" t="str">
        <x:f>IFERROR(INDEX(PROFILE_ND30!$CK$7:$CK$500,MATCH($B60,PROFILE_ND30!$B$7:$B$500,0)),"UNRESOLVED")</x:f>
        <x:v>KHÔNG</x:v>
      </x:c>
      <x:c r="I60" t="str">
        <x:f>IFERROR(INDEX(PROFILE_ND30!$CA$7:$CA$500,MATCH($B60,PROFILE_ND30!$B$7:$B$500,0)),"UNRESOLVED")</x:f>
        <x:v>SIGNATURE_OR_SEAL</x:v>
      </x:c>
      <x:c r="J60" t="str">
        <x:f>IFERROR(INDEX(PROFILE_ND30!$BZ$7:$BZ$500,MATCH($B60,PROFILE_ND30!$B$7:$B$500,0)),"UNRESOLVED")</x:f>
        <x:v>Không áp dụng</x:v>
      </x:c>
      <x:c r="K60" t="str">
        <x:f>IFERROR(INDEX(PROFILE_ND30!$AJ$7:$AJ$500,MATCH($B60,PROFILE_ND30!$B$7:$B$500,0)),"UNRESOLVED")</x:f>
      </x:c>
      <x:c r="L60" t="str">
        <x:f>IF(K60="","N/A / CHƯA NHẬP",IF(AND(ISNUMBER(J60),ISNUMBER(K60),J60=K60),"KHỚP SỐ","CẦN KIỂM TRA THỦ CÔNG"))</x:f>
        <x:v>N/A / CHƯA NHẬP</x:v>
      </x:c>
      <x:c r="M60" t="str">
        <x:f>IF(OR(C60&lt;&gt;1,D60&lt;&gt;"OK",E60&lt;&gt;"OK",H60&lt;&gt;"KHÔNG"),"BLOCK",IF(G60="PROTECTED","PROTECTED","CHECK_ONLY"))</x:f>
        <x:v>PROTECTED</x:v>
      </x:c>
    </x:row>
    <x:row r="61">
      <x:c r="A61" t="str">
        <x:v>ND30</x:v>
      </x:c>
      <x:c r="B61" t="str">
        <x:f>ND30!B61</x:f>
        <x:v>ND30.C.DAU.CHU_KY_SO</x:v>
      </x:c>
      <x:c r="C61" t="n">
        <x:f>COUNTIF(PROFILE_ND30!$B$7:$B$500,B61)</x:f>
        <x:v>1</x:v>
      </x:c>
      <x:c r="D61" t="str">
        <x:f>IF(LEFT(B61,LEN(A61)+1)=A61&amp;".","OK","SAI PREFIX")</x:f>
        <x:v>OK</x:v>
      </x:c>
      <x:c r="E61" t="str">
        <x:f>IF(COUNTIF(ND30!$B$7:$B$500,B61)=1,"OK","MÃ NGUỒN KHÔNG DUY NHẤT")</x:f>
        <x:v>OK</x:v>
      </x:c>
      <x:c r="F61" t="str">
        <x:f>IFERROR(INDEX(PROFILE_ND30!$CC$7:$CC$500,MATCH($B61,PROFILE_ND30!$B$7:$B$500,0)),"UNRESOLVED")</x:f>
        <x:v>BẢO VỆ / KHÔNG TỰ SỬA</x:v>
      </x:c>
      <x:c r="G61" t="str">
        <x:f>IFERROR(INDEX(PROFILE_ND30!$CD$7:$CD$500,MATCH($B61,PROFILE_ND30!$B$7:$B$500,0)),"UNRESOLVED")</x:f>
        <x:v>PROTECTED</x:v>
      </x:c>
      <x:c r="H61" t="str">
        <x:f>IFERROR(INDEX(PROFILE_ND30!$CK$7:$CK$500,MATCH($B61,PROFILE_ND30!$B$7:$B$500,0)),"UNRESOLVED")</x:f>
        <x:v>KHÔNG</x:v>
      </x:c>
      <x:c r="I61" t="str">
        <x:f>IFERROR(INDEX(PROFILE_ND30!$CA$7:$CA$500,MATCH($B61,PROFILE_ND30!$B$7:$B$500,0)),"UNRESOLVED")</x:f>
        <x:v>SIGNATURE_OR_SEAL</x:v>
      </x:c>
      <x:c r="J61" t="str">
        <x:f>IFERROR(INDEX(PROFILE_ND30!$BZ$7:$BZ$500,MATCH($B61,PROFILE_ND30!$B$7:$B$500,0)),"UNRESOLVED")</x:f>
        <x:v>Không áp dụng</x:v>
      </x:c>
      <x:c r="K61" t="str">
        <x:f>IFERROR(INDEX(PROFILE_ND30!$AJ$7:$AJ$500,MATCH($B61,PROFILE_ND30!$B$7:$B$500,0)),"UNRESOLVED")</x:f>
      </x:c>
      <x:c r="L61" t="str">
        <x:f>IF(K61="","N/A / CHƯA NHẬP",IF(AND(ISNUMBER(J61),ISNUMBER(K61),J61=K61),"KHỚP SỐ","CẦN KIỂM TRA THỦ CÔNG"))</x:f>
        <x:v>N/A / CHƯA NHẬP</x:v>
      </x:c>
      <x:c r="M61" t="str">
        <x:f>IF(OR(C61&lt;&gt;1,D61&lt;&gt;"OK",E61&lt;&gt;"OK",H61&lt;&gt;"KHÔNG"),"BLOCK",IF(G61="PROTECTED","PROTECTED","CHECK_ONLY"))</x:f>
        <x:v>PROTECTED</x:v>
      </x:c>
    </x:row>
    <x:row r="62">
      <x:c r="A62" t="str">
        <x:v>ND30</x:v>
      </x:c>
      <x:c r="B62" t="str">
        <x:f>ND30!B62</x:f>
        <x:v>ND30.G.TRANG.KHO_GIAY</x:v>
      </x:c>
      <x:c r="C62" t="n">
        <x:f>COUNTIF(PROFILE_ND30!$B$7:$B$500,B62)</x:f>
        <x:v>1</x:v>
      </x:c>
      <x:c r="D62" t="str">
        <x:f>IF(LEFT(B62,LEN(A62)+1)=A62&amp;".","OK","SAI PREFIX")</x:f>
        <x:v>OK</x:v>
      </x:c>
      <x:c r="E62" t="str">
        <x:f>IF(COUNTIF(ND30!$B$7:$B$500,B62)=1,"OK","MÃ NGUỒN KHÔNG DUY NHẤT")</x:f>
        <x:v>OK</x:v>
      </x:c>
      <x:c r="F62" t="str">
        <x:f>IFERROR(INDEX(PROFILE_ND30!$CC$7:$CC$500,MATCH($B62,PROFILE_ND30!$B$7:$B$500,0)),"UNRESOLVED")</x:f>
        <x:v>CHỈ SAU REVIEW</x:v>
      </x:c>
      <x:c r="G62" t="str">
        <x:f>IFERROR(INDEX(PROFILE_ND30!$CD$7:$CD$500,MATCH($B62,PROFILE_ND30!$B$7:$B$500,0)),"UNRESOLVED")</x:f>
        <x:v>CHECK_ONLY</x:v>
      </x:c>
      <x:c r="H62" t="str">
        <x:f>IFERROR(INDEX(PROFILE_ND30!$CK$7:$CK$500,MATCH($B62,PROFILE_ND30!$B$7:$B$500,0)),"UNRESOLVED")</x:f>
        <x:v>KHÔNG</x:v>
      </x:c>
      <x:c r="I62" t="str">
        <x:f>IFERROR(INDEX(PROFILE_ND30!$CA$7:$CA$500,MATCH($B62,PROFILE_ND30!$B$7:$B$500,0)),"UNRESOLVED")</x:f>
        <x:v>DOCUMENT_SETTING</x:v>
      </x:c>
      <x:c r="J62" t="str">
        <x:f>IFERROR(INDEX(PROFILE_ND30!$BZ$7:$BZ$500,MATCH($B62,PROFILE_ND30!$B$7:$B$500,0)),"UNRESOLVED")</x:f>
        <x:v>Không áp dụng</x:v>
      </x:c>
      <x:c r="K62" t="str">
        <x:f>IFERROR(INDEX(PROFILE_ND30!$AJ$7:$AJ$500,MATCH($B62,PROFILE_ND30!$B$7:$B$500,0)),"UNRESOLVED")</x:f>
      </x:c>
      <x:c r="L62" t="str">
        <x:f>IF(K62="","N/A / CHƯA NHẬP",IF(AND(ISNUMBER(J62),ISNUMBER(K62),J62=K62),"KHỚP SỐ","CẦN KIỂM TRA THỦ CÔNG"))</x:f>
        <x:v>N/A / CHƯA NHẬP</x:v>
      </x:c>
      <x:c r="M62" t="str">
        <x:f>IF(OR(C62&lt;&gt;1,D62&lt;&gt;"OK",E62&lt;&gt;"OK",H62&lt;&gt;"KHÔNG"),"BLOCK",IF(G62="PROTECTED","PROTECTED","CHECK_ONLY"))</x:f>
        <x:v>CHECK_ONLY</x:v>
      </x:c>
    </x:row>
    <x:row r="63">
      <x:c r="A63" t="str">
        <x:v>ND30</x:v>
      </x:c>
      <x:c r="B63" t="str">
        <x:f>ND30!B63</x:f>
        <x:v>ND30.G.TRANG.HUONG_GIAY</x:v>
      </x:c>
      <x:c r="C63" t="n">
        <x:f>COUNTIF(PROFILE_ND30!$B$7:$B$500,B63)</x:f>
        <x:v>1</x:v>
      </x:c>
      <x:c r="D63" t="str">
        <x:f>IF(LEFT(B63,LEN(A63)+1)=A63&amp;".","OK","SAI PREFIX")</x:f>
        <x:v>OK</x:v>
      </x:c>
      <x:c r="E63" t="str">
        <x:f>IF(COUNTIF(ND30!$B$7:$B$500,B63)=1,"OK","MÃ NGUỒN KHÔNG DUY NHẤT")</x:f>
        <x:v>OK</x:v>
      </x:c>
      <x:c r="F63" t="str">
        <x:f>IFERROR(INDEX(PROFILE_ND30!$CC$7:$CC$500,MATCH($B63,PROFILE_ND30!$B$7:$B$500,0)),"UNRESOLVED")</x:f>
        <x:v>CHỈ SAU REVIEW</x:v>
      </x:c>
      <x:c r="G63" t="str">
        <x:f>IFERROR(INDEX(PROFILE_ND30!$CD$7:$CD$500,MATCH($B63,PROFILE_ND30!$B$7:$B$500,0)),"UNRESOLVED")</x:f>
        <x:v>CHECK_ONLY</x:v>
      </x:c>
      <x:c r="H63" t="str">
        <x:f>IFERROR(INDEX(PROFILE_ND30!$CK$7:$CK$500,MATCH($B63,PROFILE_ND30!$B$7:$B$500,0)),"UNRESOLVED")</x:f>
        <x:v>KHÔNG</x:v>
      </x:c>
      <x:c r="I63" t="str">
        <x:f>IFERROR(INDEX(PROFILE_ND30!$CA$7:$CA$500,MATCH($B63,PROFILE_ND30!$B$7:$B$500,0)),"UNRESOLVED")</x:f>
        <x:v>DOCUMENT_SETTING</x:v>
      </x:c>
      <x:c r="J63" t="str">
        <x:f>IFERROR(INDEX(PROFILE_ND30!$BZ$7:$BZ$500,MATCH($B63,PROFILE_ND30!$B$7:$B$500,0)),"UNRESOLVED")</x:f>
        <x:v>Không áp dụng</x:v>
      </x:c>
      <x:c r="K63" t="str">
        <x:f>IFERROR(INDEX(PROFILE_ND30!$AJ$7:$AJ$500,MATCH($B63,PROFILE_ND30!$B$7:$B$500,0)),"UNRESOLVED")</x:f>
      </x:c>
      <x:c r="L63" t="str">
        <x:f>IF(K63="","N/A / CHƯA NHẬP",IF(AND(ISNUMBER(J63),ISNUMBER(K63),J63=K63),"KHỚP SỐ","CẦN KIỂM TRA THỦ CÔNG"))</x:f>
        <x:v>N/A / CHƯA NHẬP</x:v>
      </x:c>
      <x:c r="M63" t="str">
        <x:f>IF(OR(C63&lt;&gt;1,D63&lt;&gt;"OK",E63&lt;&gt;"OK",H63&lt;&gt;"KHÔNG"),"BLOCK",IF(G63="PROTECTED","PROTECTED","CHECK_ONLY"))</x:f>
        <x:v>CHECK_ONLY</x:v>
      </x:c>
    </x:row>
    <x:row r="64">
      <x:c r="A64" t="str">
        <x:v>ND30</x:v>
      </x:c>
      <x:c r="B64" t="str">
        <x:f>ND30!B64</x:f>
        <x:v>ND30.G.TRANG.LE_TRANG</x:v>
      </x:c>
      <x:c r="C64" t="n">
        <x:f>COUNTIF(PROFILE_ND30!$B$7:$B$500,B64)</x:f>
        <x:v>1</x:v>
      </x:c>
      <x:c r="D64" t="str">
        <x:f>IF(LEFT(B64,LEN(A64)+1)=A64&amp;".","OK","SAI PREFIX")</x:f>
        <x:v>OK</x:v>
      </x:c>
      <x:c r="E64" t="str">
        <x:f>IF(COUNTIF(ND30!$B$7:$B$500,B64)=1,"OK","MÃ NGUỒN KHÔNG DUY NHẤT")</x:f>
        <x:v>OK</x:v>
      </x:c>
      <x:c r="F64" t="str">
        <x:f>IFERROR(INDEX(PROFILE_ND30!$CC$7:$CC$500,MATCH($B64,PROFILE_ND30!$B$7:$B$500,0)),"UNRESOLVED")</x:f>
        <x:v>CHỈ SAU REVIEW</x:v>
      </x:c>
      <x:c r="G64" t="str">
        <x:f>IFERROR(INDEX(PROFILE_ND30!$CD$7:$CD$500,MATCH($B64,PROFILE_ND30!$B$7:$B$500,0)),"UNRESOLVED")</x:f>
        <x:v>CHECK_ONLY</x:v>
      </x:c>
      <x:c r="H64" t="str">
        <x:f>IFERROR(INDEX(PROFILE_ND30!$CK$7:$CK$500,MATCH($B64,PROFILE_ND30!$B$7:$B$500,0)),"UNRESOLVED")</x:f>
        <x:v>KHÔNG</x:v>
      </x:c>
      <x:c r="I64" t="str">
        <x:f>IFERROR(INDEX(PROFILE_ND30!$CA$7:$CA$500,MATCH($B64,PROFILE_ND30!$B$7:$B$500,0)),"UNRESOLVED")</x:f>
        <x:v>DOCUMENT_SETTING</x:v>
      </x:c>
      <x:c r="J64" t="str">
        <x:f>IFERROR(INDEX(PROFILE_ND30!$BZ$7:$BZ$500,MATCH($B64,PROFILE_ND30!$B$7:$B$500,0)),"UNRESOLVED")</x:f>
        <x:v>Không áp dụng</x:v>
      </x:c>
      <x:c r="K64" t="str">
        <x:f>IFERROR(INDEX(PROFILE_ND30!$AJ$7:$AJ$500,MATCH($B64,PROFILE_ND30!$B$7:$B$500,0)),"UNRESOLVED")</x:f>
      </x:c>
      <x:c r="L64" t="str">
        <x:f>IF(K64="","N/A / CHƯA NHẬP",IF(AND(ISNUMBER(J64),ISNUMBER(K64),J64=K64),"KHỚP SỐ","CẦN KIỂM TRA THỦ CÔNG"))</x:f>
        <x:v>N/A / CHƯA NHẬP</x:v>
      </x:c>
      <x:c r="M64" t="str">
        <x:f>IF(OR(C64&lt;&gt;1,D64&lt;&gt;"OK",E64&lt;&gt;"OK",H64&lt;&gt;"KHÔNG"),"BLOCK",IF(G64="PROTECTED","PROTECTED","CHECK_ONLY"))</x:f>
        <x:v>CHECK_ONLY</x:v>
      </x:c>
    </x:row>
    <x:row r="65">
      <x:c r="A65" t="str">
        <x:v>ND30</x:v>
      </x:c>
      <x:c r="B65" t="str">
        <x:f>ND30!B65</x:f>
        <x:v>ND30.G.CHU.PHONG</x:v>
      </x:c>
      <x:c r="C65" t="n">
        <x:f>COUNTIF(PROFILE_ND30!$B$7:$B$500,B65)</x:f>
        <x:v>1</x:v>
      </x:c>
      <x:c r="D65" t="str">
        <x:f>IF(LEFT(B65,LEN(A65)+1)=A65&amp;".","OK","SAI PREFIX")</x:f>
        <x:v>OK</x:v>
      </x:c>
      <x:c r="E65" t="str">
        <x:f>IF(COUNTIF(ND30!$B$7:$B$500,B65)=1,"OK","MÃ NGUỒN KHÔNG DUY NHẤT")</x:f>
        <x:v>OK</x:v>
      </x:c>
      <x:c r="F65" t="str">
        <x:f>IFERROR(INDEX(PROFILE_ND30!$CC$7:$CC$500,MATCH($B65,PROFILE_ND30!$B$7:$B$500,0)),"UNRESOLVED")</x:f>
        <x:v>CHỈ SAU REVIEW</x:v>
      </x:c>
      <x:c r="G65" t="str">
        <x:f>IFERROR(INDEX(PROFILE_ND30!$CD$7:$CD$500,MATCH($B65,PROFILE_ND30!$B$7:$B$500,0)),"UNRESOLVED")</x:f>
        <x:v>CHECK_ONLY</x:v>
      </x:c>
      <x:c r="H65" t="str">
        <x:f>IFERROR(INDEX(PROFILE_ND30!$CK$7:$CK$500,MATCH($B65,PROFILE_ND30!$B$7:$B$500,0)),"UNRESOLVED")</x:f>
        <x:v>KHÔNG</x:v>
      </x:c>
      <x:c r="I65" t="str">
        <x:f>IFERROR(INDEX(PROFILE_ND30!$CA$7:$CA$500,MATCH($B65,PROFILE_ND30!$B$7:$B$500,0)),"UNRESOLVED")</x:f>
        <x:v>DOCUMENT_SETTING</x:v>
      </x:c>
      <x:c r="J65" t="str">
        <x:f>IFERROR(INDEX(PROFILE_ND30!$BZ$7:$BZ$500,MATCH($B65,PROFILE_ND30!$B$7:$B$500,0)),"UNRESOLVED")</x:f>
      </x:c>
      <x:c r="K65" t="str">
        <x:f>IFERROR(INDEX(PROFILE_ND30!$AJ$7:$AJ$500,MATCH($B65,PROFILE_ND30!$B$7:$B$500,0)),"UNRESOLVED")</x:f>
      </x:c>
      <x:c r="L65" t="str">
        <x:f>IF(K65="","N/A / CHƯA NHẬP",IF(AND(ISNUMBER(J65),ISNUMBER(K65),J65=K65),"KHỚP SỐ","CẦN KIỂM TRA THỦ CÔNG"))</x:f>
        <x:v>N/A / CHƯA NHẬP</x:v>
      </x:c>
      <x:c r="M65" t="str">
        <x:f>IF(OR(C65&lt;&gt;1,D65&lt;&gt;"OK",E65&lt;&gt;"OK",H65&lt;&gt;"KHÔNG"),"BLOCK",IF(G65="PROTECTED","PROTECTED","CHECK_ONLY"))</x:f>
        <x:v>CHECK_ONLY</x:v>
      </x:c>
    </x:row>
    <x:row r="66">
      <x:c r="A66" t="str">
        <x:v>ND30</x:v>
      </x:c>
      <x:c r="B66" t="str">
        <x:f>ND30!B66</x:f>
        <x:v>ND30.G.CHU.CO_CHU</x:v>
      </x:c>
      <x:c r="C66" t="n">
        <x:f>COUNTIF(PROFILE_ND30!$B$7:$B$500,B66)</x:f>
        <x:v>1</x:v>
      </x:c>
      <x:c r="D66" t="str">
        <x:f>IF(LEFT(B66,LEN(A66)+1)=A66&amp;".","OK","SAI PREFIX")</x:f>
        <x:v>OK</x:v>
      </x:c>
      <x:c r="E66" t="str">
        <x:f>IF(COUNTIF(ND30!$B$7:$B$500,B66)=1,"OK","MÃ NGUỒN KHÔNG DUY NHẤT")</x:f>
        <x:v>OK</x:v>
      </x:c>
      <x:c r="F66" t="str">
        <x:f>IFERROR(INDEX(PROFILE_ND30!$CC$7:$CC$500,MATCH($B66,PROFILE_ND30!$B$7:$B$500,0)),"UNRESOLVED")</x:f>
        <x:v>CHỈ SAU REVIEW</x:v>
      </x:c>
      <x:c r="G66" t="str">
        <x:f>IFERROR(INDEX(PROFILE_ND30!$CD$7:$CD$500,MATCH($B66,PROFILE_ND30!$B$7:$B$500,0)),"UNRESOLVED")</x:f>
        <x:v>CHECK_ONLY</x:v>
      </x:c>
      <x:c r="H66" t="str">
        <x:f>IFERROR(INDEX(PROFILE_ND30!$CK$7:$CK$500,MATCH($B66,PROFILE_ND30!$B$7:$B$500,0)),"UNRESOLVED")</x:f>
        <x:v>KHÔNG</x:v>
      </x:c>
      <x:c r="I66" t="str">
        <x:f>IFERROR(INDEX(PROFILE_ND30!$CA$7:$CA$500,MATCH($B66,PROFILE_ND30!$B$7:$B$500,0)),"UNRESOLVED")</x:f>
        <x:v>DOCUMENT_SETTING</x:v>
      </x:c>
      <x:c r="J66" t="str">
        <x:f>IFERROR(INDEX(PROFILE_ND30!$BZ$7:$BZ$500,MATCH($B66,PROFILE_ND30!$B$7:$B$500,0)),"UNRESOLVED")</x:f>
      </x:c>
      <x:c r="K66" t="n">
        <x:f>IFERROR(INDEX(PROFILE_ND30!$AJ$7:$AJ$500,MATCH($B66,PROFILE_ND30!$B$7:$B$500,0)),"UNRESOLVED")</x:f>
        <x:v>14</x:v>
      </x:c>
      <x:c r="L66" t="str">
        <x:f>IF(K66="","N/A / CHƯA NHẬP",IF(AND(ISNUMBER(J66),ISNUMBER(K66),J66=K66),"KHỚP SỐ","CẦN KIỂM TRA THỦ CÔNG"))</x:f>
        <x:v>CẦN KIỂM TRA THỦ CÔNG</x:v>
      </x:c>
      <x:c r="M66" t="str">
        <x:f>IF(OR(C66&lt;&gt;1,D66&lt;&gt;"OK",E66&lt;&gt;"OK",H66&lt;&gt;"KHÔNG"),"BLOCK",IF(G66="PROTECTED","PROTECTED","CHECK_ONLY"))</x:f>
        <x:v>CHECK_ONLY</x:v>
      </x:c>
    </x:row>
    <x:row r="67">
      <x:c r="A67" t="str">
        <x:v>ND30</x:v>
      </x:c>
      <x:c r="B67" t="str">
        <x:f>ND30!B67</x:f>
        <x:v>ND30.G.CHU.KIEU_CHU</x:v>
      </x:c>
      <x:c r="C67" t="n">
        <x:f>COUNTIF(PROFILE_ND30!$B$7:$B$500,B67)</x:f>
        <x:v>1</x:v>
      </x:c>
      <x:c r="D67" t="str">
        <x:f>IF(LEFT(B67,LEN(A67)+1)=A67&amp;".","OK","SAI PREFIX")</x:f>
        <x:v>OK</x:v>
      </x:c>
      <x:c r="E67" t="str">
        <x:f>IF(COUNTIF(ND30!$B$7:$B$500,B67)=1,"OK","MÃ NGUỒN KHÔNG DUY NHẤT")</x:f>
        <x:v>OK</x:v>
      </x:c>
      <x:c r="F67" t="str">
        <x:f>IFERROR(INDEX(PROFILE_ND30!$CC$7:$CC$500,MATCH($B67,PROFILE_ND30!$B$7:$B$500,0)),"UNRESOLVED")</x:f>
        <x:v>CHỈ SAU REVIEW</x:v>
      </x:c>
      <x:c r="G67" t="str">
        <x:f>IFERROR(INDEX(PROFILE_ND30!$CD$7:$CD$500,MATCH($B67,PROFILE_ND30!$B$7:$B$500,0)),"UNRESOLVED")</x:f>
        <x:v>CHECK_ONLY</x:v>
      </x:c>
      <x:c r="H67" t="str">
        <x:f>IFERROR(INDEX(PROFILE_ND30!$CK$7:$CK$500,MATCH($B67,PROFILE_ND30!$B$7:$B$500,0)),"UNRESOLVED")</x:f>
        <x:v>KHÔNG</x:v>
      </x:c>
      <x:c r="I67" t="str">
        <x:f>IFERROR(INDEX(PROFILE_ND30!$CA$7:$CA$500,MATCH($B67,PROFILE_ND30!$B$7:$B$500,0)),"UNRESOLVED")</x:f>
        <x:v>DOCUMENT_SETTING</x:v>
      </x:c>
      <x:c r="J67" t="str">
        <x:f>IFERROR(INDEX(PROFILE_ND30!$BZ$7:$BZ$500,MATCH($B67,PROFILE_ND30!$B$7:$B$500,0)),"UNRESOLVED")</x:f>
      </x:c>
      <x:c r="K67" t="str">
        <x:f>IFERROR(INDEX(PROFILE_ND30!$AJ$7:$AJ$500,MATCH($B67,PROFILE_ND30!$B$7:$B$500,0)),"UNRESOLVED")</x:f>
      </x:c>
      <x:c r="L67" t="str">
        <x:f>IF(K67="","N/A / CHƯA NHẬP",IF(AND(ISNUMBER(J67),ISNUMBER(K67),J67=K67),"KHỚP SỐ","CẦN KIỂM TRA THỦ CÔNG"))</x:f>
        <x:v>N/A / CHƯA NHẬP</x:v>
      </x:c>
      <x:c r="M67" t="str">
        <x:f>IF(OR(C67&lt;&gt;1,D67&lt;&gt;"OK",E67&lt;&gt;"OK",H67&lt;&gt;"KHÔNG"),"BLOCK",IF(G67="PROTECTED","PROTECTED","CHECK_ONLY"))</x:f>
        <x:v>CHECK_ONLY</x:v>
      </x:c>
    </x:row>
    <x:row r="68">
      <x:c r="A68" t="str">
        <x:v>ND30</x:v>
      </x:c>
      <x:c r="B68" t="str">
        <x:f>ND30!B68</x:f>
        <x:v>ND30.G.DOAN.CAN_LE</x:v>
      </x:c>
      <x:c r="C68" t="n">
        <x:f>COUNTIF(PROFILE_ND30!$B$7:$B$500,B68)</x:f>
        <x:v>1</x:v>
      </x:c>
      <x:c r="D68" t="str">
        <x:f>IF(LEFT(B68,LEN(A68)+1)=A68&amp;".","OK","SAI PREFIX")</x:f>
        <x:v>OK</x:v>
      </x:c>
      <x:c r="E68" t="str">
        <x:f>IF(COUNTIF(ND30!$B$7:$B$500,B68)=1,"OK","MÃ NGUỒN KHÔNG DUY NHẤT")</x:f>
        <x:v>OK</x:v>
      </x:c>
      <x:c r="F68" t="str">
        <x:f>IFERROR(INDEX(PROFILE_ND30!$CC$7:$CC$500,MATCH($B68,PROFILE_ND30!$B$7:$B$500,0)),"UNRESOLVED")</x:f>
        <x:v>CHỈ SAU REVIEW</x:v>
      </x:c>
      <x:c r="G68" t="str">
        <x:f>IFERROR(INDEX(PROFILE_ND30!$CD$7:$CD$500,MATCH($B68,PROFILE_ND30!$B$7:$B$500,0)),"UNRESOLVED")</x:f>
        <x:v>CHECK_ONLY</x:v>
      </x:c>
      <x:c r="H68" t="str">
        <x:f>IFERROR(INDEX(PROFILE_ND30!$CK$7:$CK$500,MATCH($B68,PROFILE_ND30!$B$7:$B$500,0)),"UNRESOLVED")</x:f>
        <x:v>KHÔNG</x:v>
      </x:c>
      <x:c r="I68" t="str">
        <x:f>IFERROR(INDEX(PROFILE_ND30!$CA$7:$CA$500,MATCH($B68,PROFILE_ND30!$B$7:$B$500,0)),"UNRESOLVED")</x:f>
        <x:v>DOCUMENT_SETTING</x:v>
      </x:c>
      <x:c r="J68" t="str">
        <x:f>IFERROR(INDEX(PROFILE_ND30!$BZ$7:$BZ$500,MATCH($B68,PROFILE_ND30!$B$7:$B$500,0)),"UNRESOLVED")</x:f>
      </x:c>
      <x:c r="K68" t="str">
        <x:f>IFERROR(INDEX(PROFILE_ND30!$AJ$7:$AJ$500,MATCH($B68,PROFILE_ND30!$B$7:$B$500,0)),"UNRESOLVED")</x:f>
      </x:c>
      <x:c r="L68" t="str">
        <x:f>IF(K68="","N/A / CHƯA NHẬP",IF(AND(ISNUMBER(J68),ISNUMBER(K68),J68=K68),"KHỚP SỐ","CẦN KIỂM TRA THỦ CÔNG"))</x:f>
        <x:v>N/A / CHƯA NHẬP</x:v>
      </x:c>
      <x:c r="M68" t="str">
        <x:f>IF(OR(C68&lt;&gt;1,D68&lt;&gt;"OK",E68&lt;&gt;"OK",H68&lt;&gt;"KHÔNG"),"BLOCK",IF(G68="PROTECTED","PROTECTED","CHECK_ONLY"))</x:f>
        <x:v>CHECK_ONLY</x:v>
      </x:c>
    </x:row>
    <x:row r="69">
      <x:c r="A69" t="str">
        <x:v>ND30</x:v>
      </x:c>
      <x:c r="B69" t="str">
        <x:f>ND30!B69</x:f>
        <x:v>ND30.G.DOAN.GIUA_DONG</x:v>
      </x:c>
      <x:c r="C69" t="n">
        <x:f>COUNTIF(PROFILE_ND30!$B$7:$B$500,B69)</x:f>
        <x:v>1</x:v>
      </x:c>
      <x:c r="D69" t="str">
        <x:f>IF(LEFT(B69,LEN(A69)+1)=A69&amp;".","OK","SAI PREFIX")</x:f>
        <x:v>OK</x:v>
      </x:c>
      <x:c r="E69" t="str">
        <x:f>IF(COUNTIF(ND30!$B$7:$B$500,B69)=1,"OK","MÃ NGUỒN KHÔNG DUY NHẤT")</x:f>
        <x:v>OK</x:v>
      </x:c>
      <x:c r="F69" t="str">
        <x:f>IFERROR(INDEX(PROFILE_ND30!$CC$7:$CC$500,MATCH($B69,PROFILE_ND30!$B$7:$B$500,0)),"UNRESOLVED")</x:f>
        <x:v>CHỈ SAU REVIEW</x:v>
      </x:c>
      <x:c r="G69" t="str">
        <x:f>IFERROR(INDEX(PROFILE_ND30!$CD$7:$CD$500,MATCH($B69,PROFILE_ND30!$B$7:$B$500,0)),"UNRESOLVED")</x:f>
        <x:v>CHECK_ONLY</x:v>
      </x:c>
      <x:c r="H69" t="str">
        <x:f>IFERROR(INDEX(PROFILE_ND30!$CK$7:$CK$500,MATCH($B69,PROFILE_ND30!$B$7:$B$500,0)),"UNRESOLVED")</x:f>
        <x:v>KHÔNG</x:v>
      </x:c>
      <x:c r="I69" t="str">
        <x:f>IFERROR(INDEX(PROFILE_ND30!$CA$7:$CA$500,MATCH($B69,PROFILE_ND30!$B$7:$B$500,0)),"UNRESOLVED")</x:f>
        <x:v>DOCUMENT_SETTING</x:v>
      </x:c>
      <x:c r="J69" t="str">
        <x:f>IFERROR(INDEX(PROFILE_ND30!$BZ$7:$BZ$500,MATCH($B69,PROFILE_ND30!$B$7:$B$500,0)),"UNRESOLVED")</x:f>
      </x:c>
      <x:c r="K69" t="str">
        <x:f>IFERROR(INDEX(PROFILE_ND30!$AJ$7:$AJ$500,MATCH($B69,PROFILE_ND30!$B$7:$B$500,0)),"UNRESOLVED")</x:f>
      </x:c>
      <x:c r="L69" t="str">
        <x:f>IF(K69="","N/A / CHƯA NHẬP",IF(AND(ISNUMBER(J69),ISNUMBER(K69),J69=K69),"KHỚP SỐ","CẦN KIỂM TRA THỦ CÔNG"))</x:f>
        <x:v>N/A / CHƯA NHẬP</x:v>
      </x:c>
      <x:c r="M69" t="str">
        <x:f>IF(OR(C69&lt;&gt;1,D69&lt;&gt;"OK",E69&lt;&gt;"OK",H69&lt;&gt;"KHÔNG"),"BLOCK",IF(G69="PROTECTED","PROTECTED","CHECK_ONLY"))</x:f>
        <x:v>CHECK_ONLY</x:v>
      </x:c>
    </x:row>
    <x:row r="70">
      <x:c r="A70" t="str">
        <x:v>ND30</x:v>
      </x:c>
      <x:c r="B70" t="str">
        <x:f>ND30!B70</x:f>
        <x:v>ND30.G.DOAN.GIUA_DOAN</x:v>
      </x:c>
      <x:c r="C70" t="n">
        <x:f>COUNTIF(PROFILE_ND30!$B$7:$B$500,B70)</x:f>
        <x:v>1</x:v>
      </x:c>
      <x:c r="D70" t="str">
        <x:f>IF(LEFT(B70,LEN(A70)+1)=A70&amp;".","OK","SAI PREFIX")</x:f>
        <x:v>OK</x:v>
      </x:c>
      <x:c r="E70" t="str">
        <x:f>IF(COUNTIF(ND30!$B$7:$B$500,B70)=1,"OK","MÃ NGUỒN KHÔNG DUY NHẤT")</x:f>
        <x:v>OK</x:v>
      </x:c>
      <x:c r="F70" t="str">
        <x:f>IFERROR(INDEX(PROFILE_ND30!$CC$7:$CC$500,MATCH($B70,PROFILE_ND30!$B$7:$B$500,0)),"UNRESOLVED")</x:f>
        <x:v>CHỈ SAU REVIEW</x:v>
      </x:c>
      <x:c r="G70" t="str">
        <x:f>IFERROR(INDEX(PROFILE_ND30!$CD$7:$CD$500,MATCH($B70,PROFILE_ND30!$B$7:$B$500,0)),"UNRESOLVED")</x:f>
        <x:v>CHECK_ONLY</x:v>
      </x:c>
      <x:c r="H70" t="str">
        <x:f>IFERROR(INDEX(PROFILE_ND30!$CK$7:$CK$500,MATCH($B70,PROFILE_ND30!$B$7:$B$500,0)),"UNRESOLVED")</x:f>
        <x:v>KHÔNG</x:v>
      </x:c>
      <x:c r="I70" t="str">
        <x:f>IFERROR(INDEX(PROFILE_ND30!$CA$7:$CA$500,MATCH($B70,PROFILE_ND30!$B$7:$B$500,0)),"UNRESOLVED")</x:f>
        <x:v>DOCUMENT_SETTING</x:v>
      </x:c>
      <x:c r="J70" t="str">
        <x:f>IFERROR(INDEX(PROFILE_ND30!$BZ$7:$BZ$500,MATCH($B70,PROFILE_ND30!$B$7:$B$500,0)),"UNRESOLVED")</x:f>
      </x:c>
      <x:c r="K70" t="str">
        <x:f>IFERROR(INDEX(PROFILE_ND30!$AJ$7:$AJ$500,MATCH($B70,PROFILE_ND30!$B$7:$B$500,0)),"UNRESOLVED")</x:f>
      </x:c>
      <x:c r="L70" t="str">
        <x:f>IF(K70="","N/A / CHƯA NHẬP",IF(AND(ISNUMBER(J70),ISNUMBER(K70),J70=K70),"KHỚP SỐ","CẦN KIỂM TRA THỦ CÔNG"))</x:f>
        <x:v>N/A / CHƯA NHẬP</x:v>
      </x:c>
      <x:c r="M70" t="str">
        <x:f>IF(OR(C70&lt;&gt;1,D70&lt;&gt;"OK",E70&lt;&gt;"OK",H70&lt;&gt;"KHÔNG"),"BLOCK",IF(G70="PROTECTED","PROTECTED","CHECK_ONLY"))</x:f>
        <x:v>CHECK_ONLY</x:v>
      </x:c>
    </x:row>
    <x:row r="71">
      <x:c r="A71" t="str">
        <x:v>ND30</x:v>
      </x:c>
      <x:c r="B71" t="str">
        <x:f>ND30!B71</x:f>
        <x:v>ND30.G.DOAN.THUT_DONG</x:v>
      </x:c>
      <x:c r="C71" t="n">
        <x:f>COUNTIF(PROFILE_ND30!$B$7:$B$500,B71)</x:f>
        <x:v>1</x:v>
      </x:c>
      <x:c r="D71" t="str">
        <x:f>IF(LEFT(B71,LEN(A71)+1)=A71&amp;".","OK","SAI PREFIX")</x:f>
        <x:v>OK</x:v>
      </x:c>
      <x:c r="E71" t="str">
        <x:f>IF(COUNTIF(ND30!$B$7:$B$500,B71)=1,"OK","MÃ NGUỒN KHÔNG DUY NHẤT")</x:f>
        <x:v>OK</x:v>
      </x:c>
      <x:c r="F71" t="str">
        <x:f>IFERROR(INDEX(PROFILE_ND30!$CC$7:$CC$500,MATCH($B71,PROFILE_ND30!$B$7:$B$500,0)),"UNRESOLVED")</x:f>
        <x:v>CHỈ SAU REVIEW</x:v>
      </x:c>
      <x:c r="G71" t="str">
        <x:f>IFERROR(INDEX(PROFILE_ND30!$CD$7:$CD$500,MATCH($B71,PROFILE_ND30!$B$7:$B$500,0)),"UNRESOLVED")</x:f>
        <x:v>CHECK_ONLY</x:v>
      </x:c>
      <x:c r="H71" t="str">
        <x:f>IFERROR(INDEX(PROFILE_ND30!$CK$7:$CK$500,MATCH($B71,PROFILE_ND30!$B$7:$B$500,0)),"UNRESOLVED")</x:f>
        <x:v>KHÔNG</x:v>
      </x:c>
      <x:c r="I71" t="str">
        <x:f>IFERROR(INDEX(PROFILE_ND30!$CA$7:$CA$500,MATCH($B71,PROFILE_ND30!$B$7:$B$500,0)),"UNRESOLVED")</x:f>
        <x:v>DOCUMENT_SETTING</x:v>
      </x:c>
      <x:c r="J71" t="str">
        <x:f>IFERROR(INDEX(PROFILE_ND30!$BZ$7:$BZ$500,MATCH($B71,PROFILE_ND30!$B$7:$B$500,0)),"UNRESOLVED")</x:f>
      </x:c>
      <x:c r="K71" t="str">
        <x:f>IFERROR(INDEX(PROFILE_ND30!$AJ$7:$AJ$500,MATCH($B71,PROFILE_ND30!$B$7:$B$500,0)),"UNRESOLVED")</x:f>
      </x:c>
      <x:c r="L71" t="str">
        <x:f>IF(K71="","N/A / CHƯA NHẬP",IF(AND(ISNUMBER(J71),ISNUMBER(K71),J71=K71),"KHỚP SỐ","CẦN KIỂM TRA THỦ CÔNG"))</x:f>
        <x:v>N/A / CHƯA NHẬP</x:v>
      </x:c>
      <x:c r="M71" t="str">
        <x:f>IF(OR(C71&lt;&gt;1,D71&lt;&gt;"OK",E71&lt;&gt;"OK",H71&lt;&gt;"KHÔNG"),"BLOCK",IF(G71="PROTECTED","PROTECTED","CHECK_ONLY"))</x:f>
        <x:v>CHECK_ONLY</x:v>
      </x:c>
    </x:row>
    <x:row r="72">
      <x:c r="A72" t="str">
        <x:v>ND30</x:v>
      </x:c>
      <x:c r="B72" t="str">
        <x:f>ND30!B72</x:f>
        <x:v>ND30.G.PHAN_TRANG.SECTION</x:v>
      </x:c>
      <x:c r="C72" t="n">
        <x:f>COUNTIF(PROFILE_ND30!$B$7:$B$500,B72)</x:f>
        <x:v>1</x:v>
      </x:c>
      <x:c r="D72" t="str">
        <x:f>IF(LEFT(B72,LEN(A72)+1)=A72&amp;".","OK","SAI PREFIX")</x:f>
        <x:v>OK</x:v>
      </x:c>
      <x:c r="E72" t="str">
        <x:f>IF(COUNTIF(ND30!$B$7:$B$500,B72)=1,"OK","MÃ NGUỒN KHÔNG DUY NHẤT")</x:f>
        <x:v>OK</x:v>
      </x:c>
      <x:c r="F72" t="str">
        <x:f>IFERROR(INDEX(PROFILE_ND30!$CC$7:$CC$500,MATCH($B72,PROFILE_ND30!$B$7:$B$500,0)),"UNRESOLVED")</x:f>
        <x:v>REVIEW TRƯỚC KHI SỬA</x:v>
      </x:c>
      <x:c r="G72" t="str">
        <x:f>IFERROR(INDEX(PROFILE_ND30!$CD$7:$CD$500,MATCH($B72,PROFILE_ND30!$B$7:$B$500,0)),"UNRESOLVED")</x:f>
        <x:v>CHECK_ONLY</x:v>
      </x:c>
      <x:c r="H72" t="str">
        <x:f>IFERROR(INDEX(PROFILE_ND30!$CK$7:$CK$500,MATCH($B72,PROFILE_ND30!$B$7:$B$500,0)),"UNRESOLVED")</x:f>
        <x:v>KHÔNG</x:v>
      </x:c>
      <x:c r="I72" t="str">
        <x:f>IFERROR(INDEX(PROFILE_ND30!$CA$7:$CA$500,MATCH($B72,PROFILE_ND30!$B$7:$B$500,0)),"UNRESOLVED")</x:f>
        <x:v>DOCUMENT_SETTING</x:v>
      </x:c>
      <x:c r="J72" t="str">
        <x:f>IFERROR(INDEX(PROFILE_ND30!$BZ$7:$BZ$500,MATCH($B72,PROFILE_ND30!$B$7:$B$500,0)),"UNRESOLVED")</x:f>
        <x:v>Không áp dụng</x:v>
      </x:c>
      <x:c r="K72" t="str">
        <x:f>IFERROR(INDEX(PROFILE_ND30!$AJ$7:$AJ$500,MATCH($B72,PROFILE_ND30!$B$7:$B$500,0)),"UNRESOLVED")</x:f>
      </x:c>
      <x:c r="L72" t="str">
        <x:f>IF(K72="","N/A / CHƯA NHẬP",IF(AND(ISNUMBER(J72),ISNUMBER(K72),J72=K72),"KHỚP SỐ","CẦN KIỂM TRA THỦ CÔNG"))</x:f>
        <x:v>N/A / CHƯA NHẬP</x:v>
      </x:c>
      <x:c r="M72" t="str">
        <x:f>IF(OR(C72&lt;&gt;1,D72&lt;&gt;"OK",E72&lt;&gt;"OK",H72&lt;&gt;"KHÔNG"),"BLOCK",IF(G72="PROTECTED","PROTECTED","CHECK_ONLY"))</x:f>
        <x:v>CHECK_ONLY</x:v>
      </x:c>
    </x:row>
    <x:row r="73">
      <x:c r="A73" t="str">
        <x:v>ND30</x:v>
      </x:c>
      <x:c r="B73" t="str">
        <x:f>ND30!B73</x:f>
        <x:v>ND30.G.PHAN_TRANG.NGAT_TRANG</x:v>
      </x:c>
      <x:c r="C73" t="n">
        <x:f>COUNTIF(PROFILE_ND30!$B$7:$B$500,B73)</x:f>
        <x:v>1</x:v>
      </x:c>
      <x:c r="D73" t="str">
        <x:f>IF(LEFT(B73,LEN(A73)+1)=A73&amp;".","OK","SAI PREFIX")</x:f>
        <x:v>OK</x:v>
      </x:c>
      <x:c r="E73" t="str">
        <x:f>IF(COUNTIF(ND30!$B$7:$B$500,B73)=1,"OK","MÃ NGUỒN KHÔNG DUY NHẤT")</x:f>
        <x:v>OK</x:v>
      </x:c>
      <x:c r="F73" t="str">
        <x:f>IFERROR(INDEX(PROFILE_ND30!$CC$7:$CC$500,MATCH($B73,PROFILE_ND30!$B$7:$B$500,0)),"UNRESOLVED")</x:f>
        <x:v>REVIEW TRƯỚC KHI SỬA</x:v>
      </x:c>
      <x:c r="G73" t="str">
        <x:f>IFERROR(INDEX(PROFILE_ND30!$CD$7:$CD$500,MATCH($B73,PROFILE_ND30!$B$7:$B$500,0)),"UNRESOLVED")</x:f>
        <x:v>CHECK_ONLY</x:v>
      </x:c>
      <x:c r="H73" t="str">
        <x:f>IFERROR(INDEX(PROFILE_ND30!$CK$7:$CK$500,MATCH($B73,PROFILE_ND30!$B$7:$B$500,0)),"UNRESOLVED")</x:f>
        <x:v>KHÔNG</x:v>
      </x:c>
      <x:c r="I73" t="str">
        <x:f>IFERROR(INDEX(PROFILE_ND30!$CA$7:$CA$500,MATCH($B73,PROFILE_ND30!$B$7:$B$500,0)),"UNRESOLVED")</x:f>
        <x:v>DOCUMENT_SETTING</x:v>
      </x:c>
      <x:c r="J73" t="str">
        <x:f>IFERROR(INDEX(PROFILE_ND30!$BZ$7:$BZ$500,MATCH($B73,PROFILE_ND30!$B$7:$B$500,0)),"UNRESOLVED")</x:f>
        <x:v>Không áp dụng</x:v>
      </x:c>
      <x:c r="K73" t="str">
        <x:f>IFERROR(INDEX(PROFILE_ND30!$AJ$7:$AJ$500,MATCH($B73,PROFILE_ND30!$B$7:$B$500,0)),"UNRESOLVED")</x:f>
      </x:c>
      <x:c r="L73" t="str">
        <x:f>IF(K73="","N/A / CHƯA NHẬP",IF(AND(ISNUMBER(J73),ISNUMBER(K73),J73=K73),"KHỚP SỐ","CẦN KIỂM TRA THỦ CÔNG"))</x:f>
        <x:v>N/A / CHƯA NHẬP</x:v>
      </x:c>
      <x:c r="M73" t="str">
        <x:f>IF(OR(C73&lt;&gt;1,D73&lt;&gt;"OK",E73&lt;&gt;"OK",H73&lt;&gt;"KHÔNG"),"BLOCK",IF(G73="PROTECTED","PROTECTED","CHECK_ONLY"))</x:f>
        <x:v>CHECK_ONLY</x:v>
      </x:c>
    </x:row>
    <x:row r="74">
      <x:c r="A74" t="str">
        <x:v>ND30</x:v>
      </x:c>
      <x:c r="B74" t="str">
        <x:f>ND30!B74</x:f>
        <x:v>ND30.G.PHAN_TRANG.KEEP_WITH_NEXT</x:v>
      </x:c>
      <x:c r="C74" t="n">
        <x:f>COUNTIF(PROFILE_ND30!$B$7:$B$500,B74)</x:f>
        <x:v>1</x:v>
      </x:c>
      <x:c r="D74" t="str">
        <x:f>IF(LEFT(B74,LEN(A74)+1)=A74&amp;".","OK","SAI PREFIX")</x:f>
        <x:v>OK</x:v>
      </x:c>
      <x:c r="E74" t="str">
        <x:f>IF(COUNTIF(ND30!$B$7:$B$500,B74)=1,"OK","MÃ NGUỒN KHÔNG DUY NHẤT")</x:f>
        <x:v>OK</x:v>
      </x:c>
      <x:c r="F74" t="str">
        <x:f>IFERROR(INDEX(PROFILE_ND30!$CC$7:$CC$500,MATCH($B74,PROFILE_ND30!$B$7:$B$500,0)),"UNRESOLVED")</x:f>
        <x:v>REVIEW TRƯỚC KHI SỬA</x:v>
      </x:c>
      <x:c r="G74" t="str">
        <x:f>IFERROR(INDEX(PROFILE_ND30!$CD$7:$CD$500,MATCH($B74,PROFILE_ND30!$B$7:$B$500,0)),"UNRESOLVED")</x:f>
        <x:v>CHECK_ONLY</x:v>
      </x:c>
      <x:c r="H74" t="str">
        <x:f>IFERROR(INDEX(PROFILE_ND30!$CK$7:$CK$500,MATCH($B74,PROFILE_ND30!$B$7:$B$500,0)),"UNRESOLVED")</x:f>
        <x:v>KHÔNG</x:v>
      </x:c>
      <x:c r="I74" t="str">
        <x:f>IFERROR(INDEX(PROFILE_ND30!$CA$7:$CA$500,MATCH($B74,PROFILE_ND30!$B$7:$B$500,0)),"UNRESOLVED")</x:f>
        <x:v>DOCUMENT_SETTING</x:v>
      </x:c>
      <x:c r="J74" t="str">
        <x:f>IFERROR(INDEX(PROFILE_ND30!$BZ$7:$BZ$500,MATCH($B74,PROFILE_ND30!$B$7:$B$500,0)),"UNRESOLVED")</x:f>
        <x:v>Không áp dụng</x:v>
      </x:c>
      <x:c r="K74" t="str">
        <x:f>IFERROR(INDEX(PROFILE_ND30!$AJ$7:$AJ$500,MATCH($B74,PROFILE_ND30!$B$7:$B$500,0)),"UNRESOLVED")</x:f>
      </x:c>
      <x:c r="L74" t="str">
        <x:f>IF(K74="","N/A / CHƯA NHẬP",IF(AND(ISNUMBER(J74),ISNUMBER(K74),J74=K74),"KHỚP SỐ","CẦN KIỂM TRA THỦ CÔNG"))</x:f>
        <x:v>N/A / CHƯA NHẬP</x:v>
      </x:c>
      <x:c r="M74" t="str">
        <x:f>IF(OR(C74&lt;&gt;1,D74&lt;&gt;"OK",E74&lt;&gt;"OK",H74&lt;&gt;"KHÔNG"),"BLOCK",IF(G74="PROTECTED","PROTECTED","CHECK_ONLY"))</x:f>
        <x:v>CHECK_ONLY</x:v>
      </x:c>
    </x:row>
    <x:row r="75">
      <x:c r="A75" t="str">
        <x:v>ND30</x:v>
      </x:c>
      <x:c r="B75" t="str">
        <x:f>ND30!B75</x:f>
        <x:v>ND30.G.SO_TRANG.VI_TRI</x:v>
      </x:c>
      <x:c r="C75" t="n">
        <x:f>COUNTIF(PROFILE_ND30!$B$7:$B$500,B75)</x:f>
        <x:v>1</x:v>
      </x:c>
      <x:c r="D75" t="str">
        <x:f>IF(LEFT(B75,LEN(A75)+1)=A75&amp;".","OK","SAI PREFIX")</x:f>
        <x:v>OK</x:v>
      </x:c>
      <x:c r="E75" t="str">
        <x:f>IF(COUNTIF(ND30!$B$7:$B$500,B75)=1,"OK","MÃ NGUỒN KHÔNG DUY NHẤT")</x:f>
        <x:v>OK</x:v>
      </x:c>
      <x:c r="F75" t="str">
        <x:f>IFERROR(INDEX(PROFILE_ND30!$CC$7:$CC$500,MATCH($B75,PROFILE_ND30!$B$7:$B$500,0)),"UNRESOLVED")</x:f>
        <x:v>CHỈ SAU REVIEW</x:v>
      </x:c>
      <x:c r="G75" t="str">
        <x:f>IFERROR(INDEX(PROFILE_ND30!$CD$7:$CD$500,MATCH($B75,PROFILE_ND30!$B$7:$B$500,0)),"UNRESOLVED")</x:f>
        <x:v>CHECK_ONLY</x:v>
      </x:c>
      <x:c r="H75" t="str">
        <x:f>IFERROR(INDEX(PROFILE_ND30!$CK$7:$CK$500,MATCH($B75,PROFILE_ND30!$B$7:$B$500,0)),"UNRESOLVED")</x:f>
        <x:v>KHÔNG</x:v>
      </x:c>
      <x:c r="I75" t="str">
        <x:f>IFERROR(INDEX(PROFILE_ND30!$CA$7:$CA$500,MATCH($B75,PROFILE_ND30!$B$7:$B$500,0)),"UNRESOLVED")</x:f>
        <x:v>DOCUMENT_SETTING</x:v>
      </x:c>
      <x:c r="J75" t="str">
        <x:f>IFERROR(INDEX(PROFILE_ND30!$BZ$7:$BZ$500,MATCH($B75,PROFILE_ND30!$B$7:$B$500,0)),"UNRESOLVED")</x:f>
        <x:v>13–14</x:v>
      </x:c>
      <x:c r="K75" t="str">
        <x:f>IFERROR(INDEX(PROFILE_ND30!$AJ$7:$AJ$500,MATCH($B75,PROFILE_ND30!$B$7:$B$500,0)),"UNRESOLVED")</x:f>
      </x:c>
      <x:c r="L75" t="str">
        <x:f>IF(K75="","N/A / CHƯA NHẬP",IF(AND(ISNUMBER(J75),ISNUMBER(K75),J75=K75),"KHỚP SỐ","CẦN KIỂM TRA THỦ CÔNG"))</x:f>
        <x:v>N/A / CHƯA NHẬP</x:v>
      </x:c>
      <x:c r="M75" t="str">
        <x:f>IF(OR(C75&lt;&gt;1,D75&lt;&gt;"OK",E75&lt;&gt;"OK",H75&lt;&gt;"KHÔNG"),"BLOCK",IF(G75="PROTECTED","PROTECTED","CHECK_ONLY"))</x:f>
        <x:v>CHECK_ONLY</x:v>
      </x:c>
    </x:row>
    <x:row r="76">
      <x:c r="A76" t="str">
        <x:v>ND30</x:v>
      </x:c>
      <x:c r="B76" t="str">
        <x:f>ND30!B76</x:f>
        <x:v>ND30.G.SO_TRANG.DINH_DANG</x:v>
      </x:c>
      <x:c r="C76" t="n">
        <x:f>COUNTIF(PROFILE_ND30!$B$7:$B$500,B76)</x:f>
        <x:v>1</x:v>
      </x:c>
      <x:c r="D76" t="str">
        <x:f>IF(LEFT(B76,LEN(A76)+1)=A76&amp;".","OK","SAI PREFIX")</x:f>
        <x:v>OK</x:v>
      </x:c>
      <x:c r="E76" t="str">
        <x:f>IF(COUNTIF(ND30!$B$7:$B$500,B76)=1,"OK","MÃ NGUỒN KHÔNG DUY NHẤT")</x:f>
        <x:v>OK</x:v>
      </x:c>
      <x:c r="F76" t="str">
        <x:f>IFERROR(INDEX(PROFILE_ND30!$CC$7:$CC$500,MATCH($B76,PROFILE_ND30!$B$7:$B$500,0)),"UNRESOLVED")</x:f>
        <x:v>CHỈ SAU REVIEW</x:v>
      </x:c>
      <x:c r="G76" t="str">
        <x:f>IFERROR(INDEX(PROFILE_ND30!$CD$7:$CD$500,MATCH($B76,PROFILE_ND30!$B$7:$B$500,0)),"UNRESOLVED")</x:f>
        <x:v>CHECK_ONLY</x:v>
      </x:c>
      <x:c r="H76" t="str">
        <x:f>IFERROR(INDEX(PROFILE_ND30!$CK$7:$CK$500,MATCH($B76,PROFILE_ND30!$B$7:$B$500,0)),"UNRESOLVED")</x:f>
        <x:v>KHÔNG</x:v>
      </x:c>
      <x:c r="I76" t="str">
        <x:f>IFERROR(INDEX(PROFILE_ND30!$CA$7:$CA$500,MATCH($B76,PROFILE_ND30!$B$7:$B$500,0)),"UNRESOLVED")</x:f>
        <x:v>DOCUMENT_SETTING</x:v>
      </x:c>
      <x:c r="J76" t="str">
        <x:f>IFERROR(INDEX(PROFILE_ND30!$BZ$7:$BZ$500,MATCH($B76,PROFILE_ND30!$B$7:$B$500,0)),"UNRESOLVED")</x:f>
        <x:v>13–14</x:v>
      </x:c>
      <x:c r="K76" t="str">
        <x:f>IFERROR(INDEX(PROFILE_ND30!$AJ$7:$AJ$500,MATCH($B76,PROFILE_ND30!$B$7:$B$500,0)),"UNRESOLVED")</x:f>
      </x:c>
      <x:c r="L76" t="str">
        <x:f>IF(K76="","N/A / CHƯA NHẬP",IF(AND(ISNUMBER(J76),ISNUMBER(K76),J76=K76),"KHỚP SỐ","CẦN KIỂM TRA THỦ CÔNG"))</x:f>
        <x:v>N/A / CHƯA NHẬP</x:v>
      </x:c>
      <x:c r="M76" t="str">
        <x:f>IF(OR(C76&lt;&gt;1,D76&lt;&gt;"OK",E76&lt;&gt;"OK",H76&lt;&gt;"KHÔNG"),"BLOCK",IF(G76="PROTECTED","PROTECTED","CHECK_ONLY"))</x:f>
        <x:v>CHECK_ONLY</x:v>
      </x:c>
    </x:row>
    <x:row r="77">
      <x:c r="A77" t="str">
        <x:v>ND30</x:v>
      </x:c>
      <x:c r="B77" t="str">
        <x:f>ND30!B77</x:f>
        <x:v>ND30.X.MAT.MUC_DO</x:v>
      </x:c>
      <x:c r="C77" t="n">
        <x:f>COUNTIF(PROFILE_ND30!$B$7:$B$500,B77)</x:f>
        <x:v>1</x:v>
      </x:c>
      <x:c r="D77" t="str">
        <x:f>IF(LEFT(B77,LEN(A77)+1)=A77&amp;".","OK","SAI PREFIX")</x:f>
        <x:v>OK</x:v>
      </x:c>
      <x:c r="E77" t="str">
        <x:f>IF(COUNTIF(ND30!$B$7:$B$500,B77)=1,"OK","MÃ NGUỒN KHÔNG DUY NHẤT")</x:f>
        <x:v>OK</x:v>
      </x:c>
      <x:c r="F77" t="str">
        <x:f>IFERROR(INDEX(PROFILE_ND30!$CC$7:$CC$500,MATCH($B77,PROFILE_ND30!$B$7:$B$500,0)),"UNRESOLVED")</x:f>
        <x:v>BẢO VỆ / KHÔNG TỰ SỬA</x:v>
      </x:c>
      <x:c r="G77" t="str">
        <x:f>IFERROR(INDEX(PROFILE_ND30!$CD$7:$CD$500,MATCH($B77,PROFILE_ND30!$B$7:$B$500,0)),"UNRESOLVED")</x:f>
        <x:v>PROTECTED</x:v>
      </x:c>
      <x:c r="H77" t="str">
        <x:f>IFERROR(INDEX(PROFILE_ND30!$CK$7:$CK$500,MATCH($B77,PROFILE_ND30!$B$7:$B$500,0)),"UNRESOLVED")</x:f>
        <x:v>KHÔNG</x:v>
      </x:c>
      <x:c r="I77" t="str">
        <x:f>IFERROR(INDEX(PROFILE_ND30!$CA$7:$CA$500,MATCH($B77,PROFILE_ND30!$B$7:$B$500,0)),"UNRESOLVED")</x:f>
        <x:v>TEXT</x:v>
      </x:c>
      <x:c r="J77" t="str">
        <x:f>IFERROR(INDEX(PROFILE_ND30!$BZ$7:$BZ$500,MATCH($B77,PROFILE_ND30!$B$7:$B$500,0)),"UNRESOLVED")</x:f>
      </x:c>
      <x:c r="K77" t="str">
        <x:f>IFERROR(INDEX(PROFILE_ND30!$AJ$7:$AJ$500,MATCH($B77,PROFILE_ND30!$B$7:$B$500,0)),"UNRESOLVED")</x:f>
      </x:c>
      <x:c r="L77" t="str">
        <x:f>IF(K77="","N/A / CHƯA NHẬP",IF(AND(ISNUMBER(J77),ISNUMBER(K77),J77=K77),"KHỚP SỐ","CẦN KIỂM TRA THỦ CÔNG"))</x:f>
        <x:v>N/A / CHƯA NHẬP</x:v>
      </x:c>
      <x:c r="M77" t="str">
        <x:f>IF(OR(C77&lt;&gt;1,D77&lt;&gt;"OK",E77&lt;&gt;"OK",H77&lt;&gt;"KHÔNG"),"BLOCK",IF(G77="PROTECTED","PROTECTED","CHECK_ONLY"))</x:f>
        <x:v>PROTECTED</x:v>
      </x:c>
    </x:row>
    <x:row r="78">
      <x:c r="A78" t="str">
        <x:v>ND30</x:v>
      </x:c>
      <x:c r="B78" t="str">
        <x:f>ND30!B78</x:f>
        <x:v>ND30.X.KHAN.MUC_DO</x:v>
      </x:c>
      <x:c r="C78" t="n">
        <x:f>COUNTIF(PROFILE_ND30!$B$7:$B$500,B78)</x:f>
        <x:v>1</x:v>
      </x:c>
      <x:c r="D78" t="str">
        <x:f>IF(LEFT(B78,LEN(A78)+1)=A78&amp;".","OK","SAI PREFIX")</x:f>
        <x:v>OK</x:v>
      </x:c>
      <x:c r="E78" t="str">
        <x:f>IF(COUNTIF(ND30!$B$7:$B$500,B78)=1,"OK","MÃ NGUỒN KHÔNG DUY NHẤT")</x:f>
        <x:v>OK</x:v>
      </x:c>
      <x:c r="F78" t="str">
        <x:f>IFERROR(INDEX(PROFILE_ND30!$CC$7:$CC$500,MATCH($B78,PROFILE_ND30!$B$7:$B$500,0)),"UNRESOLVED")</x:f>
        <x:v>KHÔNG TỰ CHÈN</x:v>
      </x:c>
      <x:c r="G78" t="str">
        <x:f>IFERROR(INDEX(PROFILE_ND30!$CD$7:$CD$500,MATCH($B78,PROFILE_ND30!$B$7:$B$500,0)),"UNRESOLVED")</x:f>
        <x:v>CHECK_ONLY</x:v>
      </x:c>
      <x:c r="H78" t="str">
        <x:f>IFERROR(INDEX(PROFILE_ND30!$CK$7:$CK$500,MATCH($B78,PROFILE_ND30!$B$7:$B$500,0)),"UNRESOLVED")</x:f>
        <x:v>KHÔNG</x:v>
      </x:c>
      <x:c r="I78" t="str">
        <x:f>IFERROR(INDEX(PROFILE_ND30!$CA$7:$CA$500,MATCH($B78,PROFILE_ND30!$B$7:$B$500,0)),"UNRESOLVED")</x:f>
        <x:v>TEXT</x:v>
      </x:c>
      <x:c r="J78" t="str">
        <x:f>IFERROR(INDEX(PROFILE_ND30!$BZ$7:$BZ$500,MATCH($B78,PROFILE_ND30!$B$7:$B$500,0)),"UNRESOLVED")</x:f>
        <x:v>13–14</x:v>
      </x:c>
      <x:c r="K78" t="n">
        <x:f>IFERROR(INDEX(PROFILE_ND30!$AJ$7:$AJ$500,MATCH($B78,PROFILE_ND30!$B$7:$B$500,0)),"UNRESOLVED")</x:f>
        <x:v>14</x:v>
      </x:c>
      <x:c r="L78" t="str">
        <x:f>IF(K78="","N/A / CHƯA NHẬP",IF(AND(ISNUMBER(J78),ISNUMBER(K78),J78=K78),"KHỚP SỐ","CẦN KIỂM TRA THỦ CÔNG"))</x:f>
        <x:v>CẦN KIỂM TRA THỦ CÔNG</x:v>
      </x:c>
      <x:c r="M78" t="str">
        <x:f>IF(OR(C78&lt;&gt;1,D78&lt;&gt;"OK",E78&lt;&gt;"OK",H78&lt;&gt;"KHÔNG"),"BLOCK",IF(G78="PROTECTED","PROTECTED","CHECK_ONLY"))</x:f>
        <x:v>CHECK_ONLY</x:v>
      </x:c>
    </x:row>
    <x:row r="79">
      <x:c r="A79" t="str">
        <x:v>ND30</x:v>
      </x:c>
      <x:c r="B79" t="str">
        <x:f>ND30!B79</x:f>
        <x:v>ND30.X.LUU_HANH.CHI_DAN</x:v>
      </x:c>
      <x:c r="C79" t="n">
        <x:f>COUNTIF(PROFILE_ND30!$B$7:$B$500,B79)</x:f>
        <x:v>1</x:v>
      </x:c>
      <x:c r="D79" t="str">
        <x:f>IF(LEFT(B79,LEN(A79)+1)=A79&amp;".","OK","SAI PREFIX")</x:f>
        <x:v>OK</x:v>
      </x:c>
      <x:c r="E79" t="str">
        <x:f>IF(COUNTIF(ND30!$B$7:$B$500,B79)=1,"OK","MÃ NGUỒN KHÔNG DUY NHẤT")</x:f>
        <x:v>OK</x:v>
      </x:c>
      <x:c r="F79" t="str">
        <x:f>IFERROR(INDEX(PROFILE_ND30!$CC$7:$CC$500,MATCH($B79,PROFILE_ND30!$B$7:$B$500,0)),"UNRESOLVED")</x:f>
        <x:v>KHÔNG TỰ CHÈN</x:v>
      </x:c>
      <x:c r="G79" t="str">
        <x:f>IFERROR(INDEX(PROFILE_ND30!$CD$7:$CD$500,MATCH($B79,PROFILE_ND30!$B$7:$B$500,0)),"UNRESOLVED")</x:f>
        <x:v>CHECK_ONLY</x:v>
      </x:c>
      <x:c r="H79" t="str">
        <x:f>IFERROR(INDEX(PROFILE_ND30!$CK$7:$CK$500,MATCH($B79,PROFILE_ND30!$B$7:$B$500,0)),"UNRESOLVED")</x:f>
        <x:v>KHÔNG</x:v>
      </x:c>
      <x:c r="I79" t="str">
        <x:f>IFERROR(INDEX(PROFILE_ND30!$CA$7:$CA$500,MATCH($B79,PROFILE_ND30!$B$7:$B$500,0)),"UNRESOLVED")</x:f>
        <x:v>TEXT</x:v>
      </x:c>
      <x:c r="J79" t="str">
        <x:f>IFERROR(INDEX(PROFILE_ND30!$BZ$7:$BZ$500,MATCH($B79,PROFILE_ND30!$B$7:$B$500,0)),"UNRESOLVED")</x:f>
        <x:v>13–14</x:v>
      </x:c>
      <x:c r="K79" t="n">
        <x:f>IFERROR(INDEX(PROFILE_ND30!$AJ$7:$AJ$500,MATCH($B79,PROFILE_ND30!$B$7:$B$500,0)),"UNRESOLVED")</x:f>
        <x:v>14</x:v>
      </x:c>
      <x:c r="L79" t="str">
        <x:f>IF(K79="","N/A / CHƯA NHẬP",IF(AND(ISNUMBER(J79),ISNUMBER(K79),J79=K79),"KHỚP SỐ","CẦN KIỂM TRA THỦ CÔNG"))</x:f>
        <x:v>CẦN KIỂM TRA THỦ CÔNG</x:v>
      </x:c>
      <x:c r="M79" t="str">
        <x:f>IF(OR(C79&lt;&gt;1,D79&lt;&gt;"OK",E79&lt;&gt;"OK",H79&lt;&gt;"KHÔNG"),"BLOCK",IF(G79="PROTECTED","PROTECTED","CHECK_ONLY"))</x:f>
        <x:v>CHECK_ONLY</x:v>
      </x:c>
    </x:row>
    <x:row r="80">
      <x:c r="A80" t="str">
        <x:v>ND30</x:v>
      </x:c>
      <x:c r="B80" t="str">
        <x:f>ND30!B80</x:f>
        <x:v>ND30.X.SOAN.KY_HIEU_NGUOI_SOAN</x:v>
      </x:c>
      <x:c r="C80" t="n">
        <x:f>COUNTIF(PROFILE_ND30!$B$7:$B$500,B80)</x:f>
        <x:v>1</x:v>
      </x:c>
      <x:c r="D80" t="str">
        <x:f>IF(LEFT(B80,LEN(A80)+1)=A80&amp;".","OK","SAI PREFIX")</x:f>
        <x:v>OK</x:v>
      </x:c>
      <x:c r="E80" t="str">
        <x:f>IF(COUNTIF(ND30!$B$7:$B$500,B80)=1,"OK","MÃ NGUỒN KHÔNG DUY NHẤT")</x:f>
        <x:v>OK</x:v>
      </x:c>
      <x:c r="F80" t="str">
        <x:f>IFERROR(INDEX(PROFILE_ND30!$CC$7:$CC$500,MATCH($B80,PROFILE_ND30!$B$7:$B$500,0)),"UNRESOLVED")</x:f>
        <x:v>KHÔNG TỰ CHÈN</x:v>
      </x:c>
      <x:c r="G80" t="str">
        <x:f>IFERROR(INDEX(PROFILE_ND30!$CD$7:$CD$500,MATCH($B80,PROFILE_ND30!$B$7:$B$500,0)),"UNRESOLVED")</x:f>
        <x:v>CHECK_ONLY</x:v>
      </x:c>
      <x:c r="H80" t="str">
        <x:f>IFERROR(INDEX(PROFILE_ND30!$CK$7:$CK$500,MATCH($B80,PROFILE_ND30!$B$7:$B$500,0)),"UNRESOLVED")</x:f>
        <x:v>KHÔNG</x:v>
      </x:c>
      <x:c r="I80" t="str">
        <x:f>IFERROR(INDEX(PROFILE_ND30!$CA$7:$CA$500,MATCH($B80,PROFILE_ND30!$B$7:$B$500,0)),"UNRESOLVED")</x:f>
        <x:v>TEXT</x:v>
      </x:c>
      <x:c r="J80" t="n">
        <x:f>IFERROR(INDEX(PROFILE_ND30!$BZ$7:$BZ$500,MATCH($B80,PROFILE_ND30!$B$7:$B$500,0)),"UNRESOLVED")</x:f>
        <x:v>11</x:v>
      </x:c>
      <x:c r="K80" t="n">
        <x:f>IFERROR(INDEX(PROFILE_ND30!$AJ$7:$AJ$500,MATCH($B80,PROFILE_ND30!$B$7:$B$500,0)),"UNRESOLVED")</x:f>
        <x:v>11</x:v>
      </x:c>
      <x:c r="L80" t="str">
        <x:f>IF(K80="","N/A / CHƯA NHẬP",IF(AND(ISNUMBER(J80),ISNUMBER(K80),J80=K80),"KHỚP SỐ","CẦN KIỂM TRA THỦ CÔNG"))</x:f>
        <x:v>KHỚP SỐ</x:v>
      </x:c>
      <x:c r="M80" t="str">
        <x:f>IF(OR(C80&lt;&gt;1,D80&lt;&gt;"OK",E80&lt;&gt;"OK",H80&lt;&gt;"KHÔNG"),"BLOCK",IF(G80="PROTECTED","PROTECTED","CHECK_ONLY"))</x:f>
        <x:v>CHECK_ONLY</x:v>
      </x:c>
    </x:row>
    <x:row r="81">
      <x:c r="A81" t="str">
        <x:v>ND30</x:v>
      </x:c>
      <x:c r="B81" t="str">
        <x:f>ND30!B81</x:f>
        <x:v>ND30.X.SOAN.SO_BAN</x:v>
      </x:c>
      <x:c r="C81" t="n">
        <x:f>COUNTIF(PROFILE_ND30!$B$7:$B$500,B81)</x:f>
        <x:v>1</x:v>
      </x:c>
      <x:c r="D81" t="str">
        <x:f>IF(LEFT(B81,LEN(A81)+1)=A81&amp;".","OK","SAI PREFIX")</x:f>
        <x:v>OK</x:v>
      </x:c>
      <x:c r="E81" t="str">
        <x:f>IF(COUNTIF(ND30!$B$7:$B$500,B81)=1,"OK","MÃ NGUỒN KHÔNG DUY NHẤT")</x:f>
        <x:v>OK</x:v>
      </x:c>
      <x:c r="F81" t="str">
        <x:f>IFERROR(INDEX(PROFILE_ND30!$CC$7:$CC$500,MATCH($B81,PROFILE_ND30!$B$7:$B$500,0)),"UNRESOLVED")</x:f>
        <x:v>KHÔNG TỰ CHÈN</x:v>
      </x:c>
      <x:c r="G81" t="str">
        <x:f>IFERROR(INDEX(PROFILE_ND30!$CD$7:$CD$500,MATCH($B81,PROFILE_ND30!$B$7:$B$500,0)),"UNRESOLVED")</x:f>
        <x:v>CHECK_ONLY</x:v>
      </x:c>
      <x:c r="H81" t="str">
        <x:f>IFERROR(INDEX(PROFILE_ND30!$CK$7:$CK$500,MATCH($B81,PROFILE_ND30!$B$7:$B$500,0)),"UNRESOLVED")</x:f>
        <x:v>KHÔNG</x:v>
      </x:c>
      <x:c r="I81" t="str">
        <x:f>IFERROR(INDEX(PROFILE_ND30!$CA$7:$CA$500,MATCH($B81,PROFILE_ND30!$B$7:$B$500,0)),"UNRESOLVED")</x:f>
        <x:v>TEXT</x:v>
      </x:c>
      <x:c r="J81" t="n">
        <x:f>IFERROR(INDEX(PROFILE_ND30!$BZ$7:$BZ$500,MATCH($B81,PROFILE_ND30!$B$7:$B$500,0)),"UNRESOLVED")</x:f>
        <x:v>11</x:v>
      </x:c>
      <x:c r="K81" t="n">
        <x:f>IFERROR(INDEX(PROFILE_ND30!$AJ$7:$AJ$500,MATCH($B81,PROFILE_ND30!$B$7:$B$500,0)),"UNRESOLVED")</x:f>
        <x:v>11</x:v>
      </x:c>
      <x:c r="L81" t="str">
        <x:f>IF(K81="","N/A / CHƯA NHẬP",IF(AND(ISNUMBER(J81),ISNUMBER(K81),J81=K81),"KHỚP SỐ","CẦN KIỂM TRA THỦ CÔNG"))</x:f>
        <x:v>KHỚP SỐ</x:v>
      </x:c>
      <x:c r="M81" t="str">
        <x:f>IF(OR(C81&lt;&gt;1,D81&lt;&gt;"OK",E81&lt;&gt;"OK",H81&lt;&gt;"KHÔNG"),"BLOCK",IF(G81="PROTECTED","PROTECTED","CHECK_ONLY"))</x:f>
        <x:v>CHECK_ONLY</x:v>
      </x:c>
    </x:row>
    <x:row r="82">
      <x:c r="A82" t="str">
        <x:v>ND30</x:v>
      </x:c>
      <x:c r="B82" t="str">
        <x:f>ND30!B82</x:f>
        <x:v>ND30.X.LIEN_HE.DIA_CHI</x:v>
      </x:c>
      <x:c r="C82" t="n">
        <x:f>COUNTIF(PROFILE_ND30!$B$7:$B$500,B82)</x:f>
        <x:v>1</x:v>
      </x:c>
      <x:c r="D82" t="str">
        <x:f>IF(LEFT(B82,LEN(A82)+1)=A82&amp;".","OK","SAI PREFIX")</x:f>
        <x:v>OK</x:v>
      </x:c>
      <x:c r="E82" t="str">
        <x:f>IF(COUNTIF(ND30!$B$7:$B$500,B82)=1,"OK","MÃ NGUỒN KHÔNG DUY NHẤT")</x:f>
        <x:v>OK</x:v>
      </x:c>
      <x:c r="F82" t="str">
        <x:f>IFERROR(INDEX(PROFILE_ND30!$CC$7:$CC$500,MATCH($B82,PROFILE_ND30!$B$7:$B$500,0)),"UNRESOLVED")</x:f>
        <x:v>KHÔNG TỰ CHÈN</x:v>
      </x:c>
      <x:c r="G82" t="str">
        <x:f>IFERROR(INDEX(PROFILE_ND30!$CD$7:$CD$500,MATCH($B82,PROFILE_ND30!$B$7:$B$500,0)),"UNRESOLVED")</x:f>
        <x:v>CHECK_ONLY</x:v>
      </x:c>
      <x:c r="H82" t="str">
        <x:f>IFERROR(INDEX(PROFILE_ND30!$CK$7:$CK$500,MATCH($B82,PROFILE_ND30!$B$7:$B$500,0)),"UNRESOLVED")</x:f>
        <x:v>KHÔNG</x:v>
      </x:c>
      <x:c r="I82" t="str">
        <x:f>IFERROR(INDEX(PROFILE_ND30!$CA$7:$CA$500,MATCH($B82,PROFILE_ND30!$B$7:$B$500,0)),"UNRESOLVED")</x:f>
        <x:v>TEXT</x:v>
      </x:c>
      <x:c r="J82" t="str">
        <x:f>IFERROR(INDEX(PROFILE_ND30!$BZ$7:$BZ$500,MATCH($B82,PROFILE_ND30!$B$7:$B$500,0)),"UNRESOLVED")</x:f>
        <x:v>11–12</x:v>
      </x:c>
      <x:c r="K82" t="n">
        <x:f>IFERROR(INDEX(PROFILE_ND30!$AJ$7:$AJ$500,MATCH($B82,PROFILE_ND30!$B$7:$B$500,0)),"UNRESOLVED")</x:f>
        <x:v>11</x:v>
      </x:c>
      <x:c r="L82" t="str">
        <x:f>IF(K82="","N/A / CHƯA NHẬP",IF(AND(ISNUMBER(J82),ISNUMBER(K82),J82=K82),"KHỚP SỐ","CẦN KIỂM TRA THỦ CÔNG"))</x:f>
        <x:v>CẦN KIỂM TRA THỦ CÔNG</x:v>
      </x:c>
      <x:c r="M82" t="str">
        <x:f>IF(OR(C82&lt;&gt;1,D82&lt;&gt;"OK",E82&lt;&gt;"OK",H82&lt;&gt;"KHÔNG"),"BLOCK",IF(G82="PROTECTED","PROTECTED","CHECK_ONLY"))</x:f>
        <x:v>CHECK_ONLY</x:v>
      </x:c>
    </x:row>
    <x:row r="83">
      <x:c r="A83" t="str">
        <x:v>ND30</x:v>
      </x:c>
      <x:c r="B83" t="str">
        <x:f>ND30!B83</x:f>
        <x:v>ND30.X.LIEN_HE.EMAIL</x:v>
      </x:c>
      <x:c r="C83" t="n">
        <x:f>COUNTIF(PROFILE_ND30!$B$7:$B$500,B83)</x:f>
        <x:v>1</x:v>
      </x:c>
      <x:c r="D83" t="str">
        <x:f>IF(LEFT(B83,LEN(A83)+1)=A83&amp;".","OK","SAI PREFIX")</x:f>
        <x:v>OK</x:v>
      </x:c>
      <x:c r="E83" t="str">
        <x:f>IF(COUNTIF(ND30!$B$7:$B$500,B83)=1,"OK","MÃ NGUỒN KHÔNG DUY NHẤT")</x:f>
        <x:v>OK</x:v>
      </x:c>
      <x:c r="F83" t="str">
        <x:f>IFERROR(INDEX(PROFILE_ND30!$CC$7:$CC$500,MATCH($B83,PROFILE_ND30!$B$7:$B$500,0)),"UNRESOLVED")</x:f>
        <x:v>KHÔNG TỰ CHÈN</x:v>
      </x:c>
      <x:c r="G83" t="str">
        <x:f>IFERROR(INDEX(PROFILE_ND30!$CD$7:$CD$500,MATCH($B83,PROFILE_ND30!$B$7:$B$500,0)),"UNRESOLVED")</x:f>
        <x:v>CHECK_ONLY</x:v>
      </x:c>
      <x:c r="H83" t="str">
        <x:f>IFERROR(INDEX(PROFILE_ND30!$CK$7:$CK$500,MATCH($B83,PROFILE_ND30!$B$7:$B$500,0)),"UNRESOLVED")</x:f>
        <x:v>KHÔNG</x:v>
      </x:c>
      <x:c r="I83" t="str">
        <x:f>IFERROR(INDEX(PROFILE_ND30!$CA$7:$CA$500,MATCH($B83,PROFILE_ND30!$B$7:$B$500,0)),"UNRESOLVED")</x:f>
        <x:v>TEXT</x:v>
      </x:c>
      <x:c r="J83" t="str">
        <x:f>IFERROR(INDEX(PROFILE_ND30!$BZ$7:$BZ$500,MATCH($B83,PROFILE_ND30!$B$7:$B$500,0)),"UNRESOLVED")</x:f>
        <x:v>11–12</x:v>
      </x:c>
      <x:c r="K83" t="n">
        <x:f>IFERROR(INDEX(PROFILE_ND30!$AJ$7:$AJ$500,MATCH($B83,PROFILE_ND30!$B$7:$B$500,0)),"UNRESOLVED")</x:f>
        <x:v>11</x:v>
      </x:c>
      <x:c r="L83" t="str">
        <x:f>IF(K83="","N/A / CHƯA NHẬP",IF(AND(ISNUMBER(J83),ISNUMBER(K83),J83=K83),"KHỚP SỐ","CẦN KIỂM TRA THỦ CÔNG"))</x:f>
        <x:v>CẦN KIỂM TRA THỦ CÔNG</x:v>
      </x:c>
      <x:c r="M83" t="str">
        <x:f>IF(OR(C83&lt;&gt;1,D83&lt;&gt;"OK",E83&lt;&gt;"OK",H83&lt;&gt;"KHÔNG"),"BLOCK",IF(G83="PROTECTED","PROTECTED","CHECK_ONLY"))</x:f>
        <x:v>CHECK_ONLY</x:v>
      </x:c>
    </x:row>
    <x:row r="84">
      <x:c r="A84" t="str">
        <x:v>ND30</x:v>
      </x:c>
      <x:c r="B84" t="str">
        <x:f>ND30!B84</x:f>
        <x:v>ND30.X.LIEN_HE.DIEN_THOAI</x:v>
      </x:c>
      <x:c r="C84" t="n">
        <x:f>COUNTIF(PROFILE_ND30!$B$7:$B$500,B84)</x:f>
        <x:v>1</x:v>
      </x:c>
      <x:c r="D84" t="str">
        <x:f>IF(LEFT(B84,LEN(A84)+1)=A84&amp;".","OK","SAI PREFIX")</x:f>
        <x:v>OK</x:v>
      </x:c>
      <x:c r="E84" t="str">
        <x:f>IF(COUNTIF(ND30!$B$7:$B$500,B84)=1,"OK","MÃ NGUỒN KHÔNG DUY NHẤT")</x:f>
        <x:v>OK</x:v>
      </x:c>
      <x:c r="F84" t="str">
        <x:f>IFERROR(INDEX(PROFILE_ND30!$CC$7:$CC$500,MATCH($B84,PROFILE_ND30!$B$7:$B$500,0)),"UNRESOLVED")</x:f>
        <x:v>KHÔNG TỰ CHÈN</x:v>
      </x:c>
      <x:c r="G84" t="str">
        <x:f>IFERROR(INDEX(PROFILE_ND30!$CD$7:$CD$500,MATCH($B84,PROFILE_ND30!$B$7:$B$500,0)),"UNRESOLVED")</x:f>
        <x:v>CHECK_ONLY</x:v>
      </x:c>
      <x:c r="H84" t="str">
        <x:f>IFERROR(INDEX(PROFILE_ND30!$CK$7:$CK$500,MATCH($B84,PROFILE_ND30!$B$7:$B$500,0)),"UNRESOLVED")</x:f>
        <x:v>KHÔNG</x:v>
      </x:c>
      <x:c r="I84" t="str">
        <x:f>IFERROR(INDEX(PROFILE_ND30!$CA$7:$CA$500,MATCH($B84,PROFILE_ND30!$B$7:$B$500,0)),"UNRESOLVED")</x:f>
        <x:v>TEXT</x:v>
      </x:c>
      <x:c r="J84" t="str">
        <x:f>IFERROR(INDEX(PROFILE_ND30!$BZ$7:$BZ$500,MATCH($B84,PROFILE_ND30!$B$7:$B$500,0)),"UNRESOLVED")</x:f>
        <x:v>11–12</x:v>
      </x:c>
      <x:c r="K84" t="n">
        <x:f>IFERROR(INDEX(PROFILE_ND30!$AJ$7:$AJ$500,MATCH($B84,PROFILE_ND30!$B$7:$B$500,0)),"UNRESOLVED")</x:f>
        <x:v>11</x:v>
      </x:c>
      <x:c r="L84" t="str">
        <x:f>IF(K84="","N/A / CHƯA NHẬP",IF(AND(ISNUMBER(J84),ISNUMBER(K84),J84=K84),"KHỚP SỐ","CẦN KIỂM TRA THỦ CÔNG"))</x:f>
        <x:v>CẦN KIỂM TRA THỦ CÔNG</x:v>
      </x:c>
      <x:c r="M84" t="str">
        <x:f>IF(OR(C84&lt;&gt;1,D84&lt;&gt;"OK",E84&lt;&gt;"OK",H84&lt;&gt;"KHÔNG"),"BLOCK",IF(G84="PROTECTED","PROTECTED","CHECK_ONLY"))</x:f>
        <x:v>CHECK_ONLY</x:v>
      </x:c>
    </x:row>
    <x:row r="85">
      <x:c r="A85" t="str">
        <x:v>ND30</x:v>
      </x:c>
      <x:c r="B85" t="str">
        <x:f>ND30!B85</x:f>
        <x:v>ND30.X.LIEN_HE.WEB</x:v>
      </x:c>
      <x:c r="C85" t="n">
        <x:f>COUNTIF(PROFILE_ND30!$B$7:$B$500,B85)</x:f>
        <x:v>1</x:v>
      </x:c>
      <x:c r="D85" t="str">
        <x:f>IF(LEFT(B85,LEN(A85)+1)=A85&amp;".","OK","SAI PREFIX")</x:f>
        <x:v>OK</x:v>
      </x:c>
      <x:c r="E85" t="str">
        <x:f>IF(COUNTIF(ND30!$B$7:$B$500,B85)=1,"OK","MÃ NGUỒN KHÔNG DUY NHẤT")</x:f>
        <x:v>OK</x:v>
      </x:c>
      <x:c r="F85" t="str">
        <x:f>IFERROR(INDEX(PROFILE_ND30!$CC$7:$CC$500,MATCH($B85,PROFILE_ND30!$B$7:$B$500,0)),"UNRESOLVED")</x:f>
        <x:v>KHÔNG TỰ CHÈN</x:v>
      </x:c>
      <x:c r="G85" t="str">
        <x:f>IFERROR(INDEX(PROFILE_ND30!$CD$7:$CD$500,MATCH($B85,PROFILE_ND30!$B$7:$B$500,0)),"UNRESOLVED")</x:f>
        <x:v>CHECK_ONLY</x:v>
      </x:c>
      <x:c r="H85" t="str">
        <x:f>IFERROR(INDEX(PROFILE_ND30!$CK$7:$CK$500,MATCH($B85,PROFILE_ND30!$B$7:$B$500,0)),"UNRESOLVED")</x:f>
        <x:v>KHÔNG</x:v>
      </x:c>
      <x:c r="I85" t="str">
        <x:f>IFERROR(INDEX(PROFILE_ND30!$CA$7:$CA$500,MATCH($B85,PROFILE_ND30!$B$7:$B$500,0)),"UNRESOLVED")</x:f>
        <x:v>TEXT</x:v>
      </x:c>
      <x:c r="J85" t="str">
        <x:f>IFERROR(INDEX(PROFILE_ND30!$BZ$7:$BZ$500,MATCH($B85,PROFILE_ND30!$B$7:$B$500,0)),"UNRESOLVED")</x:f>
        <x:v>11–12</x:v>
      </x:c>
      <x:c r="K85" t="n">
        <x:f>IFERROR(INDEX(PROFILE_ND30!$AJ$7:$AJ$500,MATCH($B85,PROFILE_ND30!$B$7:$B$500,0)),"UNRESOLVED")</x:f>
        <x:v>11</x:v>
      </x:c>
      <x:c r="L85" t="str">
        <x:f>IF(K85="","N/A / CHƯA NHẬP",IF(AND(ISNUMBER(J85),ISNUMBER(K85),J85=K85),"KHỚP SỐ","CẦN KIỂM TRA THỦ CÔNG"))</x:f>
        <x:v>CẦN KIỂM TRA THỦ CÔNG</x:v>
      </x:c>
      <x:c r="M85" t="str">
        <x:f>IF(OR(C85&lt;&gt;1,D85&lt;&gt;"OK",E85&lt;&gt;"OK",H85&lt;&gt;"KHÔNG"),"BLOCK",IF(G85="PROTECTED","PROTECTED","CHECK_ONLY"))</x:f>
        <x:v>CHECK_ONLY</x:v>
      </x:c>
    </x:row>
    <x:row r="86">
      <x:c r="A86" t="str">
        <x:v>ND30</x:v>
      </x:c>
      <x:c r="B86" t="str">
        <x:f>ND30!B86</x:f>
        <x:v>ND30.X.LIEN_HE.FAX</x:v>
      </x:c>
      <x:c r="C86" t="n">
        <x:f>COUNTIF(PROFILE_ND30!$B$7:$B$500,B86)</x:f>
        <x:v>1</x:v>
      </x:c>
      <x:c r="D86" t="str">
        <x:f>IF(LEFT(B86,LEN(A86)+1)=A86&amp;".","OK","SAI PREFIX")</x:f>
        <x:v>OK</x:v>
      </x:c>
      <x:c r="E86" t="str">
        <x:f>IF(COUNTIF(ND30!$B$7:$B$500,B86)=1,"OK","MÃ NGUỒN KHÔNG DUY NHẤT")</x:f>
        <x:v>OK</x:v>
      </x:c>
      <x:c r="F86" t="str">
        <x:f>IFERROR(INDEX(PROFILE_ND30!$CC$7:$CC$500,MATCH($B86,PROFILE_ND30!$B$7:$B$500,0)),"UNRESOLVED")</x:f>
        <x:v>KHÔNG TỰ CHÈN</x:v>
      </x:c>
      <x:c r="G86" t="str">
        <x:f>IFERROR(INDEX(PROFILE_ND30!$CD$7:$CD$500,MATCH($B86,PROFILE_ND30!$B$7:$B$500,0)),"UNRESOLVED")</x:f>
        <x:v>CHECK_ONLY</x:v>
      </x:c>
      <x:c r="H86" t="str">
        <x:f>IFERROR(INDEX(PROFILE_ND30!$CK$7:$CK$500,MATCH($B86,PROFILE_ND30!$B$7:$B$500,0)),"UNRESOLVED")</x:f>
        <x:v>KHÔNG</x:v>
      </x:c>
      <x:c r="I86" t="str">
        <x:f>IFERROR(INDEX(PROFILE_ND30!$CA$7:$CA$500,MATCH($B86,PROFILE_ND30!$B$7:$B$500,0)),"UNRESOLVED")</x:f>
        <x:v>TEXT</x:v>
      </x:c>
      <x:c r="J86" t="str">
        <x:f>IFERROR(INDEX(PROFILE_ND30!$BZ$7:$BZ$500,MATCH($B86,PROFILE_ND30!$B$7:$B$500,0)),"UNRESOLVED")</x:f>
        <x:v>11–12</x:v>
      </x:c>
      <x:c r="K86" t="n">
        <x:f>IFERROR(INDEX(PROFILE_ND30!$AJ$7:$AJ$500,MATCH($B86,PROFILE_ND30!$B$7:$B$500,0)),"UNRESOLVED")</x:f>
        <x:v>11</x:v>
      </x:c>
      <x:c r="L86" t="str">
        <x:f>IF(K86="","N/A / CHƯA NHẬP",IF(AND(ISNUMBER(J86),ISNUMBER(K86),J86=K86),"KHỚP SỐ","CẦN KIỂM TRA THỦ CÔNG"))</x:f>
        <x:v>CẦN KIỂM TRA THỦ CÔNG</x:v>
      </x:c>
      <x:c r="M86" t="str">
        <x:f>IF(OR(C86&lt;&gt;1,D86&lt;&gt;"OK",E86&lt;&gt;"OK",H86&lt;&gt;"KHÔNG"),"BLOCK",IF(G86="PROTECTED","PROTECTED","CHECK_ONLY"))</x:f>
        <x:v>CHECK_ONLY</x:v>
      </x:c>
    </x:row>
    <x:row r="87">
      <x:c r="A87" t="str">
        <x:v>HD05</x:v>
      </x:c>
      <x:c r="B87" t="str">
        <x:f>HD05!B7</x:f>
        <x:v>HD05.D.CQ.CAP_TREN</x:v>
      </x:c>
      <x:c r="C87" t="n">
        <x:f>COUNTIF(PROFILE_HD05!$B$7:$B$500,B87)</x:f>
        <x:v>1</x:v>
      </x:c>
      <x:c r="D87" t="str">
        <x:f>IF(LEFT(B87,LEN(A87)+1)=A87&amp;".","OK","SAI PREFIX")</x:f>
        <x:v>OK</x:v>
      </x:c>
      <x:c r="E87" t="str">
        <x:f>IF(COUNTIF(HD05!$B$7:$B$500,B87)=1,"OK","MÃ NGUỒN KHÔNG DUY NHẤT")</x:f>
        <x:v>OK</x:v>
      </x:c>
      <x:c r="F87" t="str">
        <x:f>IFERROR(INDEX(PROFILE_HD05!$CC$7:$CC$500,MATCH($B87,PROFILE_HD05!$B$7:$B$500,0)),"UNRESOLVED")</x:f>
        <x:v>READ_ONLY</x:v>
      </x:c>
      <x:c r="G87" t="str">
        <x:f>IFERROR(INDEX(PROFILE_HD05!$CD$7:$CD$500,MATCH($B87,PROFILE_HD05!$B$7:$B$500,0)),"UNRESOLVED")</x:f>
        <x:v>PROTECTED</x:v>
      </x:c>
      <x:c r="H87" t="str">
        <x:f>IFERROR(INDEX(PROFILE_HD05!$CK$7:$CK$500,MATCH($B87,PROFILE_HD05!$B$7:$B$500,0)),"UNRESOLVED")</x:f>
        <x:v>KHÔNG</x:v>
      </x:c>
      <x:c r="I87" t="str">
        <x:f>IFERROR(INDEX(PROFILE_HD05!$CA$7:$CA$500,MATCH($B87,PROFILE_HD05!$B$7:$B$500,0)),"UNRESOLVED")</x:f>
        <x:v>TEXT</x:v>
      </x:c>
      <x:c r="J87" t="n">
        <x:f>IFERROR(INDEX(PROFILE_HD05!$BZ$7:$BZ$500,MATCH($B87,PROFILE_HD05!$B$7:$B$500,0)),"UNRESOLVED")</x:f>
        <x:v>14</x:v>
      </x:c>
      <x:c r="K87" t="n">
        <x:f>IFERROR(INDEX(PROFILE_HD05!$AJ$7:$AJ$500,MATCH($B87,PROFILE_HD05!$B$7:$B$500,0)),"UNRESOLVED")</x:f>
        <x:v>14</x:v>
      </x:c>
      <x:c r="L87" t="str">
        <x:f>IF(K87="","N/A / CHƯA NHẬP",IF(AND(ISNUMBER(J87),ISNUMBER(K87),J87=K87),"KHỚP SỐ","CẦN KIỂM TRA THỦ CÔNG"))</x:f>
        <x:v>KHỚP SỐ</x:v>
      </x:c>
      <x:c r="M87" t="str">
        <x:f>IF(OR(C87&lt;&gt;1,D87&lt;&gt;"OK",E87&lt;&gt;"OK",H87&lt;&gt;"KHÔNG"),"BLOCK",IF(G87="PROTECTED","PROTECTED","CHECK_ONLY"))</x:f>
        <x:v>PROTECTED</x:v>
      </x:c>
    </x:row>
    <x:row r="88">
      <x:c r="A88" t="str">
        <x:v>HD05</x:v>
      </x:c>
      <x:c r="B88" t="str">
        <x:f>HD05!B8</x:f>
        <x:v>HD05.D.CQ.BAN_HANH</x:v>
      </x:c>
      <x:c r="C88" t="n">
        <x:f>COUNTIF(PROFILE_HD05!$B$7:$B$500,B88)</x:f>
        <x:v>1</x:v>
      </x:c>
      <x:c r="D88" t="str">
        <x:f>IF(LEFT(B88,LEN(A88)+1)=A88&amp;".","OK","SAI PREFIX")</x:f>
        <x:v>OK</x:v>
      </x:c>
      <x:c r="E88" t="str">
        <x:f>IF(COUNTIF(HD05!$B$7:$B$500,B88)=1,"OK","MÃ NGUỒN KHÔNG DUY NHẤT")</x:f>
        <x:v>OK</x:v>
      </x:c>
      <x:c r="F88" t="str">
        <x:f>IFERROR(INDEX(PROFILE_HD05!$CC$7:$CC$500,MATCH($B88,PROFILE_HD05!$B$7:$B$500,0)),"UNRESOLVED")</x:f>
        <x:v>READ_ONLY</x:v>
      </x:c>
      <x:c r="G88" t="str">
        <x:f>IFERROR(INDEX(PROFILE_HD05!$CD$7:$CD$500,MATCH($B88,PROFILE_HD05!$B$7:$B$500,0)),"UNRESOLVED")</x:f>
        <x:v>PROTECTED</x:v>
      </x:c>
      <x:c r="H88" t="str">
        <x:f>IFERROR(INDEX(PROFILE_HD05!$CK$7:$CK$500,MATCH($B88,PROFILE_HD05!$B$7:$B$500,0)),"UNRESOLVED")</x:f>
        <x:v>KHÔNG</x:v>
      </x:c>
      <x:c r="I88" t="str">
        <x:f>IFERROR(INDEX(PROFILE_HD05!$CA$7:$CA$500,MATCH($B88,PROFILE_HD05!$B$7:$B$500,0)),"UNRESOLVED")</x:f>
        <x:v>TEXT</x:v>
      </x:c>
      <x:c r="J88" t="n">
        <x:f>IFERROR(INDEX(PROFILE_HD05!$BZ$7:$BZ$500,MATCH($B88,PROFILE_HD05!$B$7:$B$500,0)),"UNRESOLVED")</x:f>
        <x:v>14</x:v>
      </x:c>
      <x:c r="K88" t="n">
        <x:f>IFERROR(INDEX(PROFILE_HD05!$AJ$7:$AJ$500,MATCH($B88,PROFILE_HD05!$B$7:$B$500,0)),"UNRESOLVED")</x:f>
        <x:v>14</x:v>
      </x:c>
      <x:c r="L88" t="str">
        <x:f>IF(K88="","N/A / CHƯA NHẬP",IF(AND(ISNUMBER(J88),ISNUMBER(K88),J88=K88),"KHỚP SỐ","CẦN KIỂM TRA THỦ CÔNG"))</x:f>
        <x:v>KHỚP SỐ</x:v>
      </x:c>
      <x:c r="M88" t="str">
        <x:f>IF(OR(C88&lt;&gt;1,D88&lt;&gt;"OK",E88&lt;&gt;"OK",H88&lt;&gt;"KHÔNG"),"BLOCK",IF(G88="PROTECTED","PROTECTED","CHECK_ONLY"))</x:f>
        <x:v>PROTECTED</x:v>
      </x:c>
    </x:row>
    <x:row r="89">
      <x:c r="A89" t="str">
        <x:v>HD05</x:v>
      </x:c>
      <x:c r="B89" t="str">
        <x:f>HD05!B9</x:f>
        <x:v>HD05.D.CQ.DAU_SAO</x:v>
      </x:c>
      <x:c r="C89" t="n">
        <x:f>COUNTIF(PROFILE_HD05!$B$7:$B$500,B89)</x:f>
        <x:v>1</x:v>
      </x:c>
      <x:c r="D89" t="str">
        <x:f>IF(LEFT(B89,LEN(A89)+1)=A89&amp;".","OK","SAI PREFIX")</x:f>
        <x:v>OK</x:v>
      </x:c>
      <x:c r="E89" t="str">
        <x:f>IF(COUNTIF(HD05!$B$7:$B$500,B89)=1,"OK","MÃ NGUỒN KHÔNG DUY NHẤT")</x:f>
        <x:v>OK</x:v>
      </x:c>
      <x:c r="F89" t="str">
        <x:f>IFERROR(INDEX(PROFILE_HD05!$CC$7:$CC$500,MATCH($B89,PROFILE_HD05!$B$7:$B$500,0)),"UNRESOLVED")</x:f>
        <x:v>READ_ONLY</x:v>
      </x:c>
      <x:c r="G89" t="str">
        <x:f>IFERROR(INDEX(PROFILE_HD05!$CD$7:$CD$500,MATCH($B89,PROFILE_HD05!$B$7:$B$500,0)),"UNRESOLVED")</x:f>
        <x:v>PROTECTED</x:v>
      </x:c>
      <x:c r="H89" t="str">
        <x:f>IFERROR(INDEX(PROFILE_HD05!$CK$7:$CK$500,MATCH($B89,PROFILE_HD05!$B$7:$B$500,0)),"UNRESOLVED")</x:f>
        <x:v>KHÔNG</x:v>
      </x:c>
      <x:c r="I89" t="str">
        <x:f>IFERROR(INDEX(PROFILE_HD05!$CA$7:$CA$500,MATCH($B89,PROFILE_HD05!$B$7:$B$500,0)),"UNRESOLVED")</x:f>
        <x:v>SEPARATOR</x:v>
      </x:c>
      <x:c r="J89" t="str">
        <x:f>IFERROR(INDEX(PROFILE_HD05!$BZ$7:$BZ$500,MATCH($B89,PROFILE_HD05!$B$7:$B$500,0)),"UNRESOLVED")</x:f>
        <x:v>Theo phụ lục/mẫu cụ thể</x:v>
      </x:c>
      <x:c r="K89" t="n">
        <x:f>IFERROR(INDEX(PROFILE_HD05!$AJ$7:$AJ$500,MATCH($B89,PROFILE_HD05!$B$7:$B$500,0)),"UNRESOLVED")</x:f>
        <x:v>14</x:v>
      </x:c>
      <x:c r="L89" t="str">
        <x:f>IF(K89="","N/A / CHƯA NHẬP",IF(AND(ISNUMBER(J89),ISNUMBER(K89),J89=K89),"KHỚP SỐ","CẦN KIỂM TRA THỦ CÔNG"))</x:f>
        <x:v>CẦN KIỂM TRA THỦ CÔNG</x:v>
      </x:c>
      <x:c r="M89" t="str">
        <x:f>IF(OR(C89&lt;&gt;1,D89&lt;&gt;"OK",E89&lt;&gt;"OK",H89&lt;&gt;"KHÔNG"),"BLOCK",IF(G89="PROTECTED","PROTECTED","CHECK_ONLY"))</x:f>
        <x:v>PROTECTED</x:v>
      </x:c>
    </x:row>
    <x:row r="90">
      <x:c r="A90" t="str">
        <x:v>HD05</x:v>
      </x:c>
      <x:c r="B90" t="str">
        <x:f>HD05!B10</x:f>
        <x:v>HD05.D.CQ.LIEN_CO_QUAN</x:v>
      </x:c>
      <x:c r="C90" t="n">
        <x:f>COUNTIF(PROFILE_HD05!$B$7:$B$500,B90)</x:f>
        <x:v>1</x:v>
      </x:c>
      <x:c r="D90" t="str">
        <x:f>IF(LEFT(B90,LEN(A90)+1)=A90&amp;".","OK","SAI PREFIX")</x:f>
        <x:v>OK</x:v>
      </x:c>
      <x:c r="E90" t="str">
        <x:f>IF(COUNTIF(HD05!$B$7:$B$500,B90)=1,"OK","MÃ NGUỒN KHÔNG DUY NHẤT")</x:f>
        <x:v>OK</x:v>
      </x:c>
      <x:c r="F90" t="str">
        <x:f>IFERROR(INDEX(PROFILE_HD05!$CC$7:$CC$500,MATCH($B90,PROFILE_HD05!$B$7:$B$500,0)),"UNRESOLVED")</x:f>
        <x:v>READ_ONLY</x:v>
      </x:c>
      <x:c r="G90" t="str">
        <x:f>IFERROR(INDEX(PROFILE_HD05!$CD$7:$CD$500,MATCH($B90,PROFILE_HD05!$B$7:$B$500,0)),"UNRESOLVED")</x:f>
        <x:v>PROTECTED</x:v>
      </x:c>
      <x:c r="H90" t="str">
        <x:f>IFERROR(INDEX(PROFILE_HD05!$CK$7:$CK$500,MATCH($B90,PROFILE_HD05!$B$7:$B$500,0)),"UNRESOLVED")</x:f>
        <x:v>KHÔNG</x:v>
      </x:c>
      <x:c r="I90" t="str">
        <x:f>IFERROR(INDEX(PROFILE_HD05!$CA$7:$CA$500,MATCH($B90,PROFILE_HD05!$B$7:$B$500,0)),"UNRESOLVED")</x:f>
        <x:v>TEXT</x:v>
      </x:c>
      <x:c r="J90" t="n">
        <x:f>IFERROR(INDEX(PROFILE_HD05!$BZ$7:$BZ$500,MATCH($B90,PROFILE_HD05!$B$7:$B$500,0)),"UNRESOLVED")</x:f>
        <x:v>14</x:v>
      </x:c>
      <x:c r="K90" t="n">
        <x:f>IFERROR(INDEX(PROFILE_HD05!$AJ$7:$AJ$500,MATCH($B90,PROFILE_HD05!$B$7:$B$500,0)),"UNRESOLVED")</x:f>
        <x:v>14</x:v>
      </x:c>
      <x:c r="L90" t="str">
        <x:f>IF(K90="","N/A / CHƯA NHẬP",IF(AND(ISNUMBER(J90),ISNUMBER(K90),J90=K90),"KHỚP SỐ","CẦN KIỂM TRA THỦ CÔNG"))</x:f>
        <x:v>KHỚP SỐ</x:v>
      </x:c>
      <x:c r="M90" t="str">
        <x:f>IF(OR(C90&lt;&gt;1,D90&lt;&gt;"OK",E90&lt;&gt;"OK",H90&lt;&gt;"KHÔNG"),"BLOCK",IF(G90="PROTECTED","PROTECTED","CHECK_ONLY"))</x:f>
        <x:v>PROTECTED</x:v>
      </x:c>
    </x:row>
    <x:row r="91">
      <x:c r="A91" t="str">
        <x:v>HD05</x:v>
      </x:c>
      <x:c r="B91" t="str">
        <x:f>HD05!B11</x:f>
        <x:v>HD05.D.CQ.DAI_HOI</x:v>
      </x:c>
      <x:c r="C91" t="n">
        <x:f>COUNTIF(PROFILE_HD05!$B$7:$B$500,B91)</x:f>
        <x:v>1</x:v>
      </x:c>
      <x:c r="D91" t="str">
        <x:f>IF(LEFT(B91,LEN(A91)+1)=A91&amp;".","OK","SAI PREFIX")</x:f>
        <x:v>OK</x:v>
      </x:c>
      <x:c r="E91" t="str">
        <x:f>IF(COUNTIF(HD05!$B$7:$B$500,B91)=1,"OK","MÃ NGUỒN KHÔNG DUY NHẤT")</x:f>
        <x:v>OK</x:v>
      </x:c>
      <x:c r="F91" t="str">
        <x:f>IFERROR(INDEX(PROFILE_HD05!$CC$7:$CC$500,MATCH($B91,PROFILE_HD05!$B$7:$B$500,0)),"UNRESOLVED")</x:f>
        <x:v>READ_ONLY</x:v>
      </x:c>
      <x:c r="G91" t="str">
        <x:f>IFERROR(INDEX(PROFILE_HD05!$CD$7:$CD$500,MATCH($B91,PROFILE_HD05!$B$7:$B$500,0)),"UNRESOLVED")</x:f>
        <x:v>PROTECTED</x:v>
      </x:c>
      <x:c r="H91" t="str">
        <x:f>IFERROR(INDEX(PROFILE_HD05!$CK$7:$CK$500,MATCH($B91,PROFILE_HD05!$B$7:$B$500,0)),"UNRESOLVED")</x:f>
        <x:v>KHÔNG</x:v>
      </x:c>
      <x:c r="I91" t="str">
        <x:f>IFERROR(INDEX(PROFILE_HD05!$CA$7:$CA$500,MATCH($B91,PROFILE_HD05!$B$7:$B$500,0)),"UNRESOLVED")</x:f>
        <x:v>TEXT</x:v>
      </x:c>
      <x:c r="J91" t="n">
        <x:f>IFERROR(INDEX(PROFILE_HD05!$BZ$7:$BZ$500,MATCH($B91,PROFILE_HD05!$B$7:$B$500,0)),"UNRESOLVED")</x:f>
        <x:v>14</x:v>
      </x:c>
      <x:c r="K91" t="n">
        <x:f>IFERROR(INDEX(PROFILE_HD05!$AJ$7:$AJ$500,MATCH($B91,PROFILE_HD05!$B$7:$B$500,0)),"UNRESOLVED")</x:f>
        <x:v>14</x:v>
      </x:c>
      <x:c r="L91" t="str">
        <x:f>IF(K91="","N/A / CHƯA NHẬP",IF(AND(ISNUMBER(J91),ISNUMBER(K91),J91=K91),"KHỚP SỐ","CẦN KIỂM TRA THỦ CÔNG"))</x:f>
        <x:v>KHỚP SỐ</x:v>
      </x:c>
      <x:c r="M91" t="str">
        <x:f>IF(OR(C91&lt;&gt;1,D91&lt;&gt;"OK",E91&lt;&gt;"OK",H91&lt;&gt;"KHÔNG"),"BLOCK",IF(G91="PROTECTED","PROTECTED","CHECK_ONLY"))</x:f>
        <x:v>PROTECTED</x:v>
      </x:c>
    </x:row>
    <x:row r="92">
      <x:c r="A92" t="str">
        <x:v>HD05</x:v>
      </x:c>
      <x:c r="B92" t="str">
        <x:f>HD05!B12</x:f>
        <x:v>HD05.D.TD.TIEU_DE_DANG</x:v>
      </x:c>
      <x:c r="C92" t="n">
        <x:f>COUNTIF(PROFILE_HD05!$B$7:$B$500,B92)</x:f>
        <x:v>1</x:v>
      </x:c>
      <x:c r="D92" t="str">
        <x:f>IF(LEFT(B92,LEN(A92)+1)=A92&amp;".","OK","SAI PREFIX")</x:f>
        <x:v>OK</x:v>
      </x:c>
      <x:c r="E92" t="str">
        <x:f>IF(COUNTIF(HD05!$B$7:$B$500,B92)=1,"OK","MÃ NGUỒN KHÔNG DUY NHẤT")</x:f>
        <x:v>OK</x:v>
      </x:c>
      <x:c r="F92" t="str">
        <x:f>IFERROR(INDEX(PROFILE_HD05!$CC$7:$CC$500,MATCH($B92,PROFILE_HD05!$B$7:$B$500,0)),"UNRESOLVED")</x:f>
        <x:v>READ_ONLY</x:v>
      </x:c>
      <x:c r="G92" t="str">
        <x:f>IFERROR(INDEX(PROFILE_HD05!$CD$7:$CD$500,MATCH($B92,PROFILE_HD05!$B$7:$B$500,0)),"UNRESOLVED")</x:f>
        <x:v>PROTECTED</x:v>
      </x:c>
      <x:c r="H92" t="str">
        <x:f>IFERROR(INDEX(PROFILE_HD05!$CK$7:$CK$500,MATCH($B92,PROFILE_HD05!$B$7:$B$500,0)),"UNRESOLVED")</x:f>
        <x:v>KHÔNG</x:v>
      </x:c>
      <x:c r="I92" t="str">
        <x:f>IFERROR(INDEX(PROFILE_HD05!$CA$7:$CA$500,MATCH($B92,PROFILE_HD05!$B$7:$B$500,0)),"UNRESOLVED")</x:f>
        <x:v>TEXT</x:v>
      </x:c>
      <x:c r="J92" t="n">
        <x:f>IFERROR(INDEX(PROFILE_HD05!$BZ$7:$BZ$500,MATCH($B92,PROFILE_HD05!$B$7:$B$500,0)),"UNRESOLVED")</x:f>
        <x:v>15</x:v>
      </x:c>
      <x:c r="K92" t="n">
        <x:f>IFERROR(INDEX(PROFILE_HD05!$AJ$7:$AJ$500,MATCH($B92,PROFILE_HD05!$B$7:$B$500,0)),"UNRESOLVED")</x:f>
        <x:v>15</x:v>
      </x:c>
      <x:c r="L92" t="str">
        <x:f>IF(K92="","N/A / CHƯA NHẬP",IF(AND(ISNUMBER(J92),ISNUMBER(K92),J92=K92),"KHỚP SỐ","CẦN KIỂM TRA THỦ CÔNG"))</x:f>
        <x:v>KHỚP SỐ</x:v>
      </x:c>
      <x:c r="M92" t="str">
        <x:f>IF(OR(C92&lt;&gt;1,D92&lt;&gt;"OK",E92&lt;&gt;"OK",H92&lt;&gt;"KHÔNG"),"BLOCK",IF(G92="PROTECTED","PROTECTED","CHECK_ONLY"))</x:f>
        <x:v>PROTECTED</x:v>
      </x:c>
    </x:row>
    <x:row r="93">
      <x:c r="A93" t="str">
        <x:v>HD05</x:v>
      </x:c>
      <x:c r="B93" t="str">
        <x:f>HD05!B13</x:f>
        <x:v>HD05.D.TD.DUONG_KE</x:v>
      </x:c>
      <x:c r="C93" t="n">
        <x:f>COUNTIF(PROFILE_HD05!$B$7:$B$500,B93)</x:f>
        <x:v>1</x:v>
      </x:c>
      <x:c r="D93" t="str">
        <x:f>IF(LEFT(B93,LEN(A93)+1)=A93&amp;".","OK","SAI PREFIX")</x:f>
        <x:v>OK</x:v>
      </x:c>
      <x:c r="E93" t="str">
        <x:f>IF(COUNTIF(HD05!$B$7:$B$500,B93)=1,"OK","MÃ NGUỒN KHÔNG DUY NHẤT")</x:f>
        <x:v>OK</x:v>
      </x:c>
      <x:c r="F93" t="str">
        <x:f>IFERROR(INDEX(PROFILE_HD05!$CC$7:$CC$500,MATCH($B93,PROFILE_HD05!$B$7:$B$500,0)),"UNRESOLVED")</x:f>
        <x:v>READ_ONLY</x:v>
      </x:c>
      <x:c r="G93" t="str">
        <x:f>IFERROR(INDEX(PROFILE_HD05!$CD$7:$CD$500,MATCH($B93,PROFILE_HD05!$B$7:$B$500,0)),"UNRESOLVED")</x:f>
        <x:v>PROTECTED</x:v>
      </x:c>
      <x:c r="H93" t="str">
        <x:f>IFERROR(INDEX(PROFILE_HD05!$CK$7:$CK$500,MATCH($B93,PROFILE_HD05!$B$7:$B$500,0)),"UNRESOLVED")</x:f>
        <x:v>KHÔNG</x:v>
      </x:c>
      <x:c r="I93" t="str">
        <x:f>IFERROR(INDEX(PROFILE_HD05!$CA$7:$CA$500,MATCH($B93,PROFILE_HD05!$B$7:$B$500,0)),"UNRESOLVED")</x:f>
        <x:v>SEPARATOR</x:v>
      </x:c>
      <x:c r="J93" t="str">
        <x:f>IFERROR(INDEX(PROFILE_HD05!$BZ$7:$BZ$500,MATCH($B93,PROFILE_HD05!$B$7:$B$500,0)),"UNRESOLVED")</x:f>
        <x:v>Không áp dụng</x:v>
      </x:c>
      <x:c r="K93" t="str">
        <x:f>IFERROR(INDEX(PROFILE_HD05!$AJ$7:$AJ$500,MATCH($B93,PROFILE_HD05!$B$7:$B$500,0)),"UNRESOLVED")</x:f>
      </x:c>
      <x:c r="L93" t="str">
        <x:f>IF(K93="","N/A / CHƯA NHẬP",IF(AND(ISNUMBER(J93),ISNUMBER(K93),J93=K93),"KHỚP SỐ","CẦN KIỂM TRA THỦ CÔNG"))</x:f>
        <x:v>N/A / CHƯA NHẬP</x:v>
      </x:c>
      <x:c r="M93" t="str">
        <x:f>IF(OR(C93&lt;&gt;1,D93&lt;&gt;"OK",E93&lt;&gt;"OK",H93&lt;&gt;"KHÔNG"),"BLOCK",IF(G93="PROTECTED","PROTECTED","CHECK_ONLY"))</x:f>
        <x:v>PROTECTED</x:v>
      </x:c>
    </x:row>
    <x:row r="94">
      <x:c r="A94" t="str">
        <x:v>HD05</x:v>
      </x:c>
      <x:c r="B94" t="str">
        <x:f>HD05!B14</x:f>
        <x:v>HD05.D.SK.NHAN_SO</x:v>
      </x:c>
      <x:c r="C94" t="n">
        <x:f>COUNTIF(PROFILE_HD05!$B$7:$B$500,B94)</x:f>
        <x:v>1</x:v>
      </x:c>
      <x:c r="D94" t="str">
        <x:f>IF(LEFT(B94,LEN(A94)+1)=A94&amp;".","OK","SAI PREFIX")</x:f>
        <x:v>OK</x:v>
      </x:c>
      <x:c r="E94" t="str">
        <x:f>IF(COUNTIF(HD05!$B$7:$B$500,B94)=1,"OK","MÃ NGUỒN KHÔNG DUY NHẤT")</x:f>
        <x:v>OK</x:v>
      </x:c>
      <x:c r="F94" t="str">
        <x:f>IFERROR(INDEX(PROFILE_HD05!$CC$7:$CC$500,MATCH($B94,PROFILE_HD05!$B$7:$B$500,0)),"UNRESOLVED")</x:f>
        <x:v>READ_ONLY</x:v>
      </x:c>
      <x:c r="G94" t="str">
        <x:f>IFERROR(INDEX(PROFILE_HD05!$CD$7:$CD$500,MATCH($B94,PROFILE_HD05!$B$7:$B$500,0)),"UNRESOLVED")</x:f>
        <x:v>PROTECTED</x:v>
      </x:c>
      <x:c r="H94" t="str">
        <x:f>IFERROR(INDEX(PROFILE_HD05!$CK$7:$CK$500,MATCH($B94,PROFILE_HD05!$B$7:$B$500,0)),"UNRESOLVED")</x:f>
        <x:v>KHÔNG</x:v>
      </x:c>
      <x:c r="I94" t="str">
        <x:f>IFERROR(INDEX(PROFILE_HD05!$CA$7:$CA$500,MATCH($B94,PROFILE_HD05!$B$7:$B$500,0)),"UNRESOLVED")</x:f>
        <x:v>TEXT</x:v>
      </x:c>
      <x:c r="J94" t="n">
        <x:f>IFERROR(INDEX(PROFILE_HD05!$BZ$7:$BZ$500,MATCH($B94,PROFILE_HD05!$B$7:$B$500,0)),"UNRESOLVED")</x:f>
        <x:v>14</x:v>
      </x:c>
      <x:c r="K94" t="n">
        <x:f>IFERROR(INDEX(PROFILE_HD05!$AJ$7:$AJ$500,MATCH($B94,PROFILE_HD05!$B$7:$B$500,0)),"UNRESOLVED")</x:f>
        <x:v>14</x:v>
      </x:c>
      <x:c r="L94" t="str">
        <x:f>IF(K94="","N/A / CHƯA NHẬP",IF(AND(ISNUMBER(J94),ISNUMBER(K94),J94=K94),"KHỚP SỐ","CẦN KIỂM TRA THỦ CÔNG"))</x:f>
        <x:v>KHỚP SỐ</x:v>
      </x:c>
      <x:c r="M94" t="str">
        <x:f>IF(OR(C94&lt;&gt;1,D94&lt;&gt;"OK",E94&lt;&gt;"OK",H94&lt;&gt;"KHÔNG"),"BLOCK",IF(G94="PROTECTED","PROTECTED","CHECK_ONLY"))</x:f>
        <x:v>PROTECTED</x:v>
      </x:c>
    </x:row>
    <x:row r="95">
      <x:c r="A95" t="str">
        <x:v>HD05</x:v>
      </x:c>
      <x:c r="B95" t="str">
        <x:f>HD05!B15</x:f>
        <x:v>HD05.D.SK.SO_VAN_BAN</x:v>
      </x:c>
      <x:c r="C95" t="n">
        <x:f>COUNTIF(PROFILE_HD05!$B$7:$B$500,B95)</x:f>
        <x:v>1</x:v>
      </x:c>
      <x:c r="D95" t="str">
        <x:f>IF(LEFT(B95,LEN(A95)+1)=A95&amp;".","OK","SAI PREFIX")</x:f>
        <x:v>OK</x:v>
      </x:c>
      <x:c r="E95" t="str">
        <x:f>IF(COUNTIF(HD05!$B$7:$B$500,B95)=1,"OK","MÃ NGUỒN KHÔNG DUY NHẤT")</x:f>
        <x:v>OK</x:v>
      </x:c>
      <x:c r="F95" t="str">
        <x:f>IFERROR(INDEX(PROFILE_HD05!$CC$7:$CC$500,MATCH($B95,PROFILE_HD05!$B$7:$B$500,0)),"UNRESOLVED")</x:f>
        <x:v>KHÔNG TỰ CẤP SỐ</x:v>
      </x:c>
      <x:c r="G95" t="str">
        <x:f>IFERROR(INDEX(PROFILE_HD05!$CD$7:$CD$500,MATCH($B95,PROFILE_HD05!$B$7:$B$500,0)),"UNRESOLVED")</x:f>
        <x:v>CHECK_ONLY</x:v>
      </x:c>
      <x:c r="H95" t="str">
        <x:f>IFERROR(INDEX(PROFILE_HD05!$CK$7:$CK$500,MATCH($B95,PROFILE_HD05!$B$7:$B$500,0)),"UNRESOLVED")</x:f>
        <x:v>KHÔNG</x:v>
      </x:c>
      <x:c r="I95" t="str">
        <x:f>IFERROR(INDEX(PROFILE_HD05!$CA$7:$CA$500,MATCH($B95,PROFILE_HD05!$B$7:$B$500,0)),"UNRESOLVED")</x:f>
        <x:v>PROTECTED_TEXT</x:v>
      </x:c>
      <x:c r="J95" t="n">
        <x:f>IFERROR(INDEX(PROFILE_HD05!$BZ$7:$BZ$500,MATCH($B95,PROFILE_HD05!$B$7:$B$500,0)),"UNRESOLVED")</x:f>
        <x:v>14</x:v>
      </x:c>
      <x:c r="K95" t="n">
        <x:f>IFERROR(INDEX(PROFILE_HD05!$AJ$7:$AJ$500,MATCH($B95,PROFILE_HD05!$B$7:$B$500,0)),"UNRESOLVED")</x:f>
        <x:v>14</x:v>
      </x:c>
      <x:c r="L95" t="str">
        <x:f>IF(K95="","N/A / CHƯA NHẬP",IF(AND(ISNUMBER(J95),ISNUMBER(K95),J95=K95),"KHỚP SỐ","CẦN KIỂM TRA THỦ CÔNG"))</x:f>
        <x:v>KHỚP SỐ</x:v>
      </x:c>
      <x:c r="M95" t="str">
        <x:f>IF(OR(C95&lt;&gt;1,D95&lt;&gt;"OK",E95&lt;&gt;"OK",H95&lt;&gt;"KHÔNG"),"BLOCK",IF(G95="PROTECTED","PROTECTED","CHECK_ONLY"))</x:f>
        <x:v>CHECK_ONLY</x:v>
      </x:c>
    </x:row>
    <x:row r="96">
      <x:c r="A96" t="str">
        <x:v>HD05</x:v>
      </x:c>
      <x:c r="B96" t="str">
        <x:f>HD05!B16</x:f>
        <x:v>HD05.D.SK.KY_HIEU_LOAI</x:v>
      </x:c>
      <x:c r="C96" t="n">
        <x:f>COUNTIF(PROFILE_HD05!$B$7:$B$500,B96)</x:f>
        <x:v>1</x:v>
      </x:c>
      <x:c r="D96" t="str">
        <x:f>IF(LEFT(B96,LEN(A96)+1)=A96&amp;".","OK","SAI PREFIX")</x:f>
        <x:v>OK</x:v>
      </x:c>
      <x:c r="E96" t="str">
        <x:f>IF(COUNTIF(HD05!$B$7:$B$500,B96)=1,"OK","MÃ NGUỒN KHÔNG DUY NHẤT")</x:f>
        <x:v>OK</x:v>
      </x:c>
      <x:c r="F96" t="str">
        <x:f>IFERROR(INDEX(PROFILE_HD05!$CC$7:$CC$500,MATCH($B96,PROFILE_HD05!$B$7:$B$500,0)),"UNRESOLVED")</x:f>
        <x:v>KHÔNG TỰ SUY DIỄN MÃ</x:v>
      </x:c>
      <x:c r="G96" t="str">
        <x:f>IFERROR(INDEX(PROFILE_HD05!$CD$7:$CD$500,MATCH($B96,PROFILE_HD05!$B$7:$B$500,0)),"UNRESOLVED")</x:f>
        <x:v>CHECK_ONLY</x:v>
      </x:c>
      <x:c r="H96" t="str">
        <x:f>IFERROR(INDEX(PROFILE_HD05!$CK$7:$CK$500,MATCH($B96,PROFILE_HD05!$B$7:$B$500,0)),"UNRESOLVED")</x:f>
        <x:v>KHÔNG</x:v>
      </x:c>
      <x:c r="I96" t="str">
        <x:f>IFERROR(INDEX(PROFILE_HD05!$CA$7:$CA$500,MATCH($B96,PROFILE_HD05!$B$7:$B$500,0)),"UNRESOLVED")</x:f>
        <x:v>TEXT</x:v>
      </x:c>
      <x:c r="J96" t="n">
        <x:f>IFERROR(INDEX(PROFILE_HD05!$BZ$7:$BZ$500,MATCH($B96,PROFILE_HD05!$B$7:$B$500,0)),"UNRESOLVED")</x:f>
        <x:v>14</x:v>
      </x:c>
      <x:c r="K96" t="n">
        <x:f>IFERROR(INDEX(PROFILE_HD05!$AJ$7:$AJ$500,MATCH($B96,PROFILE_HD05!$B$7:$B$500,0)),"UNRESOLVED")</x:f>
        <x:v>14</x:v>
      </x:c>
      <x:c r="L96" t="str">
        <x:f>IF(K96="","N/A / CHƯA NHẬP",IF(AND(ISNUMBER(J96),ISNUMBER(K96),J96=K96),"KHỚP SỐ","CẦN KIỂM TRA THỦ CÔNG"))</x:f>
        <x:v>KHỚP SỐ</x:v>
      </x:c>
      <x:c r="M96" t="str">
        <x:f>IF(OR(C96&lt;&gt;1,D96&lt;&gt;"OK",E96&lt;&gt;"OK",H96&lt;&gt;"KHÔNG"),"BLOCK",IF(G96="PROTECTED","PROTECTED","CHECK_ONLY"))</x:f>
        <x:v>CHECK_ONLY</x:v>
      </x:c>
    </x:row>
    <x:row r="97">
      <x:c r="A97" t="str">
        <x:v>HD05</x:v>
      </x:c>
      <x:c r="B97" t="str">
        <x:f>HD05!B17</x:f>
        <x:v>HD05.D.SK.KY_HIEU_CO_QUAN</x:v>
      </x:c>
      <x:c r="C97" t="n">
        <x:f>COUNTIF(PROFILE_HD05!$B$7:$B$500,B97)</x:f>
        <x:v>1</x:v>
      </x:c>
      <x:c r="D97" t="str">
        <x:f>IF(LEFT(B97,LEN(A97)+1)=A97&amp;".","OK","SAI PREFIX")</x:f>
        <x:v>OK</x:v>
      </x:c>
      <x:c r="E97" t="str">
        <x:f>IF(COUNTIF(HD05!$B$7:$B$500,B97)=1,"OK","MÃ NGUỒN KHÔNG DUY NHẤT")</x:f>
        <x:v>OK</x:v>
      </x:c>
      <x:c r="F97" t="str">
        <x:f>IFERROR(INDEX(PROFILE_HD05!$CC$7:$CC$500,MATCH($B97,PROFILE_HD05!$B$7:$B$500,0)),"UNRESOLVED")</x:f>
        <x:v>KHÔNG TỰ ĐIỀN MÃ</x:v>
      </x:c>
      <x:c r="G97" t="str">
        <x:f>IFERROR(INDEX(PROFILE_HD05!$CD$7:$CD$500,MATCH($B97,PROFILE_HD05!$B$7:$B$500,0)),"UNRESOLVED")</x:f>
        <x:v>CHECK_ONLY</x:v>
      </x:c>
      <x:c r="H97" t="str">
        <x:f>IFERROR(INDEX(PROFILE_HD05!$CK$7:$CK$500,MATCH($B97,PROFILE_HD05!$B$7:$B$500,0)),"UNRESOLVED")</x:f>
        <x:v>KHÔNG</x:v>
      </x:c>
      <x:c r="I97" t="str">
        <x:f>IFERROR(INDEX(PROFILE_HD05!$CA$7:$CA$500,MATCH($B97,PROFILE_HD05!$B$7:$B$500,0)),"UNRESOLVED")</x:f>
        <x:v>TEXT</x:v>
      </x:c>
      <x:c r="J97" t="n">
        <x:f>IFERROR(INDEX(PROFILE_HD05!$BZ$7:$BZ$500,MATCH($B97,PROFILE_HD05!$B$7:$B$500,0)),"UNRESOLVED")</x:f>
        <x:v>14</x:v>
      </x:c>
      <x:c r="K97" t="n">
        <x:f>IFERROR(INDEX(PROFILE_HD05!$AJ$7:$AJ$500,MATCH($B97,PROFILE_HD05!$B$7:$B$500,0)),"UNRESOLVED")</x:f>
        <x:v>14</x:v>
      </x:c>
      <x:c r="L97" t="str">
        <x:f>IF(K97="","N/A / CHƯA NHẬP",IF(AND(ISNUMBER(J97),ISNUMBER(K97),J97=K97),"KHỚP SỐ","CẦN KIỂM TRA THỦ CÔNG"))</x:f>
        <x:v>KHỚP SỐ</x:v>
      </x:c>
      <x:c r="M97" t="str">
        <x:f>IF(OR(C97&lt;&gt;1,D97&lt;&gt;"OK",E97&lt;&gt;"OK",H97&lt;&gt;"KHÔNG"),"BLOCK",IF(G97="PROTECTED","PROTECTED","CHECK_ONLY"))</x:f>
        <x:v>CHECK_ONLY</x:v>
      </x:c>
    </x:row>
    <x:row r="98">
      <x:c r="A98" t="str">
        <x:v>HD05</x:v>
      </x:c>
      <x:c r="B98" t="str">
        <x:f>HD05!B18</x:f>
        <x:v>HD05.D.SK.DAU_PHAN_CACH</x:v>
      </x:c>
      <x:c r="C98" t="n">
        <x:f>COUNTIF(PROFILE_HD05!$B$7:$B$500,B98)</x:f>
        <x:v>1</x:v>
      </x:c>
      <x:c r="D98" t="str">
        <x:f>IF(LEFT(B98,LEN(A98)+1)=A98&amp;".","OK","SAI PREFIX")</x:f>
        <x:v>OK</x:v>
      </x:c>
      <x:c r="E98" t="str">
        <x:f>IF(COUNTIF(HD05!$B$7:$B$500,B98)=1,"OK","MÃ NGUỒN KHÔNG DUY NHẤT")</x:f>
        <x:v>OK</x:v>
      </x:c>
      <x:c r="F98" t="str">
        <x:f>IFERROR(INDEX(PROFILE_HD05!$CC$7:$CC$500,MATCH($B98,PROFILE_HD05!$B$7:$B$500,0)),"UNRESOLVED")</x:f>
        <x:v>READ_ONLY</x:v>
      </x:c>
      <x:c r="G98" t="str">
        <x:f>IFERROR(INDEX(PROFILE_HD05!$CD$7:$CD$500,MATCH($B98,PROFILE_HD05!$B$7:$B$500,0)),"UNRESOLVED")</x:f>
        <x:v>PROTECTED</x:v>
      </x:c>
      <x:c r="H98" t="str">
        <x:f>IFERROR(INDEX(PROFILE_HD05!$CK$7:$CK$500,MATCH($B98,PROFILE_HD05!$B$7:$B$500,0)),"UNRESOLVED")</x:f>
        <x:v>KHÔNG</x:v>
      </x:c>
      <x:c r="I98" t="str">
        <x:f>IFERROR(INDEX(PROFILE_HD05!$CA$7:$CA$500,MATCH($B98,PROFILE_HD05!$B$7:$B$500,0)),"UNRESOLVED")</x:f>
        <x:v>SEPARATOR</x:v>
      </x:c>
      <x:c r="J98" t="n">
        <x:f>IFERROR(INDEX(PROFILE_HD05!$BZ$7:$BZ$500,MATCH($B98,PROFILE_HD05!$B$7:$B$500,0)),"UNRESOLVED")</x:f>
        <x:v>14</x:v>
      </x:c>
      <x:c r="K98" t="n">
        <x:f>IFERROR(INDEX(PROFILE_HD05!$AJ$7:$AJ$500,MATCH($B98,PROFILE_HD05!$B$7:$B$500,0)),"UNRESOLVED")</x:f>
        <x:v>14</x:v>
      </x:c>
      <x:c r="L98" t="str">
        <x:f>IF(K98="","N/A / CHƯA NHẬP",IF(AND(ISNUMBER(J98),ISNUMBER(K98),J98=K98),"KHỚP SỐ","CẦN KIỂM TRA THỦ CÔNG"))</x:f>
        <x:v>KHỚP SỐ</x:v>
      </x:c>
      <x:c r="M98" t="str">
        <x:f>IF(OR(C98&lt;&gt;1,D98&lt;&gt;"OK",E98&lt;&gt;"OK",H98&lt;&gt;"KHÔNG"),"BLOCK",IF(G98="PROTECTED","PROTECTED","CHECK_ONLY"))</x:f>
        <x:v>PROTECTED</x:v>
      </x:c>
    </x:row>
    <x:row r="99">
      <x:c r="A99" t="str">
        <x:v>HD05</x:v>
      </x:c>
      <x:c r="B99" t="str">
        <x:f>HD05!B19</x:f>
        <x:v>HD05.D.NG.DIA_DANH</x:v>
      </x:c>
      <x:c r="C99" t="n">
        <x:f>COUNTIF(PROFILE_HD05!$B$7:$B$500,B99)</x:f>
        <x:v>1</x:v>
      </x:c>
      <x:c r="D99" t="str">
        <x:f>IF(LEFT(B99,LEN(A99)+1)=A99&amp;".","OK","SAI PREFIX")</x:f>
        <x:v>OK</x:v>
      </x:c>
      <x:c r="E99" t="str">
        <x:f>IF(COUNTIF(HD05!$B$7:$B$500,B99)=1,"OK","MÃ NGUỒN KHÔNG DUY NHẤT")</x:f>
        <x:v>OK</x:v>
      </x:c>
      <x:c r="F99" t="str">
        <x:f>IFERROR(INDEX(PROFILE_HD05!$CC$7:$CC$500,MATCH($B99,PROFILE_HD05!$B$7:$B$500,0)),"UNRESOLVED")</x:f>
        <x:v>KHÔNG TỰ SINH ĐỊA DANH</x:v>
      </x:c>
      <x:c r="G99" t="str">
        <x:f>IFERROR(INDEX(PROFILE_HD05!$CD$7:$CD$500,MATCH($B99,PROFILE_HD05!$B$7:$B$500,0)),"UNRESOLVED")</x:f>
        <x:v>CHECK_ONLY</x:v>
      </x:c>
      <x:c r="H99" t="str">
        <x:f>IFERROR(INDEX(PROFILE_HD05!$CK$7:$CK$500,MATCH($B99,PROFILE_HD05!$B$7:$B$500,0)),"UNRESOLVED")</x:f>
        <x:v>KHÔNG</x:v>
      </x:c>
      <x:c r="I99" t="str">
        <x:f>IFERROR(INDEX(PROFILE_HD05!$CA$7:$CA$500,MATCH($B99,PROFILE_HD05!$B$7:$B$500,0)),"UNRESOLVED")</x:f>
        <x:v>TEXT</x:v>
      </x:c>
      <x:c r="J99" t="n">
        <x:f>IFERROR(INDEX(PROFILE_HD05!$BZ$7:$BZ$500,MATCH($B99,PROFILE_HD05!$B$7:$B$500,0)),"UNRESOLVED")</x:f>
        <x:v>14</x:v>
      </x:c>
      <x:c r="K99" t="n">
        <x:f>IFERROR(INDEX(PROFILE_HD05!$AJ$7:$AJ$500,MATCH($B99,PROFILE_HD05!$B$7:$B$500,0)),"UNRESOLVED")</x:f>
        <x:v>14</x:v>
      </x:c>
      <x:c r="L99" t="str">
        <x:f>IF(K99="","N/A / CHƯA NHẬP",IF(AND(ISNUMBER(J99),ISNUMBER(K99),J99=K99),"KHỚP SỐ","CẦN KIỂM TRA THỦ CÔNG"))</x:f>
        <x:v>KHỚP SỐ</x:v>
      </x:c>
      <x:c r="M99" t="str">
        <x:f>IF(OR(C99&lt;&gt;1,D99&lt;&gt;"OK",E99&lt;&gt;"OK",H99&lt;&gt;"KHÔNG"),"BLOCK",IF(G99="PROTECTED","PROTECTED","CHECK_ONLY"))</x:f>
        <x:v>CHECK_ONLY</x:v>
      </x:c>
    </x:row>
    <x:row r="100">
      <x:c r="A100" t="str">
        <x:v>HD05</x:v>
      </x:c>
      <x:c r="B100" t="str">
        <x:f>HD05!B20</x:f>
        <x:v>HD05.D.NG.NGAY</x:v>
      </x:c>
      <x:c r="C100" t="n">
        <x:f>COUNTIF(PROFILE_HD05!$B$7:$B$500,B100)</x:f>
        <x:v>1</x:v>
      </x:c>
      <x:c r="D100" t="str">
        <x:f>IF(LEFT(B100,LEN(A100)+1)=A100&amp;".","OK","SAI PREFIX")</x:f>
        <x:v>OK</x:v>
      </x:c>
      <x:c r="E100" t="str">
        <x:f>IF(COUNTIF(HD05!$B$7:$B$500,B100)=1,"OK","MÃ NGUỒN KHÔNG DUY NHẤT")</x:f>
        <x:v>OK</x:v>
      </x:c>
      <x:c r="F100" t="str">
        <x:f>IFERROR(INDEX(PROFILE_HD05!$CC$7:$CC$500,MATCH($B100,PROFILE_HD05!$B$7:$B$500,0)),"UNRESOLVED")</x:f>
        <x:v>KHÔNG TỰ ĐIỀN NGÀY</x:v>
      </x:c>
      <x:c r="G100" t="str">
        <x:f>IFERROR(INDEX(PROFILE_HD05!$CD$7:$CD$500,MATCH($B100,PROFILE_HD05!$B$7:$B$500,0)),"UNRESOLVED")</x:f>
        <x:v>CHECK_ONLY</x:v>
      </x:c>
      <x:c r="H100" t="str">
        <x:f>IFERROR(INDEX(PROFILE_HD05!$CK$7:$CK$500,MATCH($B100,PROFILE_HD05!$B$7:$B$500,0)),"UNRESOLVED")</x:f>
        <x:v>KHÔNG</x:v>
      </x:c>
      <x:c r="I100" t="str">
        <x:f>IFERROR(INDEX(PROFILE_HD05!$CA$7:$CA$500,MATCH($B100,PROFILE_HD05!$B$7:$B$500,0)),"UNRESOLVED")</x:f>
        <x:v>PROTECTED_TEXT</x:v>
      </x:c>
      <x:c r="J100" t="n">
        <x:f>IFERROR(INDEX(PROFILE_HD05!$BZ$7:$BZ$500,MATCH($B100,PROFILE_HD05!$B$7:$B$500,0)),"UNRESOLVED")</x:f>
        <x:v>14</x:v>
      </x:c>
      <x:c r="K100" t="n">
        <x:f>IFERROR(INDEX(PROFILE_HD05!$AJ$7:$AJ$500,MATCH($B100,PROFILE_HD05!$B$7:$B$500,0)),"UNRESOLVED")</x:f>
        <x:v>14</x:v>
      </x:c>
      <x:c r="L100" t="str">
        <x:f>IF(K100="","N/A / CHƯA NHẬP",IF(AND(ISNUMBER(J100),ISNUMBER(K100),J100=K100),"KHỚP SỐ","CẦN KIỂM TRA THỦ CÔNG"))</x:f>
        <x:v>KHỚP SỐ</x:v>
      </x:c>
      <x:c r="M100" t="str">
        <x:f>IF(OR(C100&lt;&gt;1,D100&lt;&gt;"OK",E100&lt;&gt;"OK",H100&lt;&gt;"KHÔNG"),"BLOCK",IF(G100="PROTECTED","PROTECTED","CHECK_ONLY"))</x:f>
        <x:v>CHECK_ONLY</x:v>
      </x:c>
    </x:row>
    <x:row r="101">
      <x:c r="A101" t="str">
        <x:v>HD05</x:v>
      </x:c>
      <x:c r="B101" t="str">
        <x:f>HD05!B21</x:f>
        <x:v>HD05.D.NG.THANG</x:v>
      </x:c>
      <x:c r="C101" t="n">
        <x:f>COUNTIF(PROFILE_HD05!$B$7:$B$500,B101)</x:f>
        <x:v>1</x:v>
      </x:c>
      <x:c r="D101" t="str">
        <x:f>IF(LEFT(B101,LEN(A101)+1)=A101&amp;".","OK","SAI PREFIX")</x:f>
        <x:v>OK</x:v>
      </x:c>
      <x:c r="E101" t="str">
        <x:f>IF(COUNTIF(HD05!$B$7:$B$500,B101)=1,"OK","MÃ NGUỒN KHÔNG DUY NHẤT")</x:f>
        <x:v>OK</x:v>
      </x:c>
      <x:c r="F101" t="str">
        <x:f>IFERROR(INDEX(PROFILE_HD05!$CC$7:$CC$500,MATCH($B101,PROFILE_HD05!$B$7:$B$500,0)),"UNRESOLVED")</x:f>
        <x:v>KHÔNG TỰ ĐIỀN NGÀY</x:v>
      </x:c>
      <x:c r="G101" t="str">
        <x:f>IFERROR(INDEX(PROFILE_HD05!$CD$7:$CD$500,MATCH($B101,PROFILE_HD05!$B$7:$B$500,0)),"UNRESOLVED")</x:f>
        <x:v>CHECK_ONLY</x:v>
      </x:c>
      <x:c r="H101" t="str">
        <x:f>IFERROR(INDEX(PROFILE_HD05!$CK$7:$CK$500,MATCH($B101,PROFILE_HD05!$B$7:$B$500,0)),"UNRESOLVED")</x:f>
        <x:v>KHÔNG</x:v>
      </x:c>
      <x:c r="I101" t="str">
        <x:f>IFERROR(INDEX(PROFILE_HD05!$CA$7:$CA$500,MATCH($B101,PROFILE_HD05!$B$7:$B$500,0)),"UNRESOLVED")</x:f>
        <x:v>PROTECTED_TEXT</x:v>
      </x:c>
      <x:c r="J101" t="n">
        <x:f>IFERROR(INDEX(PROFILE_HD05!$BZ$7:$BZ$500,MATCH($B101,PROFILE_HD05!$B$7:$B$500,0)),"UNRESOLVED")</x:f>
        <x:v>14</x:v>
      </x:c>
      <x:c r="K101" t="n">
        <x:f>IFERROR(INDEX(PROFILE_HD05!$AJ$7:$AJ$500,MATCH($B101,PROFILE_HD05!$B$7:$B$500,0)),"UNRESOLVED")</x:f>
        <x:v>14</x:v>
      </x:c>
      <x:c r="L101" t="str">
        <x:f>IF(K101="","N/A / CHƯA NHẬP",IF(AND(ISNUMBER(J101),ISNUMBER(K101),J101=K101),"KHỚP SỐ","CẦN KIỂM TRA THỦ CÔNG"))</x:f>
        <x:v>KHỚP SỐ</x:v>
      </x:c>
      <x:c r="M101" t="str">
        <x:f>IF(OR(C101&lt;&gt;1,D101&lt;&gt;"OK",E101&lt;&gt;"OK",H101&lt;&gt;"KHÔNG"),"BLOCK",IF(G101="PROTECTED","PROTECTED","CHECK_ONLY"))</x:f>
        <x:v>CHECK_ONLY</x:v>
      </x:c>
    </x:row>
    <x:row r="102">
      <x:c r="A102" t="str">
        <x:v>HD05</x:v>
      </x:c>
      <x:c r="B102" t="str">
        <x:f>HD05!B22</x:f>
        <x:v>HD05.D.NG.NAM</x:v>
      </x:c>
      <x:c r="C102" t="n">
        <x:f>COUNTIF(PROFILE_HD05!$B$7:$B$500,B102)</x:f>
        <x:v>1</x:v>
      </x:c>
      <x:c r="D102" t="str">
        <x:f>IF(LEFT(B102,LEN(A102)+1)=A102&amp;".","OK","SAI PREFIX")</x:f>
        <x:v>OK</x:v>
      </x:c>
      <x:c r="E102" t="str">
        <x:f>IF(COUNTIF(HD05!$B$7:$B$500,B102)=1,"OK","MÃ NGUỒN KHÔNG DUY NHẤT")</x:f>
        <x:v>OK</x:v>
      </x:c>
      <x:c r="F102" t="str">
        <x:f>IFERROR(INDEX(PROFILE_HD05!$CC$7:$CC$500,MATCH($B102,PROFILE_HD05!$B$7:$B$500,0)),"UNRESOLVED")</x:f>
        <x:v>KHÔNG TỰ ĐIỀN NGÀY</x:v>
      </x:c>
      <x:c r="G102" t="str">
        <x:f>IFERROR(INDEX(PROFILE_HD05!$CD$7:$CD$500,MATCH($B102,PROFILE_HD05!$B$7:$B$500,0)),"UNRESOLVED")</x:f>
        <x:v>CHECK_ONLY</x:v>
      </x:c>
      <x:c r="H102" t="str">
        <x:f>IFERROR(INDEX(PROFILE_HD05!$CK$7:$CK$500,MATCH($B102,PROFILE_HD05!$B$7:$B$500,0)),"UNRESOLVED")</x:f>
        <x:v>KHÔNG</x:v>
      </x:c>
      <x:c r="I102" t="str">
        <x:f>IFERROR(INDEX(PROFILE_HD05!$CA$7:$CA$500,MATCH($B102,PROFILE_HD05!$B$7:$B$500,0)),"UNRESOLVED")</x:f>
        <x:v>PROTECTED_TEXT</x:v>
      </x:c>
      <x:c r="J102" t="n">
        <x:f>IFERROR(INDEX(PROFILE_HD05!$BZ$7:$BZ$500,MATCH($B102,PROFILE_HD05!$B$7:$B$500,0)),"UNRESOLVED")</x:f>
        <x:v>14</x:v>
      </x:c>
      <x:c r="K102" t="n">
        <x:f>IFERROR(INDEX(PROFILE_HD05!$AJ$7:$AJ$500,MATCH($B102,PROFILE_HD05!$B$7:$B$500,0)),"UNRESOLVED")</x:f>
        <x:v>14</x:v>
      </x:c>
      <x:c r="L102" t="str">
        <x:f>IF(K102="","N/A / CHƯA NHẬP",IF(AND(ISNUMBER(J102),ISNUMBER(K102),J102=K102),"KHỚP SỐ","CẦN KIỂM TRA THỦ CÔNG"))</x:f>
        <x:v>KHỚP SỐ</x:v>
      </x:c>
      <x:c r="M102" t="str">
        <x:f>IF(OR(C102&lt;&gt;1,D102&lt;&gt;"OK",E102&lt;&gt;"OK",H102&lt;&gt;"KHÔNG"),"BLOCK",IF(G102="PROTECTED","PROTECTED","CHECK_ONLY"))</x:f>
        <x:v>CHECK_ONLY</x:v>
      </x:c>
    </x:row>
    <x:row r="103">
      <x:c r="A103" t="str">
        <x:v>HD05</x:v>
      </x:c>
      <x:c r="B103" t="str">
        <x:f>HD05!B23</x:f>
        <x:v>HD05.D.TY.TEN_LOAI</x:v>
      </x:c>
      <x:c r="C103" t="n">
        <x:f>COUNTIF(PROFILE_HD05!$B$7:$B$500,B103)</x:f>
        <x:v>1</x:v>
      </x:c>
      <x:c r="D103" t="str">
        <x:f>IF(LEFT(B103,LEN(A103)+1)=A103&amp;".","OK","SAI PREFIX")</x:f>
        <x:v>OK</x:v>
      </x:c>
      <x:c r="E103" t="str">
        <x:f>IF(COUNTIF(HD05!$B$7:$B$500,B103)=1,"OK","MÃ NGUỒN KHÔNG DUY NHẤT")</x:f>
        <x:v>OK</x:v>
      </x:c>
      <x:c r="F103" t="str">
        <x:f>IFERROR(INDEX(PROFILE_HD05!$CC$7:$CC$500,MATCH($B103,PROFILE_HD05!$B$7:$B$500,0)),"UNRESOLVED")</x:f>
        <x:v>READ_ONLY</x:v>
      </x:c>
      <x:c r="G103" t="str">
        <x:f>IFERROR(INDEX(PROFILE_HD05!$CD$7:$CD$500,MATCH($B103,PROFILE_HD05!$B$7:$B$500,0)),"UNRESOLVED")</x:f>
        <x:v>PROTECTED</x:v>
      </x:c>
      <x:c r="H103" t="str">
        <x:f>IFERROR(INDEX(PROFILE_HD05!$CK$7:$CK$500,MATCH($B103,PROFILE_HD05!$B$7:$B$500,0)),"UNRESOLVED")</x:f>
        <x:v>KHÔNG</x:v>
      </x:c>
      <x:c r="I103" t="str">
        <x:f>IFERROR(INDEX(PROFILE_HD05!$CA$7:$CA$500,MATCH($B103,PROFILE_HD05!$B$7:$B$500,0)),"UNRESOLVED")</x:f>
        <x:v>TEXT</x:v>
      </x:c>
      <x:c r="J103" t="str">
        <x:f>IFERROR(INDEX(PROFILE_HD05!$BZ$7:$BZ$500,MATCH($B103,PROFILE_HD05!$B$7:$B$500,0)),"UNRESOLVED")</x:f>
        <x:v>15–16</x:v>
      </x:c>
      <x:c r="K103" t="n">
        <x:f>IFERROR(INDEX(PROFILE_HD05!$AJ$7:$AJ$500,MATCH($B103,PROFILE_HD05!$B$7:$B$500,0)),"UNRESOLVED")</x:f>
        <x:v>15</x:v>
      </x:c>
      <x:c r="L103" t="str">
        <x:f>IF(K103="","N/A / CHƯA NHẬP",IF(AND(ISNUMBER(J103),ISNUMBER(K103),J103=K103),"KHỚP SỐ","CẦN KIỂM TRA THỦ CÔNG"))</x:f>
        <x:v>CẦN KIỂM TRA THỦ CÔNG</x:v>
      </x:c>
      <x:c r="M103" t="str">
        <x:f>IF(OR(C103&lt;&gt;1,D103&lt;&gt;"OK",E103&lt;&gt;"OK",H103&lt;&gt;"KHÔNG"),"BLOCK",IF(G103="PROTECTED","PROTECTED","CHECK_ONLY"))</x:f>
        <x:v>PROTECTED</x:v>
      </x:c>
    </x:row>
    <x:row r="104">
      <x:c r="A104" t="str">
        <x:v>HD05</x:v>
      </x:c>
      <x:c r="B104" t="str">
        <x:f>HD05!B24</x:f>
        <x:v>HD05.D.TY.TRICH_YEU</x:v>
      </x:c>
      <x:c r="C104" t="n">
        <x:f>COUNTIF(PROFILE_HD05!$B$7:$B$500,B104)</x:f>
        <x:v>1</x:v>
      </x:c>
      <x:c r="D104" t="str">
        <x:f>IF(LEFT(B104,LEN(A104)+1)=A104&amp;".","OK","SAI PREFIX")</x:f>
        <x:v>OK</x:v>
      </x:c>
      <x:c r="E104" t="str">
        <x:f>IF(COUNTIF(HD05!$B$7:$B$500,B104)=1,"OK","MÃ NGUỒN KHÔNG DUY NHẤT")</x:f>
        <x:v>OK</x:v>
      </x:c>
      <x:c r="F104" t="str">
        <x:f>IFERROR(INDEX(PROFILE_HD05!$CC$7:$CC$500,MATCH($B104,PROFILE_HD05!$B$7:$B$500,0)),"UNRESOLVED")</x:f>
        <x:v>READ_ONLY</x:v>
      </x:c>
      <x:c r="G104" t="str">
        <x:f>IFERROR(INDEX(PROFILE_HD05!$CD$7:$CD$500,MATCH($B104,PROFILE_HD05!$B$7:$B$500,0)),"UNRESOLVED")</x:f>
        <x:v>PROTECTED</x:v>
      </x:c>
      <x:c r="H104" t="str">
        <x:f>IFERROR(INDEX(PROFILE_HD05!$CK$7:$CK$500,MATCH($B104,PROFILE_HD05!$B$7:$B$500,0)),"UNRESOLVED")</x:f>
        <x:v>KHÔNG</x:v>
      </x:c>
      <x:c r="I104" t="str">
        <x:f>IFERROR(INDEX(PROFILE_HD05!$CA$7:$CA$500,MATCH($B104,PROFILE_HD05!$B$7:$B$500,0)),"UNRESOLVED")</x:f>
        <x:v>TEXT</x:v>
      </x:c>
      <x:c r="J104" t="str">
        <x:f>IFERROR(INDEX(PROFILE_HD05!$BZ$7:$BZ$500,MATCH($B104,PROFILE_HD05!$B$7:$B$500,0)),"UNRESOLVED")</x:f>
        <x:v>14–15</x:v>
      </x:c>
      <x:c r="K104" t="n">
        <x:f>IFERROR(INDEX(PROFILE_HD05!$AJ$7:$AJ$500,MATCH($B104,PROFILE_HD05!$B$7:$B$500,0)),"UNRESOLVED")</x:f>
        <x:v>14</x:v>
      </x:c>
      <x:c r="L104" t="str">
        <x:f>IF(K104="","N/A / CHƯA NHẬP",IF(AND(ISNUMBER(J104),ISNUMBER(K104),J104=K104),"KHỚP SỐ","CẦN KIỂM TRA THỦ CÔNG"))</x:f>
        <x:v>CẦN KIỂM TRA THỦ CÔNG</x:v>
      </x:c>
      <x:c r="M104" t="str">
        <x:f>IF(OR(C104&lt;&gt;1,D104&lt;&gt;"OK",E104&lt;&gt;"OK",H104&lt;&gt;"KHÔNG"),"BLOCK",IF(G104="PROTECTED","PROTECTED","CHECK_ONLY"))</x:f>
        <x:v>PROTECTED</x:v>
      </x:c>
    </x:row>
    <x:row r="105">
      <x:c r="A105" t="str">
        <x:v>HD05</x:v>
      </x:c>
      <x:c r="B105" t="str">
        <x:f>HD05!B25</x:f>
        <x:v>HD05.D.TY.NAM_DAU_GACH</x:v>
      </x:c>
      <x:c r="C105" t="n">
        <x:f>COUNTIF(PROFILE_HD05!$B$7:$B$500,B105)</x:f>
        <x:v>1</x:v>
      </x:c>
      <x:c r="D105" t="str">
        <x:f>IF(LEFT(B105,LEN(A105)+1)=A105&amp;".","OK","SAI PREFIX")</x:f>
        <x:v>OK</x:v>
      </x:c>
      <x:c r="E105" t="str">
        <x:f>IF(COUNTIF(HD05!$B$7:$B$500,B105)=1,"OK","MÃ NGUỒN KHÔNG DUY NHẤT")</x:f>
        <x:v>OK</x:v>
      </x:c>
      <x:c r="F105" t="str">
        <x:f>IFERROR(INDEX(PROFILE_HD05!$CC$7:$CC$500,MATCH($B105,PROFILE_HD05!$B$7:$B$500,0)),"UNRESOLVED")</x:f>
        <x:v>REVIEW TRƯỚC KHI SỬA</x:v>
      </x:c>
      <x:c r="G105" t="str">
        <x:f>IFERROR(INDEX(PROFILE_HD05!$CD$7:$CD$500,MATCH($B105,PROFILE_HD05!$B$7:$B$500,0)),"UNRESOLVED")</x:f>
        <x:v>CHECK_ONLY</x:v>
      </x:c>
      <x:c r="H105" t="str">
        <x:f>IFERROR(INDEX(PROFILE_HD05!$CK$7:$CK$500,MATCH($B105,PROFILE_HD05!$B$7:$B$500,0)),"UNRESOLVED")</x:f>
        <x:v>KHÔNG</x:v>
      </x:c>
      <x:c r="I105" t="str">
        <x:f>IFERROR(INDEX(PROFILE_HD05!$CA$7:$CA$500,MATCH($B105,PROFILE_HD05!$B$7:$B$500,0)),"UNRESOLVED")</x:f>
        <x:v>SEPARATOR</x:v>
      </x:c>
      <x:c r="J105" t="str">
        <x:f>IFERROR(INDEX(PROFILE_HD05!$BZ$7:$BZ$500,MATCH($B105,PROFILE_HD05!$B$7:$B$500,0)),"UNRESOLVED")</x:f>
        <x:v>Theo mẫu</x:v>
      </x:c>
      <x:c r="K105" t="str">
        <x:f>IFERROR(INDEX(PROFILE_HD05!$AJ$7:$AJ$500,MATCH($B105,PROFILE_HD05!$B$7:$B$500,0)),"UNRESOLVED")</x:f>
      </x:c>
      <x:c r="L105" t="str">
        <x:f>IF(K105="","N/A / CHƯA NHẬP",IF(AND(ISNUMBER(J105),ISNUMBER(K105),J105=K105),"KHỚP SỐ","CẦN KIỂM TRA THỦ CÔNG"))</x:f>
        <x:v>N/A / CHƯA NHẬP</x:v>
      </x:c>
      <x:c r="M105" t="str">
        <x:f>IF(OR(C105&lt;&gt;1,D105&lt;&gt;"OK",E105&lt;&gt;"OK",H105&lt;&gt;"KHÔNG"),"BLOCK",IF(G105="PROTECTED","PROTECTED","CHECK_ONLY"))</x:f>
        <x:v>CHECK_ONLY</x:v>
      </x:c>
    </x:row>
    <x:row r="106">
      <x:c r="A106" t="str">
        <x:v>HD05</x:v>
      </x:c>
      <x:c r="B106" t="str">
        <x:f>HD05!B26</x:f>
        <x:v>HD05.D.TY.TRICH_YEU_CV</x:v>
      </x:c>
      <x:c r="C106" t="n">
        <x:f>COUNTIF(PROFILE_HD05!$B$7:$B$500,B106)</x:f>
        <x:v>1</x:v>
      </x:c>
      <x:c r="D106" t="str">
        <x:f>IF(LEFT(B106,LEN(A106)+1)=A106&amp;".","OK","SAI PREFIX")</x:f>
        <x:v>OK</x:v>
      </x:c>
      <x:c r="E106" t="str">
        <x:f>IF(COUNTIF(HD05!$B$7:$B$500,B106)=1,"OK","MÃ NGUỒN KHÔNG DUY NHẤT")</x:f>
        <x:v>OK</x:v>
      </x:c>
      <x:c r="F106" t="str">
        <x:f>IFERROR(INDEX(PROFILE_HD05!$CC$7:$CC$500,MATCH($B106,PROFILE_HD05!$B$7:$B$500,0)),"UNRESOLVED")</x:f>
        <x:v>READ_ONLY</x:v>
      </x:c>
      <x:c r="G106" t="str">
        <x:f>IFERROR(INDEX(PROFILE_HD05!$CD$7:$CD$500,MATCH($B106,PROFILE_HD05!$B$7:$B$500,0)),"UNRESOLVED")</x:f>
        <x:v>PROTECTED</x:v>
      </x:c>
      <x:c r="H106" t="str">
        <x:f>IFERROR(INDEX(PROFILE_HD05!$CK$7:$CK$500,MATCH($B106,PROFILE_HD05!$B$7:$B$500,0)),"UNRESOLVED")</x:f>
        <x:v>KHÔNG</x:v>
      </x:c>
      <x:c r="I106" t="str">
        <x:f>IFERROR(INDEX(PROFILE_HD05!$CA$7:$CA$500,MATCH($B106,PROFILE_HD05!$B$7:$B$500,0)),"UNRESOLVED")</x:f>
        <x:v>TEXT</x:v>
      </x:c>
      <x:c r="J106" t="n">
        <x:f>IFERROR(INDEX(PROFILE_HD05!$BZ$7:$BZ$500,MATCH($B106,PROFILE_HD05!$B$7:$B$500,0)),"UNRESOLVED")</x:f>
        <x:v>12</x:v>
      </x:c>
      <x:c r="K106" t="n">
        <x:f>IFERROR(INDEX(PROFILE_HD05!$AJ$7:$AJ$500,MATCH($B106,PROFILE_HD05!$B$7:$B$500,0)),"UNRESOLVED")</x:f>
        <x:v>12</x:v>
      </x:c>
      <x:c r="L106" t="str">
        <x:f>IF(K106="","N/A / CHƯA NHẬP",IF(AND(ISNUMBER(J106),ISNUMBER(K106),J106=K106),"KHỚP SỐ","CẦN KIỂM TRA THỦ CÔNG"))</x:f>
        <x:v>KHỚP SỐ</x:v>
      </x:c>
      <x:c r="M106" t="str">
        <x:f>IF(OR(C106&lt;&gt;1,D106&lt;&gt;"OK",E106&lt;&gt;"OK",H106&lt;&gt;"KHÔNG"),"BLOCK",IF(G106="PROTECTED","PROTECTED","CHECK_ONLY"))</x:f>
        <x:v>PROTECTED</x:v>
      </x:c>
    </x:row>
    <x:row r="107">
      <x:c r="A107" t="str">
        <x:v>HD05</x:v>
      </x:c>
      <x:c r="B107" t="str">
        <x:f>HD05!B27</x:f>
        <x:v>HD05.D.TY.CHU_DE_DAI_HOI</x:v>
      </x:c>
      <x:c r="C107" t="n">
        <x:f>COUNTIF(PROFILE_HD05!$B$7:$B$500,B107)</x:f>
        <x:v>1</x:v>
      </x:c>
      <x:c r="D107" t="str">
        <x:f>IF(LEFT(B107,LEN(A107)+1)=A107&amp;".","OK","SAI PREFIX")</x:f>
        <x:v>OK</x:v>
      </x:c>
      <x:c r="E107" t="str">
        <x:f>IF(COUNTIF(HD05!$B$7:$B$500,B107)=1,"OK","MÃ NGUỒN KHÔNG DUY NHẤT")</x:f>
        <x:v>OK</x:v>
      </x:c>
      <x:c r="F107" t="str">
        <x:f>IFERROR(INDEX(PROFILE_HD05!$CC$7:$CC$500,MATCH($B107,PROFILE_HD05!$B$7:$B$500,0)),"UNRESOLVED")</x:f>
        <x:v>KHÔNG TỰ SUY DIỄN</x:v>
      </x:c>
      <x:c r="G107" t="str">
        <x:f>IFERROR(INDEX(PROFILE_HD05!$CD$7:$CD$500,MATCH($B107,PROFILE_HD05!$B$7:$B$500,0)),"UNRESOLVED")</x:f>
        <x:v>CHECK_ONLY</x:v>
      </x:c>
      <x:c r="H107" t="str">
        <x:f>IFERROR(INDEX(PROFILE_HD05!$CK$7:$CK$500,MATCH($B107,PROFILE_HD05!$B$7:$B$500,0)),"UNRESOLVED")</x:f>
        <x:v>KHÔNG</x:v>
      </x:c>
      <x:c r="I107" t="str">
        <x:f>IFERROR(INDEX(PROFILE_HD05!$CA$7:$CA$500,MATCH($B107,PROFILE_HD05!$B$7:$B$500,0)),"UNRESOLVED")</x:f>
        <x:v>TEXT</x:v>
      </x:c>
      <x:c r="J107" t="str">
        <x:f>IFERROR(INDEX(PROFILE_HD05!$BZ$7:$BZ$500,MATCH($B107,PROFILE_HD05!$B$7:$B$500,0)),"UNRESOLVED")</x:f>
        <x:v>Theo mẫu riêng</x:v>
      </x:c>
      <x:c r="K107" t="str">
        <x:f>IFERROR(INDEX(PROFILE_HD05!$AJ$7:$AJ$500,MATCH($B107,PROFILE_HD05!$B$7:$B$500,0)),"UNRESOLVED")</x:f>
      </x:c>
      <x:c r="L107" t="str">
        <x:f>IF(K107="","N/A / CHƯA NHẬP",IF(AND(ISNUMBER(J107),ISNUMBER(K107),J107=K107),"KHỚP SỐ","CẦN KIỂM TRA THỦ CÔNG"))</x:f>
        <x:v>N/A / CHƯA NHẬP</x:v>
      </x:c>
      <x:c r="M107" t="str">
        <x:f>IF(OR(C107&lt;&gt;1,D107&lt;&gt;"OK",E107&lt;&gt;"OK",H107&lt;&gt;"KHÔNG"),"BLOCK",IF(G107="PROTECTED","PROTECTED","CHECK_ONLY"))</x:f>
        <x:v>CHECK_ONLY</x:v>
      </x:c>
    </x:row>
    <x:row r="108">
      <x:c r="A108" t="str">
        <x:v>HD05</x:v>
      </x:c>
      <x:c r="B108" t="str">
        <x:f>HD05!B28</x:f>
        <x:v>HD05.D.NHAN.KINH_GUI</x:v>
      </x:c>
      <x:c r="C108" t="n">
        <x:f>COUNTIF(PROFILE_HD05!$B$7:$B$500,B108)</x:f>
        <x:v>1</x:v>
      </x:c>
      <x:c r="D108" t="str">
        <x:f>IF(LEFT(B108,LEN(A108)+1)=A108&amp;".","OK","SAI PREFIX")</x:f>
        <x:v>OK</x:v>
      </x:c>
      <x:c r="E108" t="str">
        <x:f>IF(COUNTIF(HD05!$B$7:$B$500,B108)=1,"OK","MÃ NGUỒN KHÔNG DUY NHẤT")</x:f>
        <x:v>OK</x:v>
      </x:c>
      <x:c r="F108" t="str">
        <x:f>IFERROR(INDEX(PROFILE_HD05!$CC$7:$CC$500,MATCH($B108,PROFILE_HD05!$B$7:$B$500,0)),"UNRESOLVED")</x:f>
        <x:v>READ_ONLY</x:v>
      </x:c>
      <x:c r="G108" t="str">
        <x:f>IFERROR(INDEX(PROFILE_HD05!$CD$7:$CD$500,MATCH($B108,PROFILE_HD05!$B$7:$B$500,0)),"UNRESOLVED")</x:f>
        <x:v>PROTECTED</x:v>
      </x:c>
      <x:c r="H108" t="str">
        <x:f>IFERROR(INDEX(PROFILE_HD05!$CK$7:$CK$500,MATCH($B108,PROFILE_HD05!$B$7:$B$500,0)),"UNRESOLVED")</x:f>
        <x:v>KHÔNG</x:v>
      </x:c>
      <x:c r="I108" t="str">
        <x:f>IFERROR(INDEX(PROFILE_HD05!$CA$7:$CA$500,MATCH($B108,PROFILE_HD05!$B$7:$B$500,0)),"UNRESOLVED")</x:f>
        <x:v>TEXT</x:v>
      </x:c>
      <x:c r="J108" t="n">
        <x:f>IFERROR(INDEX(PROFILE_HD05!$BZ$7:$BZ$500,MATCH($B108,PROFILE_HD05!$B$7:$B$500,0)),"UNRESOLVED")</x:f>
        <x:v>14</x:v>
      </x:c>
      <x:c r="K108" t="n">
        <x:f>IFERROR(INDEX(PROFILE_HD05!$AJ$7:$AJ$500,MATCH($B108,PROFILE_HD05!$B$7:$B$500,0)),"UNRESOLVED")</x:f>
        <x:v>14</x:v>
      </x:c>
      <x:c r="L108" t="str">
        <x:f>IF(K108="","N/A / CHƯA NHẬP",IF(AND(ISNUMBER(J108),ISNUMBER(K108),J108=K108),"KHỚP SỐ","CẦN KIỂM TRA THỦ CÔNG"))</x:f>
        <x:v>KHỚP SỐ</x:v>
      </x:c>
      <x:c r="M108" t="str">
        <x:f>IF(OR(C108&lt;&gt;1,D108&lt;&gt;"OK",E108&lt;&gt;"OK",H108&lt;&gt;"KHÔNG"),"BLOCK",IF(G108="PROTECTED","PROTECTED","CHECK_ONLY"))</x:f>
        <x:v>PROTECTED</x:v>
      </x:c>
    </x:row>
    <x:row r="109">
      <x:c r="A109" t="str">
        <x:v>HD05</x:v>
      </x:c>
      <x:c r="B109" t="str">
        <x:f>HD05!B29</x:f>
        <x:v>HD05.D.NHAN.DS_KINH_GUI</x:v>
      </x:c>
      <x:c r="C109" t="n">
        <x:f>COUNTIF(PROFILE_HD05!$B$7:$B$500,B109)</x:f>
        <x:v>1</x:v>
      </x:c>
      <x:c r="D109" t="str">
        <x:f>IF(LEFT(B109,LEN(A109)+1)=A109&amp;".","OK","SAI PREFIX")</x:f>
        <x:v>OK</x:v>
      </x:c>
      <x:c r="E109" t="str">
        <x:f>IF(COUNTIF(HD05!$B$7:$B$500,B109)=1,"OK","MÃ NGUỒN KHÔNG DUY NHẤT")</x:f>
        <x:v>OK</x:v>
      </x:c>
      <x:c r="F109" t="str">
        <x:f>IFERROR(INDEX(PROFILE_HD05!$CC$7:$CC$500,MATCH($B109,PROFILE_HD05!$B$7:$B$500,0)),"UNRESOLVED")</x:f>
        <x:v>KHÔNG TỰ ĐIỀN NGƯỜI NHẬN</x:v>
      </x:c>
      <x:c r="G109" t="str">
        <x:f>IFERROR(INDEX(PROFILE_HD05!$CD$7:$CD$500,MATCH($B109,PROFILE_HD05!$B$7:$B$500,0)),"UNRESOLVED")</x:f>
        <x:v>CHECK_ONLY</x:v>
      </x:c>
      <x:c r="H109" t="str">
        <x:f>IFERROR(INDEX(PROFILE_HD05!$CK$7:$CK$500,MATCH($B109,PROFILE_HD05!$B$7:$B$500,0)),"UNRESOLVED")</x:f>
        <x:v>KHÔNG</x:v>
      </x:c>
      <x:c r="I109" t="str">
        <x:f>IFERROR(INDEX(PROFILE_HD05!$CA$7:$CA$500,MATCH($B109,PROFILE_HD05!$B$7:$B$500,0)),"UNRESOLVED")</x:f>
        <x:v>PROTECTED_TEXT</x:v>
      </x:c>
      <x:c r="J109" t="str">
        <x:f>IFERROR(INDEX(PROFILE_HD05!$BZ$7:$BZ$500,MATCH($B109,PROFILE_HD05!$B$7:$B$500,0)),"UNRESOLVED")</x:f>
        <x:v>14–15</x:v>
      </x:c>
      <x:c r="K109" t="n">
        <x:f>IFERROR(INDEX(PROFILE_HD05!$AJ$7:$AJ$500,MATCH($B109,PROFILE_HD05!$B$7:$B$500,0)),"UNRESOLVED")</x:f>
        <x:v>14</x:v>
      </x:c>
      <x:c r="L109" t="str">
        <x:f>IF(K109="","N/A / CHƯA NHẬP",IF(AND(ISNUMBER(J109),ISNUMBER(K109),J109=K109),"KHỚP SỐ","CẦN KIỂM TRA THỦ CÔNG"))</x:f>
        <x:v>CẦN KIỂM TRA THỦ CÔNG</x:v>
      </x:c>
      <x:c r="M109" t="str">
        <x:f>IF(OR(C109&lt;&gt;1,D109&lt;&gt;"OK",E109&lt;&gt;"OK",H109&lt;&gt;"KHÔNG"),"BLOCK",IF(G109="PROTECTED","PROTECTED","CHECK_ONLY"))</x:f>
        <x:v>CHECK_ONLY</x:v>
      </x:c>
    </x:row>
    <x:row r="110">
      <x:c r="A110" t="str">
        <x:v>HD05</x:v>
      </x:c>
      <x:c r="B110" t="str">
        <x:f>HD05!B30</x:f>
        <x:v>HD05.D.NHAN.KINH_TRINH</x:v>
      </x:c>
      <x:c r="C110" t="n">
        <x:f>COUNTIF(PROFILE_HD05!$B$7:$B$500,B110)</x:f>
        <x:v>1</x:v>
      </x:c>
      <x:c r="D110" t="str">
        <x:f>IF(LEFT(B110,LEN(A110)+1)=A110&amp;".","OK","SAI PREFIX")</x:f>
        <x:v>OK</x:v>
      </x:c>
      <x:c r="E110" t="str">
        <x:f>IF(COUNTIF(HD05!$B$7:$B$500,B110)=1,"OK","MÃ NGUỒN KHÔNG DUY NHẤT")</x:f>
        <x:v>OK</x:v>
      </x:c>
      <x:c r="F110" t="str">
        <x:f>IFERROR(INDEX(PROFILE_HD05!$CC$7:$CC$500,MATCH($B110,PROFILE_HD05!$B$7:$B$500,0)),"UNRESOLVED")</x:f>
        <x:v>READ_ONLY</x:v>
      </x:c>
      <x:c r="G110" t="str">
        <x:f>IFERROR(INDEX(PROFILE_HD05!$CD$7:$CD$500,MATCH($B110,PROFILE_HD05!$B$7:$B$500,0)),"UNRESOLVED")</x:f>
        <x:v>PROTECTED</x:v>
      </x:c>
      <x:c r="H110" t="str">
        <x:f>IFERROR(INDEX(PROFILE_HD05!$CK$7:$CK$500,MATCH($B110,PROFILE_HD05!$B$7:$B$500,0)),"UNRESOLVED")</x:f>
        <x:v>KHÔNG</x:v>
      </x:c>
      <x:c r="I110" t="str">
        <x:f>IFERROR(INDEX(PROFILE_HD05!$CA$7:$CA$500,MATCH($B110,PROFILE_HD05!$B$7:$B$500,0)),"UNRESOLVED")</x:f>
        <x:v>TEXT</x:v>
      </x:c>
      <x:c r="J110" t="n">
        <x:f>IFERROR(INDEX(PROFILE_HD05!$BZ$7:$BZ$500,MATCH($B110,PROFILE_HD05!$B$7:$B$500,0)),"UNRESOLVED")</x:f>
        <x:v>14</x:v>
      </x:c>
      <x:c r="K110" t="n">
        <x:f>IFERROR(INDEX(PROFILE_HD05!$AJ$7:$AJ$500,MATCH($B110,PROFILE_HD05!$B$7:$B$500,0)),"UNRESOLVED")</x:f>
        <x:v>14</x:v>
      </x:c>
      <x:c r="L110" t="str">
        <x:f>IF(K110="","N/A / CHƯA NHẬP",IF(AND(ISNUMBER(J110),ISNUMBER(K110),J110=K110),"KHỚP SỐ","CẦN KIỂM TRA THỦ CÔNG"))</x:f>
        <x:v>KHỚP SỐ</x:v>
      </x:c>
      <x:c r="M110" t="str">
        <x:f>IF(OR(C110&lt;&gt;1,D110&lt;&gt;"OK",E110&lt;&gt;"OK",H110&lt;&gt;"KHÔNG"),"BLOCK",IF(G110="PROTECTED","PROTECTED","CHECK_ONLY"))</x:f>
        <x:v>PROTECTED</x:v>
      </x:c>
    </x:row>
    <x:row r="111">
      <x:c r="A111" t="str">
        <x:v>HD05</x:v>
      </x:c>
      <x:c r="B111" t="str">
        <x:f>HD05!B31</x:f>
        <x:v>HD05.D.NHAN.DS_KINH_TRINH</x:v>
      </x:c>
      <x:c r="C111" t="n">
        <x:f>COUNTIF(PROFILE_HD05!$B$7:$B$500,B111)</x:f>
        <x:v>1</x:v>
      </x:c>
      <x:c r="D111" t="str">
        <x:f>IF(LEFT(B111,LEN(A111)+1)=A111&amp;".","OK","SAI PREFIX")</x:f>
        <x:v>OK</x:v>
      </x:c>
      <x:c r="E111" t="str">
        <x:f>IF(COUNTIF(HD05!$B$7:$B$500,B111)=1,"OK","MÃ NGUỒN KHÔNG DUY NHẤT")</x:f>
        <x:v>OK</x:v>
      </x:c>
      <x:c r="F111" t="str">
        <x:f>IFERROR(INDEX(PROFILE_HD05!$CC$7:$CC$500,MATCH($B111,PROFILE_HD05!$B$7:$B$500,0)),"UNRESOLVED")</x:f>
        <x:v>KHÔNG TỰ ĐIỀN NGƯỜI NHẬN</x:v>
      </x:c>
      <x:c r="G111" t="str">
        <x:f>IFERROR(INDEX(PROFILE_HD05!$CD$7:$CD$500,MATCH($B111,PROFILE_HD05!$B$7:$B$500,0)),"UNRESOLVED")</x:f>
        <x:v>CHECK_ONLY</x:v>
      </x:c>
      <x:c r="H111" t="str">
        <x:f>IFERROR(INDEX(PROFILE_HD05!$CK$7:$CK$500,MATCH($B111,PROFILE_HD05!$B$7:$B$500,0)),"UNRESOLVED")</x:f>
        <x:v>KHÔNG</x:v>
      </x:c>
      <x:c r="I111" t="str">
        <x:f>IFERROR(INDEX(PROFILE_HD05!$CA$7:$CA$500,MATCH($B111,PROFILE_HD05!$B$7:$B$500,0)),"UNRESOLVED")</x:f>
        <x:v>PROTECTED_TEXT</x:v>
      </x:c>
      <x:c r="J111" t="str">
        <x:f>IFERROR(INDEX(PROFILE_HD05!$BZ$7:$BZ$500,MATCH($B111,PROFILE_HD05!$B$7:$B$500,0)),"UNRESOLVED")</x:f>
        <x:v>14–15</x:v>
      </x:c>
      <x:c r="K111" t="n">
        <x:f>IFERROR(INDEX(PROFILE_HD05!$AJ$7:$AJ$500,MATCH($B111,PROFILE_HD05!$B$7:$B$500,0)),"UNRESOLVED")</x:f>
        <x:v>14</x:v>
      </x:c>
      <x:c r="L111" t="str">
        <x:f>IF(K111="","N/A / CHƯA NHẬP",IF(AND(ISNUMBER(J111),ISNUMBER(K111),J111=K111),"KHỚP SỐ","CẦN KIỂM TRA THỦ CÔNG"))</x:f>
        <x:v>CẦN KIỂM TRA THỦ CÔNG</x:v>
      </x:c>
      <x:c r="M111" t="str">
        <x:f>IF(OR(C111&lt;&gt;1,D111&lt;&gt;"OK",E111&lt;&gt;"OK",H111&lt;&gt;"KHÔNG"),"BLOCK",IF(G111="PROTECTED","PROTECTED","CHECK_ONLY"))</x:f>
        <x:v>CHECK_ONLY</x:v>
      </x:c>
    </x:row>
    <x:row r="112">
      <x:c r="A112" t="str">
        <x:v>HD05</x:v>
      </x:c>
      <x:c r="B112" t="str">
        <x:f>HD05!B32</x:f>
        <x:v>HD05.N.MD.MO_DAU</x:v>
      </x:c>
      <x:c r="C112" t="n">
        <x:f>COUNTIF(PROFILE_HD05!$B$7:$B$500,B112)</x:f>
        <x:v>1</x:v>
      </x:c>
      <x:c r="D112" t="str">
        <x:f>IF(LEFT(B112,LEN(A112)+1)=A112&amp;".","OK","SAI PREFIX")</x:f>
        <x:v>OK</x:v>
      </x:c>
      <x:c r="E112" t="str">
        <x:f>IF(COUNTIF(HD05!$B$7:$B$500,B112)=1,"OK","MÃ NGUỒN KHÔNG DUY NHẤT")</x:f>
        <x:v>OK</x:v>
      </x:c>
      <x:c r="F112" t="str">
        <x:f>IFERROR(INDEX(PROFILE_HD05!$CC$7:$CC$500,MATCH($B112,PROFILE_HD05!$B$7:$B$500,0)),"UNRESOLVED")</x:f>
        <x:v>CHỈ SAU REVIEW</x:v>
      </x:c>
      <x:c r="G112" t="str">
        <x:f>IFERROR(INDEX(PROFILE_HD05!$CD$7:$CD$500,MATCH($B112,PROFILE_HD05!$B$7:$B$500,0)),"UNRESOLVED")</x:f>
        <x:v>CHECK_ONLY</x:v>
      </x:c>
      <x:c r="H112" t="str">
        <x:f>IFERROR(INDEX(PROFILE_HD05!$CK$7:$CK$500,MATCH($B112,PROFILE_HD05!$B$7:$B$500,0)),"UNRESOLVED")</x:f>
        <x:v>KHÔNG</x:v>
      </x:c>
      <x:c r="I112" t="str">
        <x:f>IFERROR(INDEX(PROFILE_HD05!$CA$7:$CA$500,MATCH($B112,PROFILE_HD05!$B$7:$B$500,0)),"UNRESOLVED")</x:f>
        <x:v>TEXT</x:v>
      </x:c>
      <x:c r="J112" t="str">
        <x:f>IFERROR(INDEX(PROFILE_HD05!$BZ$7:$BZ$500,MATCH($B112,PROFILE_HD05!$B$7:$B$500,0)),"UNRESOLVED")</x:f>
        <x:v>14–15</x:v>
      </x:c>
      <x:c r="K112" t="n">
        <x:f>IFERROR(INDEX(PROFILE_HD05!$AJ$7:$AJ$500,MATCH($B112,PROFILE_HD05!$B$7:$B$500,0)),"UNRESOLVED")</x:f>
        <x:v>14</x:v>
      </x:c>
      <x:c r="L112" t="str">
        <x:f>IF(K112="","N/A / CHƯA NHẬP",IF(AND(ISNUMBER(J112),ISNUMBER(K112),J112=K112),"KHỚP SỐ","CẦN KIỂM TRA THỦ CÔNG"))</x:f>
        <x:v>CẦN KIỂM TRA THỦ CÔNG</x:v>
      </x:c>
      <x:c r="M112" t="str">
        <x:f>IF(OR(C112&lt;&gt;1,D112&lt;&gt;"OK",E112&lt;&gt;"OK",H112&lt;&gt;"KHÔNG"),"BLOCK",IF(G112="PROTECTED","PROTECTED","CHECK_ONLY"))</x:f>
        <x:v>CHECK_ONLY</x:v>
      </x:c>
    </x:row>
    <x:row r="113">
      <x:c r="A113" t="str">
        <x:v>HD05</x:v>
      </x:c>
      <x:c r="B113" t="str">
        <x:f>HD05!B33</x:f>
        <x:v>HD05.N.MD.CAN_CU</x:v>
      </x:c>
      <x:c r="C113" t="n">
        <x:f>COUNTIF(PROFILE_HD05!$B$7:$B$500,B113)</x:f>
        <x:v>1</x:v>
      </x:c>
      <x:c r="D113" t="str">
        <x:f>IF(LEFT(B113,LEN(A113)+1)=A113&amp;".","OK","SAI PREFIX")</x:f>
        <x:v>OK</x:v>
      </x:c>
      <x:c r="E113" t="str">
        <x:f>IF(COUNTIF(HD05!$B$7:$B$500,B113)=1,"OK","MÃ NGUỒN KHÔNG DUY NHẤT")</x:f>
        <x:v>OK</x:v>
      </x:c>
      <x:c r="F113" t="str">
        <x:f>IFERROR(INDEX(PROFILE_HD05!$CC$7:$CC$500,MATCH($B113,PROFILE_HD05!$B$7:$B$500,0)),"UNRESOLVED")</x:f>
        <x:v>CHỈ SAU REVIEW</x:v>
      </x:c>
      <x:c r="G113" t="str">
        <x:f>IFERROR(INDEX(PROFILE_HD05!$CD$7:$CD$500,MATCH($B113,PROFILE_HD05!$B$7:$B$500,0)),"UNRESOLVED")</x:f>
        <x:v>CHECK_ONLY</x:v>
      </x:c>
      <x:c r="H113" t="str">
        <x:f>IFERROR(INDEX(PROFILE_HD05!$CK$7:$CK$500,MATCH($B113,PROFILE_HD05!$B$7:$B$500,0)),"UNRESOLVED")</x:f>
        <x:v>KHÔNG</x:v>
      </x:c>
      <x:c r="I113" t="str">
        <x:f>IFERROR(INDEX(PROFILE_HD05!$CA$7:$CA$500,MATCH($B113,PROFILE_HD05!$B$7:$B$500,0)),"UNRESOLVED")</x:f>
        <x:v>TEXT</x:v>
      </x:c>
      <x:c r="J113" t="str">
        <x:f>IFERROR(INDEX(PROFILE_HD05!$BZ$7:$BZ$500,MATCH($B113,PROFILE_HD05!$B$7:$B$500,0)),"UNRESOLVED")</x:f>
        <x:v>14–15</x:v>
      </x:c>
      <x:c r="K113" t="n">
        <x:f>IFERROR(INDEX(PROFILE_HD05!$AJ$7:$AJ$500,MATCH($B113,PROFILE_HD05!$B$7:$B$500,0)),"UNRESOLVED")</x:f>
        <x:v>14</x:v>
      </x:c>
      <x:c r="L113" t="str">
        <x:f>IF(K113="","N/A / CHƯA NHẬP",IF(AND(ISNUMBER(J113),ISNUMBER(K113),J113=K113),"KHỚP SỐ","CẦN KIỂM TRA THỦ CÔNG"))</x:f>
        <x:v>CẦN KIỂM TRA THỦ CÔNG</x:v>
      </x:c>
      <x:c r="M113" t="str">
        <x:f>IF(OR(C113&lt;&gt;1,D113&lt;&gt;"OK",E113&lt;&gt;"OK",H113&lt;&gt;"KHÔNG"),"BLOCK",IF(G113="PROTECTED","PROTECTED","CHECK_ONLY"))</x:f>
        <x:v>CHECK_ONLY</x:v>
      </x:c>
    </x:row>
    <x:row r="114">
      <x:c r="A114" t="str">
        <x:v>HD05</x:v>
      </x:c>
      <x:c r="B114" t="str">
        <x:f>HD05!B34</x:f>
        <x:v>HD05.N.DM.PHAN</x:v>
      </x:c>
      <x:c r="C114" t="n">
        <x:f>COUNTIF(PROFILE_HD05!$B$7:$B$500,B114)</x:f>
        <x:v>1</x:v>
      </x:c>
      <x:c r="D114" t="str">
        <x:f>IF(LEFT(B114,LEN(A114)+1)=A114&amp;".","OK","SAI PREFIX")</x:f>
        <x:v>OK</x:v>
      </x:c>
      <x:c r="E114" t="str">
        <x:f>IF(COUNTIF(HD05!$B$7:$B$500,B114)=1,"OK","MÃ NGUỒN KHÔNG DUY NHẤT")</x:f>
        <x:v>OK</x:v>
      </x:c>
      <x:c r="F114" t="str">
        <x:f>IFERROR(INDEX(PROFILE_HD05!$CC$7:$CC$500,MATCH($B114,PROFILE_HD05!$B$7:$B$500,0)),"UNRESOLVED")</x:f>
        <x:v>CHỈ SAU REVIEW</x:v>
      </x:c>
      <x:c r="G114" t="str">
        <x:f>IFERROR(INDEX(PROFILE_HD05!$CD$7:$CD$500,MATCH($B114,PROFILE_HD05!$B$7:$B$500,0)),"UNRESOLVED")</x:f>
        <x:v>CHECK_ONLY</x:v>
      </x:c>
      <x:c r="H114" t="str">
        <x:f>IFERROR(INDEX(PROFILE_HD05!$CK$7:$CK$500,MATCH($B114,PROFILE_HD05!$B$7:$B$500,0)),"UNRESOLVED")</x:f>
        <x:v>KHÔNG</x:v>
      </x:c>
      <x:c r="I114" t="str">
        <x:f>IFERROR(INDEX(PROFILE_HD05!$CA$7:$CA$500,MATCH($B114,PROFILE_HD05!$B$7:$B$500,0)),"UNRESOLVED")</x:f>
        <x:v>TEXT</x:v>
      </x:c>
      <x:c r="J114" t="str">
        <x:f>IFERROR(INDEX(PROFILE_HD05!$BZ$7:$BZ$500,MATCH($B114,PROFILE_HD05!$B$7:$B$500,0)),"UNRESOLVED")</x:f>
        <x:v>14–15</x:v>
      </x:c>
      <x:c r="K114" t="n">
        <x:f>IFERROR(INDEX(PROFILE_HD05!$AJ$7:$AJ$500,MATCH($B114,PROFILE_HD05!$B$7:$B$500,0)),"UNRESOLVED")</x:f>
        <x:v>14</x:v>
      </x:c>
      <x:c r="L114" t="str">
        <x:f>IF(K114="","N/A / CHƯA NHẬP",IF(AND(ISNUMBER(J114),ISNUMBER(K114),J114=K114),"KHỚP SỐ","CẦN KIỂM TRA THỦ CÔNG"))</x:f>
        <x:v>CẦN KIỂM TRA THỦ CÔNG</x:v>
      </x:c>
      <x:c r="M114" t="str">
        <x:f>IF(OR(C114&lt;&gt;1,D114&lt;&gt;"OK",E114&lt;&gt;"OK",H114&lt;&gt;"KHÔNG"),"BLOCK",IF(G114="PROTECTED","PROTECTED","CHECK_ONLY"))</x:f>
        <x:v>CHECK_ONLY</x:v>
      </x:c>
    </x:row>
    <x:row r="115">
      <x:c r="A115" t="str">
        <x:v>HD05</x:v>
      </x:c>
      <x:c r="B115" t="str">
        <x:f>HD05!B35</x:f>
        <x:v>HD05.N.DM.CHUONG</x:v>
      </x:c>
      <x:c r="C115" t="n">
        <x:f>COUNTIF(PROFILE_HD05!$B$7:$B$500,B115)</x:f>
        <x:v>1</x:v>
      </x:c>
      <x:c r="D115" t="str">
        <x:f>IF(LEFT(B115,LEN(A115)+1)=A115&amp;".","OK","SAI PREFIX")</x:f>
        <x:v>OK</x:v>
      </x:c>
      <x:c r="E115" t="str">
        <x:f>IF(COUNTIF(HD05!$B$7:$B$500,B115)=1,"OK","MÃ NGUỒN KHÔNG DUY NHẤT")</x:f>
        <x:v>OK</x:v>
      </x:c>
      <x:c r="F115" t="str">
        <x:f>IFERROR(INDEX(PROFILE_HD05!$CC$7:$CC$500,MATCH($B115,PROFILE_HD05!$B$7:$B$500,0)),"UNRESOLVED")</x:f>
        <x:v>CHỈ SAU REVIEW</x:v>
      </x:c>
      <x:c r="G115" t="str">
        <x:f>IFERROR(INDEX(PROFILE_HD05!$CD$7:$CD$500,MATCH($B115,PROFILE_HD05!$B$7:$B$500,0)),"UNRESOLVED")</x:f>
        <x:v>CHECK_ONLY</x:v>
      </x:c>
      <x:c r="H115" t="str">
        <x:f>IFERROR(INDEX(PROFILE_HD05!$CK$7:$CK$500,MATCH($B115,PROFILE_HD05!$B$7:$B$500,0)),"UNRESOLVED")</x:f>
        <x:v>KHÔNG</x:v>
      </x:c>
      <x:c r="I115" t="str">
        <x:f>IFERROR(INDEX(PROFILE_HD05!$CA$7:$CA$500,MATCH($B115,PROFILE_HD05!$B$7:$B$500,0)),"UNRESOLVED")</x:f>
        <x:v>TEXT</x:v>
      </x:c>
      <x:c r="J115" t="str">
        <x:f>IFERROR(INDEX(PROFILE_HD05!$BZ$7:$BZ$500,MATCH($B115,PROFILE_HD05!$B$7:$B$500,0)),"UNRESOLVED")</x:f>
        <x:v>14–15</x:v>
      </x:c>
      <x:c r="K115" t="n">
        <x:f>IFERROR(INDEX(PROFILE_HD05!$AJ$7:$AJ$500,MATCH($B115,PROFILE_HD05!$B$7:$B$500,0)),"UNRESOLVED")</x:f>
        <x:v>14</x:v>
      </x:c>
      <x:c r="L115" t="str">
        <x:f>IF(K115="","N/A / CHƯA NHẬP",IF(AND(ISNUMBER(J115),ISNUMBER(K115),J115=K115),"KHỚP SỐ","CẦN KIỂM TRA THỦ CÔNG"))</x:f>
        <x:v>CẦN KIỂM TRA THỦ CÔNG</x:v>
      </x:c>
      <x:c r="M115" t="str">
        <x:f>IF(OR(C115&lt;&gt;1,D115&lt;&gt;"OK",E115&lt;&gt;"OK",H115&lt;&gt;"KHÔNG"),"BLOCK",IF(G115="PROTECTED","PROTECTED","CHECK_ONLY"))</x:f>
        <x:v>CHECK_ONLY</x:v>
      </x:c>
    </x:row>
    <x:row r="116">
      <x:c r="A116" t="str">
        <x:v>HD05</x:v>
      </x:c>
      <x:c r="B116" t="str">
        <x:f>HD05!B36</x:f>
        <x:v>HD05.N.DM.MUC</x:v>
      </x:c>
      <x:c r="C116" t="n">
        <x:f>COUNTIF(PROFILE_HD05!$B$7:$B$500,B116)</x:f>
        <x:v>1</x:v>
      </x:c>
      <x:c r="D116" t="str">
        <x:f>IF(LEFT(B116,LEN(A116)+1)=A116&amp;".","OK","SAI PREFIX")</x:f>
        <x:v>OK</x:v>
      </x:c>
      <x:c r="E116" t="str">
        <x:f>IF(COUNTIF(HD05!$B$7:$B$500,B116)=1,"OK","MÃ NGUỒN KHÔNG DUY NHẤT")</x:f>
        <x:v>OK</x:v>
      </x:c>
      <x:c r="F116" t="str">
        <x:f>IFERROR(INDEX(PROFILE_HD05!$CC$7:$CC$500,MATCH($B116,PROFILE_HD05!$B$7:$B$500,0)),"UNRESOLVED")</x:f>
        <x:v>CHỈ SAU REVIEW</x:v>
      </x:c>
      <x:c r="G116" t="str">
        <x:f>IFERROR(INDEX(PROFILE_HD05!$CD$7:$CD$500,MATCH($B116,PROFILE_HD05!$B$7:$B$500,0)),"UNRESOLVED")</x:f>
        <x:v>CHECK_ONLY</x:v>
      </x:c>
      <x:c r="H116" t="str">
        <x:f>IFERROR(INDEX(PROFILE_HD05!$CK$7:$CK$500,MATCH($B116,PROFILE_HD05!$B$7:$B$500,0)),"UNRESOLVED")</x:f>
        <x:v>KHÔNG</x:v>
      </x:c>
      <x:c r="I116" t="str">
        <x:f>IFERROR(INDEX(PROFILE_HD05!$CA$7:$CA$500,MATCH($B116,PROFILE_HD05!$B$7:$B$500,0)),"UNRESOLVED")</x:f>
        <x:v>TEXT</x:v>
      </x:c>
      <x:c r="J116" t="str">
        <x:f>IFERROR(INDEX(PROFILE_HD05!$BZ$7:$BZ$500,MATCH($B116,PROFILE_HD05!$B$7:$B$500,0)),"UNRESOLVED")</x:f>
        <x:v>14–15</x:v>
      </x:c>
      <x:c r="K116" t="n">
        <x:f>IFERROR(INDEX(PROFILE_HD05!$AJ$7:$AJ$500,MATCH($B116,PROFILE_HD05!$B$7:$B$500,0)),"UNRESOLVED")</x:f>
        <x:v>14</x:v>
      </x:c>
      <x:c r="L116" t="str">
        <x:f>IF(K116="","N/A / CHƯA NHẬP",IF(AND(ISNUMBER(J116),ISNUMBER(K116),J116=K116),"KHỚP SỐ","CẦN KIỂM TRA THỦ CÔNG"))</x:f>
        <x:v>CẦN KIỂM TRA THỦ CÔNG</x:v>
      </x:c>
      <x:c r="M116" t="str">
        <x:f>IF(OR(C116&lt;&gt;1,D116&lt;&gt;"OK",E116&lt;&gt;"OK",H116&lt;&gt;"KHÔNG"),"BLOCK",IF(G116="PROTECTED","PROTECTED","CHECK_ONLY"))</x:f>
        <x:v>CHECK_ONLY</x:v>
      </x:c>
    </x:row>
    <x:row r="117">
      <x:c r="A117" t="str">
        <x:v>HD05</x:v>
      </x:c>
      <x:c r="B117" t="str">
        <x:f>HD05!B37</x:f>
        <x:v>HD05.N.DM.TIEU_MUC</x:v>
      </x:c>
      <x:c r="C117" t="n">
        <x:f>COUNTIF(PROFILE_HD05!$B$7:$B$500,B117)</x:f>
        <x:v>1</x:v>
      </x:c>
      <x:c r="D117" t="str">
        <x:f>IF(LEFT(B117,LEN(A117)+1)=A117&amp;".","OK","SAI PREFIX")</x:f>
        <x:v>OK</x:v>
      </x:c>
      <x:c r="E117" t="str">
        <x:f>IF(COUNTIF(HD05!$B$7:$B$500,B117)=1,"OK","MÃ NGUỒN KHÔNG DUY NHẤT")</x:f>
        <x:v>OK</x:v>
      </x:c>
      <x:c r="F117" t="str">
        <x:f>IFERROR(INDEX(PROFILE_HD05!$CC$7:$CC$500,MATCH($B117,PROFILE_HD05!$B$7:$B$500,0)),"UNRESOLVED")</x:f>
        <x:v>READ_ONLY / KHÔNG TỰ SỬA</x:v>
      </x:c>
      <x:c r="G117" t="str">
        <x:f>IFERROR(INDEX(PROFILE_HD05!$CD$7:$CD$500,MATCH($B117,PROFILE_HD05!$B$7:$B$500,0)),"UNRESOLVED")</x:f>
        <x:v>PROTECTED</x:v>
      </x:c>
      <x:c r="H117" t="str">
        <x:f>IFERROR(INDEX(PROFILE_HD05!$CK$7:$CK$500,MATCH($B117,PROFILE_HD05!$B$7:$B$500,0)),"UNRESOLVED")</x:f>
        <x:v>KHÔNG</x:v>
      </x:c>
      <x:c r="I117" t="str">
        <x:f>IFERROR(INDEX(PROFILE_HD05!$CA$7:$CA$500,MATCH($B117,PROFILE_HD05!$B$7:$B$500,0)),"UNRESOLVED")</x:f>
        <x:v>TEXT</x:v>
      </x:c>
      <x:c r="J117" t="str">
        <x:f>IFERROR(INDEX(PROFILE_HD05!$BZ$7:$BZ$500,MATCH($B117,PROFILE_HD05!$B$7:$B$500,0)),"UNRESOLVED")</x:f>
        <x:v>14–15</x:v>
      </x:c>
      <x:c r="K117" t="n">
        <x:f>IFERROR(INDEX(PROFILE_HD05!$AJ$7:$AJ$500,MATCH($B117,PROFILE_HD05!$B$7:$B$500,0)),"UNRESOLVED")</x:f>
        <x:v>14</x:v>
      </x:c>
      <x:c r="L117" t="str">
        <x:f>IF(K117="","N/A / CHƯA NHẬP",IF(AND(ISNUMBER(J117),ISNUMBER(K117),J117=K117),"KHỚP SỐ","CẦN KIỂM TRA THỦ CÔNG"))</x:f>
        <x:v>CẦN KIỂM TRA THỦ CÔNG</x:v>
      </x:c>
      <x:c r="M117" t="str">
        <x:f>IF(OR(C117&lt;&gt;1,D117&lt;&gt;"OK",E117&lt;&gt;"OK",H117&lt;&gt;"KHÔNG"),"BLOCK",IF(G117="PROTECTED","PROTECTED","CHECK_ONLY"))</x:f>
        <x:v>PROTECTED</x:v>
      </x:c>
    </x:row>
    <x:row r="118">
      <x:c r="A118" t="str">
        <x:v>HD05</x:v>
      </x:c>
      <x:c r="B118" t="str">
        <x:f>HD05!B38</x:f>
        <x:v>HD05.N.DIEU.SO_DIEU</x:v>
      </x:c>
      <x:c r="C118" t="n">
        <x:f>COUNTIF(PROFILE_HD05!$B$7:$B$500,B118)</x:f>
        <x:v>1</x:v>
      </x:c>
      <x:c r="D118" t="str">
        <x:f>IF(LEFT(B118,LEN(A118)+1)=A118&amp;".","OK","SAI PREFIX")</x:f>
        <x:v>OK</x:v>
      </x:c>
      <x:c r="E118" t="str">
        <x:f>IF(COUNTIF(HD05!$B$7:$B$500,B118)=1,"OK","MÃ NGUỒN KHÔNG DUY NHẤT")</x:f>
        <x:v>OK</x:v>
      </x:c>
      <x:c r="F118" t="str">
        <x:f>IFERROR(INDEX(PROFILE_HD05!$CC$7:$CC$500,MATCH($B118,PROFILE_HD05!$B$7:$B$500,0)),"UNRESOLVED")</x:f>
        <x:v>CHỈ SAU REVIEW</x:v>
      </x:c>
      <x:c r="G118" t="str">
        <x:f>IFERROR(INDEX(PROFILE_HD05!$CD$7:$CD$500,MATCH($B118,PROFILE_HD05!$B$7:$B$500,0)),"UNRESOLVED")</x:f>
        <x:v>CHECK_ONLY</x:v>
      </x:c>
      <x:c r="H118" t="str">
        <x:f>IFERROR(INDEX(PROFILE_HD05!$CK$7:$CK$500,MATCH($B118,PROFILE_HD05!$B$7:$B$500,0)),"UNRESOLVED")</x:f>
        <x:v>KHÔNG</x:v>
      </x:c>
      <x:c r="I118" t="str">
        <x:f>IFERROR(INDEX(PROFILE_HD05!$CA$7:$CA$500,MATCH($B118,PROFILE_HD05!$B$7:$B$500,0)),"UNRESOLVED")</x:f>
        <x:v>TEXT</x:v>
      </x:c>
      <x:c r="J118" t="str">
        <x:f>IFERROR(INDEX(PROFILE_HD05!$BZ$7:$BZ$500,MATCH($B118,PROFILE_HD05!$B$7:$B$500,0)),"UNRESOLVED")</x:f>
        <x:v>14–15</x:v>
      </x:c>
      <x:c r="K118" t="n">
        <x:f>IFERROR(INDEX(PROFILE_HD05!$AJ$7:$AJ$500,MATCH($B118,PROFILE_HD05!$B$7:$B$500,0)),"UNRESOLVED")</x:f>
        <x:v>14</x:v>
      </x:c>
      <x:c r="L118" t="str">
        <x:f>IF(K118="","N/A / CHƯA NHẬP",IF(AND(ISNUMBER(J118),ISNUMBER(K118),J118=K118),"KHỚP SỐ","CẦN KIỂM TRA THỦ CÔNG"))</x:f>
        <x:v>CẦN KIỂM TRA THỦ CÔNG</x:v>
      </x:c>
      <x:c r="M118" t="str">
        <x:f>IF(OR(C118&lt;&gt;1,D118&lt;&gt;"OK",E118&lt;&gt;"OK",H118&lt;&gt;"KHÔNG"),"BLOCK",IF(G118="PROTECTED","PROTECTED","CHECK_ONLY"))</x:f>
        <x:v>CHECK_ONLY</x:v>
      </x:c>
    </x:row>
    <x:row r="119">
      <x:c r="A119" t="str">
        <x:v>HD05</x:v>
      </x:c>
      <x:c r="B119" t="str">
        <x:f>HD05!B39</x:f>
        <x:v>HD05.N.DIEU.TEN_DIEU</x:v>
      </x:c>
      <x:c r="C119" t="n">
        <x:f>COUNTIF(PROFILE_HD05!$B$7:$B$500,B119)</x:f>
        <x:v>1</x:v>
      </x:c>
      <x:c r="D119" t="str">
        <x:f>IF(LEFT(B119,LEN(A119)+1)=A119&amp;".","OK","SAI PREFIX")</x:f>
        <x:v>OK</x:v>
      </x:c>
      <x:c r="E119" t="str">
        <x:f>IF(COUNTIF(HD05!$B$7:$B$500,B119)=1,"OK","MÃ NGUỒN KHÔNG DUY NHẤT")</x:f>
        <x:v>OK</x:v>
      </x:c>
      <x:c r="F119" t="str">
        <x:f>IFERROR(INDEX(PROFILE_HD05!$CC$7:$CC$500,MATCH($B119,PROFILE_HD05!$B$7:$B$500,0)),"UNRESOLVED")</x:f>
        <x:v>CHỈ SAU REVIEW</x:v>
      </x:c>
      <x:c r="G119" t="str">
        <x:f>IFERROR(INDEX(PROFILE_HD05!$CD$7:$CD$500,MATCH($B119,PROFILE_HD05!$B$7:$B$500,0)),"UNRESOLVED")</x:f>
        <x:v>CHECK_ONLY</x:v>
      </x:c>
      <x:c r="H119" t="str">
        <x:f>IFERROR(INDEX(PROFILE_HD05!$CK$7:$CK$500,MATCH($B119,PROFILE_HD05!$B$7:$B$500,0)),"UNRESOLVED")</x:f>
        <x:v>KHÔNG</x:v>
      </x:c>
      <x:c r="I119" t="str">
        <x:f>IFERROR(INDEX(PROFILE_HD05!$CA$7:$CA$500,MATCH($B119,PROFILE_HD05!$B$7:$B$500,0)),"UNRESOLVED")</x:f>
        <x:v>TEXT</x:v>
      </x:c>
      <x:c r="J119" t="str">
        <x:f>IFERROR(INDEX(PROFILE_HD05!$BZ$7:$BZ$500,MATCH($B119,PROFILE_HD05!$B$7:$B$500,0)),"UNRESOLVED")</x:f>
        <x:v>14–15</x:v>
      </x:c>
      <x:c r="K119" t="n">
        <x:f>IFERROR(INDEX(PROFILE_HD05!$AJ$7:$AJ$500,MATCH($B119,PROFILE_HD05!$B$7:$B$500,0)),"UNRESOLVED")</x:f>
        <x:v>14</x:v>
      </x:c>
      <x:c r="L119" t="str">
        <x:f>IF(K119="","N/A / CHƯA NHẬP",IF(AND(ISNUMBER(J119),ISNUMBER(K119),J119=K119),"KHỚP SỐ","CẦN KIỂM TRA THỦ CÔNG"))</x:f>
        <x:v>CẦN KIỂM TRA THỦ CÔNG</x:v>
      </x:c>
      <x:c r="M119" t="str">
        <x:f>IF(OR(C119&lt;&gt;1,D119&lt;&gt;"OK",E119&lt;&gt;"OK",H119&lt;&gt;"KHÔNG"),"BLOCK",IF(G119="PROTECTED","PROTECTED","CHECK_ONLY"))</x:f>
        <x:v>CHECK_ONLY</x:v>
      </x:c>
    </x:row>
    <x:row r="120">
      <x:c r="A120" t="str">
        <x:v>HD05</x:v>
      </x:c>
      <x:c r="B120" t="str">
        <x:f>HD05!B40</x:f>
        <x:v>HD05.N.DIEU.NOI_DUNG_DIEU</x:v>
      </x:c>
      <x:c r="C120" t="n">
        <x:f>COUNTIF(PROFILE_HD05!$B$7:$B$500,B120)</x:f>
        <x:v>1</x:v>
      </x:c>
      <x:c r="D120" t="str">
        <x:f>IF(LEFT(B120,LEN(A120)+1)=A120&amp;".","OK","SAI PREFIX")</x:f>
        <x:v>OK</x:v>
      </x:c>
      <x:c r="E120" t="str">
        <x:f>IF(COUNTIF(HD05!$B$7:$B$500,B120)=1,"OK","MÃ NGUỒN KHÔNG DUY NHẤT")</x:f>
        <x:v>OK</x:v>
      </x:c>
      <x:c r="F120" t="str">
        <x:f>IFERROR(INDEX(PROFILE_HD05!$CC$7:$CC$500,MATCH($B120,PROFILE_HD05!$B$7:$B$500,0)),"UNRESOLVED")</x:f>
        <x:v>CHỈ SAU REVIEW</x:v>
      </x:c>
      <x:c r="G120" t="str">
        <x:f>IFERROR(INDEX(PROFILE_HD05!$CD$7:$CD$500,MATCH($B120,PROFILE_HD05!$B$7:$B$500,0)),"UNRESOLVED")</x:f>
        <x:v>CHECK_ONLY</x:v>
      </x:c>
      <x:c r="H120" t="str">
        <x:f>IFERROR(INDEX(PROFILE_HD05!$CK$7:$CK$500,MATCH($B120,PROFILE_HD05!$B$7:$B$500,0)),"UNRESOLVED")</x:f>
        <x:v>KHÔNG</x:v>
      </x:c>
      <x:c r="I120" t="str">
        <x:f>IFERROR(INDEX(PROFILE_HD05!$CA$7:$CA$500,MATCH($B120,PROFILE_HD05!$B$7:$B$500,0)),"UNRESOLVED")</x:f>
        <x:v>TEXT</x:v>
      </x:c>
      <x:c r="J120" t="str">
        <x:f>IFERROR(INDEX(PROFILE_HD05!$BZ$7:$BZ$500,MATCH($B120,PROFILE_HD05!$B$7:$B$500,0)),"UNRESOLVED")</x:f>
        <x:v>14–15</x:v>
      </x:c>
      <x:c r="K120" t="n">
        <x:f>IFERROR(INDEX(PROFILE_HD05!$AJ$7:$AJ$500,MATCH($B120,PROFILE_HD05!$B$7:$B$500,0)),"UNRESOLVED")</x:f>
        <x:v>14</x:v>
      </x:c>
      <x:c r="L120" t="str">
        <x:f>IF(K120="","N/A / CHƯA NHẬP",IF(AND(ISNUMBER(J120),ISNUMBER(K120),J120=K120),"KHỚP SỐ","CẦN KIỂM TRA THỦ CÔNG"))</x:f>
        <x:v>CẦN KIỂM TRA THỦ CÔNG</x:v>
      </x:c>
      <x:c r="M120" t="str">
        <x:f>IF(OR(C120&lt;&gt;1,D120&lt;&gt;"OK",E120&lt;&gt;"OK",H120&lt;&gt;"KHÔNG"),"BLOCK",IF(G120="PROTECTED","PROTECTED","CHECK_ONLY"))</x:f>
        <x:v>CHECK_ONLY</x:v>
      </x:c>
    </x:row>
    <x:row r="121">
      <x:c r="A121" t="str">
        <x:v>HD05</x:v>
      </x:c>
      <x:c r="B121" t="str">
        <x:f>HD05!B41</x:f>
        <x:v>HD05.N.KD.KHOAN</x:v>
      </x:c>
      <x:c r="C121" t="n">
        <x:f>COUNTIF(PROFILE_HD05!$B$7:$B$500,B121)</x:f>
        <x:v>1</x:v>
      </x:c>
      <x:c r="D121" t="str">
        <x:f>IF(LEFT(B121,LEN(A121)+1)=A121&amp;".","OK","SAI PREFIX")</x:f>
        <x:v>OK</x:v>
      </x:c>
      <x:c r="E121" t="str">
        <x:f>IF(COUNTIF(HD05!$B$7:$B$500,B121)=1,"OK","MÃ NGUỒN KHÔNG DUY NHẤT")</x:f>
        <x:v>OK</x:v>
      </x:c>
      <x:c r="F121" t="str">
        <x:f>IFERROR(INDEX(PROFILE_HD05!$CC$7:$CC$500,MATCH($B121,PROFILE_HD05!$B$7:$B$500,0)),"UNRESOLVED")</x:f>
        <x:v>CHỈ SAU REVIEW</x:v>
      </x:c>
      <x:c r="G121" t="str">
        <x:f>IFERROR(INDEX(PROFILE_HD05!$CD$7:$CD$500,MATCH($B121,PROFILE_HD05!$B$7:$B$500,0)),"UNRESOLVED")</x:f>
        <x:v>CHECK_ONLY</x:v>
      </x:c>
      <x:c r="H121" t="str">
        <x:f>IFERROR(INDEX(PROFILE_HD05!$CK$7:$CK$500,MATCH($B121,PROFILE_HD05!$B$7:$B$500,0)),"UNRESOLVED")</x:f>
        <x:v>KHÔNG</x:v>
      </x:c>
      <x:c r="I121" t="str">
        <x:f>IFERROR(INDEX(PROFILE_HD05!$CA$7:$CA$500,MATCH($B121,PROFILE_HD05!$B$7:$B$500,0)),"UNRESOLVED")</x:f>
        <x:v>TEXT</x:v>
      </x:c>
      <x:c r="J121" t="str">
        <x:f>IFERROR(INDEX(PROFILE_HD05!$BZ$7:$BZ$500,MATCH($B121,PROFILE_HD05!$B$7:$B$500,0)),"UNRESOLVED")</x:f>
        <x:v>14–15</x:v>
      </x:c>
      <x:c r="K121" t="n">
        <x:f>IFERROR(INDEX(PROFILE_HD05!$AJ$7:$AJ$500,MATCH($B121,PROFILE_HD05!$B$7:$B$500,0)),"UNRESOLVED")</x:f>
        <x:v>14</x:v>
      </x:c>
      <x:c r="L121" t="str">
        <x:f>IF(K121="","N/A / CHƯA NHẬP",IF(AND(ISNUMBER(J121),ISNUMBER(K121),J121=K121),"KHỚP SỐ","CẦN KIỂM TRA THỦ CÔNG"))</x:f>
        <x:v>CẦN KIỂM TRA THỦ CÔNG</x:v>
      </x:c>
      <x:c r="M121" t="str">
        <x:f>IF(OR(C121&lt;&gt;1,D121&lt;&gt;"OK",E121&lt;&gt;"OK",H121&lt;&gt;"KHÔNG"),"BLOCK",IF(G121="PROTECTED","PROTECTED","CHECK_ONLY"))</x:f>
        <x:v>CHECK_ONLY</x:v>
      </x:c>
    </x:row>
    <x:row r="122">
      <x:c r="A122" t="str">
        <x:v>HD05</x:v>
      </x:c>
      <x:c r="B122" t="str">
        <x:f>HD05!B42</x:f>
        <x:v>HD05.N.KD.DIEM</x:v>
      </x:c>
      <x:c r="C122" t="n">
        <x:f>COUNTIF(PROFILE_HD05!$B$7:$B$500,B122)</x:f>
        <x:v>1</x:v>
      </x:c>
      <x:c r="D122" t="str">
        <x:f>IF(LEFT(B122,LEN(A122)+1)=A122&amp;".","OK","SAI PREFIX")</x:f>
        <x:v>OK</x:v>
      </x:c>
      <x:c r="E122" t="str">
        <x:f>IF(COUNTIF(HD05!$B$7:$B$500,B122)=1,"OK","MÃ NGUỒN KHÔNG DUY NHẤT")</x:f>
        <x:v>OK</x:v>
      </x:c>
      <x:c r="F122" t="str">
        <x:f>IFERROR(INDEX(PROFILE_HD05!$CC$7:$CC$500,MATCH($B122,PROFILE_HD05!$B$7:$B$500,0)),"UNRESOLVED")</x:f>
        <x:v>CHỈ SAU REVIEW</x:v>
      </x:c>
      <x:c r="G122" t="str">
        <x:f>IFERROR(INDEX(PROFILE_HD05!$CD$7:$CD$500,MATCH($B122,PROFILE_HD05!$B$7:$B$500,0)),"UNRESOLVED")</x:f>
        <x:v>CHECK_ONLY</x:v>
      </x:c>
      <x:c r="H122" t="str">
        <x:f>IFERROR(INDEX(PROFILE_HD05!$CK$7:$CK$500,MATCH($B122,PROFILE_HD05!$B$7:$B$500,0)),"UNRESOLVED")</x:f>
        <x:v>KHÔNG</x:v>
      </x:c>
      <x:c r="I122" t="str">
        <x:f>IFERROR(INDEX(PROFILE_HD05!$CA$7:$CA$500,MATCH($B122,PROFILE_HD05!$B$7:$B$500,0)),"UNRESOLVED")</x:f>
        <x:v>TEXT</x:v>
      </x:c>
      <x:c r="J122" t="str">
        <x:f>IFERROR(INDEX(PROFILE_HD05!$BZ$7:$BZ$500,MATCH($B122,PROFILE_HD05!$B$7:$B$500,0)),"UNRESOLVED")</x:f>
        <x:v>14–15</x:v>
      </x:c>
      <x:c r="K122" t="n">
        <x:f>IFERROR(INDEX(PROFILE_HD05!$AJ$7:$AJ$500,MATCH($B122,PROFILE_HD05!$B$7:$B$500,0)),"UNRESOLVED")</x:f>
        <x:v>14</x:v>
      </x:c>
      <x:c r="L122" t="str">
        <x:f>IF(K122="","N/A / CHƯA NHẬP",IF(AND(ISNUMBER(J122),ISNUMBER(K122),J122=K122),"KHỚP SỐ","CẦN KIỂM TRA THỦ CÔNG"))</x:f>
        <x:v>CẦN KIỂM TRA THỦ CÔNG</x:v>
      </x:c>
      <x:c r="M122" t="str">
        <x:f>IF(OR(C122&lt;&gt;1,D122&lt;&gt;"OK",E122&lt;&gt;"OK",H122&lt;&gt;"KHÔNG"),"BLOCK",IF(G122="PROTECTED","PROTECTED","CHECK_ONLY"))</x:f>
        <x:v>CHECK_ONLY</x:v>
      </x:c>
    </x:row>
    <x:row r="123">
      <x:c r="A123" t="str">
        <x:v>HD05</x:v>
      </x:c>
      <x:c r="B123" t="str">
        <x:f>HD05!B43</x:f>
        <x:v>HD05.N.KD.DANH_SACH</x:v>
      </x:c>
      <x:c r="C123" t="n">
        <x:f>COUNTIF(PROFILE_HD05!$B$7:$B$500,B123)</x:f>
        <x:v>1</x:v>
      </x:c>
      <x:c r="D123" t="str">
        <x:f>IF(LEFT(B123,LEN(A123)+1)=A123&amp;".","OK","SAI PREFIX")</x:f>
        <x:v>OK</x:v>
      </x:c>
      <x:c r="E123" t="str">
        <x:f>IF(COUNTIF(HD05!$B$7:$B$500,B123)=1,"OK","MÃ NGUỒN KHÔNG DUY NHẤT")</x:f>
        <x:v>OK</x:v>
      </x:c>
      <x:c r="F123" t="str">
        <x:f>IFERROR(INDEX(PROFILE_HD05!$CC$7:$CC$500,MATCH($B123,PROFILE_HD05!$B$7:$B$500,0)),"UNRESOLVED")</x:f>
        <x:v>CHỈ SAU REVIEW</x:v>
      </x:c>
      <x:c r="G123" t="str">
        <x:f>IFERROR(INDEX(PROFILE_HD05!$CD$7:$CD$500,MATCH($B123,PROFILE_HD05!$B$7:$B$500,0)),"UNRESOLVED")</x:f>
        <x:v>CHECK_ONLY</x:v>
      </x:c>
      <x:c r="H123" t="str">
        <x:f>IFERROR(INDEX(PROFILE_HD05!$CK$7:$CK$500,MATCH($B123,PROFILE_HD05!$B$7:$B$500,0)),"UNRESOLVED")</x:f>
        <x:v>KHÔNG</x:v>
      </x:c>
      <x:c r="I123" t="str">
        <x:f>IFERROR(INDEX(PROFILE_HD05!$CA$7:$CA$500,MATCH($B123,PROFILE_HD05!$B$7:$B$500,0)),"UNRESOLVED")</x:f>
        <x:v>TEXT</x:v>
      </x:c>
      <x:c r="J123" t="str">
        <x:f>IFERROR(INDEX(PROFILE_HD05!$BZ$7:$BZ$500,MATCH($B123,PROFILE_HD05!$B$7:$B$500,0)),"UNRESOLVED")</x:f>
        <x:v>14–15</x:v>
      </x:c>
      <x:c r="K123" t="n">
        <x:f>IFERROR(INDEX(PROFILE_HD05!$AJ$7:$AJ$500,MATCH($B123,PROFILE_HD05!$B$7:$B$500,0)),"UNRESOLVED")</x:f>
        <x:v>14</x:v>
      </x:c>
      <x:c r="L123" t="str">
        <x:f>IF(K123="","N/A / CHƯA NHẬP",IF(AND(ISNUMBER(J123),ISNUMBER(K123),J123=K123),"KHỚP SỐ","CẦN KIỂM TRA THỦ CÔNG"))</x:f>
        <x:v>CẦN KIỂM TRA THỦ CÔNG</x:v>
      </x:c>
      <x:c r="M123" t="str">
        <x:f>IF(OR(C123&lt;&gt;1,D123&lt;&gt;"OK",E123&lt;&gt;"OK",H123&lt;&gt;"KHÔNG"),"BLOCK",IF(G123="PROTECTED","PROTECTED","CHECK_ONLY"))</x:f>
        <x:v>CHECK_ONLY</x:v>
      </x:c>
    </x:row>
    <x:row r="124">
      <x:c r="A124" t="str">
        <x:v>HD05</x:v>
      </x:c>
      <x:c r="B124" t="str">
        <x:f>HD05!B44</x:f>
        <x:v>HD05.N.DOAN.VAN_BAN</x:v>
      </x:c>
      <x:c r="C124" t="n">
        <x:f>COUNTIF(PROFILE_HD05!$B$7:$B$500,B124)</x:f>
        <x:v>1</x:v>
      </x:c>
      <x:c r="D124" t="str">
        <x:f>IF(LEFT(B124,LEN(A124)+1)=A124&amp;".","OK","SAI PREFIX")</x:f>
        <x:v>OK</x:v>
      </x:c>
      <x:c r="E124" t="str">
        <x:f>IF(COUNTIF(HD05!$B$7:$B$500,B124)=1,"OK","MÃ NGUỒN KHÔNG DUY NHẤT")</x:f>
        <x:v>OK</x:v>
      </x:c>
      <x:c r="F124" t="str">
        <x:f>IFERROR(INDEX(PROFILE_HD05!$CC$7:$CC$500,MATCH($B124,PROFILE_HD05!$B$7:$B$500,0)),"UNRESOLVED")</x:f>
        <x:v>CHỈ SAU REVIEW</x:v>
      </x:c>
      <x:c r="G124" t="str">
        <x:f>IFERROR(INDEX(PROFILE_HD05!$CD$7:$CD$500,MATCH($B124,PROFILE_HD05!$B$7:$B$500,0)),"UNRESOLVED")</x:f>
        <x:v>CHECK_ONLY</x:v>
      </x:c>
      <x:c r="H124" t="str">
        <x:f>IFERROR(INDEX(PROFILE_HD05!$CK$7:$CK$500,MATCH($B124,PROFILE_HD05!$B$7:$B$500,0)),"UNRESOLVED")</x:f>
        <x:v>KHÔNG</x:v>
      </x:c>
      <x:c r="I124" t="str">
        <x:f>IFERROR(INDEX(PROFILE_HD05!$CA$7:$CA$500,MATCH($B124,PROFILE_HD05!$B$7:$B$500,0)),"UNRESOLVED")</x:f>
        <x:v>TEXT</x:v>
      </x:c>
      <x:c r="J124" t="str">
        <x:f>IFERROR(INDEX(PROFILE_HD05!$BZ$7:$BZ$500,MATCH($B124,PROFILE_HD05!$B$7:$B$500,0)),"UNRESOLVED")</x:f>
        <x:v>14–15</x:v>
      </x:c>
      <x:c r="K124" t="n">
        <x:f>IFERROR(INDEX(PROFILE_HD05!$AJ$7:$AJ$500,MATCH($B124,PROFILE_HD05!$B$7:$B$500,0)),"UNRESOLVED")</x:f>
        <x:v>14</x:v>
      </x:c>
      <x:c r="L124" t="str">
        <x:f>IF(K124="","N/A / CHƯA NHẬP",IF(AND(ISNUMBER(J124),ISNUMBER(K124),J124=K124),"KHỚP SỐ","CẦN KIỂM TRA THỦ CÔNG"))</x:f>
        <x:v>CẦN KIỂM TRA THỦ CÔNG</x:v>
      </x:c>
      <x:c r="M124" t="str">
        <x:f>IF(OR(C124&lt;&gt;1,D124&lt;&gt;"OK",E124&lt;&gt;"OK",H124&lt;&gt;"KHÔNG"),"BLOCK",IF(G124="PROTECTED","PROTECTED","CHECK_ONLY"))</x:f>
        <x:v>CHECK_ONLY</x:v>
      </x:c>
    </x:row>
    <x:row r="125">
      <x:c r="A125" t="str">
        <x:v>HD05</x:v>
      </x:c>
      <x:c r="B125" t="str">
        <x:f>HD05!B45</x:f>
        <x:v>HD05.N.BANG.TIEU_DE</x:v>
      </x:c>
      <x:c r="C125" t="n">
        <x:f>COUNTIF(PROFILE_HD05!$B$7:$B$500,B125)</x:f>
        <x:v>1</x:v>
      </x:c>
      <x:c r="D125" t="str">
        <x:f>IF(LEFT(B125,LEN(A125)+1)=A125&amp;".","OK","SAI PREFIX")</x:f>
        <x:v>OK</x:v>
      </x:c>
      <x:c r="E125" t="str">
        <x:f>IF(COUNTIF(HD05!$B$7:$B$500,B125)=1,"OK","MÃ NGUỒN KHÔNG DUY NHẤT")</x:f>
        <x:v>OK</x:v>
      </x:c>
      <x:c r="F125" t="str">
        <x:f>IFERROR(INDEX(PROFILE_HD05!$CC$7:$CC$500,MATCH($B125,PROFILE_HD05!$B$7:$B$500,0)),"UNRESOLVED")</x:f>
        <x:v>READ_ONLY</x:v>
      </x:c>
      <x:c r="G125" t="str">
        <x:f>IFERROR(INDEX(PROFILE_HD05!$CD$7:$CD$500,MATCH($B125,PROFILE_HD05!$B$7:$B$500,0)),"UNRESOLVED")</x:f>
        <x:v>PROTECTED</x:v>
      </x:c>
      <x:c r="H125" t="str">
        <x:f>IFERROR(INDEX(PROFILE_HD05!$CK$7:$CK$500,MATCH($B125,PROFILE_HD05!$B$7:$B$500,0)),"UNRESOLVED")</x:f>
        <x:v>KHÔNG</x:v>
      </x:c>
      <x:c r="I125" t="str">
        <x:f>IFERROR(INDEX(PROFILE_HD05!$CA$7:$CA$500,MATCH($B125,PROFILE_HD05!$B$7:$B$500,0)),"UNRESOLVED")</x:f>
        <x:v>TABLE</x:v>
      </x:c>
      <x:c r="J125" t="str">
        <x:f>IFERROR(INDEX(PROFILE_HD05!$BZ$7:$BZ$500,MATCH($B125,PROFILE_HD05!$B$7:$B$500,0)),"UNRESOLVED")</x:f>
        <x:v>Theo khối/bảng đã xác minh</x:v>
      </x:c>
      <x:c r="K125" t="n">
        <x:f>IFERROR(INDEX(PROFILE_HD05!$AJ$7:$AJ$500,MATCH($B125,PROFILE_HD05!$B$7:$B$500,0)),"UNRESOLVED")</x:f>
        <x:v>13</x:v>
      </x:c>
      <x:c r="L125" t="str">
        <x:f>IF(K125="","N/A / CHƯA NHẬP",IF(AND(ISNUMBER(J125),ISNUMBER(K125),J125=K125),"KHỚP SỐ","CẦN KIỂM TRA THỦ CÔNG"))</x:f>
        <x:v>CẦN KIỂM TRA THỦ CÔNG</x:v>
      </x:c>
      <x:c r="M125" t="str">
        <x:f>IF(OR(C125&lt;&gt;1,D125&lt;&gt;"OK",E125&lt;&gt;"OK",H125&lt;&gt;"KHÔNG"),"BLOCK",IF(G125="PROTECTED","PROTECTED","CHECK_ONLY"))</x:f>
        <x:v>PROTECTED</x:v>
      </x:c>
    </x:row>
    <x:row r="126">
      <x:c r="A126" t="str">
        <x:v>HD05</x:v>
      </x:c>
      <x:c r="B126" t="str">
        <x:f>HD05!B46</x:f>
        <x:v>HD05.N.BANG.DAU_BANG</x:v>
      </x:c>
      <x:c r="C126" t="n">
        <x:f>COUNTIF(PROFILE_HD05!$B$7:$B$500,B126)</x:f>
        <x:v>1</x:v>
      </x:c>
      <x:c r="D126" t="str">
        <x:f>IF(LEFT(B126,LEN(A126)+1)=A126&amp;".","OK","SAI PREFIX")</x:f>
        <x:v>OK</x:v>
      </x:c>
      <x:c r="E126" t="str">
        <x:f>IF(COUNTIF(HD05!$B$7:$B$500,B126)=1,"OK","MÃ NGUỒN KHÔNG DUY NHẤT")</x:f>
        <x:v>OK</x:v>
      </x:c>
      <x:c r="F126" t="str">
        <x:f>IFERROR(INDEX(PROFILE_HD05!$CC$7:$CC$500,MATCH($B126,PROFILE_HD05!$B$7:$B$500,0)),"UNRESOLVED")</x:f>
        <x:v>READ_ONLY</x:v>
      </x:c>
      <x:c r="G126" t="str">
        <x:f>IFERROR(INDEX(PROFILE_HD05!$CD$7:$CD$500,MATCH($B126,PROFILE_HD05!$B$7:$B$500,0)),"UNRESOLVED")</x:f>
        <x:v>PROTECTED</x:v>
      </x:c>
      <x:c r="H126" t="str">
        <x:f>IFERROR(INDEX(PROFILE_HD05!$CK$7:$CK$500,MATCH($B126,PROFILE_HD05!$B$7:$B$500,0)),"UNRESOLVED")</x:f>
        <x:v>KHÔNG</x:v>
      </x:c>
      <x:c r="I126" t="str">
        <x:f>IFERROR(INDEX(PROFILE_HD05!$CA$7:$CA$500,MATCH($B126,PROFILE_HD05!$B$7:$B$500,0)),"UNRESOLVED")</x:f>
        <x:v>TABLE</x:v>
      </x:c>
      <x:c r="J126" t="str">
        <x:f>IFERROR(INDEX(PROFILE_HD05!$BZ$7:$BZ$500,MATCH($B126,PROFILE_HD05!$B$7:$B$500,0)),"UNRESOLVED")</x:f>
        <x:v>Theo khối/bảng đã xác minh</x:v>
      </x:c>
      <x:c r="K126" t="n">
        <x:f>IFERROR(INDEX(PROFILE_HD05!$AJ$7:$AJ$500,MATCH($B126,PROFILE_HD05!$B$7:$B$500,0)),"UNRESOLVED")</x:f>
        <x:v>13</x:v>
      </x:c>
      <x:c r="L126" t="str">
        <x:f>IF(K126="","N/A / CHƯA NHẬP",IF(AND(ISNUMBER(J126),ISNUMBER(K126),J126=K126),"KHỚP SỐ","CẦN KIỂM TRA THỦ CÔNG"))</x:f>
        <x:v>CẦN KIỂM TRA THỦ CÔNG</x:v>
      </x:c>
      <x:c r="M126" t="str">
        <x:f>IF(OR(C126&lt;&gt;1,D126&lt;&gt;"OK",E126&lt;&gt;"OK",H126&lt;&gt;"KHÔNG"),"BLOCK",IF(G126="PROTECTED","PROTECTED","CHECK_ONLY"))</x:f>
        <x:v>PROTECTED</x:v>
      </x:c>
    </x:row>
    <x:row r="127">
      <x:c r="A127" t="str">
        <x:v>HD05</x:v>
      </x:c>
      <x:c r="B127" t="str">
        <x:f>HD05!B47</x:f>
        <x:v>HD05.N.BANG.HANG</x:v>
      </x:c>
      <x:c r="C127" t="n">
        <x:f>COUNTIF(PROFILE_HD05!$B$7:$B$500,B127)</x:f>
        <x:v>1</x:v>
      </x:c>
      <x:c r="D127" t="str">
        <x:f>IF(LEFT(B127,LEN(A127)+1)=A127&amp;".","OK","SAI PREFIX")</x:f>
        <x:v>OK</x:v>
      </x:c>
      <x:c r="E127" t="str">
        <x:f>IF(COUNTIF(HD05!$B$7:$B$500,B127)=1,"OK","MÃ NGUỒN KHÔNG DUY NHẤT")</x:f>
        <x:v>OK</x:v>
      </x:c>
      <x:c r="F127" t="str">
        <x:f>IFERROR(INDEX(PROFILE_HD05!$CC$7:$CC$500,MATCH($B127,PROFILE_HD05!$B$7:$B$500,0)),"UNRESOLVED")</x:f>
        <x:v>READ_ONLY</x:v>
      </x:c>
      <x:c r="G127" t="str">
        <x:f>IFERROR(INDEX(PROFILE_HD05!$CD$7:$CD$500,MATCH($B127,PROFILE_HD05!$B$7:$B$500,0)),"UNRESOLVED")</x:f>
        <x:v>PROTECTED</x:v>
      </x:c>
      <x:c r="H127" t="str">
        <x:f>IFERROR(INDEX(PROFILE_HD05!$CK$7:$CK$500,MATCH($B127,PROFILE_HD05!$B$7:$B$500,0)),"UNRESOLVED")</x:f>
        <x:v>KHÔNG</x:v>
      </x:c>
      <x:c r="I127" t="str">
        <x:f>IFERROR(INDEX(PROFILE_HD05!$CA$7:$CA$500,MATCH($B127,PROFILE_HD05!$B$7:$B$500,0)),"UNRESOLVED")</x:f>
        <x:v>TABLE</x:v>
      </x:c>
      <x:c r="J127" t="str">
        <x:f>IFERROR(INDEX(PROFILE_HD05!$BZ$7:$BZ$500,MATCH($B127,PROFILE_HD05!$B$7:$B$500,0)),"UNRESOLVED")</x:f>
        <x:v>Theo khối/bảng đã xác minh</x:v>
      </x:c>
      <x:c r="K127" t="n">
        <x:f>IFERROR(INDEX(PROFILE_HD05!$AJ$7:$AJ$500,MATCH($B127,PROFILE_HD05!$B$7:$B$500,0)),"UNRESOLVED")</x:f>
        <x:v>13</x:v>
      </x:c>
      <x:c r="L127" t="str">
        <x:f>IF(K127="","N/A / CHƯA NHẬP",IF(AND(ISNUMBER(J127),ISNUMBER(K127),J127=K127),"KHỚP SỐ","CẦN KIỂM TRA THỦ CÔNG"))</x:f>
        <x:v>CẦN KIỂM TRA THỦ CÔNG</x:v>
      </x:c>
      <x:c r="M127" t="str">
        <x:f>IF(OR(C127&lt;&gt;1,D127&lt;&gt;"OK",E127&lt;&gt;"OK",H127&lt;&gt;"KHÔNG"),"BLOCK",IF(G127="PROTECTED","PROTECTED","CHECK_ONLY"))</x:f>
        <x:v>PROTECTED</x:v>
      </x:c>
    </x:row>
    <x:row r="128">
      <x:c r="A128" t="str">
        <x:v>HD05</x:v>
      </x:c>
      <x:c r="B128" t="str">
        <x:f>HD05!B48</x:f>
        <x:v>HD05.N.BANG.O</x:v>
      </x:c>
      <x:c r="C128" t="n">
        <x:f>COUNTIF(PROFILE_HD05!$B$7:$B$500,B128)</x:f>
        <x:v>1</x:v>
      </x:c>
      <x:c r="D128" t="str">
        <x:f>IF(LEFT(B128,LEN(A128)+1)=A128&amp;".","OK","SAI PREFIX")</x:f>
        <x:v>OK</x:v>
      </x:c>
      <x:c r="E128" t="str">
        <x:f>IF(COUNTIF(HD05!$B$7:$B$500,B128)=1,"OK","MÃ NGUỒN KHÔNG DUY NHẤT")</x:f>
        <x:v>OK</x:v>
      </x:c>
      <x:c r="F128" t="str">
        <x:f>IFERROR(INDEX(PROFILE_HD05!$CC$7:$CC$500,MATCH($B128,PROFILE_HD05!$B$7:$B$500,0)),"UNRESOLVED")</x:f>
        <x:v>READ_ONLY</x:v>
      </x:c>
      <x:c r="G128" t="str">
        <x:f>IFERROR(INDEX(PROFILE_HD05!$CD$7:$CD$500,MATCH($B128,PROFILE_HD05!$B$7:$B$500,0)),"UNRESOLVED")</x:f>
        <x:v>PROTECTED</x:v>
      </x:c>
      <x:c r="H128" t="str">
        <x:f>IFERROR(INDEX(PROFILE_HD05!$CK$7:$CK$500,MATCH($B128,PROFILE_HD05!$B$7:$B$500,0)),"UNRESOLVED")</x:f>
        <x:v>KHÔNG</x:v>
      </x:c>
      <x:c r="I128" t="str">
        <x:f>IFERROR(INDEX(PROFILE_HD05!$CA$7:$CA$500,MATCH($B128,PROFILE_HD05!$B$7:$B$500,0)),"UNRESOLVED")</x:f>
        <x:v>TABLE</x:v>
      </x:c>
      <x:c r="J128" t="str">
        <x:f>IFERROR(INDEX(PROFILE_HD05!$BZ$7:$BZ$500,MATCH($B128,PROFILE_HD05!$B$7:$B$500,0)),"UNRESOLVED")</x:f>
        <x:v>Theo khối/bảng đã xác minh</x:v>
      </x:c>
      <x:c r="K128" t="n">
        <x:f>IFERROR(INDEX(PROFILE_HD05!$AJ$7:$AJ$500,MATCH($B128,PROFILE_HD05!$B$7:$B$500,0)),"UNRESOLVED")</x:f>
        <x:v>13</x:v>
      </x:c>
      <x:c r="L128" t="str">
        <x:f>IF(K128="","N/A / CHƯA NHẬP",IF(AND(ISNUMBER(J128),ISNUMBER(K128),J128=K128),"KHỚP SỐ","CẦN KIỂM TRA THỦ CÔNG"))</x:f>
        <x:v>CẦN KIỂM TRA THỦ CÔNG</x:v>
      </x:c>
      <x:c r="M128" t="str">
        <x:f>IF(OR(C128&lt;&gt;1,D128&lt;&gt;"OK",E128&lt;&gt;"OK",H128&lt;&gt;"KHÔNG"),"BLOCK",IF(G128="PROTECTED","PROTECTED","CHECK_ONLY"))</x:f>
        <x:v>PROTECTED</x:v>
      </x:c>
    </x:row>
    <x:row r="129">
      <x:c r="A129" t="str">
        <x:v>HD05</x:v>
      </x:c>
      <x:c r="B129" t="str">
        <x:f>HD05!B49</x:f>
        <x:v>HD05.N.BANG.GOP_O</x:v>
      </x:c>
      <x:c r="C129" t="n">
        <x:f>COUNTIF(PROFILE_HD05!$B$7:$B$500,B129)</x:f>
        <x:v>1</x:v>
      </x:c>
      <x:c r="D129" t="str">
        <x:f>IF(LEFT(B129,LEN(A129)+1)=A129&amp;".","OK","SAI PREFIX")</x:f>
        <x:v>OK</x:v>
      </x:c>
      <x:c r="E129" t="str">
        <x:f>IF(COUNTIF(HD05!$B$7:$B$500,B129)=1,"OK","MÃ NGUỒN KHÔNG DUY NHẤT")</x:f>
        <x:v>OK</x:v>
      </x:c>
      <x:c r="F129" t="str">
        <x:f>IFERROR(INDEX(PROFILE_HD05!$CC$7:$CC$500,MATCH($B129,PROFILE_HD05!$B$7:$B$500,0)),"UNRESOLVED")</x:f>
        <x:v>READ_ONLY</x:v>
      </x:c>
      <x:c r="G129" t="str">
        <x:f>IFERROR(INDEX(PROFILE_HD05!$CD$7:$CD$500,MATCH($B129,PROFILE_HD05!$B$7:$B$500,0)),"UNRESOLVED")</x:f>
        <x:v>PROTECTED</x:v>
      </x:c>
      <x:c r="H129" t="str">
        <x:f>IFERROR(INDEX(PROFILE_HD05!$CK$7:$CK$500,MATCH($B129,PROFILE_HD05!$B$7:$B$500,0)),"UNRESOLVED")</x:f>
        <x:v>KHÔNG</x:v>
      </x:c>
      <x:c r="I129" t="str">
        <x:f>IFERROR(INDEX(PROFILE_HD05!$CA$7:$CA$500,MATCH($B129,PROFILE_HD05!$B$7:$B$500,0)),"UNRESOLVED")</x:f>
        <x:v>STRUCTURAL_TABLE</x:v>
      </x:c>
      <x:c r="J129" t="str">
        <x:f>IFERROR(INDEX(PROFILE_HD05!$BZ$7:$BZ$500,MATCH($B129,PROFILE_HD05!$B$7:$B$500,0)),"UNRESOLVED")</x:f>
        <x:v>Theo khối/bảng đã xác minh</x:v>
      </x:c>
      <x:c r="K129" t="n">
        <x:f>IFERROR(INDEX(PROFILE_HD05!$AJ$7:$AJ$500,MATCH($B129,PROFILE_HD05!$B$7:$B$500,0)),"UNRESOLVED")</x:f>
        <x:v>13</x:v>
      </x:c>
      <x:c r="L129" t="str">
        <x:f>IF(K129="","N/A / CHƯA NHẬP",IF(AND(ISNUMBER(J129),ISNUMBER(K129),J129=K129),"KHỚP SỐ","CẦN KIỂM TRA THỦ CÔNG"))</x:f>
        <x:v>CẦN KIỂM TRA THỦ CÔNG</x:v>
      </x:c>
      <x:c r="M129" t="str">
        <x:f>IF(OR(C129&lt;&gt;1,D129&lt;&gt;"OK",E129&lt;&gt;"OK",H129&lt;&gt;"KHÔNG"),"BLOCK",IF(G129="PROTECTED","PROTECTED","CHECK_ONLY"))</x:f>
        <x:v>PROTECTED</x:v>
      </x:c>
    </x:row>
    <x:row r="130">
      <x:c r="A130" t="str">
        <x:v>HD05</x:v>
      </x:c>
      <x:c r="B130" t="str">
        <x:f>HD05!B50</x:f>
        <x:v>HD05.N.HINH.DOI_TUONG</x:v>
      </x:c>
      <x:c r="C130" t="n">
        <x:f>COUNTIF(PROFILE_HD05!$B$7:$B$500,B130)</x:f>
        <x:v>1</x:v>
      </x:c>
      <x:c r="D130" t="str">
        <x:f>IF(LEFT(B130,LEN(A130)+1)=A130&amp;".","OK","SAI PREFIX")</x:f>
        <x:v>OK</x:v>
      </x:c>
      <x:c r="E130" t="str">
        <x:f>IF(COUNTIF(HD05!$B$7:$B$500,B130)=1,"OK","MÃ NGUỒN KHÔNG DUY NHẤT")</x:f>
        <x:v>OK</x:v>
      </x:c>
      <x:c r="F130" t="str">
        <x:f>IFERROR(INDEX(PROFILE_HD05!$CC$7:$CC$500,MATCH($B130,PROFILE_HD05!$B$7:$B$500,0)),"UNRESOLVED")</x:f>
        <x:v>READ_ONLY</x:v>
      </x:c>
      <x:c r="G130" t="str">
        <x:f>IFERROR(INDEX(PROFILE_HD05!$CD$7:$CD$500,MATCH($B130,PROFILE_HD05!$B$7:$B$500,0)),"UNRESOLVED")</x:f>
        <x:v>PROTECTED</x:v>
      </x:c>
      <x:c r="H130" t="str">
        <x:f>IFERROR(INDEX(PROFILE_HD05!$CK$7:$CK$500,MATCH($B130,PROFILE_HD05!$B$7:$B$500,0)),"UNRESOLVED")</x:f>
        <x:v>KHÔNG</x:v>
      </x:c>
      <x:c r="I130" t="str">
        <x:f>IFERROR(INDEX(PROFILE_HD05!$CA$7:$CA$500,MATCH($B130,PROFILE_HD05!$B$7:$B$500,0)),"UNRESOLVED")</x:f>
        <x:v>IMAGE</x:v>
      </x:c>
      <x:c r="J130" t="str">
        <x:f>IFERROR(INDEX(PROFILE_HD05!$BZ$7:$BZ$500,MATCH($B130,PROFILE_HD05!$B$7:$B$500,0)),"UNRESOLVED")</x:f>
        <x:v>Theo đối tượng/mẫu</x:v>
      </x:c>
      <x:c r="K130" t="str">
        <x:f>IFERROR(INDEX(PROFILE_HD05!$AJ$7:$AJ$500,MATCH($B130,PROFILE_HD05!$B$7:$B$500,0)),"UNRESOLVED")</x:f>
      </x:c>
      <x:c r="L130" t="str">
        <x:f>IF(K130="","N/A / CHƯA NHẬP",IF(AND(ISNUMBER(J130),ISNUMBER(K130),J130=K130),"KHỚP SỐ","CẦN KIỂM TRA THỦ CÔNG"))</x:f>
        <x:v>N/A / CHƯA NHẬP</x:v>
      </x:c>
      <x:c r="M130" t="str">
        <x:f>IF(OR(C130&lt;&gt;1,D130&lt;&gt;"OK",E130&lt;&gt;"OK",H130&lt;&gt;"KHÔNG"),"BLOCK",IF(G130="PROTECTED","PROTECTED","CHECK_ONLY"))</x:f>
        <x:v>PROTECTED</x:v>
      </x:c>
    </x:row>
    <x:row r="131">
      <x:c r="A131" t="str">
        <x:v>HD05</x:v>
      </x:c>
      <x:c r="B131" t="str">
        <x:f>HD05!B51</x:f>
        <x:v>HD05.N.HINH.CHU_THICH</x:v>
      </x:c>
      <x:c r="C131" t="n">
        <x:f>COUNTIF(PROFILE_HD05!$B$7:$B$500,B131)</x:f>
        <x:v>1</x:v>
      </x:c>
      <x:c r="D131" t="str">
        <x:f>IF(LEFT(B131,LEN(A131)+1)=A131&amp;".","OK","SAI PREFIX")</x:f>
        <x:v>OK</x:v>
      </x:c>
      <x:c r="E131" t="str">
        <x:f>IF(COUNTIF(HD05!$B$7:$B$500,B131)=1,"OK","MÃ NGUỒN KHÔNG DUY NHẤT")</x:f>
        <x:v>OK</x:v>
      </x:c>
      <x:c r="F131" t="str">
        <x:f>IFERROR(INDEX(PROFILE_HD05!$CC$7:$CC$500,MATCH($B131,PROFILE_HD05!$B$7:$B$500,0)),"UNRESOLVED")</x:f>
        <x:v>READ_ONLY</x:v>
      </x:c>
      <x:c r="G131" t="str">
        <x:f>IFERROR(INDEX(PROFILE_HD05!$CD$7:$CD$500,MATCH($B131,PROFILE_HD05!$B$7:$B$500,0)),"UNRESOLVED")</x:f>
        <x:v>PROTECTED</x:v>
      </x:c>
      <x:c r="H131" t="str">
        <x:f>IFERROR(INDEX(PROFILE_HD05!$CK$7:$CK$500,MATCH($B131,PROFILE_HD05!$B$7:$B$500,0)),"UNRESOLVED")</x:f>
        <x:v>KHÔNG</x:v>
      </x:c>
      <x:c r="I131" t="str">
        <x:f>IFERROR(INDEX(PROFILE_HD05!$CA$7:$CA$500,MATCH($B131,PROFILE_HD05!$B$7:$B$500,0)),"UNRESOLVED")</x:f>
        <x:v>TEXT</x:v>
      </x:c>
      <x:c r="J131" t="str">
        <x:f>IFERROR(INDEX(PROFILE_HD05!$BZ$7:$BZ$500,MATCH($B131,PROFILE_HD05!$B$7:$B$500,0)),"UNRESOLVED")</x:f>
        <x:v>Theo đối tượng/mẫu</x:v>
      </x:c>
      <x:c r="K131" t="n">
        <x:f>IFERROR(INDEX(PROFILE_HD05!$AJ$7:$AJ$500,MATCH($B131,PROFILE_HD05!$B$7:$B$500,0)),"UNRESOLVED")</x:f>
        <x:v>12</x:v>
      </x:c>
      <x:c r="L131" t="str">
        <x:f>IF(K131="","N/A / CHƯA NHẬP",IF(AND(ISNUMBER(J131),ISNUMBER(K131),J131=K131),"KHỚP SỐ","CẦN KIỂM TRA THỦ CÔNG"))</x:f>
        <x:v>CẦN KIỂM TRA THỦ CÔNG</x:v>
      </x:c>
      <x:c r="M131" t="str">
        <x:f>IF(OR(C131&lt;&gt;1,D131&lt;&gt;"OK",E131&lt;&gt;"OK",H131&lt;&gt;"KHÔNG"),"BLOCK",IF(G131="PROTECTED","PROTECTED","CHECK_ONLY"))</x:f>
        <x:v>PROTECTED</x:v>
      </x:c>
    </x:row>
    <x:row r="132">
      <x:c r="A132" t="str">
        <x:v>HD05</x:v>
      </x:c>
      <x:c r="B132" t="str">
        <x:f>HD05!B52</x:f>
        <x:v>HD05.N.KET.DOAN_KET</x:v>
      </x:c>
      <x:c r="C132" t="n">
        <x:f>COUNTIF(PROFILE_HD05!$B$7:$B$500,B132)</x:f>
        <x:v>1</x:v>
      </x:c>
      <x:c r="D132" t="str">
        <x:f>IF(LEFT(B132,LEN(A132)+1)=A132&amp;".","OK","SAI PREFIX")</x:f>
        <x:v>OK</x:v>
      </x:c>
      <x:c r="E132" t="str">
        <x:f>IF(COUNTIF(HD05!$B$7:$B$500,B132)=1,"OK","MÃ NGUỒN KHÔNG DUY NHẤT")</x:f>
        <x:v>OK</x:v>
      </x:c>
      <x:c r="F132" t="str">
        <x:f>IFERROR(INDEX(PROFILE_HD05!$CC$7:$CC$500,MATCH($B132,PROFILE_HD05!$B$7:$B$500,0)),"UNRESOLVED")</x:f>
        <x:v>CHỈ SAU REVIEW</x:v>
      </x:c>
      <x:c r="G132" t="str">
        <x:f>IFERROR(INDEX(PROFILE_HD05!$CD$7:$CD$500,MATCH($B132,PROFILE_HD05!$B$7:$B$500,0)),"UNRESOLVED")</x:f>
        <x:v>CHECK_ONLY</x:v>
      </x:c>
      <x:c r="H132" t="str">
        <x:f>IFERROR(INDEX(PROFILE_HD05!$CK$7:$CK$500,MATCH($B132,PROFILE_HD05!$B$7:$B$500,0)),"UNRESOLVED")</x:f>
        <x:v>KHÔNG</x:v>
      </x:c>
      <x:c r="I132" t="str">
        <x:f>IFERROR(INDEX(PROFILE_HD05!$CA$7:$CA$500,MATCH($B132,PROFILE_HD05!$B$7:$B$500,0)),"UNRESOLVED")</x:f>
        <x:v>TEXT</x:v>
      </x:c>
      <x:c r="J132" t="str">
        <x:f>IFERROR(INDEX(PROFILE_HD05!$BZ$7:$BZ$500,MATCH($B132,PROFILE_HD05!$B$7:$B$500,0)),"UNRESOLVED")</x:f>
        <x:v>14–15</x:v>
      </x:c>
      <x:c r="K132" t="n">
        <x:f>IFERROR(INDEX(PROFILE_HD05!$AJ$7:$AJ$500,MATCH($B132,PROFILE_HD05!$B$7:$B$500,0)),"UNRESOLVED")</x:f>
        <x:v>14</x:v>
      </x:c>
      <x:c r="L132" t="str">
        <x:f>IF(K132="","N/A / CHƯA NHẬP",IF(AND(ISNUMBER(J132),ISNUMBER(K132),J132=K132),"KHỚP SỐ","CẦN KIỂM TRA THỦ CÔNG"))</x:f>
        <x:v>CẦN KIỂM TRA THỦ CÔNG</x:v>
      </x:c>
      <x:c r="M132" t="str">
        <x:f>IF(OR(C132&lt;&gt;1,D132&lt;&gt;"OK",E132&lt;&gt;"OK",H132&lt;&gt;"KHÔNG"),"BLOCK",IF(G132="PROTECTED","PROTECTED","CHECK_ONLY"))</x:f>
        <x:v>CHECK_ONLY</x:v>
      </x:c>
    </x:row>
    <x:row r="133">
      <x:c r="A133" t="str">
        <x:v>HD05</x:v>
      </x:c>
      <x:c r="B133" t="str">
        <x:f>HD05!B53</x:f>
        <x:v>HD05.C.NN.NHAN_NOI_NHAN</x:v>
      </x:c>
      <x:c r="C133" t="n">
        <x:f>COUNTIF(PROFILE_HD05!$B$7:$B$500,B133)</x:f>
        <x:v>1</x:v>
      </x:c>
      <x:c r="D133" t="str">
        <x:f>IF(LEFT(B133,LEN(A133)+1)=A133&amp;".","OK","SAI PREFIX")</x:f>
        <x:v>OK</x:v>
      </x:c>
      <x:c r="E133" t="str">
        <x:f>IF(COUNTIF(HD05!$B$7:$B$500,B133)=1,"OK","MÃ NGUỒN KHÔNG DUY NHẤT")</x:f>
        <x:v>OK</x:v>
      </x:c>
      <x:c r="F133" t="str">
        <x:f>IFERROR(INDEX(PROFILE_HD05!$CC$7:$CC$500,MATCH($B133,PROFILE_HD05!$B$7:$B$500,0)),"UNRESOLVED")</x:f>
        <x:v>READ_ONLY</x:v>
      </x:c>
      <x:c r="G133" t="str">
        <x:f>IFERROR(INDEX(PROFILE_HD05!$CD$7:$CD$500,MATCH($B133,PROFILE_HD05!$B$7:$B$500,0)),"UNRESOLVED")</x:f>
        <x:v>PROTECTED</x:v>
      </x:c>
      <x:c r="H133" t="str">
        <x:f>IFERROR(INDEX(PROFILE_HD05!$CK$7:$CK$500,MATCH($B133,PROFILE_HD05!$B$7:$B$500,0)),"UNRESOLVED")</x:f>
        <x:v>KHÔNG</x:v>
      </x:c>
      <x:c r="I133" t="str">
        <x:f>IFERROR(INDEX(PROFILE_HD05!$CA$7:$CA$500,MATCH($B133,PROFILE_HD05!$B$7:$B$500,0)),"UNRESOLVED")</x:f>
        <x:v>TEXT</x:v>
      </x:c>
      <x:c r="J133" t="n">
        <x:f>IFERROR(INDEX(PROFILE_HD05!$BZ$7:$BZ$500,MATCH($B133,PROFILE_HD05!$B$7:$B$500,0)),"UNRESOLVED")</x:f>
        <x:v>14</x:v>
      </x:c>
      <x:c r="K133" t="n">
        <x:f>IFERROR(INDEX(PROFILE_HD05!$AJ$7:$AJ$500,MATCH($B133,PROFILE_HD05!$B$7:$B$500,0)),"UNRESOLVED")</x:f>
        <x:v>14</x:v>
      </x:c>
      <x:c r="L133" t="str">
        <x:f>IF(K133="","N/A / CHƯA NHẬP",IF(AND(ISNUMBER(J133),ISNUMBER(K133),J133=K133),"KHỚP SỐ","CẦN KIỂM TRA THỦ CÔNG"))</x:f>
        <x:v>KHỚP SỐ</x:v>
      </x:c>
      <x:c r="M133" t="str">
        <x:f>IF(OR(C133&lt;&gt;1,D133&lt;&gt;"OK",E133&lt;&gt;"OK",H133&lt;&gt;"KHÔNG"),"BLOCK",IF(G133="PROTECTED","PROTECTED","CHECK_ONLY"))</x:f>
        <x:v>PROTECTED</x:v>
      </x:c>
    </x:row>
    <x:row r="134">
      <x:c r="A134" t="str">
        <x:v>HD05</x:v>
      </x:c>
      <x:c r="B134" t="str">
        <x:f>HD05!B54</x:f>
        <x:v>HD05.C.NN.DUONG_KE</x:v>
      </x:c>
      <x:c r="C134" t="n">
        <x:f>COUNTIF(PROFILE_HD05!$B$7:$B$500,B134)</x:f>
        <x:v>1</x:v>
      </x:c>
      <x:c r="D134" t="str">
        <x:f>IF(LEFT(B134,LEN(A134)+1)=A134&amp;".","OK","SAI PREFIX")</x:f>
        <x:v>OK</x:v>
      </x:c>
      <x:c r="E134" t="str">
        <x:f>IF(COUNTIF(HD05!$B$7:$B$500,B134)=1,"OK","MÃ NGUỒN KHÔNG DUY NHẤT")</x:f>
        <x:v>OK</x:v>
      </x:c>
      <x:c r="F134" t="str">
        <x:f>IFERROR(INDEX(PROFILE_HD05!$CC$7:$CC$500,MATCH($B134,PROFILE_HD05!$B$7:$B$500,0)),"UNRESOLVED")</x:f>
        <x:v>READ_ONLY</x:v>
      </x:c>
      <x:c r="G134" t="str">
        <x:f>IFERROR(INDEX(PROFILE_HD05!$CD$7:$CD$500,MATCH($B134,PROFILE_HD05!$B$7:$B$500,0)),"UNRESOLVED")</x:f>
        <x:v>PROTECTED</x:v>
      </x:c>
      <x:c r="H134" t="str">
        <x:f>IFERROR(INDEX(PROFILE_HD05!$CK$7:$CK$500,MATCH($B134,PROFILE_HD05!$B$7:$B$500,0)),"UNRESOLVED")</x:f>
        <x:v>KHÔNG</x:v>
      </x:c>
      <x:c r="I134" t="str">
        <x:f>IFERROR(INDEX(PROFILE_HD05!$CA$7:$CA$500,MATCH($B134,PROFILE_HD05!$B$7:$B$500,0)),"UNRESOLVED")</x:f>
        <x:v>SEPARATOR</x:v>
      </x:c>
      <x:c r="J134" t="str">
        <x:f>IFERROR(INDEX(PROFILE_HD05!$BZ$7:$BZ$500,MATCH($B134,PROFILE_HD05!$B$7:$B$500,0)),"UNRESOLVED")</x:f>
        <x:v>Không áp dụng</x:v>
      </x:c>
      <x:c r="K134" t="str">
        <x:f>IFERROR(INDEX(PROFILE_HD05!$AJ$7:$AJ$500,MATCH($B134,PROFILE_HD05!$B$7:$B$500,0)),"UNRESOLVED")</x:f>
      </x:c>
      <x:c r="L134" t="str">
        <x:f>IF(K134="","N/A / CHƯA NHẬP",IF(AND(ISNUMBER(J134),ISNUMBER(K134),J134=K134),"KHỚP SỐ","CẦN KIỂM TRA THỦ CÔNG"))</x:f>
        <x:v>N/A / CHƯA NHẬP</x:v>
      </x:c>
      <x:c r="M134" t="str">
        <x:f>IF(OR(C134&lt;&gt;1,D134&lt;&gt;"OK",E134&lt;&gt;"OK",H134&lt;&gt;"KHÔNG"),"BLOCK",IF(G134="PROTECTED","PROTECTED","CHECK_ONLY"))</x:f>
        <x:v>PROTECTED</x:v>
      </x:c>
    </x:row>
    <x:row r="135">
      <x:c r="A135" t="str">
        <x:v>HD05</x:v>
      </x:c>
      <x:c r="B135" t="str">
        <x:f>HD05!B55</x:f>
        <x:v>HD05.C.NN.DANH_SACH</x:v>
      </x:c>
      <x:c r="C135" t="n">
        <x:f>COUNTIF(PROFILE_HD05!$B$7:$B$500,B135)</x:f>
        <x:v>1</x:v>
      </x:c>
      <x:c r="D135" t="str">
        <x:f>IF(LEFT(B135,LEN(A135)+1)=A135&amp;".","OK","SAI PREFIX")</x:f>
        <x:v>OK</x:v>
      </x:c>
      <x:c r="E135" t="str">
        <x:f>IF(COUNTIF(HD05!$B$7:$B$500,B135)=1,"OK","MÃ NGUỒN KHÔNG DUY NHẤT")</x:f>
        <x:v>OK</x:v>
      </x:c>
      <x:c r="F135" t="str">
        <x:f>IFERROR(INDEX(PROFILE_HD05!$CC$7:$CC$500,MATCH($B135,PROFILE_HD05!$B$7:$B$500,0)),"UNRESOLVED")</x:f>
        <x:v>KHÔNG TỰ ĐIỀN ĐƠN VỊ NHẬN</x:v>
      </x:c>
      <x:c r="G135" t="str">
        <x:f>IFERROR(INDEX(PROFILE_HD05!$CD$7:$CD$500,MATCH($B135,PROFILE_HD05!$B$7:$B$500,0)),"UNRESOLVED")</x:f>
        <x:v>CHECK_ONLY</x:v>
      </x:c>
      <x:c r="H135" t="str">
        <x:f>IFERROR(INDEX(PROFILE_HD05!$CK$7:$CK$500,MATCH($B135,PROFILE_HD05!$B$7:$B$500,0)),"UNRESOLVED")</x:f>
        <x:v>KHÔNG</x:v>
      </x:c>
      <x:c r="I135" t="str">
        <x:f>IFERROR(INDEX(PROFILE_HD05!$CA$7:$CA$500,MATCH($B135,PROFILE_HD05!$B$7:$B$500,0)),"UNRESOLVED")</x:f>
        <x:v>TEXT</x:v>
      </x:c>
      <x:c r="J135" t="n">
        <x:f>IFERROR(INDEX(PROFILE_HD05!$BZ$7:$BZ$500,MATCH($B135,PROFILE_HD05!$B$7:$B$500,0)),"UNRESOLVED")</x:f>
        <x:v>12</x:v>
      </x:c>
      <x:c r="K135" t="n">
        <x:f>IFERROR(INDEX(PROFILE_HD05!$AJ$7:$AJ$500,MATCH($B135,PROFILE_HD05!$B$7:$B$500,0)),"UNRESOLVED")</x:f>
        <x:v>12</x:v>
      </x:c>
      <x:c r="L135" t="str">
        <x:f>IF(K135="","N/A / CHƯA NHẬP",IF(AND(ISNUMBER(J135),ISNUMBER(K135),J135=K135),"KHỚP SỐ","CẦN KIỂM TRA THỦ CÔNG"))</x:f>
        <x:v>KHỚP SỐ</x:v>
      </x:c>
      <x:c r="M135" t="str">
        <x:f>IF(OR(C135&lt;&gt;1,D135&lt;&gt;"OK",E135&lt;&gt;"OK",H135&lt;&gt;"KHÔNG"),"BLOCK",IF(G135="PROTECTED","PROTECTED","CHECK_ONLY"))</x:f>
        <x:v>CHECK_ONLY</x:v>
      </x:c>
    </x:row>
    <x:row r="136">
      <x:c r="A136" t="str">
        <x:v>HD05</x:v>
      </x:c>
      <x:c r="B136" t="str">
        <x:f>HD05!B56</x:f>
        <x:v>HD05.C.NN.NHU_TREN</x:v>
      </x:c>
      <x:c r="C136" t="n">
        <x:f>COUNTIF(PROFILE_HD05!$B$7:$B$500,B136)</x:f>
        <x:v>1</x:v>
      </x:c>
      <x:c r="D136" t="str">
        <x:f>IF(LEFT(B136,LEN(A136)+1)=A136&amp;".","OK","SAI PREFIX")</x:f>
        <x:v>OK</x:v>
      </x:c>
      <x:c r="E136" t="str">
        <x:f>IF(COUNTIF(HD05!$B$7:$B$500,B136)=1,"OK","MÃ NGUỒN KHÔNG DUY NHẤT")</x:f>
        <x:v>OK</x:v>
      </x:c>
      <x:c r="F136" t="str">
        <x:f>IFERROR(INDEX(PROFILE_HD05!$CC$7:$CC$500,MATCH($B136,PROFILE_HD05!$B$7:$B$500,0)),"UNRESOLVED")</x:f>
        <x:v>KHÔNG TỰ ĐIỀN ĐƠN VỊ NHẬN</x:v>
      </x:c>
      <x:c r="G136" t="str">
        <x:f>IFERROR(INDEX(PROFILE_HD05!$CD$7:$CD$500,MATCH($B136,PROFILE_HD05!$B$7:$B$500,0)),"UNRESOLVED")</x:f>
        <x:v>CHECK_ONLY</x:v>
      </x:c>
      <x:c r="H136" t="str">
        <x:f>IFERROR(INDEX(PROFILE_HD05!$CK$7:$CK$500,MATCH($B136,PROFILE_HD05!$B$7:$B$500,0)),"UNRESOLVED")</x:f>
        <x:v>KHÔNG</x:v>
      </x:c>
      <x:c r="I136" t="str">
        <x:f>IFERROR(INDEX(PROFILE_HD05!$CA$7:$CA$500,MATCH($B136,PROFILE_HD05!$B$7:$B$500,0)),"UNRESOLVED")</x:f>
        <x:v>TEXT</x:v>
      </x:c>
      <x:c r="J136" t="n">
        <x:f>IFERROR(INDEX(PROFILE_HD05!$BZ$7:$BZ$500,MATCH($B136,PROFILE_HD05!$B$7:$B$500,0)),"UNRESOLVED")</x:f>
        <x:v>12</x:v>
      </x:c>
      <x:c r="K136" t="n">
        <x:f>IFERROR(INDEX(PROFILE_HD05!$AJ$7:$AJ$500,MATCH($B136,PROFILE_HD05!$B$7:$B$500,0)),"UNRESOLVED")</x:f>
        <x:v>12</x:v>
      </x:c>
      <x:c r="L136" t="str">
        <x:f>IF(K136="","N/A / CHƯA NHẬP",IF(AND(ISNUMBER(J136),ISNUMBER(K136),J136=K136),"KHỚP SỐ","CẦN KIỂM TRA THỦ CÔNG"))</x:f>
        <x:v>KHỚP SỐ</x:v>
      </x:c>
      <x:c r="M136" t="str">
        <x:f>IF(OR(C136&lt;&gt;1,D136&lt;&gt;"OK",E136&lt;&gt;"OK",H136&lt;&gt;"KHÔNG"),"BLOCK",IF(G136="PROTECTED","PROTECTED","CHECK_ONLY"))</x:f>
        <x:v>CHECK_ONLY</x:v>
      </x:c>
    </x:row>
    <x:row r="137">
      <x:c r="A137" t="str">
        <x:v>HD05</x:v>
      </x:c>
      <x:c r="B137" t="str">
        <x:f>HD05!B57</x:f>
        <x:v>HD05.C.NN.NOI_LUU</x:v>
      </x:c>
      <x:c r="C137" t="n">
        <x:f>COUNTIF(PROFILE_HD05!$B$7:$B$500,B137)</x:f>
        <x:v>1</x:v>
      </x:c>
      <x:c r="D137" t="str">
        <x:f>IF(LEFT(B137,LEN(A137)+1)=A137&amp;".","OK","SAI PREFIX")</x:f>
        <x:v>OK</x:v>
      </x:c>
      <x:c r="E137" t="str">
        <x:f>IF(COUNTIF(HD05!$B$7:$B$500,B137)=1,"OK","MÃ NGUỒN KHÔNG DUY NHẤT")</x:f>
        <x:v>OK</x:v>
      </x:c>
      <x:c r="F137" t="str">
        <x:f>IFERROR(INDEX(PROFILE_HD05!$CC$7:$CC$500,MATCH($B137,PROFILE_HD05!$B$7:$B$500,0)),"UNRESOLVED")</x:f>
        <x:v>KHÔNG TỰ ĐIỀN ĐƠN VỊ NHẬN</x:v>
      </x:c>
      <x:c r="G137" t="str">
        <x:f>IFERROR(INDEX(PROFILE_HD05!$CD$7:$CD$500,MATCH($B137,PROFILE_HD05!$B$7:$B$500,0)),"UNRESOLVED")</x:f>
        <x:v>CHECK_ONLY</x:v>
      </x:c>
      <x:c r="H137" t="str">
        <x:f>IFERROR(INDEX(PROFILE_HD05!$CK$7:$CK$500,MATCH($B137,PROFILE_HD05!$B$7:$B$500,0)),"UNRESOLVED")</x:f>
        <x:v>KHÔNG</x:v>
      </x:c>
      <x:c r="I137" t="str">
        <x:f>IFERROR(INDEX(PROFILE_HD05!$CA$7:$CA$500,MATCH($B137,PROFILE_HD05!$B$7:$B$500,0)),"UNRESOLVED")</x:f>
        <x:v>TEXT</x:v>
      </x:c>
      <x:c r="J137" t="n">
        <x:f>IFERROR(INDEX(PROFILE_HD05!$BZ$7:$BZ$500,MATCH($B137,PROFILE_HD05!$B$7:$B$500,0)),"UNRESOLVED")</x:f>
        <x:v>12</x:v>
      </x:c>
      <x:c r="K137" t="n">
        <x:f>IFERROR(INDEX(PROFILE_HD05!$AJ$7:$AJ$500,MATCH($B137,PROFILE_HD05!$B$7:$B$500,0)),"UNRESOLVED")</x:f>
        <x:v>12</x:v>
      </x:c>
      <x:c r="L137" t="str">
        <x:f>IF(K137="","N/A / CHƯA NHẬP",IF(AND(ISNUMBER(J137),ISNUMBER(K137),J137=K137),"KHỚP SỐ","CẦN KIỂM TRA THỦ CÔNG"))</x:f>
        <x:v>KHỚP SỐ</x:v>
      </x:c>
      <x:c r="M137" t="str">
        <x:f>IF(OR(C137&lt;&gt;1,D137&lt;&gt;"OK",E137&lt;&gt;"OK",H137&lt;&gt;"KHÔNG"),"BLOCK",IF(G137="PROTECTED","PROTECTED","CHECK_ONLY"))</x:f>
        <x:v>CHECK_ONLY</x:v>
      </x:c>
    </x:row>
    <x:row r="138">
      <x:c r="A138" t="str">
        <x:v>HD05</x:v>
      </x:c>
      <x:c r="B138" t="str">
        <x:f>HD05!B58</x:f>
        <x:v>HD05.C.KY.QUYEN_HAN</x:v>
      </x:c>
      <x:c r="C138" t="n">
        <x:f>COUNTIF(PROFILE_HD05!$B$7:$B$500,B138)</x:f>
        <x:v>1</x:v>
      </x:c>
      <x:c r="D138" t="str">
        <x:f>IF(LEFT(B138,LEN(A138)+1)=A138&amp;".","OK","SAI PREFIX")</x:f>
        <x:v>OK</x:v>
      </x:c>
      <x:c r="E138" t="str">
        <x:f>IF(COUNTIF(HD05!$B$7:$B$500,B138)=1,"OK","MÃ NGUỒN KHÔNG DUY NHẤT")</x:f>
        <x:v>OK</x:v>
      </x:c>
      <x:c r="F138" t="str">
        <x:f>IFERROR(INDEX(PROFILE_HD05!$CC$7:$CC$500,MATCH($B138,PROFILE_HD05!$B$7:$B$500,0)),"UNRESOLVED")</x:f>
        <x:v>KHÔNG TỰ XÁC NHẬN THẨM QUYỀN</x:v>
      </x:c>
      <x:c r="G138" t="str">
        <x:f>IFERROR(INDEX(PROFILE_HD05!$CD$7:$CD$500,MATCH($B138,PROFILE_HD05!$B$7:$B$500,0)),"UNRESOLVED")</x:f>
        <x:v>CHECK_ONLY</x:v>
      </x:c>
      <x:c r="H138" t="str">
        <x:f>IFERROR(INDEX(PROFILE_HD05!$CK$7:$CK$500,MATCH($B138,PROFILE_HD05!$B$7:$B$500,0)),"UNRESOLVED")</x:f>
        <x:v>KHÔNG</x:v>
      </x:c>
      <x:c r="I138" t="str">
        <x:f>IFERROR(INDEX(PROFILE_HD05!$CA$7:$CA$500,MATCH($B138,PROFILE_HD05!$B$7:$B$500,0)),"UNRESOLVED")</x:f>
        <x:v>TEXT</x:v>
      </x:c>
      <x:c r="J138" t="n">
        <x:f>IFERROR(INDEX(PROFILE_HD05!$BZ$7:$BZ$500,MATCH($B138,PROFILE_HD05!$B$7:$B$500,0)),"UNRESOLVED")</x:f>
        <x:v>14</x:v>
      </x:c>
      <x:c r="K138" t="n">
        <x:f>IFERROR(INDEX(PROFILE_HD05!$AJ$7:$AJ$500,MATCH($B138,PROFILE_HD05!$B$7:$B$500,0)),"UNRESOLVED")</x:f>
        <x:v>14</x:v>
      </x:c>
      <x:c r="L138" t="str">
        <x:f>IF(K138="","N/A / CHƯA NHẬP",IF(AND(ISNUMBER(J138),ISNUMBER(K138),J138=K138),"KHỚP SỐ","CẦN KIỂM TRA THỦ CÔNG"))</x:f>
        <x:v>KHỚP SỐ</x:v>
      </x:c>
      <x:c r="M138" t="str">
        <x:f>IF(OR(C138&lt;&gt;1,D138&lt;&gt;"OK",E138&lt;&gt;"OK",H138&lt;&gt;"KHÔNG"),"BLOCK",IF(G138="PROTECTED","PROTECTED","CHECK_ONLY"))</x:f>
        <x:v>CHECK_ONLY</x:v>
      </x:c>
    </x:row>
    <x:row r="139">
      <x:c r="A139" t="str">
        <x:v>HD05</x:v>
      </x:c>
      <x:c r="B139" t="str">
        <x:f>HD05!B59</x:f>
        <x:v>HD05.C.KY.CHUC_VU</x:v>
      </x:c>
      <x:c r="C139" t="n">
        <x:f>COUNTIF(PROFILE_HD05!$B$7:$B$500,B139)</x:f>
        <x:v>1</x:v>
      </x:c>
      <x:c r="D139" t="str">
        <x:f>IF(LEFT(B139,LEN(A139)+1)=A139&amp;".","OK","SAI PREFIX")</x:f>
        <x:v>OK</x:v>
      </x:c>
      <x:c r="E139" t="str">
        <x:f>IF(COUNTIF(HD05!$B$7:$B$500,B139)=1,"OK","MÃ NGUỒN KHÔNG DUY NHẤT")</x:f>
        <x:v>OK</x:v>
      </x:c>
      <x:c r="F139" t="str">
        <x:f>IFERROR(INDEX(PROFILE_HD05!$CC$7:$CC$500,MATCH($B139,PROFILE_HD05!$B$7:$B$500,0)),"UNRESOLVED")</x:f>
        <x:v>READ_ONLY</x:v>
      </x:c>
      <x:c r="G139" t="str">
        <x:f>IFERROR(INDEX(PROFILE_HD05!$CD$7:$CD$500,MATCH($B139,PROFILE_HD05!$B$7:$B$500,0)),"UNRESOLVED")</x:f>
        <x:v>PROTECTED</x:v>
      </x:c>
      <x:c r="H139" t="str">
        <x:f>IFERROR(INDEX(PROFILE_HD05!$CK$7:$CK$500,MATCH($B139,PROFILE_HD05!$B$7:$B$500,0)),"UNRESOLVED")</x:f>
        <x:v>KHÔNG</x:v>
      </x:c>
      <x:c r="I139" t="str">
        <x:f>IFERROR(INDEX(PROFILE_HD05!$CA$7:$CA$500,MATCH($B139,PROFILE_HD05!$B$7:$B$500,0)),"UNRESOLVED")</x:f>
        <x:v>TEXT</x:v>
      </x:c>
      <x:c r="J139" t="n">
        <x:f>IFERROR(INDEX(PROFILE_HD05!$BZ$7:$BZ$500,MATCH($B139,PROFILE_HD05!$B$7:$B$500,0)),"UNRESOLVED")</x:f>
        <x:v>14</x:v>
      </x:c>
      <x:c r="K139" t="n">
        <x:f>IFERROR(INDEX(PROFILE_HD05!$AJ$7:$AJ$500,MATCH($B139,PROFILE_HD05!$B$7:$B$500,0)),"UNRESOLVED")</x:f>
        <x:v>14</x:v>
      </x:c>
      <x:c r="L139" t="str">
        <x:f>IF(K139="","N/A / CHƯA NHẬP",IF(AND(ISNUMBER(J139),ISNUMBER(K139),J139=K139),"KHỚP SỐ","CẦN KIỂM TRA THỦ CÔNG"))</x:f>
        <x:v>KHỚP SỐ</x:v>
      </x:c>
      <x:c r="M139" t="str">
        <x:f>IF(OR(C139&lt;&gt;1,D139&lt;&gt;"OK",E139&lt;&gt;"OK",H139&lt;&gt;"KHÔNG"),"BLOCK",IF(G139="PROTECTED","PROTECTED","CHECK_ONLY"))</x:f>
        <x:v>PROTECTED</x:v>
      </x:c>
    </x:row>
    <x:row r="140">
      <x:c r="A140" t="str">
        <x:v>HD05</x:v>
      </x:c>
      <x:c r="B140" t="str">
        <x:f>HD05!B60</x:f>
        <x:v>HD05.C.KY.CHU_KY</x:v>
      </x:c>
      <x:c r="C140" t="n">
        <x:f>COUNTIF(PROFILE_HD05!$B$7:$B$500,B140)</x:f>
        <x:v>1</x:v>
      </x:c>
      <x:c r="D140" t="str">
        <x:f>IF(LEFT(B140,LEN(A140)+1)=A140&amp;".","OK","SAI PREFIX")</x:f>
        <x:v>OK</x:v>
      </x:c>
      <x:c r="E140" t="str">
        <x:f>IF(COUNTIF(HD05!$B$7:$B$500,B140)=1,"OK","MÃ NGUỒN KHÔNG DUY NHẤT")</x:f>
        <x:v>OK</x:v>
      </x:c>
      <x:c r="F140" t="str">
        <x:f>IFERROR(INDEX(PROFILE_HD05!$CC$7:$CC$500,MATCH($B140,PROFILE_HD05!$B$7:$B$500,0)),"UNRESOLVED")</x:f>
        <x:v>PROTECTED; KHÔNG KÝ</x:v>
      </x:c>
      <x:c r="G140" t="str">
        <x:f>IFERROR(INDEX(PROFILE_HD05!$CD$7:$CD$500,MATCH($B140,PROFILE_HD05!$B$7:$B$500,0)),"UNRESOLVED")</x:f>
        <x:v>PROTECTED</x:v>
      </x:c>
      <x:c r="H140" t="str">
        <x:f>IFERROR(INDEX(PROFILE_HD05!$CK$7:$CK$500,MATCH($B140,PROFILE_HD05!$B$7:$B$500,0)),"UNRESOLVED")</x:f>
        <x:v>KHÔNG</x:v>
      </x:c>
      <x:c r="I140" t="str">
        <x:f>IFERROR(INDEX(PROFILE_HD05!$CA$7:$CA$500,MATCH($B140,PROFILE_HD05!$B$7:$B$500,0)),"UNRESOLVED")</x:f>
        <x:v>SIGNATURE_OR_SEAL</x:v>
      </x:c>
      <x:c r="J140" t="str">
        <x:f>IFERROR(INDEX(PROFILE_HD05!$BZ$7:$BZ$500,MATCH($B140,PROFILE_HD05!$B$7:$B$500,0)),"UNRESOLVED")</x:f>
        <x:v>Không áp dụng</x:v>
      </x:c>
      <x:c r="K140" t="str">
        <x:f>IFERROR(INDEX(PROFILE_HD05!$AJ$7:$AJ$500,MATCH($B140,PROFILE_HD05!$B$7:$B$500,0)),"UNRESOLVED")</x:f>
      </x:c>
      <x:c r="L140" t="str">
        <x:f>IF(K140="","N/A / CHƯA NHẬP",IF(AND(ISNUMBER(J140),ISNUMBER(K140),J140=K140),"KHỚP SỐ","CẦN KIỂM TRA THỦ CÔNG"))</x:f>
        <x:v>N/A / CHƯA NHẬP</x:v>
      </x:c>
      <x:c r="M140" t="str">
        <x:f>IF(OR(C140&lt;&gt;1,D140&lt;&gt;"OK",E140&lt;&gt;"OK",H140&lt;&gt;"KHÔNG"),"BLOCK",IF(G140="PROTECTED","PROTECTED","CHECK_ONLY"))</x:f>
        <x:v>PROTECTED</x:v>
      </x:c>
    </x:row>
    <x:row r="141">
      <x:c r="A141" t="str">
        <x:v>HD05</x:v>
      </x:c>
      <x:c r="B141" t="str">
        <x:f>HD05!B61</x:f>
        <x:v>HD05.C.KY.HO_TEN</x:v>
      </x:c>
      <x:c r="C141" t="n">
        <x:f>COUNTIF(PROFILE_HD05!$B$7:$B$500,B141)</x:f>
        <x:v>1</x:v>
      </x:c>
      <x:c r="D141" t="str">
        <x:f>IF(LEFT(B141,LEN(A141)+1)=A141&amp;".","OK","SAI PREFIX")</x:f>
        <x:v>OK</x:v>
      </x:c>
      <x:c r="E141" t="str">
        <x:f>IF(COUNTIF(HD05!$B$7:$B$500,B141)=1,"OK","MÃ NGUỒN KHÔNG DUY NHẤT")</x:f>
        <x:v>OK</x:v>
      </x:c>
      <x:c r="F141" t="str">
        <x:f>IFERROR(INDEX(PROFILE_HD05!$CC$7:$CC$500,MATCH($B141,PROFILE_HD05!$B$7:$B$500,0)),"UNRESOLVED")</x:f>
        <x:v>READ_ONLY</x:v>
      </x:c>
      <x:c r="G141" t="str">
        <x:f>IFERROR(INDEX(PROFILE_HD05!$CD$7:$CD$500,MATCH($B141,PROFILE_HD05!$B$7:$B$500,0)),"UNRESOLVED")</x:f>
        <x:v>PROTECTED</x:v>
      </x:c>
      <x:c r="H141" t="str">
        <x:f>IFERROR(INDEX(PROFILE_HD05!$CK$7:$CK$500,MATCH($B141,PROFILE_HD05!$B$7:$B$500,0)),"UNRESOLVED")</x:f>
        <x:v>KHÔNG</x:v>
      </x:c>
      <x:c r="I141" t="str">
        <x:f>IFERROR(INDEX(PROFILE_HD05!$CA$7:$CA$500,MATCH($B141,PROFILE_HD05!$B$7:$B$500,0)),"UNRESOLVED")</x:f>
        <x:v>PROTECTED_TEXT</x:v>
      </x:c>
      <x:c r="J141" t="n">
        <x:f>IFERROR(INDEX(PROFILE_HD05!$BZ$7:$BZ$500,MATCH($B141,PROFILE_HD05!$B$7:$B$500,0)),"UNRESOLVED")</x:f>
        <x:v>14</x:v>
      </x:c>
      <x:c r="K141" t="n">
        <x:f>IFERROR(INDEX(PROFILE_HD05!$AJ$7:$AJ$500,MATCH($B141,PROFILE_HD05!$B$7:$B$500,0)),"UNRESOLVED")</x:f>
        <x:v>14</x:v>
      </x:c>
      <x:c r="L141" t="str">
        <x:f>IF(K141="","N/A / CHƯA NHẬP",IF(AND(ISNUMBER(J141),ISNUMBER(K141),J141=K141),"KHỚP SỐ","CẦN KIỂM TRA THỦ CÔNG"))</x:f>
        <x:v>KHỚP SỐ</x:v>
      </x:c>
      <x:c r="M141" t="str">
        <x:f>IF(OR(C141&lt;&gt;1,D141&lt;&gt;"OK",E141&lt;&gt;"OK",H141&lt;&gt;"KHÔNG"),"BLOCK",IF(G141="PROTECTED","PROTECTED","CHECK_ONLY"))</x:f>
        <x:v>PROTECTED</x:v>
      </x:c>
    </x:row>
    <x:row r="142">
      <x:c r="A142" t="str">
        <x:v>HD05</x:v>
      </x:c>
      <x:c r="B142" t="str">
        <x:f>HD05!B62</x:f>
        <x:v>HD05.C.KY.KHOI_KY</x:v>
      </x:c>
      <x:c r="C142" t="n">
        <x:f>COUNTIF(PROFILE_HD05!$B$7:$B$500,B142)</x:f>
        <x:v>1</x:v>
      </x:c>
      <x:c r="D142" t="str">
        <x:f>IF(LEFT(B142,LEN(A142)+1)=A142&amp;".","OK","SAI PREFIX")</x:f>
        <x:v>OK</x:v>
      </x:c>
      <x:c r="E142" t="str">
        <x:f>IF(COUNTIF(HD05!$B$7:$B$500,B142)=1,"OK","MÃ NGUỒN KHÔNG DUY NHẤT")</x:f>
        <x:v>OK</x:v>
      </x:c>
      <x:c r="F142" t="str">
        <x:f>IFERROR(INDEX(PROFILE_HD05!$CC$7:$CC$500,MATCH($B142,PROFILE_HD05!$B$7:$B$500,0)),"UNRESOLVED")</x:f>
        <x:v>READ_ONLY</x:v>
      </x:c>
      <x:c r="G142" t="str">
        <x:f>IFERROR(INDEX(PROFILE_HD05!$CD$7:$CD$500,MATCH($B142,PROFILE_HD05!$B$7:$B$500,0)),"UNRESOLVED")</x:f>
        <x:v>PROTECTED</x:v>
      </x:c>
      <x:c r="H142" t="str">
        <x:f>IFERROR(INDEX(PROFILE_HD05!$CK$7:$CK$500,MATCH($B142,PROFILE_HD05!$B$7:$B$500,0)),"UNRESOLVED")</x:f>
        <x:v>KHÔNG</x:v>
      </x:c>
      <x:c r="I142" t="str">
        <x:f>IFERROR(INDEX(PROFILE_HD05!$CA$7:$CA$500,MATCH($B142,PROFILE_HD05!$B$7:$B$500,0)),"UNRESOLVED")</x:f>
        <x:v>TEXT</x:v>
      </x:c>
      <x:c r="J142" t="str">
        <x:f>IFERROR(INDEX(PROFILE_HD05!$BZ$7:$BZ$500,MATCH($B142,PROFILE_HD05!$B$7:$B$500,0)),"UNRESOLVED")</x:f>
        <x:v>Theo trường con</x:v>
      </x:c>
      <x:c r="K142" t="str">
        <x:f>IFERROR(INDEX(PROFILE_HD05!$AJ$7:$AJ$500,MATCH($B142,PROFILE_HD05!$B$7:$B$500,0)),"UNRESOLVED")</x:f>
      </x:c>
      <x:c r="L142" t="str">
        <x:f>IF(K142="","N/A / CHƯA NHẬP",IF(AND(ISNUMBER(J142),ISNUMBER(K142),J142=K142),"KHỚP SỐ","CẦN KIỂM TRA THỦ CÔNG"))</x:f>
        <x:v>N/A / CHƯA NHẬP</x:v>
      </x:c>
      <x:c r="M142" t="str">
        <x:f>IF(OR(C142&lt;&gt;1,D142&lt;&gt;"OK",E142&lt;&gt;"OK",H142&lt;&gt;"KHÔNG"),"BLOCK",IF(G142="PROTECTED","PROTECTED","CHECK_ONLY"))</x:f>
        <x:v>PROTECTED</x:v>
      </x:c>
    </x:row>
    <x:row r="143">
      <x:c r="A143" t="str">
        <x:v>HD05</x:v>
      </x:c>
      <x:c r="B143" t="str">
        <x:f>HD05!B63</x:f>
        <x:v>HD05.C.DAU.DAU_CO_QUAN</x:v>
      </x:c>
      <x:c r="C143" t="n">
        <x:f>COUNTIF(PROFILE_HD05!$B$7:$B$500,B143)</x:f>
        <x:v>1</x:v>
      </x:c>
      <x:c r="D143" t="str">
        <x:f>IF(LEFT(B143,LEN(A143)+1)=A143&amp;".","OK","SAI PREFIX")</x:f>
        <x:v>OK</x:v>
      </x:c>
      <x:c r="E143" t="str">
        <x:f>IF(COUNTIF(HD05!$B$7:$B$500,B143)=1,"OK","MÃ NGUỒN KHÔNG DUY NHẤT")</x:f>
        <x:v>OK</x:v>
      </x:c>
      <x:c r="F143" t="str">
        <x:f>IFERROR(INDEX(PROFILE_HD05!$CC$7:$CC$500,MATCH($B143,PROFILE_HD05!$B$7:$B$500,0)),"UNRESOLVED")</x:f>
        <x:v>BẢO VỆ / KHÔNG TỰ SỬA</x:v>
      </x:c>
      <x:c r="G143" t="str">
        <x:f>IFERROR(INDEX(PROFILE_HD05!$CD$7:$CD$500,MATCH($B143,PROFILE_HD05!$B$7:$B$500,0)),"UNRESOLVED")</x:f>
        <x:v>PROTECTED</x:v>
      </x:c>
      <x:c r="H143" t="str">
        <x:f>IFERROR(INDEX(PROFILE_HD05!$CK$7:$CK$500,MATCH($B143,PROFILE_HD05!$B$7:$B$500,0)),"UNRESOLVED")</x:f>
        <x:v>KHÔNG</x:v>
      </x:c>
      <x:c r="I143" t="str">
        <x:f>IFERROR(INDEX(PROFILE_HD05!$CA$7:$CA$500,MATCH($B143,PROFILE_HD05!$B$7:$B$500,0)),"UNRESOLVED")</x:f>
        <x:v>SIGNATURE_OR_SEAL</x:v>
      </x:c>
      <x:c r="J143" t="str">
        <x:f>IFERROR(INDEX(PROFILE_HD05!$BZ$7:$BZ$500,MATCH($B143,PROFILE_HD05!$B$7:$B$500,0)),"UNRESOLVED")</x:f>
        <x:v>Không áp dụng</x:v>
      </x:c>
      <x:c r="K143" t="str">
        <x:f>IFERROR(INDEX(PROFILE_HD05!$AJ$7:$AJ$500,MATCH($B143,PROFILE_HD05!$B$7:$B$500,0)),"UNRESOLVED")</x:f>
      </x:c>
      <x:c r="L143" t="str">
        <x:f>IF(K143="","N/A / CHƯA NHẬP",IF(AND(ISNUMBER(J143),ISNUMBER(K143),J143=K143),"KHỚP SỐ","CẦN KIỂM TRA THỦ CÔNG"))</x:f>
        <x:v>N/A / CHƯA NHẬP</x:v>
      </x:c>
      <x:c r="M143" t="str">
        <x:f>IF(OR(C143&lt;&gt;1,D143&lt;&gt;"OK",E143&lt;&gt;"OK",H143&lt;&gt;"KHÔNG"),"BLOCK",IF(G143="PROTECTED","PROTECTED","CHECK_ONLY"))</x:f>
        <x:v>PROTECTED</x:v>
      </x:c>
    </x:row>
    <x:row r="144">
      <x:c r="A144" t="str">
        <x:v>HD05</x:v>
      </x:c>
      <x:c r="B144" t="str">
        <x:f>HD05!B64</x:f>
        <x:v>HD05.C.DAU.CHU_KY_SO</x:v>
      </x:c>
      <x:c r="C144" t="n">
        <x:f>COUNTIF(PROFILE_HD05!$B$7:$B$500,B144)</x:f>
        <x:v>1</x:v>
      </x:c>
      <x:c r="D144" t="str">
        <x:f>IF(LEFT(B144,LEN(A144)+1)=A144&amp;".","OK","SAI PREFIX")</x:f>
        <x:v>OK</x:v>
      </x:c>
      <x:c r="E144" t="str">
        <x:f>IF(COUNTIF(HD05!$B$7:$B$500,B144)=1,"OK","MÃ NGUỒN KHÔNG DUY NHẤT")</x:f>
        <x:v>OK</x:v>
      </x:c>
      <x:c r="F144" t="str">
        <x:f>IFERROR(INDEX(PROFILE_HD05!$CC$7:$CC$500,MATCH($B144,PROFILE_HD05!$B$7:$B$500,0)),"UNRESOLVED")</x:f>
        <x:v>BẢO VỆ / KHÔNG TỰ SỬA</x:v>
      </x:c>
      <x:c r="G144" t="str">
        <x:f>IFERROR(INDEX(PROFILE_HD05!$CD$7:$CD$500,MATCH($B144,PROFILE_HD05!$B$7:$B$500,0)),"UNRESOLVED")</x:f>
        <x:v>PROTECTED</x:v>
      </x:c>
      <x:c r="H144" t="str">
        <x:f>IFERROR(INDEX(PROFILE_HD05!$CK$7:$CK$500,MATCH($B144,PROFILE_HD05!$B$7:$B$500,0)),"UNRESOLVED")</x:f>
        <x:v>KHÔNG</x:v>
      </x:c>
      <x:c r="I144" t="str">
        <x:f>IFERROR(INDEX(PROFILE_HD05!$CA$7:$CA$500,MATCH($B144,PROFILE_HD05!$B$7:$B$500,0)),"UNRESOLVED")</x:f>
        <x:v>SIGNATURE_OR_SEAL</x:v>
      </x:c>
      <x:c r="J144" t="str">
        <x:f>IFERROR(INDEX(PROFILE_HD05!$BZ$7:$BZ$500,MATCH($B144,PROFILE_HD05!$B$7:$B$500,0)),"UNRESOLVED")</x:f>
        <x:v>Không áp dụng</x:v>
      </x:c>
      <x:c r="K144" t="str">
        <x:f>IFERROR(INDEX(PROFILE_HD05!$AJ$7:$AJ$500,MATCH($B144,PROFILE_HD05!$B$7:$B$500,0)),"UNRESOLVED")</x:f>
      </x:c>
      <x:c r="L144" t="str">
        <x:f>IF(K144="","N/A / CHƯA NHẬP",IF(AND(ISNUMBER(J144),ISNUMBER(K144),J144=K144),"KHỚP SỐ","CẦN KIỂM TRA THỦ CÔNG"))</x:f>
        <x:v>N/A / CHƯA NHẬP</x:v>
      </x:c>
      <x:c r="M144" t="str">
        <x:f>IF(OR(C144&lt;&gt;1,D144&lt;&gt;"OK",E144&lt;&gt;"OK",H144&lt;&gt;"KHÔNG"),"BLOCK",IF(G144="PROTECTED","PROTECTED","CHECK_ONLY"))</x:f>
        <x:v>PROTECTED</x:v>
      </x:c>
    </x:row>
    <x:row r="145">
      <x:c r="A145" t="str">
        <x:v>HD05</x:v>
      </x:c>
      <x:c r="B145" t="str">
        <x:f>HD05!B65</x:f>
        <x:v>HD05.G.TRANG.KHO_GIAY</x:v>
      </x:c>
      <x:c r="C145" t="n">
        <x:f>COUNTIF(PROFILE_HD05!$B$7:$B$500,B145)</x:f>
        <x:v>1</x:v>
      </x:c>
      <x:c r="D145" t="str">
        <x:f>IF(LEFT(B145,LEN(A145)+1)=A145&amp;".","OK","SAI PREFIX")</x:f>
        <x:v>OK</x:v>
      </x:c>
      <x:c r="E145" t="str">
        <x:f>IF(COUNTIF(HD05!$B$7:$B$500,B145)=1,"OK","MÃ NGUỒN KHÔNG DUY NHẤT")</x:f>
        <x:v>OK</x:v>
      </x:c>
      <x:c r="F145" t="str">
        <x:f>IFERROR(INDEX(PROFILE_HD05!$CC$7:$CC$500,MATCH($B145,PROFILE_HD05!$B$7:$B$500,0)),"UNRESOLVED")</x:f>
        <x:v>CHỈ SAU REVIEW</x:v>
      </x:c>
      <x:c r="G145" t="str">
        <x:f>IFERROR(INDEX(PROFILE_HD05!$CD$7:$CD$500,MATCH($B145,PROFILE_HD05!$B$7:$B$500,0)),"UNRESOLVED")</x:f>
        <x:v>CHECK_ONLY</x:v>
      </x:c>
      <x:c r="H145" t="str">
        <x:f>IFERROR(INDEX(PROFILE_HD05!$CK$7:$CK$500,MATCH($B145,PROFILE_HD05!$B$7:$B$500,0)),"UNRESOLVED")</x:f>
        <x:v>KHÔNG</x:v>
      </x:c>
      <x:c r="I145" t="str">
        <x:f>IFERROR(INDEX(PROFILE_HD05!$CA$7:$CA$500,MATCH($B145,PROFILE_HD05!$B$7:$B$500,0)),"UNRESOLVED")</x:f>
        <x:v>DOCUMENT_SETTING</x:v>
      </x:c>
      <x:c r="J145" t="str">
        <x:f>IFERROR(INDEX(PROFILE_HD05!$BZ$7:$BZ$500,MATCH($B145,PROFILE_HD05!$B$7:$B$500,0)),"UNRESOLVED")</x:f>
        <x:v>Không áp dụng</x:v>
      </x:c>
      <x:c r="K145" t="str">
        <x:f>IFERROR(INDEX(PROFILE_HD05!$AJ$7:$AJ$500,MATCH($B145,PROFILE_HD05!$B$7:$B$500,0)),"UNRESOLVED")</x:f>
      </x:c>
      <x:c r="L145" t="str">
        <x:f>IF(K145="","N/A / CHƯA NHẬP",IF(AND(ISNUMBER(J145),ISNUMBER(K145),J145=K145),"KHỚP SỐ","CẦN KIỂM TRA THỦ CÔNG"))</x:f>
        <x:v>N/A / CHƯA NHẬP</x:v>
      </x:c>
      <x:c r="M145" t="str">
        <x:f>IF(OR(C145&lt;&gt;1,D145&lt;&gt;"OK",E145&lt;&gt;"OK",H145&lt;&gt;"KHÔNG"),"BLOCK",IF(G145="PROTECTED","PROTECTED","CHECK_ONLY"))</x:f>
        <x:v>CHECK_ONLY</x:v>
      </x:c>
    </x:row>
    <x:row r="146">
      <x:c r="A146" t="str">
        <x:v>HD05</x:v>
      </x:c>
      <x:c r="B146" t="str">
        <x:f>HD05!B66</x:f>
        <x:v>HD05.G.TRANG.HUONG_GIAY</x:v>
      </x:c>
      <x:c r="C146" t="n">
        <x:f>COUNTIF(PROFILE_HD05!$B$7:$B$500,B146)</x:f>
        <x:v>1</x:v>
      </x:c>
      <x:c r="D146" t="str">
        <x:f>IF(LEFT(B146,LEN(A146)+1)=A146&amp;".","OK","SAI PREFIX")</x:f>
        <x:v>OK</x:v>
      </x:c>
      <x:c r="E146" t="str">
        <x:f>IF(COUNTIF(HD05!$B$7:$B$500,B146)=1,"OK","MÃ NGUỒN KHÔNG DUY NHẤT")</x:f>
        <x:v>OK</x:v>
      </x:c>
      <x:c r="F146" t="str">
        <x:f>IFERROR(INDEX(PROFILE_HD05!$CC$7:$CC$500,MATCH($B146,PROFILE_HD05!$B$7:$B$500,0)),"UNRESOLVED")</x:f>
        <x:v>CHỈ SAU REVIEW</x:v>
      </x:c>
      <x:c r="G146" t="str">
        <x:f>IFERROR(INDEX(PROFILE_HD05!$CD$7:$CD$500,MATCH($B146,PROFILE_HD05!$B$7:$B$500,0)),"UNRESOLVED")</x:f>
        <x:v>CHECK_ONLY</x:v>
      </x:c>
      <x:c r="H146" t="str">
        <x:f>IFERROR(INDEX(PROFILE_HD05!$CK$7:$CK$500,MATCH($B146,PROFILE_HD05!$B$7:$B$500,0)),"UNRESOLVED")</x:f>
        <x:v>KHÔNG</x:v>
      </x:c>
      <x:c r="I146" t="str">
        <x:f>IFERROR(INDEX(PROFILE_HD05!$CA$7:$CA$500,MATCH($B146,PROFILE_HD05!$B$7:$B$500,0)),"UNRESOLVED")</x:f>
        <x:v>DOCUMENT_SETTING</x:v>
      </x:c>
      <x:c r="J146" t="str">
        <x:f>IFERROR(INDEX(PROFILE_HD05!$BZ$7:$BZ$500,MATCH($B146,PROFILE_HD05!$B$7:$B$500,0)),"UNRESOLVED")</x:f>
        <x:v>Không áp dụng</x:v>
      </x:c>
      <x:c r="K146" t="str">
        <x:f>IFERROR(INDEX(PROFILE_HD05!$AJ$7:$AJ$500,MATCH($B146,PROFILE_HD05!$B$7:$B$500,0)),"UNRESOLVED")</x:f>
      </x:c>
      <x:c r="L146" t="str">
        <x:f>IF(K146="","N/A / CHƯA NHẬP",IF(AND(ISNUMBER(J146),ISNUMBER(K146),J146=K146),"KHỚP SỐ","CẦN KIỂM TRA THỦ CÔNG"))</x:f>
        <x:v>N/A / CHƯA NHẬP</x:v>
      </x:c>
      <x:c r="M146" t="str">
        <x:f>IF(OR(C146&lt;&gt;1,D146&lt;&gt;"OK",E146&lt;&gt;"OK",H146&lt;&gt;"KHÔNG"),"BLOCK",IF(G146="PROTECTED","PROTECTED","CHECK_ONLY"))</x:f>
        <x:v>CHECK_ONLY</x:v>
      </x:c>
    </x:row>
    <x:row r="147">
      <x:c r="A147" t="str">
        <x:v>HD05</x:v>
      </x:c>
      <x:c r="B147" t="str">
        <x:f>HD05!B67</x:f>
        <x:v>HD05.G.TRANG.LE_TRANG</x:v>
      </x:c>
      <x:c r="C147" t="n">
        <x:f>COUNTIF(PROFILE_HD05!$B$7:$B$500,B147)</x:f>
        <x:v>1</x:v>
      </x:c>
      <x:c r="D147" t="str">
        <x:f>IF(LEFT(B147,LEN(A147)+1)=A147&amp;".","OK","SAI PREFIX")</x:f>
        <x:v>OK</x:v>
      </x:c>
      <x:c r="E147" t="str">
        <x:f>IF(COUNTIF(HD05!$B$7:$B$500,B147)=1,"OK","MÃ NGUỒN KHÔNG DUY NHẤT")</x:f>
        <x:v>OK</x:v>
      </x:c>
      <x:c r="F147" t="str">
        <x:f>IFERROR(INDEX(PROFILE_HD05!$CC$7:$CC$500,MATCH($B147,PROFILE_HD05!$B$7:$B$500,0)),"UNRESOLVED")</x:f>
        <x:v>CHỈ SAU REVIEW</x:v>
      </x:c>
      <x:c r="G147" t="str">
        <x:f>IFERROR(INDEX(PROFILE_HD05!$CD$7:$CD$500,MATCH($B147,PROFILE_HD05!$B$7:$B$500,0)),"UNRESOLVED")</x:f>
        <x:v>CHECK_ONLY</x:v>
      </x:c>
      <x:c r="H147" t="str">
        <x:f>IFERROR(INDEX(PROFILE_HD05!$CK$7:$CK$500,MATCH($B147,PROFILE_HD05!$B$7:$B$500,0)),"UNRESOLVED")</x:f>
        <x:v>KHÔNG</x:v>
      </x:c>
      <x:c r="I147" t="str">
        <x:f>IFERROR(INDEX(PROFILE_HD05!$CA$7:$CA$500,MATCH($B147,PROFILE_HD05!$B$7:$B$500,0)),"UNRESOLVED")</x:f>
        <x:v>DOCUMENT_SETTING</x:v>
      </x:c>
      <x:c r="J147" t="str">
        <x:f>IFERROR(INDEX(PROFILE_HD05!$BZ$7:$BZ$500,MATCH($B147,PROFILE_HD05!$B$7:$B$500,0)),"UNRESOLVED")</x:f>
        <x:v>Không áp dụng</x:v>
      </x:c>
      <x:c r="K147" t="str">
        <x:f>IFERROR(INDEX(PROFILE_HD05!$AJ$7:$AJ$500,MATCH($B147,PROFILE_HD05!$B$7:$B$500,0)),"UNRESOLVED")</x:f>
      </x:c>
      <x:c r="L147" t="str">
        <x:f>IF(K147="","N/A / CHƯA NHẬP",IF(AND(ISNUMBER(J147),ISNUMBER(K147),J147=K147),"KHỚP SỐ","CẦN KIỂM TRA THỦ CÔNG"))</x:f>
        <x:v>N/A / CHƯA NHẬP</x:v>
      </x:c>
      <x:c r="M147" t="str">
        <x:f>IF(OR(C147&lt;&gt;1,D147&lt;&gt;"OK",E147&lt;&gt;"OK",H147&lt;&gt;"KHÔNG"),"BLOCK",IF(G147="PROTECTED","PROTECTED","CHECK_ONLY"))</x:f>
        <x:v>CHECK_ONLY</x:v>
      </x:c>
    </x:row>
    <x:row r="148">
      <x:c r="A148" t="str">
        <x:v>HD05</x:v>
      </x:c>
      <x:c r="B148" t="str">
        <x:f>HD05!B68</x:f>
        <x:v>HD05.G.CHU.PHONG</x:v>
      </x:c>
      <x:c r="C148" t="n">
        <x:f>COUNTIF(PROFILE_HD05!$B$7:$B$500,B148)</x:f>
        <x:v>1</x:v>
      </x:c>
      <x:c r="D148" t="str">
        <x:f>IF(LEFT(B148,LEN(A148)+1)=A148&amp;".","OK","SAI PREFIX")</x:f>
        <x:v>OK</x:v>
      </x:c>
      <x:c r="E148" t="str">
        <x:f>IF(COUNTIF(HD05!$B$7:$B$500,B148)=1,"OK","MÃ NGUỒN KHÔNG DUY NHẤT")</x:f>
        <x:v>OK</x:v>
      </x:c>
      <x:c r="F148" t="str">
        <x:f>IFERROR(INDEX(PROFILE_HD05!$CC$7:$CC$500,MATCH($B148,PROFILE_HD05!$B$7:$B$500,0)),"UNRESOLVED")</x:f>
        <x:v>CHỈ SAU REVIEW</x:v>
      </x:c>
      <x:c r="G148" t="str">
        <x:f>IFERROR(INDEX(PROFILE_HD05!$CD$7:$CD$500,MATCH($B148,PROFILE_HD05!$B$7:$B$500,0)),"UNRESOLVED")</x:f>
        <x:v>CHECK_ONLY</x:v>
      </x:c>
      <x:c r="H148" t="str">
        <x:f>IFERROR(INDEX(PROFILE_HD05!$CK$7:$CK$500,MATCH($B148,PROFILE_HD05!$B$7:$B$500,0)),"UNRESOLVED")</x:f>
        <x:v>KHÔNG</x:v>
      </x:c>
      <x:c r="I148" t="str">
        <x:f>IFERROR(INDEX(PROFILE_HD05!$CA$7:$CA$500,MATCH($B148,PROFILE_HD05!$B$7:$B$500,0)),"UNRESOLVED")</x:f>
        <x:v>DOCUMENT_SETTING</x:v>
      </x:c>
      <x:c r="J148" t="str">
        <x:f>IFERROR(INDEX(PROFILE_HD05!$BZ$7:$BZ$500,MATCH($B148,PROFILE_HD05!$B$7:$B$500,0)),"UNRESOLVED")</x:f>
      </x:c>
      <x:c r="K148" t="str">
        <x:f>IFERROR(INDEX(PROFILE_HD05!$AJ$7:$AJ$500,MATCH($B148,PROFILE_HD05!$B$7:$B$500,0)),"UNRESOLVED")</x:f>
      </x:c>
      <x:c r="L148" t="str">
        <x:f>IF(K148="","N/A / CHƯA NHẬP",IF(AND(ISNUMBER(J148),ISNUMBER(K148),J148=K148),"KHỚP SỐ","CẦN KIỂM TRA THỦ CÔNG"))</x:f>
        <x:v>N/A / CHƯA NHẬP</x:v>
      </x:c>
      <x:c r="M148" t="str">
        <x:f>IF(OR(C148&lt;&gt;1,D148&lt;&gt;"OK",E148&lt;&gt;"OK",H148&lt;&gt;"KHÔNG"),"BLOCK",IF(G148="PROTECTED","PROTECTED","CHECK_ONLY"))</x:f>
        <x:v>CHECK_ONLY</x:v>
      </x:c>
    </x:row>
    <x:row r="149">
      <x:c r="A149" t="str">
        <x:v>HD05</x:v>
      </x:c>
      <x:c r="B149" t="str">
        <x:f>HD05!B69</x:f>
        <x:v>HD05.G.CHU.CO_CHU</x:v>
      </x:c>
      <x:c r="C149" t="n">
        <x:f>COUNTIF(PROFILE_HD05!$B$7:$B$500,B149)</x:f>
        <x:v>1</x:v>
      </x:c>
      <x:c r="D149" t="str">
        <x:f>IF(LEFT(B149,LEN(A149)+1)=A149&amp;".","OK","SAI PREFIX")</x:f>
        <x:v>OK</x:v>
      </x:c>
      <x:c r="E149" t="str">
        <x:f>IF(COUNTIF(HD05!$B$7:$B$500,B149)=1,"OK","MÃ NGUỒN KHÔNG DUY NHẤT")</x:f>
        <x:v>OK</x:v>
      </x:c>
      <x:c r="F149" t="str">
        <x:f>IFERROR(INDEX(PROFILE_HD05!$CC$7:$CC$500,MATCH($B149,PROFILE_HD05!$B$7:$B$500,0)),"UNRESOLVED")</x:f>
        <x:v>CHỈ SAU REVIEW</x:v>
      </x:c>
      <x:c r="G149" t="str">
        <x:f>IFERROR(INDEX(PROFILE_HD05!$CD$7:$CD$500,MATCH($B149,PROFILE_HD05!$B$7:$B$500,0)),"UNRESOLVED")</x:f>
        <x:v>CHECK_ONLY</x:v>
      </x:c>
      <x:c r="H149" t="str">
        <x:f>IFERROR(INDEX(PROFILE_HD05!$CK$7:$CK$500,MATCH($B149,PROFILE_HD05!$B$7:$B$500,0)),"UNRESOLVED")</x:f>
        <x:v>KHÔNG</x:v>
      </x:c>
      <x:c r="I149" t="str">
        <x:f>IFERROR(INDEX(PROFILE_HD05!$CA$7:$CA$500,MATCH($B149,PROFILE_HD05!$B$7:$B$500,0)),"UNRESOLVED")</x:f>
        <x:v>DOCUMENT_SETTING</x:v>
      </x:c>
      <x:c r="J149" t="str">
        <x:f>IFERROR(INDEX(PROFILE_HD05!$BZ$7:$BZ$500,MATCH($B149,PROFILE_HD05!$B$7:$B$500,0)),"UNRESOLVED")</x:f>
      </x:c>
      <x:c r="K149" t="n">
        <x:f>IFERROR(INDEX(PROFILE_HD05!$AJ$7:$AJ$500,MATCH($B149,PROFILE_HD05!$B$7:$B$500,0)),"UNRESOLVED")</x:f>
        <x:v>14</x:v>
      </x:c>
      <x:c r="L149" t="str">
        <x:f>IF(K149="","N/A / CHƯA NHẬP",IF(AND(ISNUMBER(J149),ISNUMBER(K149),J149=K149),"KHỚP SỐ","CẦN KIỂM TRA THỦ CÔNG"))</x:f>
        <x:v>CẦN KIỂM TRA THỦ CÔNG</x:v>
      </x:c>
      <x:c r="M149" t="str">
        <x:f>IF(OR(C149&lt;&gt;1,D149&lt;&gt;"OK",E149&lt;&gt;"OK",H149&lt;&gt;"KHÔNG"),"BLOCK",IF(G149="PROTECTED","PROTECTED","CHECK_ONLY"))</x:f>
        <x:v>CHECK_ONLY</x:v>
      </x:c>
    </x:row>
    <x:row r="150">
      <x:c r="A150" t="str">
        <x:v>HD05</x:v>
      </x:c>
      <x:c r="B150" t="str">
        <x:f>HD05!B70</x:f>
        <x:v>HD05.G.CHU.KIEU_CHU</x:v>
      </x:c>
      <x:c r="C150" t="n">
        <x:f>COUNTIF(PROFILE_HD05!$B$7:$B$500,B150)</x:f>
        <x:v>1</x:v>
      </x:c>
      <x:c r="D150" t="str">
        <x:f>IF(LEFT(B150,LEN(A150)+1)=A150&amp;".","OK","SAI PREFIX")</x:f>
        <x:v>OK</x:v>
      </x:c>
      <x:c r="E150" t="str">
        <x:f>IF(COUNTIF(HD05!$B$7:$B$500,B150)=1,"OK","MÃ NGUỒN KHÔNG DUY NHẤT")</x:f>
        <x:v>OK</x:v>
      </x:c>
      <x:c r="F150" t="str">
        <x:f>IFERROR(INDEX(PROFILE_HD05!$CC$7:$CC$500,MATCH($B150,PROFILE_HD05!$B$7:$B$500,0)),"UNRESOLVED")</x:f>
        <x:v>CHỈ SAU REVIEW</x:v>
      </x:c>
      <x:c r="G150" t="str">
        <x:f>IFERROR(INDEX(PROFILE_HD05!$CD$7:$CD$500,MATCH($B150,PROFILE_HD05!$B$7:$B$500,0)),"UNRESOLVED")</x:f>
        <x:v>CHECK_ONLY</x:v>
      </x:c>
      <x:c r="H150" t="str">
        <x:f>IFERROR(INDEX(PROFILE_HD05!$CK$7:$CK$500,MATCH($B150,PROFILE_HD05!$B$7:$B$500,0)),"UNRESOLVED")</x:f>
        <x:v>KHÔNG</x:v>
      </x:c>
      <x:c r="I150" t="str">
        <x:f>IFERROR(INDEX(PROFILE_HD05!$CA$7:$CA$500,MATCH($B150,PROFILE_HD05!$B$7:$B$500,0)),"UNRESOLVED")</x:f>
        <x:v>DOCUMENT_SETTING</x:v>
      </x:c>
      <x:c r="J150" t="str">
        <x:f>IFERROR(INDEX(PROFILE_HD05!$BZ$7:$BZ$500,MATCH($B150,PROFILE_HD05!$B$7:$B$500,0)),"UNRESOLVED")</x:f>
      </x:c>
      <x:c r="K150" t="str">
        <x:f>IFERROR(INDEX(PROFILE_HD05!$AJ$7:$AJ$500,MATCH($B150,PROFILE_HD05!$B$7:$B$500,0)),"UNRESOLVED")</x:f>
      </x:c>
      <x:c r="L150" t="str">
        <x:f>IF(K150="","N/A / CHƯA NHẬP",IF(AND(ISNUMBER(J150),ISNUMBER(K150),J150=K150),"KHỚP SỐ","CẦN KIỂM TRA THỦ CÔNG"))</x:f>
        <x:v>N/A / CHƯA NHẬP</x:v>
      </x:c>
      <x:c r="M150" t="str">
        <x:f>IF(OR(C150&lt;&gt;1,D150&lt;&gt;"OK",E150&lt;&gt;"OK",H150&lt;&gt;"KHÔNG"),"BLOCK",IF(G150="PROTECTED","PROTECTED","CHECK_ONLY"))</x:f>
        <x:v>CHECK_ONLY</x:v>
      </x:c>
    </x:row>
    <x:row r="151">
      <x:c r="A151" t="str">
        <x:v>HD05</x:v>
      </x:c>
      <x:c r="B151" t="str">
        <x:f>HD05!B71</x:f>
        <x:v>HD05.G.DOAN.CAN_LE</x:v>
      </x:c>
      <x:c r="C151" t="n">
        <x:f>COUNTIF(PROFILE_HD05!$B$7:$B$500,B151)</x:f>
        <x:v>1</x:v>
      </x:c>
      <x:c r="D151" t="str">
        <x:f>IF(LEFT(B151,LEN(A151)+1)=A151&amp;".","OK","SAI PREFIX")</x:f>
        <x:v>OK</x:v>
      </x:c>
      <x:c r="E151" t="str">
        <x:f>IF(COUNTIF(HD05!$B$7:$B$500,B151)=1,"OK","MÃ NGUỒN KHÔNG DUY NHẤT")</x:f>
        <x:v>OK</x:v>
      </x:c>
      <x:c r="F151" t="str">
        <x:f>IFERROR(INDEX(PROFILE_HD05!$CC$7:$CC$500,MATCH($B151,PROFILE_HD05!$B$7:$B$500,0)),"UNRESOLVED")</x:f>
        <x:v>CHỈ SAU REVIEW</x:v>
      </x:c>
      <x:c r="G151" t="str">
        <x:f>IFERROR(INDEX(PROFILE_HD05!$CD$7:$CD$500,MATCH($B151,PROFILE_HD05!$B$7:$B$500,0)),"UNRESOLVED")</x:f>
        <x:v>CHECK_ONLY</x:v>
      </x:c>
      <x:c r="H151" t="str">
        <x:f>IFERROR(INDEX(PROFILE_HD05!$CK$7:$CK$500,MATCH($B151,PROFILE_HD05!$B$7:$B$500,0)),"UNRESOLVED")</x:f>
        <x:v>KHÔNG</x:v>
      </x:c>
      <x:c r="I151" t="str">
        <x:f>IFERROR(INDEX(PROFILE_HD05!$CA$7:$CA$500,MATCH($B151,PROFILE_HD05!$B$7:$B$500,0)),"UNRESOLVED")</x:f>
        <x:v>DOCUMENT_SETTING</x:v>
      </x:c>
      <x:c r="J151" t="str">
        <x:f>IFERROR(INDEX(PROFILE_HD05!$BZ$7:$BZ$500,MATCH($B151,PROFILE_HD05!$B$7:$B$500,0)),"UNRESOLVED")</x:f>
      </x:c>
      <x:c r="K151" t="str">
        <x:f>IFERROR(INDEX(PROFILE_HD05!$AJ$7:$AJ$500,MATCH($B151,PROFILE_HD05!$B$7:$B$500,0)),"UNRESOLVED")</x:f>
      </x:c>
      <x:c r="L151" t="str">
        <x:f>IF(K151="","N/A / CHƯA NHẬP",IF(AND(ISNUMBER(J151),ISNUMBER(K151),J151=K151),"KHỚP SỐ","CẦN KIỂM TRA THỦ CÔNG"))</x:f>
        <x:v>N/A / CHƯA NHẬP</x:v>
      </x:c>
      <x:c r="M151" t="str">
        <x:f>IF(OR(C151&lt;&gt;1,D151&lt;&gt;"OK",E151&lt;&gt;"OK",H151&lt;&gt;"KHÔNG"),"BLOCK",IF(G151="PROTECTED","PROTECTED","CHECK_ONLY"))</x:f>
        <x:v>CHECK_ONLY</x:v>
      </x:c>
    </x:row>
    <x:row r="152">
      <x:c r="A152" t="str">
        <x:v>HD05</x:v>
      </x:c>
      <x:c r="B152" t="str">
        <x:f>HD05!B72</x:f>
        <x:v>HD05.G.DOAN.GIUA_DONG</x:v>
      </x:c>
      <x:c r="C152" t="n">
        <x:f>COUNTIF(PROFILE_HD05!$B$7:$B$500,B152)</x:f>
        <x:v>1</x:v>
      </x:c>
      <x:c r="D152" t="str">
        <x:f>IF(LEFT(B152,LEN(A152)+1)=A152&amp;".","OK","SAI PREFIX")</x:f>
        <x:v>OK</x:v>
      </x:c>
      <x:c r="E152" t="str">
        <x:f>IF(COUNTIF(HD05!$B$7:$B$500,B152)=1,"OK","MÃ NGUỒN KHÔNG DUY NHẤT")</x:f>
        <x:v>OK</x:v>
      </x:c>
      <x:c r="F152" t="str">
        <x:f>IFERROR(INDEX(PROFILE_HD05!$CC$7:$CC$500,MATCH($B152,PROFILE_HD05!$B$7:$B$500,0)),"UNRESOLVED")</x:f>
        <x:v>CHỈ SAU REVIEW</x:v>
      </x:c>
      <x:c r="G152" t="str">
        <x:f>IFERROR(INDEX(PROFILE_HD05!$CD$7:$CD$500,MATCH($B152,PROFILE_HD05!$B$7:$B$500,0)),"UNRESOLVED")</x:f>
        <x:v>CHECK_ONLY</x:v>
      </x:c>
      <x:c r="H152" t="str">
        <x:f>IFERROR(INDEX(PROFILE_HD05!$CK$7:$CK$500,MATCH($B152,PROFILE_HD05!$B$7:$B$500,0)),"UNRESOLVED")</x:f>
        <x:v>KHÔNG</x:v>
      </x:c>
      <x:c r="I152" t="str">
        <x:f>IFERROR(INDEX(PROFILE_HD05!$CA$7:$CA$500,MATCH($B152,PROFILE_HD05!$B$7:$B$500,0)),"UNRESOLVED")</x:f>
        <x:v>DOCUMENT_SETTING</x:v>
      </x:c>
      <x:c r="J152" t="str">
        <x:f>IFERROR(INDEX(PROFILE_HD05!$BZ$7:$BZ$500,MATCH($B152,PROFILE_HD05!$B$7:$B$500,0)),"UNRESOLVED")</x:f>
      </x:c>
      <x:c r="K152" t="str">
        <x:f>IFERROR(INDEX(PROFILE_HD05!$AJ$7:$AJ$500,MATCH($B152,PROFILE_HD05!$B$7:$B$500,0)),"UNRESOLVED")</x:f>
      </x:c>
      <x:c r="L152" t="str">
        <x:f>IF(K152="","N/A / CHƯA NHẬP",IF(AND(ISNUMBER(J152),ISNUMBER(K152),J152=K152),"KHỚP SỐ","CẦN KIỂM TRA THỦ CÔNG"))</x:f>
        <x:v>N/A / CHƯA NHẬP</x:v>
      </x:c>
      <x:c r="M152" t="str">
        <x:f>IF(OR(C152&lt;&gt;1,D152&lt;&gt;"OK",E152&lt;&gt;"OK",H152&lt;&gt;"KHÔNG"),"BLOCK",IF(G152="PROTECTED","PROTECTED","CHECK_ONLY"))</x:f>
        <x:v>CHECK_ONLY</x:v>
      </x:c>
    </x:row>
    <x:row r="153">
      <x:c r="A153" t="str">
        <x:v>HD05</x:v>
      </x:c>
      <x:c r="B153" t="str">
        <x:f>HD05!B73</x:f>
        <x:v>HD05.G.DOAN.GIUA_DOAN</x:v>
      </x:c>
      <x:c r="C153" t="n">
        <x:f>COUNTIF(PROFILE_HD05!$B$7:$B$500,B153)</x:f>
        <x:v>1</x:v>
      </x:c>
      <x:c r="D153" t="str">
        <x:f>IF(LEFT(B153,LEN(A153)+1)=A153&amp;".","OK","SAI PREFIX")</x:f>
        <x:v>OK</x:v>
      </x:c>
      <x:c r="E153" t="str">
        <x:f>IF(COUNTIF(HD05!$B$7:$B$500,B153)=1,"OK","MÃ NGUỒN KHÔNG DUY NHẤT")</x:f>
        <x:v>OK</x:v>
      </x:c>
      <x:c r="F153" t="str">
        <x:f>IFERROR(INDEX(PROFILE_HD05!$CC$7:$CC$500,MATCH($B153,PROFILE_HD05!$B$7:$B$500,0)),"UNRESOLVED")</x:f>
        <x:v>CHỈ SAU REVIEW</x:v>
      </x:c>
      <x:c r="G153" t="str">
        <x:f>IFERROR(INDEX(PROFILE_HD05!$CD$7:$CD$500,MATCH($B153,PROFILE_HD05!$B$7:$B$500,0)),"UNRESOLVED")</x:f>
        <x:v>CHECK_ONLY</x:v>
      </x:c>
      <x:c r="H153" t="str">
        <x:f>IFERROR(INDEX(PROFILE_HD05!$CK$7:$CK$500,MATCH($B153,PROFILE_HD05!$B$7:$B$500,0)),"UNRESOLVED")</x:f>
        <x:v>KHÔNG</x:v>
      </x:c>
      <x:c r="I153" t="str">
        <x:f>IFERROR(INDEX(PROFILE_HD05!$CA$7:$CA$500,MATCH($B153,PROFILE_HD05!$B$7:$B$500,0)),"UNRESOLVED")</x:f>
        <x:v>DOCUMENT_SETTING</x:v>
      </x:c>
      <x:c r="J153" t="str">
        <x:f>IFERROR(INDEX(PROFILE_HD05!$BZ$7:$BZ$500,MATCH($B153,PROFILE_HD05!$B$7:$B$500,0)),"UNRESOLVED")</x:f>
      </x:c>
      <x:c r="K153" t="str">
        <x:f>IFERROR(INDEX(PROFILE_HD05!$AJ$7:$AJ$500,MATCH($B153,PROFILE_HD05!$B$7:$B$500,0)),"UNRESOLVED")</x:f>
      </x:c>
      <x:c r="L153" t="str">
        <x:f>IF(K153="","N/A / CHƯA NHẬP",IF(AND(ISNUMBER(J153),ISNUMBER(K153),J153=K153),"KHỚP SỐ","CẦN KIỂM TRA THỦ CÔNG"))</x:f>
        <x:v>N/A / CHƯA NHẬP</x:v>
      </x:c>
      <x:c r="M153" t="str">
        <x:f>IF(OR(C153&lt;&gt;1,D153&lt;&gt;"OK",E153&lt;&gt;"OK",H153&lt;&gt;"KHÔNG"),"BLOCK",IF(G153="PROTECTED","PROTECTED","CHECK_ONLY"))</x:f>
        <x:v>CHECK_ONLY</x:v>
      </x:c>
    </x:row>
    <x:row r="154">
      <x:c r="A154" t="str">
        <x:v>HD05</x:v>
      </x:c>
      <x:c r="B154" t="str">
        <x:f>HD05!B74</x:f>
        <x:v>HD05.G.DOAN.THUT_DONG</x:v>
      </x:c>
      <x:c r="C154" t="n">
        <x:f>COUNTIF(PROFILE_HD05!$B$7:$B$500,B154)</x:f>
        <x:v>1</x:v>
      </x:c>
      <x:c r="D154" t="str">
        <x:f>IF(LEFT(B154,LEN(A154)+1)=A154&amp;".","OK","SAI PREFIX")</x:f>
        <x:v>OK</x:v>
      </x:c>
      <x:c r="E154" t="str">
        <x:f>IF(COUNTIF(HD05!$B$7:$B$500,B154)=1,"OK","MÃ NGUỒN KHÔNG DUY NHẤT")</x:f>
        <x:v>OK</x:v>
      </x:c>
      <x:c r="F154" t="str">
        <x:f>IFERROR(INDEX(PROFILE_HD05!$CC$7:$CC$500,MATCH($B154,PROFILE_HD05!$B$7:$B$500,0)),"UNRESOLVED")</x:f>
        <x:v>CHỈ SAU REVIEW</x:v>
      </x:c>
      <x:c r="G154" t="str">
        <x:f>IFERROR(INDEX(PROFILE_HD05!$CD$7:$CD$500,MATCH($B154,PROFILE_HD05!$B$7:$B$500,0)),"UNRESOLVED")</x:f>
        <x:v>CHECK_ONLY</x:v>
      </x:c>
      <x:c r="H154" t="str">
        <x:f>IFERROR(INDEX(PROFILE_HD05!$CK$7:$CK$500,MATCH($B154,PROFILE_HD05!$B$7:$B$500,0)),"UNRESOLVED")</x:f>
        <x:v>KHÔNG</x:v>
      </x:c>
      <x:c r="I154" t="str">
        <x:f>IFERROR(INDEX(PROFILE_HD05!$CA$7:$CA$500,MATCH($B154,PROFILE_HD05!$B$7:$B$500,0)),"UNRESOLVED")</x:f>
        <x:v>DOCUMENT_SETTING</x:v>
      </x:c>
      <x:c r="J154" t="str">
        <x:f>IFERROR(INDEX(PROFILE_HD05!$BZ$7:$BZ$500,MATCH($B154,PROFILE_HD05!$B$7:$B$500,0)),"UNRESOLVED")</x:f>
      </x:c>
      <x:c r="K154" t="str">
        <x:f>IFERROR(INDEX(PROFILE_HD05!$AJ$7:$AJ$500,MATCH($B154,PROFILE_HD05!$B$7:$B$500,0)),"UNRESOLVED")</x:f>
      </x:c>
      <x:c r="L154" t="str">
        <x:f>IF(K154="","N/A / CHƯA NHẬP",IF(AND(ISNUMBER(J154),ISNUMBER(K154),J154=K154),"KHỚP SỐ","CẦN KIỂM TRA THỦ CÔNG"))</x:f>
        <x:v>N/A / CHƯA NHẬP</x:v>
      </x:c>
      <x:c r="M154" t="str">
        <x:f>IF(OR(C154&lt;&gt;1,D154&lt;&gt;"OK",E154&lt;&gt;"OK",H154&lt;&gt;"KHÔNG"),"BLOCK",IF(G154="PROTECTED","PROTECTED","CHECK_ONLY"))</x:f>
        <x:v>CHECK_ONLY</x:v>
      </x:c>
    </x:row>
    <x:row r="155">
      <x:c r="A155" t="str">
        <x:v>HD05</x:v>
      </x:c>
      <x:c r="B155" t="str">
        <x:f>HD05!B75</x:f>
        <x:v>HD05.G.PHAN_TRANG.SECTION</x:v>
      </x:c>
      <x:c r="C155" t="n">
        <x:f>COUNTIF(PROFILE_HD05!$B$7:$B$500,B155)</x:f>
        <x:v>1</x:v>
      </x:c>
      <x:c r="D155" t="str">
        <x:f>IF(LEFT(B155,LEN(A155)+1)=A155&amp;".","OK","SAI PREFIX")</x:f>
        <x:v>OK</x:v>
      </x:c>
      <x:c r="E155" t="str">
        <x:f>IF(COUNTIF(HD05!$B$7:$B$500,B155)=1,"OK","MÃ NGUỒN KHÔNG DUY NHẤT")</x:f>
        <x:v>OK</x:v>
      </x:c>
      <x:c r="F155" t="str">
        <x:f>IFERROR(INDEX(PROFILE_HD05!$CC$7:$CC$500,MATCH($B155,PROFILE_HD05!$B$7:$B$500,0)),"UNRESOLVED")</x:f>
        <x:v>REVIEW TRƯỚC KHI SỬA</x:v>
      </x:c>
      <x:c r="G155" t="str">
        <x:f>IFERROR(INDEX(PROFILE_HD05!$CD$7:$CD$500,MATCH($B155,PROFILE_HD05!$B$7:$B$500,0)),"UNRESOLVED")</x:f>
        <x:v>CHECK_ONLY</x:v>
      </x:c>
      <x:c r="H155" t="str">
        <x:f>IFERROR(INDEX(PROFILE_HD05!$CK$7:$CK$500,MATCH($B155,PROFILE_HD05!$B$7:$B$500,0)),"UNRESOLVED")</x:f>
        <x:v>KHÔNG</x:v>
      </x:c>
      <x:c r="I155" t="str">
        <x:f>IFERROR(INDEX(PROFILE_HD05!$CA$7:$CA$500,MATCH($B155,PROFILE_HD05!$B$7:$B$500,0)),"UNRESOLVED")</x:f>
        <x:v>DOCUMENT_SETTING</x:v>
      </x:c>
      <x:c r="J155" t="str">
        <x:f>IFERROR(INDEX(PROFILE_HD05!$BZ$7:$BZ$500,MATCH($B155,PROFILE_HD05!$B$7:$B$500,0)),"UNRESOLVED")</x:f>
        <x:v>Không áp dụng</x:v>
      </x:c>
      <x:c r="K155" t="str">
        <x:f>IFERROR(INDEX(PROFILE_HD05!$AJ$7:$AJ$500,MATCH($B155,PROFILE_HD05!$B$7:$B$500,0)),"UNRESOLVED")</x:f>
      </x:c>
      <x:c r="L155" t="str">
        <x:f>IF(K155="","N/A / CHƯA NHẬP",IF(AND(ISNUMBER(J155),ISNUMBER(K155),J155=K155),"KHỚP SỐ","CẦN KIỂM TRA THỦ CÔNG"))</x:f>
        <x:v>N/A / CHƯA NHẬP</x:v>
      </x:c>
      <x:c r="M155" t="str">
        <x:f>IF(OR(C155&lt;&gt;1,D155&lt;&gt;"OK",E155&lt;&gt;"OK",H155&lt;&gt;"KHÔNG"),"BLOCK",IF(G155="PROTECTED","PROTECTED","CHECK_ONLY"))</x:f>
        <x:v>CHECK_ONLY</x:v>
      </x:c>
    </x:row>
    <x:row r="156">
      <x:c r="A156" t="str">
        <x:v>HD05</x:v>
      </x:c>
      <x:c r="B156" t="str">
        <x:f>HD05!B76</x:f>
        <x:v>HD05.G.PHAN_TRANG.NGAT_TRANG</x:v>
      </x:c>
      <x:c r="C156" t="n">
        <x:f>COUNTIF(PROFILE_HD05!$B$7:$B$500,B156)</x:f>
        <x:v>1</x:v>
      </x:c>
      <x:c r="D156" t="str">
        <x:f>IF(LEFT(B156,LEN(A156)+1)=A156&amp;".","OK","SAI PREFIX")</x:f>
        <x:v>OK</x:v>
      </x:c>
      <x:c r="E156" t="str">
        <x:f>IF(COUNTIF(HD05!$B$7:$B$500,B156)=1,"OK","MÃ NGUỒN KHÔNG DUY NHẤT")</x:f>
        <x:v>OK</x:v>
      </x:c>
      <x:c r="F156" t="str">
        <x:f>IFERROR(INDEX(PROFILE_HD05!$CC$7:$CC$500,MATCH($B156,PROFILE_HD05!$B$7:$B$500,0)),"UNRESOLVED")</x:f>
        <x:v>REVIEW TRƯỚC KHI SỬA</x:v>
      </x:c>
      <x:c r="G156" t="str">
        <x:f>IFERROR(INDEX(PROFILE_HD05!$CD$7:$CD$500,MATCH($B156,PROFILE_HD05!$B$7:$B$500,0)),"UNRESOLVED")</x:f>
        <x:v>CHECK_ONLY</x:v>
      </x:c>
      <x:c r="H156" t="str">
        <x:f>IFERROR(INDEX(PROFILE_HD05!$CK$7:$CK$500,MATCH($B156,PROFILE_HD05!$B$7:$B$500,0)),"UNRESOLVED")</x:f>
        <x:v>KHÔNG</x:v>
      </x:c>
      <x:c r="I156" t="str">
        <x:f>IFERROR(INDEX(PROFILE_HD05!$CA$7:$CA$500,MATCH($B156,PROFILE_HD05!$B$7:$B$500,0)),"UNRESOLVED")</x:f>
        <x:v>DOCUMENT_SETTING</x:v>
      </x:c>
      <x:c r="J156" t="str">
        <x:f>IFERROR(INDEX(PROFILE_HD05!$BZ$7:$BZ$500,MATCH($B156,PROFILE_HD05!$B$7:$B$500,0)),"UNRESOLVED")</x:f>
        <x:v>Không áp dụng</x:v>
      </x:c>
      <x:c r="K156" t="str">
        <x:f>IFERROR(INDEX(PROFILE_HD05!$AJ$7:$AJ$500,MATCH($B156,PROFILE_HD05!$B$7:$B$500,0)),"UNRESOLVED")</x:f>
      </x:c>
      <x:c r="L156" t="str">
        <x:f>IF(K156="","N/A / CHƯA NHẬP",IF(AND(ISNUMBER(J156),ISNUMBER(K156),J156=K156),"KHỚP SỐ","CẦN KIỂM TRA THỦ CÔNG"))</x:f>
        <x:v>N/A / CHƯA NHẬP</x:v>
      </x:c>
      <x:c r="M156" t="str">
        <x:f>IF(OR(C156&lt;&gt;1,D156&lt;&gt;"OK",E156&lt;&gt;"OK",H156&lt;&gt;"KHÔNG"),"BLOCK",IF(G156="PROTECTED","PROTECTED","CHECK_ONLY"))</x:f>
        <x:v>CHECK_ONLY</x:v>
      </x:c>
    </x:row>
    <x:row r="157">
      <x:c r="A157" t="str">
        <x:v>HD05</x:v>
      </x:c>
      <x:c r="B157" t="str">
        <x:f>HD05!B77</x:f>
        <x:v>HD05.G.PHAN_TRANG.KEEP_WITH_NEXT</x:v>
      </x:c>
      <x:c r="C157" t="n">
        <x:f>COUNTIF(PROFILE_HD05!$B$7:$B$500,B157)</x:f>
        <x:v>1</x:v>
      </x:c>
      <x:c r="D157" t="str">
        <x:f>IF(LEFT(B157,LEN(A157)+1)=A157&amp;".","OK","SAI PREFIX")</x:f>
        <x:v>OK</x:v>
      </x:c>
      <x:c r="E157" t="str">
        <x:f>IF(COUNTIF(HD05!$B$7:$B$500,B157)=1,"OK","MÃ NGUỒN KHÔNG DUY NHẤT")</x:f>
        <x:v>OK</x:v>
      </x:c>
      <x:c r="F157" t="str">
        <x:f>IFERROR(INDEX(PROFILE_HD05!$CC$7:$CC$500,MATCH($B157,PROFILE_HD05!$B$7:$B$500,0)),"UNRESOLVED")</x:f>
        <x:v>REVIEW TRƯỚC KHI SỬA</x:v>
      </x:c>
      <x:c r="G157" t="str">
        <x:f>IFERROR(INDEX(PROFILE_HD05!$CD$7:$CD$500,MATCH($B157,PROFILE_HD05!$B$7:$B$500,0)),"UNRESOLVED")</x:f>
        <x:v>CHECK_ONLY</x:v>
      </x:c>
      <x:c r="H157" t="str">
        <x:f>IFERROR(INDEX(PROFILE_HD05!$CK$7:$CK$500,MATCH($B157,PROFILE_HD05!$B$7:$B$500,0)),"UNRESOLVED")</x:f>
        <x:v>KHÔNG</x:v>
      </x:c>
      <x:c r="I157" t="str">
        <x:f>IFERROR(INDEX(PROFILE_HD05!$CA$7:$CA$500,MATCH($B157,PROFILE_HD05!$B$7:$B$500,0)),"UNRESOLVED")</x:f>
        <x:v>DOCUMENT_SETTING</x:v>
      </x:c>
      <x:c r="J157" t="str">
        <x:f>IFERROR(INDEX(PROFILE_HD05!$BZ$7:$BZ$500,MATCH($B157,PROFILE_HD05!$B$7:$B$500,0)),"UNRESOLVED")</x:f>
        <x:v>Không áp dụng</x:v>
      </x:c>
      <x:c r="K157" t="str">
        <x:f>IFERROR(INDEX(PROFILE_HD05!$AJ$7:$AJ$500,MATCH($B157,PROFILE_HD05!$B$7:$B$500,0)),"UNRESOLVED")</x:f>
      </x:c>
      <x:c r="L157" t="str">
        <x:f>IF(K157="","N/A / CHƯA NHẬP",IF(AND(ISNUMBER(J157),ISNUMBER(K157),J157=K157),"KHỚP SỐ","CẦN KIỂM TRA THỦ CÔNG"))</x:f>
        <x:v>N/A / CHƯA NHẬP</x:v>
      </x:c>
      <x:c r="M157" t="str">
        <x:f>IF(OR(C157&lt;&gt;1,D157&lt;&gt;"OK",E157&lt;&gt;"OK",H157&lt;&gt;"KHÔNG"),"BLOCK",IF(G157="PROTECTED","PROTECTED","CHECK_ONLY"))</x:f>
        <x:v>CHECK_ONLY</x:v>
      </x:c>
    </x:row>
    <x:row r="158">
      <x:c r="A158" t="str">
        <x:v>HD05</x:v>
      </x:c>
      <x:c r="B158" t="str">
        <x:f>HD05!B78</x:f>
        <x:v>HD05.G.SO_TRANG.VI_TRI</x:v>
      </x:c>
      <x:c r="C158" t="n">
        <x:f>COUNTIF(PROFILE_HD05!$B$7:$B$500,B158)</x:f>
        <x:v>1</x:v>
      </x:c>
      <x:c r="D158" t="str">
        <x:f>IF(LEFT(B158,LEN(A158)+1)=A158&amp;".","OK","SAI PREFIX")</x:f>
        <x:v>OK</x:v>
      </x:c>
      <x:c r="E158" t="str">
        <x:f>IF(COUNTIF(HD05!$B$7:$B$500,B158)=1,"OK","MÃ NGUỒN KHÔNG DUY NHẤT")</x:f>
        <x:v>OK</x:v>
      </x:c>
      <x:c r="F158" t="str">
        <x:f>IFERROR(INDEX(PROFILE_HD05!$CC$7:$CC$500,MATCH($B158,PROFILE_HD05!$B$7:$B$500,0)),"UNRESOLVED")</x:f>
        <x:v>CHỈ SAU REVIEW</x:v>
      </x:c>
      <x:c r="G158" t="str">
        <x:f>IFERROR(INDEX(PROFILE_HD05!$CD$7:$CD$500,MATCH($B158,PROFILE_HD05!$B$7:$B$500,0)),"UNRESOLVED")</x:f>
        <x:v>CHECK_ONLY</x:v>
      </x:c>
      <x:c r="H158" t="str">
        <x:f>IFERROR(INDEX(PROFILE_HD05!$CK$7:$CK$500,MATCH($B158,PROFILE_HD05!$B$7:$B$500,0)),"UNRESOLVED")</x:f>
        <x:v>KHÔNG</x:v>
      </x:c>
      <x:c r="I158" t="str">
        <x:f>IFERROR(INDEX(PROFILE_HD05!$CA$7:$CA$500,MATCH($B158,PROFILE_HD05!$B$7:$B$500,0)),"UNRESOLVED")</x:f>
        <x:v>DOCUMENT_SETTING</x:v>
      </x:c>
      <x:c r="J158" t="n">
        <x:f>IFERROR(INDEX(PROFILE_HD05!$BZ$7:$BZ$500,MATCH($B158,PROFILE_HD05!$B$7:$B$500,0)),"UNRESOLVED")</x:f>
        <x:v>14</x:v>
      </x:c>
      <x:c r="K158" t="str">
        <x:f>IFERROR(INDEX(PROFILE_HD05!$AJ$7:$AJ$500,MATCH($B158,PROFILE_HD05!$B$7:$B$500,0)),"UNRESOLVED")</x:f>
      </x:c>
      <x:c r="L158" t="str">
        <x:f>IF(K158="","N/A / CHƯA NHẬP",IF(AND(ISNUMBER(J158),ISNUMBER(K158),J158=K158),"KHỚP SỐ","CẦN KIỂM TRA THỦ CÔNG"))</x:f>
        <x:v>N/A / CHƯA NHẬP</x:v>
      </x:c>
      <x:c r="M158" t="str">
        <x:f>IF(OR(C158&lt;&gt;1,D158&lt;&gt;"OK",E158&lt;&gt;"OK",H158&lt;&gt;"KHÔNG"),"BLOCK",IF(G158="PROTECTED","PROTECTED","CHECK_ONLY"))</x:f>
        <x:v>CHECK_ONLY</x:v>
      </x:c>
    </x:row>
    <x:row r="159">
      <x:c r="A159" t="str">
        <x:v>HD05</x:v>
      </x:c>
      <x:c r="B159" t="str">
        <x:f>HD05!B79</x:f>
        <x:v>HD05.G.SO_TRANG.DINH_DANG</x:v>
      </x:c>
      <x:c r="C159" t="n">
        <x:f>COUNTIF(PROFILE_HD05!$B$7:$B$500,B159)</x:f>
        <x:v>1</x:v>
      </x:c>
      <x:c r="D159" t="str">
        <x:f>IF(LEFT(B159,LEN(A159)+1)=A159&amp;".","OK","SAI PREFIX")</x:f>
        <x:v>OK</x:v>
      </x:c>
      <x:c r="E159" t="str">
        <x:f>IF(COUNTIF(HD05!$B$7:$B$500,B159)=1,"OK","MÃ NGUỒN KHÔNG DUY NHẤT")</x:f>
        <x:v>OK</x:v>
      </x:c>
      <x:c r="F159" t="str">
        <x:f>IFERROR(INDEX(PROFILE_HD05!$CC$7:$CC$500,MATCH($B159,PROFILE_HD05!$B$7:$B$500,0)),"UNRESOLVED")</x:f>
        <x:v>CHỈ SAU REVIEW</x:v>
      </x:c>
      <x:c r="G159" t="str">
        <x:f>IFERROR(INDEX(PROFILE_HD05!$CD$7:$CD$500,MATCH($B159,PROFILE_HD05!$B$7:$B$500,0)),"UNRESOLVED")</x:f>
        <x:v>CHECK_ONLY</x:v>
      </x:c>
      <x:c r="H159" t="str">
        <x:f>IFERROR(INDEX(PROFILE_HD05!$CK$7:$CK$500,MATCH($B159,PROFILE_HD05!$B$7:$B$500,0)),"UNRESOLVED")</x:f>
        <x:v>KHÔNG</x:v>
      </x:c>
      <x:c r="I159" t="str">
        <x:f>IFERROR(INDEX(PROFILE_HD05!$CA$7:$CA$500,MATCH($B159,PROFILE_HD05!$B$7:$B$500,0)),"UNRESOLVED")</x:f>
        <x:v>DOCUMENT_SETTING</x:v>
      </x:c>
      <x:c r="J159" t="n">
        <x:f>IFERROR(INDEX(PROFILE_HD05!$BZ$7:$BZ$500,MATCH($B159,PROFILE_HD05!$B$7:$B$500,0)),"UNRESOLVED")</x:f>
        <x:v>14</x:v>
      </x:c>
      <x:c r="K159" t="str">
        <x:f>IFERROR(INDEX(PROFILE_HD05!$AJ$7:$AJ$500,MATCH($B159,PROFILE_HD05!$B$7:$B$500,0)),"UNRESOLVED")</x:f>
      </x:c>
      <x:c r="L159" t="str">
        <x:f>IF(K159="","N/A / CHƯA NHẬP",IF(AND(ISNUMBER(J159),ISNUMBER(K159),J159=K159),"KHỚP SỐ","CẦN KIỂM TRA THỦ CÔNG"))</x:f>
        <x:v>N/A / CHƯA NHẬP</x:v>
      </x:c>
      <x:c r="M159" t="str">
        <x:f>IF(OR(C159&lt;&gt;1,D159&lt;&gt;"OK",E159&lt;&gt;"OK",H159&lt;&gt;"KHÔNG"),"BLOCK",IF(G159="PROTECTED","PROTECTED","CHECK_ONLY"))</x:f>
        <x:v>CHECK_ONLY</x:v>
      </x:c>
    </x:row>
    <x:row r="160">
      <x:c r="A160" t="str">
        <x:v>HD05</x:v>
      </x:c>
      <x:c r="B160" t="str">
        <x:f>HD05!B80</x:f>
        <x:v>HD05.G.IN.HAI_MAT</x:v>
      </x:c>
      <x:c r="C160" t="n">
        <x:f>COUNTIF(PROFILE_HD05!$B$7:$B$500,B160)</x:f>
        <x:v>1</x:v>
      </x:c>
      <x:c r="D160" t="str">
        <x:f>IF(LEFT(B160,LEN(A160)+1)=A160&amp;".","OK","SAI PREFIX")</x:f>
        <x:v>OK</x:v>
      </x:c>
      <x:c r="E160" t="str">
        <x:f>IF(COUNTIF(HD05!$B$7:$B$500,B160)=1,"OK","MÃ NGUỒN KHÔNG DUY NHẤT")</x:f>
        <x:v>OK</x:v>
      </x:c>
      <x:c r="F160" t="str">
        <x:f>IFERROR(INDEX(PROFILE_HD05!$CC$7:$CC$500,MATCH($B160,PROFILE_HD05!$B$7:$B$500,0)),"UNRESOLVED")</x:f>
        <x:v>CHỈ SAU REVIEW</x:v>
      </x:c>
      <x:c r="G160" t="str">
        <x:f>IFERROR(INDEX(PROFILE_HD05!$CD$7:$CD$500,MATCH($B160,PROFILE_HD05!$B$7:$B$500,0)),"UNRESOLVED")</x:f>
        <x:v>CHECK_ONLY</x:v>
      </x:c>
      <x:c r="H160" t="str">
        <x:f>IFERROR(INDEX(PROFILE_HD05!$CK$7:$CK$500,MATCH($B160,PROFILE_HD05!$B$7:$B$500,0)),"UNRESOLVED")</x:f>
        <x:v>KHÔNG</x:v>
      </x:c>
      <x:c r="I160" t="str">
        <x:f>IFERROR(INDEX(PROFILE_HD05!$CA$7:$CA$500,MATCH($B160,PROFILE_HD05!$B$7:$B$500,0)),"UNRESOLVED")</x:f>
        <x:v>DOCUMENT_SETTING</x:v>
      </x:c>
      <x:c r="J160" t="str">
        <x:f>IFERROR(INDEX(PROFILE_HD05!$BZ$7:$BZ$500,MATCH($B160,PROFILE_HD05!$B$7:$B$500,0)),"UNRESOLVED")</x:f>
        <x:v>Không áp dụng</x:v>
      </x:c>
      <x:c r="K160" t="str">
        <x:f>IFERROR(INDEX(PROFILE_HD05!$AJ$7:$AJ$500,MATCH($B160,PROFILE_HD05!$B$7:$B$500,0)),"UNRESOLVED")</x:f>
      </x:c>
      <x:c r="L160" t="str">
        <x:f>IF(K160="","N/A / CHƯA NHẬP",IF(AND(ISNUMBER(J160),ISNUMBER(K160),J160=K160),"KHỚP SỐ","CẦN KIỂM TRA THỦ CÔNG"))</x:f>
        <x:v>N/A / CHƯA NHẬP</x:v>
      </x:c>
      <x:c r="M160" t="str">
        <x:f>IF(OR(C160&lt;&gt;1,D160&lt;&gt;"OK",E160&lt;&gt;"OK",H160&lt;&gt;"KHÔNG"),"BLOCK",IF(G160="PROTECTED","PROTECTED","CHECK_ONLY"))</x:f>
        <x:v>CHECK_ONLY</x:v>
      </x:c>
    </x:row>
    <x:row r="161">
      <x:c r="A161" t="str">
        <x:v>HD05</x:v>
      </x:c>
      <x:c r="B161" t="str">
        <x:f>HD05!B81</x:f>
        <x:v>HD05.X.MAT.MUC_DO</x:v>
      </x:c>
      <x:c r="C161" t="n">
        <x:f>COUNTIF(PROFILE_HD05!$B$7:$B$500,B161)</x:f>
        <x:v>1</x:v>
      </x:c>
      <x:c r="D161" t="str">
        <x:f>IF(LEFT(B161,LEN(A161)+1)=A161&amp;".","OK","SAI PREFIX")</x:f>
        <x:v>OK</x:v>
      </x:c>
      <x:c r="E161" t="str">
        <x:f>IF(COUNTIF(HD05!$B$7:$B$500,B161)=1,"OK","MÃ NGUỒN KHÔNG DUY NHẤT")</x:f>
        <x:v>OK</x:v>
      </x:c>
      <x:c r="F161" t="str">
        <x:f>IFERROR(INDEX(PROFILE_HD05!$CC$7:$CC$500,MATCH($B161,PROFILE_HD05!$B$7:$B$500,0)),"UNRESOLVED")</x:f>
        <x:v>BẢO VỆ / KHÔNG TỰ SỬA</x:v>
      </x:c>
      <x:c r="G161" t="str">
        <x:f>IFERROR(INDEX(PROFILE_HD05!$CD$7:$CD$500,MATCH($B161,PROFILE_HD05!$B$7:$B$500,0)),"UNRESOLVED")</x:f>
        <x:v>PROTECTED</x:v>
      </x:c>
      <x:c r="H161" t="str">
        <x:f>IFERROR(INDEX(PROFILE_HD05!$CK$7:$CK$500,MATCH($B161,PROFILE_HD05!$B$7:$B$500,0)),"UNRESOLVED")</x:f>
        <x:v>KHÔNG</x:v>
      </x:c>
      <x:c r="I161" t="str">
        <x:f>IFERROR(INDEX(PROFILE_HD05!$CA$7:$CA$500,MATCH($B161,PROFILE_HD05!$B$7:$B$500,0)),"UNRESOLVED")</x:f>
        <x:v>TEXT</x:v>
      </x:c>
      <x:c r="J161" t="str">
        <x:f>IFERROR(INDEX(PROFILE_HD05!$BZ$7:$BZ$500,MATCH($B161,PROFILE_HD05!$B$7:$B$500,0)),"UNRESOLVED")</x:f>
      </x:c>
      <x:c r="K161" t="str">
        <x:f>IFERROR(INDEX(PROFILE_HD05!$AJ$7:$AJ$500,MATCH($B161,PROFILE_HD05!$B$7:$B$500,0)),"UNRESOLVED")</x:f>
      </x:c>
      <x:c r="L161" t="str">
        <x:f>IF(K161="","N/A / CHƯA NHẬP",IF(AND(ISNUMBER(J161),ISNUMBER(K161),J161=K161),"KHỚP SỐ","CẦN KIỂM TRA THỦ CÔNG"))</x:f>
        <x:v>N/A / CHƯA NHẬP</x:v>
      </x:c>
      <x:c r="M161" t="str">
        <x:f>IF(OR(C161&lt;&gt;1,D161&lt;&gt;"OK",E161&lt;&gt;"OK",H161&lt;&gt;"KHÔNG"),"BLOCK",IF(G161="PROTECTED","PROTECTED","CHECK_ONLY"))</x:f>
        <x:v>PROTECTED</x:v>
      </x:c>
    </x:row>
    <x:row r="162">
      <x:c r="A162" t="str">
        <x:v>HD05</x:v>
      </x:c>
      <x:c r="B162" t="str">
        <x:f>HD05!B82</x:f>
        <x:v>HD05.X.KHAN.MUC_DO</x:v>
      </x:c>
      <x:c r="C162" t="n">
        <x:f>COUNTIF(PROFILE_HD05!$B$7:$B$500,B162)</x:f>
        <x:v>1</x:v>
      </x:c>
      <x:c r="D162" t="str">
        <x:f>IF(LEFT(B162,LEN(A162)+1)=A162&amp;".","OK","SAI PREFIX")</x:f>
        <x:v>OK</x:v>
      </x:c>
      <x:c r="E162" t="str">
        <x:f>IF(COUNTIF(HD05!$B$7:$B$500,B162)=1,"OK","MÃ NGUỒN KHÔNG DUY NHẤT")</x:f>
        <x:v>OK</x:v>
      </x:c>
      <x:c r="F162" t="str">
        <x:f>IFERROR(INDEX(PROFILE_HD05!$CC$7:$CC$500,MATCH($B162,PROFILE_HD05!$B$7:$B$500,0)),"UNRESOLVED")</x:f>
        <x:v>KHÔNG TỰ CHÈN</x:v>
      </x:c>
      <x:c r="G162" t="str">
        <x:f>IFERROR(INDEX(PROFILE_HD05!$CD$7:$CD$500,MATCH($B162,PROFILE_HD05!$B$7:$B$500,0)),"UNRESOLVED")</x:f>
        <x:v>CHECK_ONLY</x:v>
      </x:c>
      <x:c r="H162" t="str">
        <x:f>IFERROR(INDEX(PROFILE_HD05!$CK$7:$CK$500,MATCH($B162,PROFILE_HD05!$B$7:$B$500,0)),"UNRESOLVED")</x:f>
        <x:v>KHÔNG</x:v>
      </x:c>
      <x:c r="I162" t="str">
        <x:f>IFERROR(INDEX(PROFILE_HD05!$CA$7:$CA$500,MATCH($B162,PROFILE_HD05!$B$7:$B$500,0)),"UNRESOLVED")</x:f>
        <x:v>TEXT</x:v>
      </x:c>
      <x:c r="J162" t="n">
        <x:f>IFERROR(INDEX(PROFILE_HD05!$BZ$7:$BZ$500,MATCH($B162,PROFILE_HD05!$B$7:$B$500,0)),"UNRESOLVED")</x:f>
        <x:v>14</x:v>
      </x:c>
      <x:c r="K162" t="n">
        <x:f>IFERROR(INDEX(PROFILE_HD05!$AJ$7:$AJ$500,MATCH($B162,PROFILE_HD05!$B$7:$B$500,0)),"UNRESOLVED")</x:f>
        <x:v>14</x:v>
      </x:c>
      <x:c r="L162" t="str">
        <x:f>IF(K162="","N/A / CHƯA NHẬP",IF(AND(ISNUMBER(J162),ISNUMBER(K162),J162=K162),"KHỚP SỐ","CẦN KIỂM TRA THỦ CÔNG"))</x:f>
        <x:v>KHỚP SỐ</x:v>
      </x:c>
      <x:c r="M162" t="str">
        <x:f>IF(OR(C162&lt;&gt;1,D162&lt;&gt;"OK",E162&lt;&gt;"OK",H162&lt;&gt;"KHÔNG"),"BLOCK",IF(G162="PROTECTED","PROTECTED","CHECK_ONLY"))</x:f>
        <x:v>CHECK_ONLY</x:v>
      </x:c>
    </x:row>
    <x:row r="163">
      <x:c r="A163" t="str">
        <x:v>HD05</x:v>
      </x:c>
      <x:c r="B163" t="str">
        <x:f>HD05!B83</x:f>
        <x:v>HD05.X.LUU_HANH.CHI_DAN</x:v>
      </x:c>
      <x:c r="C163" t="n">
        <x:f>COUNTIF(PROFILE_HD05!$B$7:$B$500,B163)</x:f>
        <x:v>1</x:v>
      </x:c>
      <x:c r="D163" t="str">
        <x:f>IF(LEFT(B163,LEN(A163)+1)=A163&amp;".","OK","SAI PREFIX")</x:f>
        <x:v>OK</x:v>
      </x:c>
      <x:c r="E163" t="str">
        <x:f>IF(COUNTIF(HD05!$B$7:$B$500,B163)=1,"OK","MÃ NGUỒN KHÔNG DUY NHẤT")</x:f>
        <x:v>OK</x:v>
      </x:c>
      <x:c r="F163" t="str">
        <x:f>IFERROR(INDEX(PROFILE_HD05!$CC$7:$CC$500,MATCH($B163,PROFILE_HD05!$B$7:$B$500,0)),"UNRESOLVED")</x:f>
        <x:v>KHÔNG TỰ CHÈN</x:v>
      </x:c>
      <x:c r="G163" t="str">
        <x:f>IFERROR(INDEX(PROFILE_HD05!$CD$7:$CD$500,MATCH($B163,PROFILE_HD05!$B$7:$B$500,0)),"UNRESOLVED")</x:f>
        <x:v>CHECK_ONLY</x:v>
      </x:c>
      <x:c r="H163" t="str">
        <x:f>IFERROR(INDEX(PROFILE_HD05!$CK$7:$CK$500,MATCH($B163,PROFILE_HD05!$B$7:$B$500,0)),"UNRESOLVED")</x:f>
        <x:v>KHÔNG</x:v>
      </x:c>
      <x:c r="I163" t="str">
        <x:f>IFERROR(INDEX(PROFILE_HD05!$CA$7:$CA$500,MATCH($B163,PROFILE_HD05!$B$7:$B$500,0)),"UNRESOLVED")</x:f>
        <x:v>TEXT</x:v>
      </x:c>
      <x:c r="J163" t="n">
        <x:f>IFERROR(INDEX(PROFILE_HD05!$BZ$7:$BZ$500,MATCH($B163,PROFILE_HD05!$B$7:$B$500,0)),"UNRESOLVED")</x:f>
        <x:v>12</x:v>
      </x:c>
      <x:c r="K163" t="n">
        <x:f>IFERROR(INDEX(PROFILE_HD05!$AJ$7:$AJ$500,MATCH($B163,PROFILE_HD05!$B$7:$B$500,0)),"UNRESOLVED")</x:f>
        <x:v>12</x:v>
      </x:c>
      <x:c r="L163" t="str">
        <x:f>IF(K163="","N/A / CHƯA NHẬP",IF(AND(ISNUMBER(J163),ISNUMBER(K163),J163=K163),"KHỚP SỐ","CẦN KIỂM TRA THỦ CÔNG"))</x:f>
        <x:v>KHỚP SỐ</x:v>
      </x:c>
      <x:c r="M163" t="str">
        <x:f>IF(OR(C163&lt;&gt;1,D163&lt;&gt;"OK",E163&lt;&gt;"OK",H163&lt;&gt;"KHÔNG"),"BLOCK",IF(G163="PROTECTED","PROTECTED","CHECK_ONLY"))</x:f>
        <x:v>CHECK_ONLY</x:v>
      </x:c>
    </x:row>
    <x:row r="164">
      <x:c r="A164" t="str">
        <x:v>HD05</x:v>
      </x:c>
      <x:c r="B164" t="str">
        <x:f>HD05!B84</x:f>
        <x:v>HD05.X.DU_THAO.CHI_DAN</x:v>
      </x:c>
      <x:c r="C164" t="n">
        <x:f>COUNTIF(PROFILE_HD05!$B$7:$B$500,B164)</x:f>
        <x:v>1</x:v>
      </x:c>
      <x:c r="D164" t="str">
        <x:f>IF(LEFT(B164,LEN(A164)+1)=A164&amp;".","OK","SAI PREFIX")</x:f>
        <x:v>OK</x:v>
      </x:c>
      <x:c r="E164" t="str">
        <x:f>IF(COUNTIF(HD05!$B$7:$B$500,B164)=1,"OK","MÃ NGUỒN KHÔNG DUY NHẤT")</x:f>
        <x:v>OK</x:v>
      </x:c>
      <x:c r="F164" t="str">
        <x:f>IFERROR(INDEX(PROFILE_HD05!$CC$7:$CC$500,MATCH($B164,PROFILE_HD05!$B$7:$B$500,0)),"UNRESOLVED")</x:f>
        <x:v>KHÔNG TỰ CHÈN</x:v>
      </x:c>
      <x:c r="G164" t="str">
        <x:f>IFERROR(INDEX(PROFILE_HD05!$CD$7:$CD$500,MATCH($B164,PROFILE_HD05!$B$7:$B$500,0)),"UNRESOLVED")</x:f>
        <x:v>CHECK_ONLY</x:v>
      </x:c>
      <x:c r="H164" t="str">
        <x:f>IFERROR(INDEX(PROFILE_HD05!$CK$7:$CK$500,MATCH($B164,PROFILE_HD05!$B$7:$B$500,0)),"UNRESOLVED")</x:f>
        <x:v>KHÔNG</x:v>
      </x:c>
      <x:c r="I164" t="str">
        <x:f>IFERROR(INDEX(PROFILE_HD05!$CA$7:$CA$500,MATCH($B164,PROFILE_HD05!$B$7:$B$500,0)),"UNRESOLVED")</x:f>
        <x:v>TEXT</x:v>
      </x:c>
      <x:c r="J164" t="n">
        <x:f>IFERROR(INDEX(PROFILE_HD05!$BZ$7:$BZ$500,MATCH($B164,PROFILE_HD05!$B$7:$B$500,0)),"UNRESOLVED")</x:f>
        <x:v>14</x:v>
      </x:c>
      <x:c r="K164" t="n">
        <x:f>IFERROR(INDEX(PROFILE_HD05!$AJ$7:$AJ$500,MATCH($B164,PROFILE_HD05!$B$7:$B$500,0)),"UNRESOLVED")</x:f>
        <x:v>14</x:v>
      </x:c>
      <x:c r="L164" t="str">
        <x:f>IF(K164="","N/A / CHƯA NHẬP",IF(AND(ISNUMBER(J164),ISNUMBER(K164),J164=K164),"KHỚP SỐ","CẦN KIỂM TRA THỦ CÔNG"))</x:f>
        <x:v>KHỚP SỐ</x:v>
      </x:c>
      <x:c r="M164" t="str">
        <x:f>IF(OR(C164&lt;&gt;1,D164&lt;&gt;"OK",E164&lt;&gt;"OK",H164&lt;&gt;"KHÔNG"),"BLOCK",IF(G164="PROTECTED","PROTECTED","CHECK_ONLY"))</x:f>
        <x:v>CHECK_ONLY</x:v>
      </x:c>
    </x:row>
    <x:row r="165">
      <x:c r="A165" t="str">
        <x:v>HD05</x:v>
      </x:c>
      <x:c r="B165" t="str">
        <x:f>HD05!B85</x:f>
        <x:v>HD05.X.SOAN.KY_HIEU_NGUOI_SOAN</x:v>
      </x:c>
      <x:c r="C165" t="n">
        <x:f>COUNTIF(PROFILE_HD05!$B$7:$B$500,B165)</x:f>
        <x:v>1</x:v>
      </x:c>
      <x:c r="D165" t="str">
        <x:f>IF(LEFT(B165,LEN(A165)+1)=A165&amp;".","OK","SAI PREFIX")</x:f>
        <x:v>OK</x:v>
      </x:c>
      <x:c r="E165" t="str">
        <x:f>IF(COUNTIF(HD05!$B$7:$B$500,B165)=1,"OK","MÃ NGUỒN KHÔNG DUY NHẤT")</x:f>
        <x:v>OK</x:v>
      </x:c>
      <x:c r="F165" t="str">
        <x:f>IFERROR(INDEX(PROFILE_HD05!$CC$7:$CC$500,MATCH($B165,PROFILE_HD05!$B$7:$B$500,0)),"UNRESOLVED")</x:f>
        <x:v>KHÔNG TỰ CHÈN</x:v>
      </x:c>
      <x:c r="G165" t="str">
        <x:f>IFERROR(INDEX(PROFILE_HD05!$CD$7:$CD$500,MATCH($B165,PROFILE_HD05!$B$7:$B$500,0)),"UNRESOLVED")</x:f>
        <x:v>CHECK_ONLY</x:v>
      </x:c>
      <x:c r="H165" t="str">
        <x:f>IFERROR(INDEX(PROFILE_HD05!$CK$7:$CK$500,MATCH($B165,PROFILE_HD05!$B$7:$B$500,0)),"UNRESOLVED")</x:f>
        <x:v>KHÔNG</x:v>
      </x:c>
      <x:c r="I165" t="str">
        <x:f>IFERROR(INDEX(PROFILE_HD05!$CA$7:$CA$500,MATCH($B165,PROFILE_HD05!$B$7:$B$500,0)),"UNRESOLVED")</x:f>
        <x:v>TEXT</x:v>
      </x:c>
      <x:c r="J165" t="n">
        <x:f>IFERROR(INDEX(PROFILE_HD05!$BZ$7:$BZ$500,MATCH($B165,PROFILE_HD05!$B$7:$B$500,0)),"UNRESOLVED")</x:f>
        <x:v>11</x:v>
      </x:c>
      <x:c r="K165" t="n">
        <x:f>IFERROR(INDEX(PROFILE_HD05!$AJ$7:$AJ$500,MATCH($B165,PROFILE_HD05!$B$7:$B$500,0)),"UNRESOLVED")</x:f>
        <x:v>11</x:v>
      </x:c>
      <x:c r="L165" t="str">
        <x:f>IF(K165="","N/A / CHƯA NHẬP",IF(AND(ISNUMBER(J165),ISNUMBER(K165),J165=K165),"KHỚP SỐ","CẦN KIỂM TRA THỦ CÔNG"))</x:f>
        <x:v>KHỚP SỐ</x:v>
      </x:c>
      <x:c r="M165" t="str">
        <x:f>IF(OR(C165&lt;&gt;1,D165&lt;&gt;"OK",E165&lt;&gt;"OK",H165&lt;&gt;"KHÔNG"),"BLOCK",IF(G165="PROTECTED","PROTECTED","CHECK_ONLY"))</x:f>
        <x:v>CHECK_ONLY</x:v>
      </x:c>
    </x:row>
    <x:row r="166">
      <x:c r="A166" t="str">
        <x:v>HD05</x:v>
      </x:c>
      <x:c r="B166" t="str">
        <x:f>HD05!B86</x:f>
        <x:v>HD05.X.SOAN.SO_BAN</x:v>
      </x:c>
      <x:c r="C166" t="n">
        <x:f>COUNTIF(PROFILE_HD05!$B$7:$B$500,B166)</x:f>
        <x:v>1</x:v>
      </x:c>
      <x:c r="D166" t="str">
        <x:f>IF(LEFT(B166,LEN(A166)+1)=A166&amp;".","OK","SAI PREFIX")</x:f>
        <x:v>OK</x:v>
      </x:c>
      <x:c r="E166" t="str">
        <x:f>IF(COUNTIF(HD05!$B$7:$B$500,B166)=1,"OK","MÃ NGUỒN KHÔNG DUY NHẤT")</x:f>
        <x:v>OK</x:v>
      </x:c>
      <x:c r="F166" t="str">
        <x:f>IFERROR(INDEX(PROFILE_HD05!$CC$7:$CC$500,MATCH($B166,PROFILE_HD05!$B$7:$B$500,0)),"UNRESOLVED")</x:f>
        <x:v>KHÔNG TỰ CHÈN</x:v>
      </x:c>
      <x:c r="G166" t="str">
        <x:f>IFERROR(INDEX(PROFILE_HD05!$CD$7:$CD$500,MATCH($B166,PROFILE_HD05!$B$7:$B$500,0)),"UNRESOLVED")</x:f>
        <x:v>CHECK_ONLY</x:v>
      </x:c>
      <x:c r="H166" t="str">
        <x:f>IFERROR(INDEX(PROFILE_HD05!$CK$7:$CK$500,MATCH($B166,PROFILE_HD05!$B$7:$B$500,0)),"UNRESOLVED")</x:f>
        <x:v>KHÔNG</x:v>
      </x:c>
      <x:c r="I166" t="str">
        <x:f>IFERROR(INDEX(PROFILE_HD05!$CA$7:$CA$500,MATCH($B166,PROFILE_HD05!$B$7:$B$500,0)),"UNRESOLVED")</x:f>
        <x:v>TEXT</x:v>
      </x:c>
      <x:c r="J166" t="n">
        <x:f>IFERROR(INDEX(PROFILE_HD05!$BZ$7:$BZ$500,MATCH($B166,PROFILE_HD05!$B$7:$B$500,0)),"UNRESOLVED")</x:f>
        <x:v>11</x:v>
      </x:c>
      <x:c r="K166" t="n">
        <x:f>IFERROR(INDEX(PROFILE_HD05!$AJ$7:$AJ$500,MATCH($B166,PROFILE_HD05!$B$7:$B$500,0)),"UNRESOLVED")</x:f>
        <x:v>11</x:v>
      </x:c>
      <x:c r="L166" t="str">
        <x:f>IF(K166="","N/A / CHƯA NHẬP",IF(AND(ISNUMBER(J166),ISNUMBER(K166),J166=K166),"KHỚP SỐ","CẦN KIỂM TRA THỦ CÔNG"))</x:f>
        <x:v>KHỚP SỐ</x:v>
      </x:c>
      <x:c r="M166" t="str">
        <x:f>IF(OR(C166&lt;&gt;1,D166&lt;&gt;"OK",E166&lt;&gt;"OK",H166&lt;&gt;"KHÔNG"),"BLOCK",IF(G166="PROTECTED","PROTECTED","CHECK_ONLY"))</x:f>
        <x:v>CHECK_ONLY</x:v>
      </x:c>
    </x:row>
    <x:row r="167">
      <x:c r="A167" t="str">
        <x:v>HD05</x:v>
      </x:c>
      <x:c r="B167" t="str">
        <x:f>HD05!B87</x:f>
        <x:v>HD05.X.LIEN_HE.DIA_CHI</x:v>
      </x:c>
      <x:c r="C167" t="n">
        <x:f>COUNTIF(PROFILE_HD05!$B$7:$B$500,B167)</x:f>
        <x:v>1</x:v>
      </x:c>
      <x:c r="D167" t="str">
        <x:f>IF(LEFT(B167,LEN(A167)+1)=A167&amp;".","OK","SAI PREFIX")</x:f>
        <x:v>OK</x:v>
      </x:c>
      <x:c r="E167" t="str">
        <x:f>IF(COUNTIF(HD05!$B$7:$B$500,B167)=1,"OK","MÃ NGUỒN KHÔNG DUY NHẤT")</x:f>
        <x:v>OK</x:v>
      </x:c>
      <x:c r="F167" t="str">
        <x:f>IFERROR(INDEX(PROFILE_HD05!$CC$7:$CC$500,MATCH($B167,PROFILE_HD05!$B$7:$B$500,0)),"UNRESOLVED")</x:f>
        <x:v>KHÔNG TỰ CHÈN</x:v>
      </x:c>
      <x:c r="G167" t="str">
        <x:f>IFERROR(INDEX(PROFILE_HD05!$CD$7:$CD$500,MATCH($B167,PROFILE_HD05!$B$7:$B$500,0)),"UNRESOLVED")</x:f>
        <x:v>CHECK_ONLY</x:v>
      </x:c>
      <x:c r="H167" t="str">
        <x:f>IFERROR(INDEX(PROFILE_HD05!$CK$7:$CK$500,MATCH($B167,PROFILE_HD05!$B$7:$B$500,0)),"UNRESOLVED")</x:f>
        <x:v>KHÔNG</x:v>
      </x:c>
      <x:c r="I167" t="str">
        <x:f>IFERROR(INDEX(PROFILE_HD05!$CA$7:$CA$500,MATCH($B167,PROFILE_HD05!$B$7:$B$500,0)),"UNRESOLVED")</x:f>
        <x:v>TEXT</x:v>
      </x:c>
      <x:c r="J167" t="n">
        <x:f>IFERROR(INDEX(PROFILE_HD05!$BZ$7:$BZ$500,MATCH($B167,PROFILE_HD05!$B$7:$B$500,0)),"UNRESOLVED")</x:f>
        <x:v>10</x:v>
      </x:c>
      <x:c r="K167" t="n">
        <x:f>IFERROR(INDEX(PROFILE_HD05!$AJ$7:$AJ$500,MATCH($B167,PROFILE_HD05!$B$7:$B$500,0)),"UNRESOLVED")</x:f>
        <x:v>10</x:v>
      </x:c>
      <x:c r="L167" t="str">
        <x:f>IF(K167="","N/A / CHƯA NHẬP",IF(AND(ISNUMBER(J167),ISNUMBER(K167),J167=K167),"KHỚP SỐ","CẦN KIỂM TRA THỦ CÔNG"))</x:f>
        <x:v>KHỚP SỐ</x:v>
      </x:c>
      <x:c r="M167" t="str">
        <x:f>IF(OR(C167&lt;&gt;1,D167&lt;&gt;"OK",E167&lt;&gt;"OK",H167&lt;&gt;"KHÔNG"),"BLOCK",IF(G167="PROTECTED","PROTECTED","CHECK_ONLY"))</x:f>
        <x:v>CHECK_ONLY</x:v>
      </x:c>
    </x:row>
    <x:row r="168">
      <x:c r="A168" t="str">
        <x:v>HD05</x:v>
      </x:c>
      <x:c r="B168" t="str">
        <x:f>HD05!B88</x:f>
        <x:v>HD05.X.LIEN_HE.EMAIL</x:v>
      </x:c>
      <x:c r="C168" t="n">
        <x:f>COUNTIF(PROFILE_HD05!$B$7:$B$500,B168)</x:f>
        <x:v>1</x:v>
      </x:c>
      <x:c r="D168" t="str">
        <x:f>IF(LEFT(B168,LEN(A168)+1)=A168&amp;".","OK","SAI PREFIX")</x:f>
        <x:v>OK</x:v>
      </x:c>
      <x:c r="E168" t="str">
        <x:f>IF(COUNTIF(HD05!$B$7:$B$500,B168)=1,"OK","MÃ NGUỒN KHÔNG DUY NHẤT")</x:f>
        <x:v>OK</x:v>
      </x:c>
      <x:c r="F168" t="str">
        <x:f>IFERROR(INDEX(PROFILE_HD05!$CC$7:$CC$500,MATCH($B168,PROFILE_HD05!$B$7:$B$500,0)),"UNRESOLVED")</x:f>
        <x:v>KHÔNG TỰ CHÈN</x:v>
      </x:c>
      <x:c r="G168" t="str">
        <x:f>IFERROR(INDEX(PROFILE_HD05!$CD$7:$CD$500,MATCH($B168,PROFILE_HD05!$B$7:$B$500,0)),"UNRESOLVED")</x:f>
        <x:v>CHECK_ONLY</x:v>
      </x:c>
      <x:c r="H168" t="str">
        <x:f>IFERROR(INDEX(PROFILE_HD05!$CK$7:$CK$500,MATCH($B168,PROFILE_HD05!$B$7:$B$500,0)),"UNRESOLVED")</x:f>
        <x:v>KHÔNG</x:v>
      </x:c>
      <x:c r="I168" t="str">
        <x:f>IFERROR(INDEX(PROFILE_HD05!$CA$7:$CA$500,MATCH($B168,PROFILE_HD05!$B$7:$B$500,0)),"UNRESOLVED")</x:f>
        <x:v>TEXT</x:v>
      </x:c>
      <x:c r="J168" t="n">
        <x:f>IFERROR(INDEX(PROFILE_HD05!$BZ$7:$BZ$500,MATCH($B168,PROFILE_HD05!$B$7:$B$500,0)),"UNRESOLVED")</x:f>
        <x:v>10</x:v>
      </x:c>
      <x:c r="K168" t="n">
        <x:f>IFERROR(INDEX(PROFILE_HD05!$AJ$7:$AJ$500,MATCH($B168,PROFILE_HD05!$B$7:$B$500,0)),"UNRESOLVED")</x:f>
        <x:v>10</x:v>
      </x:c>
      <x:c r="L168" t="str">
        <x:f>IF(K168="","N/A / CHƯA NHẬP",IF(AND(ISNUMBER(J168),ISNUMBER(K168),J168=K168),"KHỚP SỐ","CẦN KIỂM TRA THỦ CÔNG"))</x:f>
        <x:v>KHỚP SỐ</x:v>
      </x:c>
      <x:c r="M168" t="str">
        <x:f>IF(OR(C168&lt;&gt;1,D168&lt;&gt;"OK",E168&lt;&gt;"OK",H168&lt;&gt;"KHÔNG"),"BLOCK",IF(G168="PROTECTED","PROTECTED","CHECK_ONLY"))</x:f>
        <x:v>CHECK_ONLY</x:v>
      </x:c>
    </x:row>
    <x:row r="169">
      <x:c r="A169" t="str">
        <x:v>HD05</x:v>
      </x:c>
      <x:c r="B169" t="str">
        <x:f>HD05!B89</x:f>
        <x:v>HD05.X.LIEN_HE.DIEN_THOAI</x:v>
      </x:c>
      <x:c r="C169" t="n">
        <x:f>COUNTIF(PROFILE_HD05!$B$7:$B$500,B169)</x:f>
        <x:v>1</x:v>
      </x:c>
      <x:c r="D169" t="str">
        <x:f>IF(LEFT(B169,LEN(A169)+1)=A169&amp;".","OK","SAI PREFIX")</x:f>
        <x:v>OK</x:v>
      </x:c>
      <x:c r="E169" t="str">
        <x:f>IF(COUNTIF(HD05!$B$7:$B$500,B169)=1,"OK","MÃ NGUỒN KHÔNG DUY NHẤT")</x:f>
        <x:v>OK</x:v>
      </x:c>
      <x:c r="F169" t="str">
        <x:f>IFERROR(INDEX(PROFILE_HD05!$CC$7:$CC$500,MATCH($B169,PROFILE_HD05!$B$7:$B$500,0)),"UNRESOLVED")</x:f>
        <x:v>KHÔNG TỰ CHÈN</x:v>
      </x:c>
      <x:c r="G169" t="str">
        <x:f>IFERROR(INDEX(PROFILE_HD05!$CD$7:$CD$500,MATCH($B169,PROFILE_HD05!$B$7:$B$500,0)),"UNRESOLVED")</x:f>
        <x:v>CHECK_ONLY</x:v>
      </x:c>
      <x:c r="H169" t="str">
        <x:f>IFERROR(INDEX(PROFILE_HD05!$CK$7:$CK$500,MATCH($B169,PROFILE_HD05!$B$7:$B$500,0)),"UNRESOLVED")</x:f>
        <x:v>KHÔNG</x:v>
      </x:c>
      <x:c r="I169" t="str">
        <x:f>IFERROR(INDEX(PROFILE_HD05!$CA$7:$CA$500,MATCH($B169,PROFILE_HD05!$B$7:$B$500,0)),"UNRESOLVED")</x:f>
        <x:v>TEXT</x:v>
      </x:c>
      <x:c r="J169" t="n">
        <x:f>IFERROR(INDEX(PROFILE_HD05!$BZ$7:$BZ$500,MATCH($B169,PROFILE_HD05!$B$7:$B$500,0)),"UNRESOLVED")</x:f>
        <x:v>10</x:v>
      </x:c>
      <x:c r="K169" t="n">
        <x:f>IFERROR(INDEX(PROFILE_HD05!$AJ$7:$AJ$500,MATCH($B169,PROFILE_HD05!$B$7:$B$500,0)),"UNRESOLVED")</x:f>
        <x:v>10</x:v>
      </x:c>
      <x:c r="L169" t="str">
        <x:f>IF(K169="","N/A / CHƯA NHẬP",IF(AND(ISNUMBER(J169),ISNUMBER(K169),J169=K169),"KHỚP SỐ","CẦN KIỂM TRA THỦ CÔNG"))</x:f>
        <x:v>KHỚP SỐ</x:v>
      </x:c>
      <x:c r="M169" t="str">
        <x:f>IF(OR(C169&lt;&gt;1,D169&lt;&gt;"OK",E169&lt;&gt;"OK",H169&lt;&gt;"KHÔNG"),"BLOCK",IF(G169="PROTECTED","PROTECTED","CHECK_ONLY"))</x:f>
        <x:v>CHECK_ONLY</x:v>
      </x:c>
    </x:row>
    <x:row r="170">
      <x:c r="A170" t="str">
        <x:v>HD05</x:v>
      </x:c>
      <x:c r="B170" t="str">
        <x:f>HD05!B90</x:f>
        <x:v>HD05.X.LIEN_HE.WEB</x:v>
      </x:c>
      <x:c r="C170" t="n">
        <x:f>COUNTIF(PROFILE_HD05!$B$7:$B$500,B170)</x:f>
        <x:v>1</x:v>
      </x:c>
      <x:c r="D170" t="str">
        <x:f>IF(LEFT(B170,LEN(A170)+1)=A170&amp;".","OK","SAI PREFIX")</x:f>
        <x:v>OK</x:v>
      </x:c>
      <x:c r="E170" t="str">
        <x:f>IF(COUNTIF(HD05!$B$7:$B$500,B170)=1,"OK","MÃ NGUỒN KHÔNG DUY NHẤT")</x:f>
        <x:v>OK</x:v>
      </x:c>
      <x:c r="F170" t="str">
        <x:f>IFERROR(INDEX(PROFILE_HD05!$CC$7:$CC$500,MATCH($B170,PROFILE_HD05!$B$7:$B$500,0)),"UNRESOLVED")</x:f>
        <x:v>KHÔNG TỰ CHÈN</x:v>
      </x:c>
      <x:c r="G170" t="str">
        <x:f>IFERROR(INDEX(PROFILE_HD05!$CD$7:$CD$500,MATCH($B170,PROFILE_HD05!$B$7:$B$500,0)),"UNRESOLVED")</x:f>
        <x:v>CHECK_ONLY</x:v>
      </x:c>
      <x:c r="H170" t="str">
        <x:f>IFERROR(INDEX(PROFILE_HD05!$CK$7:$CK$500,MATCH($B170,PROFILE_HD05!$B$7:$B$500,0)),"UNRESOLVED")</x:f>
        <x:v>KHÔNG</x:v>
      </x:c>
      <x:c r="I170" t="str">
        <x:f>IFERROR(INDEX(PROFILE_HD05!$CA$7:$CA$500,MATCH($B170,PROFILE_HD05!$B$7:$B$500,0)),"UNRESOLVED")</x:f>
        <x:v>TEXT</x:v>
      </x:c>
      <x:c r="J170" t="n">
        <x:f>IFERROR(INDEX(PROFILE_HD05!$BZ$7:$BZ$500,MATCH($B170,PROFILE_HD05!$B$7:$B$500,0)),"UNRESOLVED")</x:f>
        <x:v>10</x:v>
      </x:c>
      <x:c r="K170" t="n">
        <x:f>IFERROR(INDEX(PROFILE_HD05!$AJ$7:$AJ$500,MATCH($B170,PROFILE_HD05!$B$7:$B$500,0)),"UNRESOLVED")</x:f>
        <x:v>10</x:v>
      </x:c>
      <x:c r="L170" t="str">
        <x:f>IF(K170="","N/A / CHƯA NHẬP",IF(AND(ISNUMBER(J170),ISNUMBER(K170),J170=K170),"KHỚP SỐ","CẦN KIỂM TRA THỦ CÔNG"))</x:f>
        <x:v>KHỚP SỐ</x:v>
      </x:c>
      <x:c r="M170" t="str">
        <x:f>IF(OR(C170&lt;&gt;1,D170&lt;&gt;"OK",E170&lt;&gt;"OK",H170&lt;&gt;"KHÔNG"),"BLOCK",IF(G170="PROTECTED","PROTECTED","CHECK_ONLY"))</x:f>
        <x:v>CHECK_ONLY</x:v>
      </x:c>
    </x:row>
    <x:row r="171">
      <x:c r="A171" t="str">
        <x:v>HD05</x:v>
      </x:c>
      <x:c r="B171" t="str">
        <x:f>HD05!B91</x:f>
        <x:v>HD05.X.LIEN_HE.FAX</x:v>
      </x:c>
      <x:c r="C171" t="n">
        <x:f>COUNTIF(PROFILE_HD05!$B$7:$B$500,B171)</x:f>
        <x:v>1</x:v>
      </x:c>
      <x:c r="D171" t="str">
        <x:f>IF(LEFT(B171,LEN(A171)+1)=A171&amp;".","OK","SAI PREFIX")</x:f>
        <x:v>OK</x:v>
      </x:c>
      <x:c r="E171" t="str">
        <x:f>IF(COUNTIF(HD05!$B$7:$B$500,B171)=1,"OK","MÃ NGUỒN KHÔNG DUY NHẤT")</x:f>
        <x:v>OK</x:v>
      </x:c>
      <x:c r="F171" t="str">
        <x:f>IFERROR(INDEX(PROFILE_HD05!$CC$7:$CC$500,MATCH($B171,PROFILE_HD05!$B$7:$B$500,0)),"UNRESOLVED")</x:f>
        <x:v>KHÔNG TỰ CHÈN</x:v>
      </x:c>
      <x:c r="G171" t="str">
        <x:f>IFERROR(INDEX(PROFILE_HD05!$CD$7:$CD$500,MATCH($B171,PROFILE_HD05!$B$7:$B$500,0)),"UNRESOLVED")</x:f>
        <x:v>CHECK_ONLY</x:v>
      </x:c>
      <x:c r="H171" t="str">
        <x:f>IFERROR(INDEX(PROFILE_HD05!$CK$7:$CK$500,MATCH($B171,PROFILE_HD05!$B$7:$B$500,0)),"UNRESOLVED")</x:f>
        <x:v>KHÔNG</x:v>
      </x:c>
      <x:c r="I171" t="str">
        <x:f>IFERROR(INDEX(PROFILE_HD05!$CA$7:$CA$500,MATCH($B171,PROFILE_HD05!$B$7:$B$500,0)),"UNRESOLVED")</x:f>
        <x:v>TEXT</x:v>
      </x:c>
      <x:c r="J171" t="n">
        <x:f>IFERROR(INDEX(PROFILE_HD05!$BZ$7:$BZ$500,MATCH($B171,PROFILE_HD05!$B$7:$B$500,0)),"UNRESOLVED")</x:f>
        <x:v>10</x:v>
      </x:c>
      <x:c r="K171" t="n">
        <x:f>IFERROR(INDEX(PROFILE_HD05!$AJ$7:$AJ$500,MATCH($B171,PROFILE_HD05!$B$7:$B$500,0)),"UNRESOLVED")</x:f>
        <x:v>10</x:v>
      </x:c>
      <x:c r="L171" t="str">
        <x:f>IF(K171="","N/A / CHƯA NHẬP",IF(AND(ISNUMBER(J171),ISNUMBER(K171),J171=K171),"KHỚP SỐ","CẦN KIỂM TRA THỦ CÔNG"))</x:f>
        <x:v>KHỚP SỐ</x:v>
      </x:c>
      <x:c r="M171" t="str">
        <x:f>IF(OR(C171&lt;&gt;1,D171&lt;&gt;"OK",E171&lt;&gt;"OK",H171&lt;&gt;"KHÔNG"),"BLOCK",IF(G171="PROTECTED","PROTECTED","CHECK_ONLY"))</x:f>
        <x:v>CHECK_ONLY</x:v>
      </x:c>
    </x:row>
    <x:row r="175">
      <x:c r="A175" s="213" t="str">
        <x:v>TỔNG HỢP KIỂM TRA</x:v>
      </x:c>
      <x:c r="B175" s="213" t="str">
        <x:v>Số lượng</x:v>
      </x:c>
    </x:row>
    <x:row r="176">
      <x:c r="A176" t="str">
        <x:v>Mã dự kiến</x:v>
      </x:c>
      <x:c r="B176" t="n">
        <x:v>165</x:v>
      </x:c>
    </x:row>
    <x:row r="177">
      <x:c r="A177" t="str">
        <x:v>Mã khác 1 bản ghi</x:v>
      </x:c>
      <x:c r="B177" t="n">
        <x:f>COUNTIF(C7:C171,"&lt;&gt;1")</x:f>
        <x:v>0</x:v>
      </x:c>
    </x:row>
    <x:row r="178">
      <x:c r="A178" t="str">
        <x:v>Sai namespace</x:v>
      </x:c>
      <x:c r="B178" t="n">
        <x:f>COUNTIF(D7:D171,"&lt;&gt;OK")</x:f>
        <x:v>0</x:v>
      </x:c>
    </x:row>
    <x:row r="179">
      <x:c r="A179" t="str">
        <x:v>Nguồn thiếu/không duy nhất</x:v>
      </x:c>
      <x:c r="B179" t="n">
        <x:f>COUNTIF(E7:E171,"&lt;&gt;OK")</x:f>
        <x:v>0</x:v>
      </x:c>
    </x:row>
    <x:row r="180">
      <x:c r="A180" t="str">
        <x:v>Autofix ≠ KHÔNG</x:v>
      </x:c>
      <x:c r="B180" t="n">
        <x:f>COUNTIF(H7:H171,"&lt;&gt;KHÔNG")</x:f>
        <x:v>0</x:v>
      </x:c>
    </x:row>
    <x:row r="181">
      <x:c r="A181" t="str">
        <x:v>BLOCK</x:v>
      </x:c>
      <x:c r="B181" t="n">
        <x:f>COUNTIF(M7:M171,"BLOCK")</x:f>
        <x:v>0</x:v>
      </x:c>
    </x:row>
    <x:row r="183">
      <x:c r="A183" s="219" t="str">
        <x:v>Quyền hiệu lực PROTECTED</x:v>
      </x:c>
      <x:c r="B183" t="n">
        <x:f>COUNTIF(G7:G171,"PROTECTED")</x:f>
        <x:v>59</x:v>
      </x:c>
    </x:row>
    <x:row r="184">
      <x:c r="A184" s="219" t="str">
        <x:v>Quyền hiệu lực CHECK_ONLY</x:v>
      </x:c>
      <x:c r="B184" t="n">
        <x:f>COUNTIF(G7:G171,"CHECK_ONLY")</x:f>
        <x:v>106</x:v>
      </x:c>
    </x:row>
    <x:row r="185">
      <x:c r="A185" s="219" t="str">
        <x:v>Tổng trường ND30</x:v>
      </x:c>
      <x:c r="B185" t="n">
        <x:v>80</x:v>
      </x:c>
    </x:row>
    <x:row r="186">
      <x:c r="A186" s="219" t="str">
        <x:v>Tổng trường HD05</x:v>
      </x:c>
      <x:c r="B186" t="n">
        <x:v>85</x:v>
      </x:c>
    </x:row>
    <x:row r="187">
      <x:c r="A187" s="219" t="str">
        <x:v>Trạng thái phát hành</x:v>
      </x:c>
      <x:c r="B187" t="str">
        <x:v>REFERENCE_ONLY / NO_AUTOFIX</x:v>
      </x:c>
    </x:row>
  </x:sheetData>
  <x:pageMargins left="0.7" right="0.7" top="0.75" bottom="0.75" header="0.3" footer="0.3"/>
  <x:tableParts count="1">
    <x:tablePart xmlns:r="http://schemas.openxmlformats.org/officeDocument/2006/relationships" r:id="R90b3412a7a154b54"/>
  </x:tableParts>
</x:worksheet>
</file>

<file path=xl/worksheets/sheet10.xml><?xml version="1.0" encoding="utf-8"?>
<x:worksheet xmlns:x="http://schemas.openxmlformats.org/spreadsheetml/2006/main">
  <x:sheetViews>
    <x:sheetView workbookViewId="0">
      <x:pane ySplit="8" topLeftCell="A9" activePane="bottomLeft" state="frozen"/>
    </x:sheetView>
  </x:sheetViews>
  <x:sheetFormatPr defaultRowHeight="15"/>
  <x:cols>
    <x:col min="1" max="1" width="15" hidden="0" customWidth="1"/>
    <x:col min="2" max="2" width="49" hidden="0" customWidth="1"/>
    <x:col min="3" max="3" width="38" hidden="0" customWidth="1"/>
    <x:col min="4" max="4" width="59" hidden="0" customWidth="1"/>
    <x:col min="5" max="5" width="24" hidden="0" customWidth="1"/>
    <x:col min="6" max="6" width="52" hidden="0" customWidth="1"/>
    <x:col min="7" max="7" width="60" hidden="0" customWidth="1"/>
  </x:cols>
  <x:sheetData>
    <x:row r="1" ht="30" customHeight="1">
      <x:c r="A1" s="213" t="str">
        <x:v>CHANGELOG &amp; QUYẾT ĐỊNH / PROFILE NĐ30–HD05 v1.5</x:v>
      </x:c>
      <x:c r="B1" s="213"/>
      <x:c r="C1" s="213"/>
      <x:c r="D1" s="213"/>
      <x:c r="E1" s="213"/>
      <x:c r="F1" s="213"/>
      <x:c r="G1" s="213"/>
    </x:row>
    <x:row r="3">
      <x:c r="A3" t="str">
        <x:v>Nguồn gốc</x:v>
      </x:c>
      <x:c r="B3" t="str">
        <x:v>BANG_QUY_TAC_ND30_HD05_PROFILE_HTHHMB_v1.4_COT_RIENG.xlsx</x:v>
      </x:c>
    </x:row>
    <x:row r="4">
      <x:c r="A4" t="str">
        <x:v>SHA256 nguồn</x:v>
      </x:c>
      <x:c r="B4" t="str">
        <x:v>060f9ab9b223959a9469dc0973c516caceb0ed667165a0c4f8b2ba2d9884ac83</x:v>
      </x:c>
    </x:row>
    <x:row r="5">
      <x:c r="A5" t="str">
        <x:v>Ngày xử lý</x:v>
      </x:c>
      <x:c r="B5" t="str">
        <x:v>2026-10-28</x:v>
      </x:c>
    </x:row>
    <x:row r="6">
      <x:c r="A6" t="str">
        <x:v>Phạm vi</x:v>
      </x:c>
      <x:c r="B6" t="str">
        <x:v>Chỉ hai profile + README; 6 sheet dữ liệu nền khác giữ nguyên; thêm sheet PROFILE_QA, PROFILE_CHANGELOG.</x:v>
      </x:c>
    </x:row>
    <x:row r="8" ht="30" customHeight="1">
      <x:c r="A8" s="213" t="str">
        <x:v>Mã</x:v>
      </x:c>
      <x:c r="B8" s="213" t="str">
        <x:v>Ưu tiên</x:v>
      </x:c>
      <x:c r="C8" s="213" t="str">
        <x:v>Hạng mục</x:v>
      </x:c>
      <x:c r="D8" s="213" t="str">
        <x:v>Hành động</x:v>
      </x:c>
      <x:c r="E8" s="213" t="str">
        <x:v>Trạng thái</x:v>
      </x:c>
      <x:c r="F8" s="213" t="str">
        <x:v>Kiểm tra cần thiết</x:v>
      </x:c>
      <x:c r="G8" s="213" t="str">
        <x:v>Ghi chú</x:v>
      </x:c>
    </x:row>
    <x:row r="9">
      <x:c r="A9" s="103" t="str">
        <x:v>A01</x:v>
      </x:c>
      <x:c r="B9" s="103" t="str">
        <x:v>P0</x:v>
      </x:c>
      <x:c r="C9" s="103" t="str">
        <x:v>Bảng profile A–BX ngoài Table</x:v>
      </x:c>
      <x:c r="D9" s="103" t="str">
        <x:v>Mở rộng Table A6:CW trên 2 profile</x:v>
      </x:c>
      <x:c r="E9" s="103" t="str">
        <x:v>ĐÃ SỬA</x:v>
      </x:c>
      <x:c r="F9" s="103" t="str">
        <x:v>Sort/filter trên bản sao trong Excel UI</x:v>
      </x:c>
      <x:c r="G9" s="103" t="str">
        <x:v>Chưa nghiệm thu Excel UI.</x:v>
      </x:c>
    </x:row>
    <x:row r="10">
      <x:c r="A10" s="103" t="str">
        <x:v>A02</x:v>
      </x:c>
      <x:c r="B10" s="103" t="str">
        <x:v>P0</x:v>
      </x:c>
      <x:c r="C10" s="103" t="str">
        <x:v>Nâng quyền từ READ_ONLY</x:v>
      </x:c>
      <x:c r="D10" s="103" t="str">
        <x:v>Phân tách quyền yêu cầu AC và quyền hiệu lực CD; nguồn READ_ONLY được PROTECTED</x:v>
      </x:c>
      <x:c r="E10" s="103" t="str">
        <x:v>ĐÃ KHÓA</x:v>
      </x:c>
      <x:c r="F10" s="103" t="str">
        <x:v>Bảo đảm số mục mở quyền hiệu lực = 0</x:v>
      </x:c>
      <x:c r="G10" s="103" t="str">
        <x:v>Giữ AC cũ để truy vết.</x:v>
      </x:c>
    </x:row>
    <x:row r="11">
      <x:c r="A11" s="103" t="str">
        <x:v>A03</x:v>
      </x:c>
      <x:c r="B11" s="103" t="str">
        <x:v>P0</x:v>
      </x:c>
      <x:c r="C11" s="103" t="str">
        <x:v>Nguồn chính sách X khác profile</x:v>
      </x:c>
      <x:c r="D11" s="103" t="str">
        <x:v>CC là lookup X gốc theo mã; CD là quyền hiệu lực</x:v>
      </x:c>
      <x:c r="E11" s="103" t="str">
        <x:v>ĐÃ SỬA</x:v>
      </x:c>
      <x:c r="F11" s="103" t="str">
        <x:v>So đối chiếu theo mã</x:v>
      </x:c>
      <x:c r="G11" s="103" t="str">
        <x:v>Không coi chính sách gốc là quyền tự sửa.</x:v>
      </x:c>
    </x:row>
    <x:row r="12">
      <x:c r="A12" s="103" t="str">
        <x:v>A04</x:v>
      </x:c>
      <x:c r="B12" s="103" t="str">
        <x:v>P0</x:v>
      </x:c>
      <x:c r="C12" s="103" t="str">
        <x:v>Lẫn preset và giới hạn pháp lý</x:v>
      </x:c>
      <x:c r="D12" s="103" t="str">
        <x:v>Đổi nhãn I–S thành PRESET; BZ lấy giá trị gốc theo mã</x:v>
      </x:c>
      <x:c r="E12" s="103" t="str">
        <x:v>ĐÃ TÁCH</x:v>
      </x:c>
      <x:c r="F12" s="103" t="str">
        <x:v>Kiểm tra drift và legal bounds theo thuộc tính</x:v>
      </x:c>
      <x:c r="G12" s="103" t="str">
        <x:v>Chưa phân rã tất cả khoảng min/max.</x:v>
      </x:c>
    </x:row>
    <x:row r="13">
      <x:c r="A13" s="103" t="str">
        <x:v>A05</x:v>
      </x:c>
      <x:c r="B13" s="103" t="str">
        <x:v>P0</x:v>
      </x:c>
      <x:c r="C13" s="103" t="str">
        <x:v>Thiếu kiểm tra 165 mã profile</x:v>
      </x:c>
      <x:c r="D13" s="103" t="str">
        <x:v>Thêm PROFILE_QA, COUNTIF nguồn/profile, prefix, quyền, trạng thái</x:v>
      </x:c>
      <x:c r="E13" s="103" t="str">
        <x:v>ĐÃ SỬA</x:v>
      </x:c>
      <x:c r="F13" s="103" t="str">
        <x:v>Thử nhập trùng/mã thiếu trong bản sao</x:v>
      </x:c>
      <x:c r="G13" s="103" t="str">
        <x:v>Dải đếm đến dòng 500.</x:v>
      </x:c>
    </x:row>
    <x:row r="14">
      <x:c r="A14" s="103" t="str">
        <x:v>A06</x:v>
      </x:c>
      <x:c r="B14" s="103" t="str">
        <x:v>P1</x:v>
      </x:c>
      <x:c r="C14" s="103" t="str">
        <x:v>Version/drift nguồn–profile</x:v>
      </x:c>
      <x:c r="D14" s="103" t="str">
        <x:v>Thêm nguồn preset, phiên bản v1.5, cột pháp lý động</x:v>
      </x:c>
      <x:c r="E14" s="103" t="str">
        <x:v>MỘT PHẦN</x:v>
      </x:c>
      <x:c r="F14" s="103" t="str">
        <x:v>Cần registry nguồn phiên bản bất biến</x:v>
      </x:c>
      <x:c r="G14" s="103" t="str">
        <x:v>Không có master đã phê duyệt.</x:v>
      </x:c>
    </x:row>
    <x:row r="15">
      <x:c r="A15" s="103" t="str">
        <x:v>A07</x:v>
      </x:c>
      <x:c r="B15" s="103" t="str">
        <x:v>P1</x:v>
      </x:c>
      <x:c r="C15" s="103" t="str">
        <x:v>Trùng style khác định dạng</x:v>
      </x:c>
      <x:c r="D15" s="103" t="str">
        <x:v>Thêm CO style key riêng mã; phân loại CA</x:v>
      </x:c>
      <x:c r="E15" s="103" t="str">
        <x:v>MỘT PHẦN</x:v>
      </x:c>
      <x:c r="F15" s="103" t="str">
        <x:v>Cần test áp style Word theo khối/run</x:v>
      </x:c>
      <x:c r="G15" s="103" t="str">
        <x:v>Chưa tạo style thực trong DOCX.</x:v>
      </x:c>
    </x:row>
    <x:row r="16">
      <x:c r="A16" s="103" t="str">
        <x:v>A08</x:v>
      </x:c>
      <x:c r="B16" s="103" t="str">
        <x:v>P1</x:v>
      </x:c>
      <x:c r="C16" s="103" t="str">
        <x:v>Định dạng đoạn trên đối tượng không phải đoạn</x:v>
      </x:c>
      <x:c r="D16" s="103" t="str">
        <x:v>Loại giá trị AP:AU ở các đối tượng đã phân loại rõ</x:v>
      </x:c>
      <x:c r="E16" s="103" t="str">
        <x:v>ĐÃ SỬA CÓ GIỚI HẠN</x:v>
      </x:c>
      <x:c r="F16" s="103" t="str">
        <x:v>Kiểm tra nhận diện từng đối tượng</x:v>
      </x:c>
      <x:c r="G16" s="103" t="str">
        <x:v>Chỉ 13 trường có dữ liệu cần loại bỏ.</x:v>
      </x:c>
    </x:row>
    <x:row r="17">
      <x:c r="A17" s="103" t="str">
        <x:v>A09</x:v>
      </x:c>
      <x:c r="B17" s="103" t="str">
        <x:v>P1</x:v>
      </x:c>
      <x:c r="C17" s="103" t="str">
        <x:v>Lề mặt sau khi in một mặt</x:v>
      </x:c>
      <x:c r="D17" s="103" t="str">
        <x:v>Cột CQ/CR hiệu lực có điều kiện BH</x:v>
      </x:c>
      <x:c r="E17" s="103" t="str">
        <x:v>ĐÃ SỬA CÓ ĐIỀU KIỆN</x:v>
      </x:c>
      <x:c r="F17" s="103" t="str">
        <x:v>Thử chuyển duplex trên Excel và DOCX</x:v>
      </x:c>
      <x:c r="G17" s="103" t="str">
        <x:v>Cột BI/BJ vẫn là preset nguồn không kích hoạt.</x:v>
      </x:c>
    </x:row>
    <x:row r="18">
      <x:c r="A18" s="103" t="str">
        <x:v>A10</x:v>
      </x:c>
      <x:c r="B18" s="103" t="str">
        <x:v>P1</x:v>
      </x:c>
      <x:c r="C18" s="103" t="str">
        <x:v>Chuỗi tự do &amp; enum lẫn nhau</x:v>
      </x:c>
      <x:c r="D18" s="103" t="str">
        <x:v>Bổ sung CA/CS và các cờ trạng thái; giữ các cột tự do chưa xác minh</x:v>
      </x:c>
      <x:c r="E18" s="103" t="str">
        <x:v>MỘT PHẦN</x:v>
      </x:c>
      <x:c r="F18" s="103" t="str">
        <x:v>Chuẩn hóa 44 cột trước khi machine-read</x:v>
      </x:c>
      <x:c r="G18" s="103" t="str">
        <x:v>Không tự suy luận/ép dữ liệu mất thông tin.</x:v>
      </x:c>
    </x:row>
    <x:row r="19">
      <x:c r="A19" s="103" t="str">
        <x:v>A11</x:v>
      </x:c>
      <x:c r="B19" s="103" t="str">
        <x:v>P1</x:v>
      </x:c>
      <x:c r="C19" s="103" t="str">
        <x:v>Thiếu chứng cứ preset</x:v>
      </x:c>
      <x:c r="D19" s="103" t="str">
        <x:v>CL,CM,CN,CW và ghi cần xác nhận</x:v>
      </x:c>
      <x:c r="E19" s="103" t="str">
        <x:v>MỘT PHẦN</x:v>
      </x:c>
      <x:c r="F19" s="103" t="str">
        <x:v>Cần mẫu Word / quy chế / phê duyệt</x:v>
      </x:c>
      <x:c r="G19" s="103" t="str">
        <x:v>Không giả mạo nguồn duyệt.</x:v>
      </x:c>
    </x:row>
    <x:row r="20">
      <x:c r="A20" s="103" t="str">
        <x:v>A12</x:v>
      </x:c>
      <x:c r="B20" s="103" t="str">
        <x:v>P1</x:v>
      </x:c>
      <x:c r="C20" s="103" t="str">
        <x:v>48 mục đề xuất sửa thiếu verified</x:v>
      </x:c>
      <x:c r="D20" s="103" t="str">
        <x:v>CE/CK chặn autofix, CU/CV mặc định KHÔNG</x:v>
      </x:c>
      <x:c r="E20" s="103" t="str">
        <x:v>ĐÃ KHÓA</x:v>
      </x:c>
      <x:c r="F20" s="103" t="str">
        <x:v>Số mục được autofix = 0</x:v>
      </x:c>
      <x:c r="G20" s="103" t="str">
        <x:v>Yêu cầu duyệt và chứng cứ thực tế.</x:v>
      </x:c>
    </x:row>
    <x:row r="21">
      <x:c r="A21" s="103" t="str">
        <x:v>A13</x:v>
      </x:c>
      <x:c r="B21" s="103" t="str">
        <x:v>P1</x:v>
      </x:c>
      <x:c r="C21" s="103" t="str">
        <x:v>Thiếu validation các cột mới</x:v>
      </x:c>
      <x:c r="D21" s="103" t="str">
        <x:v>Enum cho cờ gate và loại đối tượng; PROFILE_QA kiểm tra key</x:v>
      </x:c>
      <x:c r="E21" s="103" t="str">
        <x:v>MỘT PHẦN</x:v>
      </x:c>
      <x:c r="F21" s="103" t="str">
        <x:v>Thêm typed validation cho thuộc tính còn lại</x:v>
      </x:c>
      <x:c r="G21" s="103" t="str">
        <x:v>Không sửa legacy 44 cột khi chưa có danh mục.</x:v>
      </x:c>
    </x:row>
    <x:row r="22">
      <x:c r="A22" s="103" t="str">
        <x:v>A14</x:v>
      </x:c>
      <x:c r="B22" s="103" t="str">
        <x:v>P1</x:v>
      </x:c>
      <x:c r="C22" s="103" t="str">
        <x:v>Gộp ô/di chuyển ảnh bị coi style</x:v>
      </x:c>
      <x:c r="D22" s="103" t="str">
        <x:v>CA + CS: STRUCTURAL_CHECK_ONLY</x:v>
      </x:c>
      <x:c r="E22" s="103" t="str">
        <x:v>ĐÃ PHÂN LOẠI</x:v>
      </x:c>
      <x:c r="F22" s="103" t="str">
        <x:v>Kiểm thử DOCX cấu trúc trước khi cho sửa</x:v>
      </x:c>
      <x:c r="G22" s="103" t="str">
        <x:v>Không thực hiện merge/anchor tự động.</x:v>
      </x:c>
    </x:row>
    <x:row r="23">
      <x:c r="A23" s="103" t="str">
        <x:v>A15</x:v>
      </x:c>
      <x:c r="B23" s="103" t="str">
        <x:v>P2</x:v>
      </x:c>
      <x:c r="C23" s="103" t="str">
        <x:v>Routing theo chủ thể/chế độ/ngày</x:v>
      </x:c>
      <x:c r="D23" s="103" t="str">
        <x:v>CB ghi điều kiện; CV xác minh chủ thể</x:v>
      </x:c>
      <x:c r="E23" s="103" t="str">
        <x:v>MỘT PHẦN</x:v>
      </x:c>
      <x:c r="F23" s="103" t="str">
        <x:v>Resolver điều kiện có cấu trúc chưa có</x:v>
      </x:c>
      <x:c r="G23" s="103" t="str">
        <x:v>Không tạo engine mới.</x:v>
      </x:c>
    </x:row>
    <x:row r="24">
      <x:c r="A24" s="103" t="str">
        <x:v>B01–B03</x:v>
      </x:c>
      <x:c r="B24" s="103" t="str">
        <x:v>P0/P1</x:v>
      </x:c>
      <x:c r="C24" s="103" t="str">
        <x:v>Chủ thể ban hành/tên pháp lý</x:v>
      </x:c>
      <x:c r="D24" s="103" t="str">
        <x:v>HD05 giữ trạng thái UNCONFIRMED; cấm sử dụng thực thi</x:v>
      </x:c>
      <x:c r="E24" s="103" t="str">
        <x:v>CHƯA XÁC MINH</x:v>
      </x:c>
      <x:c r="F24" s="103" t="str">
        <x:v>Quy chế &amp; thông tin pháp lý Công ty/Đảng ủy</x:v>
      </x:c>
      <x:c r="G24" s="103" t="str">
        <x:v>Không tự điền tên tổ chức.</x:v>
      </x:c>
    </x:row>
    <x:row r="25">
      <x:c r="A25" s="103" t="str">
        <x:v>B04–B05</x:v>
      </x:c>
      <x:c r="B25" s="103" t="str">
        <x:v>P1</x:v>
      </x:c>
      <x:c r="C25" s="103" t="str">
        <x:v>Bảo toàn DOCX &amp; blast radius</x:v>
      </x:c>
      <x:c r="D25" s="103" t="str">
        <x:v>Chưa sửa DOCX; tất cả gate CHECK_ONLY</x:v>
      </x:c>
      <x:c r="E25" s="103" t="str">
        <x:v>CHƯA TEST WORD</x:v>
      </x:c>
      <x:c r="F25" s="103" t="str">
        <x:v>OOXML diff và render theo trang</x:v>
      </x:c>
      <x:c r="G25" s="103" t="str">
        <x:v>Không tuyên bố kiểm thử Word.</x:v>
      </x:c>
    </x:row>
    <x:row r="26">
      <x:c r="A26" s="103" t="str">
        <x:v>B06–B07</x:v>
      </x:c>
      <x:c r="B26" s="103" t="str">
        <x:v>P1/P2</x:v>
      </x:c>
      <x:c r="C26" s="103" t="str">
        <x:v>Lịch sử quy định &amp; biểu mẫu chuyên ngành</x:v>
      </x:c>
      <x:c r="D26" s="103" t="str">
        <x:v>Đánh dấu cần resolver và classifier</x:v>
      </x:c>
      <x:c r="E26" s="103" t="str">
        <x:v>CHƯA TRIỂN KHAI</x:v>
      </x:c>
      <x:c r="F26" s="103" t="str">
        <x:v>Trường hợp tài liệu cũ/ngoài scope</x:v>
      </x:c>
      <x:c r="G26" s="103" t="str">
        <x:v>Không áp ND30/HD05 khi UNKNOWN.</x:v>
      </x:c>
    </x:row>
    <x:row r="27">
      <x:c r="A27" s="103"/>
      <x:c r="B27" s="103"/>
      <x:c r="C27" s="103"/>
      <x:c r="D27" s="103"/>
      <x:c r="E27" s="103"/>
      <x:c r="F27" s="103"/>
      <x:c r="G27" s="103"/>
    </x:row>
    <x:row r="28">
      <x:c r="A28" s="103"/>
      <x:c r="B28" s="103"/>
      <x:c r="C28" s="103"/>
      <x:c r="D28" s="103"/>
      <x:c r="E28" s="103"/>
      <x:c r="F28" s="103"/>
      <x:c r="G28" s="103"/>
    </x:row>
    <x:row r="29" ht="30" customHeight="1">
      <x:c r="A29" s="220" t="str">
        <x:v>Hệ</x:v>
      </x:c>
      <x:c r="B29" s="220" t="str">
        <x:v>Mã trường</x:v>
      </x:c>
      <x:c r="C29" s="220" t="str">
        <x:v>Cột đã xóa giá trị</x:v>
      </x:c>
      <x:c r="D29" s="220" t="str">
        <x:v>Giá trị cũ</x:v>
      </x:c>
      <x:c r="E29" s="220" t="str">
        <x:v>Lý do</x:v>
      </x:c>
      <x:c r="F29" s="220" t="str">
        <x:v>Trạng thái</x:v>
      </x:c>
      <x:c r="G29" s="220" t="str">
        <x:v>Ghi chú</x:v>
      </x:c>
    </x:row>
    <x:row r="30">
      <x:c r="A30" s="103" t="str">
        <x:v>ND30</x:v>
      </x:c>
      <x:c r="B30" s="103" t="str">
        <x:v>ND30.D.CQ.DUONG_KE</x:v>
      </x:c>
      <x:c r="C30" s="103" t="str">
        <x:v>AP:AU</x:v>
      </x:c>
      <x:c r="D30" s="103" t="str">
        <x:v>['SINGLE', 1, 'lines', None, 0, 0]</x:v>
      </x:c>
      <x:c r="E30" s="103" t="str">
        <x:v>Không áp cấu hình paragraph mặc định lên shape, chữ ký hoặc hình</x:v>
      </x:c>
      <x:c r="F30" s="103" t="str">
        <x:v>ĐÃ XÓA BẢN SAO</x:v>
      </x:c>
      <x:c r="G30" s="103" t="str">
        <x:v>Dữ liệu gốc còn ở v1.4; chỉ thay profile.</x:v>
      </x:c>
    </x:row>
    <x:row r="31">
      <x:c r="A31" s="103" t="str">
        <x:v>ND30</x:v>
      </x:c>
      <x:c r="B31" s="103" t="str">
        <x:v>ND30.D.QH.DUONG_KE</x:v>
      </x:c>
      <x:c r="C31" s="103" t="str">
        <x:v>AP:AU</x:v>
      </x:c>
      <x:c r="D31" s="103" t="str">
        <x:v>['SINGLE', 1, 'lines', None, 0, 0]</x:v>
      </x:c>
      <x:c r="E31" s="103" t="str">
        <x:v>Không áp cấu hình paragraph mặc định lên shape, chữ ký hoặc hình</x:v>
      </x:c>
      <x:c r="F31" s="103" t="str">
        <x:v>ĐÃ XÓA BẢN SAO</x:v>
      </x:c>
      <x:c r="G31" s="103" t="str">
        <x:v>Dữ liệu gốc còn ở v1.4; chỉ thay profile.</x:v>
      </x:c>
    </x:row>
    <x:row r="32">
      <x:c r="A32" s="103" t="str">
        <x:v>ND30</x:v>
      </x:c>
      <x:c r="B32" s="103" t="str">
        <x:v>ND30.D.SK.DAU_PHAN_CACH</x:v>
      </x:c>
      <x:c r="C32" s="103" t="str">
        <x:v>AP:AU</x:v>
      </x:c>
      <x:c r="D32" s="103" t="str">
        <x:v>['SINGLE', 1, 'lines', None, 0, 0]</x:v>
      </x:c>
      <x:c r="E32" s="103" t="str">
        <x:v>Không áp cấu hình paragraph mặc định lên shape, chữ ký hoặc hình</x:v>
      </x:c>
      <x:c r="F32" s="103" t="str">
        <x:v>ĐÃ XÓA BẢN SAO</x:v>
      </x:c>
      <x:c r="G32" s="103" t="str">
        <x:v>Dữ liệu gốc còn ở v1.4; chỉ thay profile.</x:v>
      </x:c>
    </x:row>
    <x:row r="33">
      <x:c r="A33" s="103" t="str">
        <x:v>ND30</x:v>
      </x:c>
      <x:c r="B33" s="103" t="str">
        <x:v>ND30.D.TY.DUONG_KE</x:v>
      </x:c>
      <x:c r="C33" s="103" t="str">
        <x:v>AP:AU</x:v>
      </x:c>
      <x:c r="D33" s="103" t="str">
        <x:v>['SINGLE', 1, 'lines', None, 6, 0]</x:v>
      </x:c>
      <x:c r="E33" s="103" t="str">
        <x:v>Không áp cấu hình paragraph mặc định lên shape, chữ ký hoặc hình</x:v>
      </x:c>
      <x:c r="F33" s="103" t="str">
        <x:v>ĐÃ XÓA BẢN SAO</x:v>
      </x:c>
      <x:c r="G33" s="103" t="str">
        <x:v>Dữ liệu gốc còn ở v1.4; chỉ thay profile.</x:v>
      </x:c>
    </x:row>
    <x:row r="34">
      <x:c r="A34" s="103" t="str">
        <x:v>ND30</x:v>
      </x:c>
      <x:c r="B34" s="103" t="str">
        <x:v>ND30.N.HINH.DOI_TUONG</x:v>
      </x:c>
      <x:c r="C34" s="103" t="str">
        <x:v>AP:AU</x:v>
      </x:c>
      <x:c r="D34" s="103" t="str">
        <x:v>[None, None, None, None, None, 0]</x:v>
      </x:c>
      <x:c r="E34" s="103" t="str">
        <x:v>Không áp cấu hình paragraph mặc định lên shape, chữ ký hoặc hình</x:v>
      </x:c>
      <x:c r="F34" s="103" t="str">
        <x:v>ĐÃ XÓA BẢN SAO</x:v>
      </x:c>
      <x:c r="G34" s="103" t="str">
        <x:v>Dữ liệu gốc còn ở v1.4; chỉ thay profile.</x:v>
      </x:c>
    </x:row>
    <x:row r="35">
      <x:c r="A35" s="103" t="str">
        <x:v>ND30</x:v>
      </x:c>
      <x:c r="B35" s="103" t="str">
        <x:v>ND30.C.KY.CHU_KY</x:v>
      </x:c>
      <x:c r="C35" s="103" t="str">
        <x:v>AP:AU</x:v>
      </x:c>
      <x:c r="D35" s="103" t="str">
        <x:v>['SINGLE', 1, 'lines', 0, 0, 0]</x:v>
      </x:c>
      <x:c r="E35" s="103" t="str">
        <x:v>Không áp cấu hình paragraph mặc định lên shape, chữ ký hoặc hình</x:v>
      </x:c>
      <x:c r="F35" s="103" t="str">
        <x:v>ĐÃ XÓA BẢN SAO</x:v>
      </x:c>
      <x:c r="G35" s="103" t="str">
        <x:v>Dữ liệu gốc còn ở v1.4; chỉ thay profile.</x:v>
      </x:c>
    </x:row>
    <x:row r="36">
      <x:c r="A36" s="103" t="str">
        <x:v>HD05</x:v>
      </x:c>
      <x:c r="B36" s="103" t="str">
        <x:v>HD05.D.CQ.DAU_SAO</x:v>
      </x:c>
      <x:c r="C36" s="103" t="str">
        <x:v>AP:AU</x:v>
      </x:c>
      <x:c r="D36" s="103" t="str">
        <x:v>['SINGLE', 1, 'lines', None, 0, 0]</x:v>
      </x:c>
      <x:c r="E36" s="103" t="str">
        <x:v>Không áp cấu hình paragraph mặc định lên shape, chữ ký hoặc hình</x:v>
      </x:c>
      <x:c r="F36" s="103" t="str">
        <x:v>ĐÃ XÓA BẢN SAO</x:v>
      </x:c>
      <x:c r="G36" s="103" t="str">
        <x:v>Dữ liệu gốc còn ở v1.4; chỉ thay profile.</x:v>
      </x:c>
    </x:row>
    <x:row r="37">
      <x:c r="A37" s="103" t="str">
        <x:v>HD05</x:v>
      </x:c>
      <x:c r="B37" s="103" t="str">
        <x:v>HD05.D.TD.DUONG_KE</x:v>
      </x:c>
      <x:c r="C37" s="103" t="str">
        <x:v>AP:AU</x:v>
      </x:c>
      <x:c r="D37" s="103" t="str">
        <x:v>['SINGLE', 1, 'lines', None, 0, 0]</x:v>
      </x:c>
      <x:c r="E37" s="103" t="str">
        <x:v>Không áp cấu hình paragraph mặc định lên shape, chữ ký hoặc hình</x:v>
      </x:c>
      <x:c r="F37" s="103" t="str">
        <x:v>ĐÃ XÓA BẢN SAO</x:v>
      </x:c>
      <x:c r="G37" s="103" t="str">
        <x:v>Dữ liệu gốc còn ở v1.4; chỉ thay profile.</x:v>
      </x:c>
    </x:row>
    <x:row r="38">
      <x:c r="A38" s="103" t="str">
        <x:v>HD05</x:v>
      </x:c>
      <x:c r="B38" s="103" t="str">
        <x:v>HD05.D.SK.DAU_PHAN_CACH</x:v>
      </x:c>
      <x:c r="C38" s="103" t="str">
        <x:v>AP:AU</x:v>
      </x:c>
      <x:c r="D38" s="103" t="str">
        <x:v>['SINGLE', 1, 'lines', None, 0, 0]</x:v>
      </x:c>
      <x:c r="E38" s="103" t="str">
        <x:v>Không áp cấu hình paragraph mặc định lên shape, chữ ký hoặc hình</x:v>
      </x:c>
      <x:c r="F38" s="103" t="str">
        <x:v>ĐÃ XÓA BẢN SAO</x:v>
      </x:c>
      <x:c r="G38" s="103" t="str">
        <x:v>Dữ liệu gốc còn ở v1.4; chỉ thay profile.</x:v>
      </x:c>
    </x:row>
    <x:row r="39">
      <x:c r="A39" s="103" t="str">
        <x:v>HD05</x:v>
      </x:c>
      <x:c r="B39" s="103" t="str">
        <x:v>HD05.D.TY.NAM_DAU_GACH</x:v>
      </x:c>
      <x:c r="C39" s="103" t="str">
        <x:v>AP:AU</x:v>
      </x:c>
      <x:c r="D39" s="103" t="str">
        <x:v>['SINGLE', 1, 'lines', None, 6, 0]</x:v>
      </x:c>
      <x:c r="E39" s="103" t="str">
        <x:v>Không áp cấu hình paragraph mặc định lên shape, chữ ký hoặc hình</x:v>
      </x:c>
      <x:c r="F39" s="103" t="str">
        <x:v>ĐÃ XÓA BẢN SAO</x:v>
      </x:c>
      <x:c r="G39" s="103" t="str">
        <x:v>Dữ liệu gốc còn ở v1.4; chỉ thay profile.</x:v>
      </x:c>
    </x:row>
    <x:row r="40">
      <x:c r="A40" s="103" t="str">
        <x:v>HD05</x:v>
      </x:c>
      <x:c r="B40" s="103" t="str">
        <x:v>HD05.N.HINH.DOI_TUONG</x:v>
      </x:c>
      <x:c r="C40" s="103" t="str">
        <x:v>AP:AU</x:v>
      </x:c>
      <x:c r="D40" s="103" t="str">
        <x:v>[None, None, None, None, None, 0]</x:v>
      </x:c>
      <x:c r="E40" s="103" t="str">
        <x:v>Không áp cấu hình paragraph mặc định lên shape, chữ ký hoặc hình</x:v>
      </x:c>
      <x:c r="F40" s="103" t="str">
        <x:v>ĐÃ XÓA BẢN SAO</x:v>
      </x:c>
      <x:c r="G40" s="103" t="str">
        <x:v>Dữ liệu gốc còn ở v1.4; chỉ thay profile.</x:v>
      </x:c>
    </x:row>
    <x:row r="41">
      <x:c r="A41" s="103" t="str">
        <x:v>HD05</x:v>
      </x:c>
      <x:c r="B41" s="103" t="str">
        <x:v>HD05.C.NN.DUONG_KE</x:v>
      </x:c>
      <x:c r="C41" s="103" t="str">
        <x:v>AP:AU</x:v>
      </x:c>
      <x:c r="D41" s="103" t="str">
        <x:v>['SINGLE', 1, 'lines', 0, 0, 0]</x:v>
      </x:c>
      <x:c r="E41" s="103" t="str">
        <x:v>Không áp cấu hình paragraph mặc định lên shape, chữ ký hoặc hình</x:v>
      </x:c>
      <x:c r="F41" s="103" t="str">
        <x:v>ĐÃ XÓA BẢN SAO</x:v>
      </x:c>
      <x:c r="G41" s="103" t="str">
        <x:v>Dữ liệu gốc còn ở v1.4; chỉ thay profile.</x:v>
      </x:c>
    </x:row>
    <x:row r="42">
      <x:c r="A42" s="103" t="str">
        <x:v>HD05</x:v>
      </x:c>
      <x:c r="B42" s="103" t="str">
        <x:v>HD05.C.KY.CHU_KY</x:v>
      </x:c>
      <x:c r="C42" s="103" t="str">
        <x:v>AP:AU</x:v>
      </x:c>
      <x:c r="D42" s="103" t="str">
        <x:v>['SINGLE', 1, 'lines', 0, 0, 0]</x:v>
      </x:c>
      <x:c r="E42" s="103" t="str">
        <x:v>Không áp cấu hình paragraph mặc định lên shape, chữ ký hoặc hình</x:v>
      </x:c>
      <x:c r="F42" s="103" t="str">
        <x:v>ĐÃ XÓA BẢN SAO</x:v>
      </x:c>
      <x:c r="G42" s="103" t="str">
        <x:v>Dữ liệu gốc còn ở v1.4; chỉ thay profile.</x:v>
      </x:c>
    </x:row>
  </x:sheetData>
  <x:pageMargins left="0.7" right="0.7" top="0.75" bottom="0.75" header="0.3" footer="0.3"/>
</x:worksheet>
</file>

<file path=xl/worksheets/sheet11.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8" hidden="0" customWidth="1"/>
    <x:col min="2" max="2" width="39" hidden="0" customWidth="1"/>
    <x:col min="3" max="3" width="28" hidden="0" customWidth="1"/>
    <x:col min="4" max="4" width="31" hidden="0" customWidth="1"/>
    <x:col min="5" max="5" width="18" hidden="0" customWidth="1"/>
    <x:col min="6" max="6" width="24" hidden="0" customWidth="1"/>
    <x:col min="7" max="7" width="30" hidden="0" customWidth="1"/>
    <x:col min="8" max="8" width="11" hidden="0" customWidth="1"/>
    <x:col min="9" max="9" width="40" hidden="0" customWidth="1"/>
    <x:col min="10" max="10" width="19" hidden="0" customWidth="1"/>
    <x:col min="11" max="11" width="48" hidden="0" customWidth="1"/>
    <x:col min="12" max="12" width="22" hidden="0" customWidth="1"/>
    <x:col min="13" max="13" width="16" hidden="0" customWidth="1"/>
    <x:col min="14" max="14" width="11" hidden="0" customWidth="1"/>
    <x:col min="15" max="15" width="38"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51" max="51" width="45" hidden="0" customWidth="1"/>
    <x:col min="52" max="52" width="49"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s>
  <x:sheetData>
    <x:row r="1" ht="36" customHeight="1">
      <x:c r="A1" s="223" t="str">
        <x:v>ND30  |  BỘ QUY TẮC THÀNH PHẦN CON • BẢNG TRONG NỘI DUNG</x:v>
      </x:c>
      <x:c r="B1" s="223"/>
      <x:c r="C1" s="223"/>
      <x:c r="D1" s="223"/>
      <x:c r="E1" s="223"/>
      <x:c r="F1" s="223"/>
      <x:c r="G1" s="234"/>
      <x:c r="H1" s="223"/>
      <x:c r="I1" s="234"/>
      <x:c r="J1" s="223"/>
      <x:c r="K1" s="234"/>
      <x:c r="L1" s="223"/>
      <x:c r="M1" s="223"/>
      <x:c r="N1" s="223"/>
      <x:c r="O1" s="223"/>
      <x:c r="P1" s="223"/>
      <x:c r="Q1" s="223"/>
      <x:c r="R1" s="223"/>
      <x:c r="S1" s="223"/>
      <x:c r="T1" s="223"/>
      <x:c r="U1" s="223"/>
      <x:c r="V1" s="223"/>
      <x:c r="W1" s="223"/>
      <x:c r="X1" s="223"/>
      <x:c r="Y1" s="223"/>
      <x:c r="Z1" s="223"/>
      <x:c r="AA1" s="223"/>
      <x:c r="AB1" s="223"/>
      <x:c r="AC1" s="223"/>
      <x:c r="AD1" s="223"/>
      <x:c r="AE1" s="223"/>
      <x:c r="AF1" s="223"/>
      <x:c r="AG1" s="223"/>
      <x:c r="AH1" s="223"/>
      <x:c r="AI1" s="223"/>
      <x:c r="AJ1" s="223"/>
      <x:c r="AK1" s="223"/>
      <x:c r="AL1" s="223"/>
      <x:c r="AM1" s="223"/>
      <x:c r="AN1" s="223"/>
      <x:c r="AO1" s="223"/>
      <x:c r="AP1" s="223"/>
      <x:c r="AQ1" s="223"/>
      <x:c r="AR1" s="223"/>
      <x:c r="AS1" s="223"/>
      <x:c r="AT1" s="223"/>
      <x:c r="AU1" s="223"/>
      <x:c r="AV1" s="223"/>
      <x:c r="AW1" s="223"/>
      <x:c r="AX1" s="223"/>
      <x:c r="AY1" s="234"/>
      <x:c r="AZ1" s="234"/>
    </x:row>
    <x:row r="2" ht="27" customHeight="1">
      <x:c r="A2" s="226" t="str">
        <x:v>Dữ liệu đề xuất để thiết lập rule theo từng trường con; KHÔNG phải xác nhận pháp lý/không cấp quyền tự sửa DOCX.</x:v>
      </x:c>
      <x:c r="B2" s="226"/>
      <x:c r="C2" s="226"/>
      <x:c r="D2" s="226"/>
      <x:c r="E2" s="226"/>
      <x:c r="F2" s="226"/>
      <x:c r="G2" s="226"/>
      <x:c r="H2" s="226"/>
      <x:c r="I2" s="226"/>
      <x:c r="J2" s="226"/>
      <x:c r="K2" s="226"/>
      <x:c r="L2" s="226"/>
      <x:c r="M2" s="226"/>
      <x:c r="N2" s="226"/>
      <x:c r="O2" s="226"/>
      <x:c r="P2" s="226"/>
      <x:c r="Q2" s="226"/>
      <x:c r="R2" s="226"/>
      <x:c r="S2" s="226"/>
      <x:c r="T2" s="226"/>
      <x:c r="U2" s="226"/>
      <x:c r="V2" s="226"/>
      <x:c r="W2" s="226"/>
      <x:c r="X2" s="226"/>
      <x:c r="Y2" s="226"/>
      <x:c r="Z2" s="226"/>
      <x:c r="AA2" s="226"/>
      <x:c r="AB2" s="226"/>
      <x:c r="AC2" s="226"/>
      <x:c r="AD2" s="226"/>
      <x:c r="AE2" s="226"/>
      <x:c r="AF2" s="226"/>
      <x:c r="AG2" s="226"/>
      <x:c r="AH2" s="226"/>
      <x:c r="AI2" s="226"/>
      <x:c r="AJ2" s="226"/>
      <x:c r="AK2" s="226"/>
      <x:c r="AL2" s="226"/>
      <x:c r="AM2" s="226"/>
      <x:c r="AN2" s="226"/>
      <x:c r="AO2" s="226"/>
      <x:c r="AP2" s="226"/>
      <x:c r="AQ2" s="226"/>
      <x:c r="AR2" s="226"/>
      <x:c r="AS2" s="226"/>
      <x:c r="AT2" s="226"/>
      <x:c r="AU2" s="226"/>
      <x:c r="AV2" s="226"/>
      <x:c r="AW2" s="226"/>
      <x:c r="AX2" s="226"/>
      <x:c r="AY2" s="226"/>
      <x:c r="AZ2" s="226"/>
    </x:row>
    <x:row r="4">
      <x:c r="A4" t="str">
        <x:v>Chế độ</x:v>
      </x:c>
      <x:c r="B4" t="str">
        <x:v>ND30</x:v>
      </x:c>
      <x:c r="D4" t="str">
        <x:v>Nguồn pháp lý</x:v>
      </x:c>
      <x:c r="E4" t="str">
        <x:v>NĐ30 – Phụ lục I</x:v>
      </x:c>
      <x:c r="G4" t="str">
        <x:v>Số trường con</x:v>
      </x:c>
      <x:c r="H4" t="n">
        <x:v>66</x:v>
      </x:c>
    </x:row>
    <x:row r="5">
      <x:c r="A5" t="str">
        <x:v>Trạng thái</x:v>
      </x:c>
      <x:c r="B5" t="str">
        <x:v>DRAFT • CHECK_ONLY</x:v>
      </x:c>
      <x:c r="D5" t="str">
        <x:v>Giới hạn</x:v>
      </x:c>
      <x:c r="E5" t="str">
        <x:v>Bảng nằm trong nội dung chính; không phải bảng layout hoặc phụ lục độc lập</x:v>
      </x:c>
      <x:c r="G5" t="str">
        <x:v>Mã 5 cấp</x:v>
      </x:c>
      <x:c r="H5" t="str">
        <x:v>ND30.N.BANG.[NHÓM].[TRƯỜNG]</x:v>
      </x:c>
    </x:row>
    <x:row r="6" ht="43" customHeight="1">
      <x:c r="A6" s="230" t="str">
        <x:v>STT</x:v>
      </x:c>
      <x:c r="B6" s="230" t="str">
        <x:v>Mã trường con (5 cấp)</x:v>
      </x:c>
      <x:c r="C6" s="230" t="str">
        <x:v>Mã cha (4 cấp)</x:v>
      </x:c>
      <x:c r="D6" s="230" t="str">
        <x:v>Tên trường con</x:v>
      </x:c>
      <x:c r="E6" s="230" t="str">
        <x:v>Đối tượng DOCX</x:v>
      </x:c>
      <x:c r="F6" s="230" t="str">
        <x:v>Thuộc tính / rule-key</x:v>
      </x:c>
      <x:c r="G6" s="230" t="str">
        <x:v>Giá trị preset / rule</x:v>
      </x:c>
      <x:c r="H6" s="230" t="str">
        <x:v>Đơn vị</x:v>
      </x:c>
      <x:c r="I6" s="230" t="str">
        <x:v>Điều kiện áp dụng</x:v>
      </x:c>
      <x:c r="J6" s="230" t="str">
        <x:v>Phân loại quy tắc</x:v>
      </x:c>
      <x:c r="K6" s="230" t="str">
        <x:v>Nguồn/căn cứ</x:v>
      </x:c>
      <x:c r="L6" s="230" t="str">
        <x:v>Trạng thái xác minh</x:v>
      </x:c>
      <x:c r="M6" s="230" t="str">
        <x:v>Quyền xử lý</x:v>
      </x:c>
      <x:c r="N6" s="230" t="str">
        <x:v>Ô pháp lý (thuộc nội dung)</x:v>
      </x:c>
      <x:c r="O6" s="230" t="str">
        <x:v>OOXML target</x:v>
      </x:c>
      <x:c r="P6" s="230" t="str">
        <x:v>Phông chữ</x:v>
      </x:c>
      <x:c r="Q6" s="230" t="str">
        <x:v>Cỡ chữ (pt)</x:v>
      </x:c>
      <x:c r="R6" s="230" t="str">
        <x:v>Đậm</x:v>
      </x:c>
      <x:c r="S6" s="230" t="str">
        <x:v>Nghiêng</x:v>
      </x:c>
      <x:c r="T6" s="230" t="str">
        <x:v>Màu chữ</x:v>
      </x:c>
      <x:c r="U6" s="230" t="str">
        <x:v>Căn ngang</x:v>
      </x:c>
      <x:c r="V6" s="230" t="str">
        <x:v>Căn dọc</x:v>
      </x:c>
      <x:c r="W6" s="230" t="str">
        <x:v>Kiểu giãn dòng</x:v>
      </x:c>
      <x:c r="X6" s="230" t="str">
        <x:v>Giá trị giãn dòng</x:v>
      </x:c>
      <x:c r="Y6" s="230" t="str">
        <x:v>Cách đoạn trước (pt)</x:v>
      </x:c>
      <x:c r="Z6" s="230" t="str">
        <x:v>Cách đoạn sau (pt)</x:v>
      </x:c>
      <x:c r="AA6" s="230" t="str">
        <x:v>Thụt trái (mm)</x:v>
      </x:c>
      <x:c r="AB6" s="230" t="str">
        <x:v>Chiều rộng bảng (%)</x:v>
      </x:c>
      <x:c r="AC6" s="230" t="str">
        <x:v>Chiều rộng cột (mm)</x:v>
      </x:c>
      <x:c r="AD6" s="230" t="str">
        <x:v>AutoFit</x:v>
      </x:c>
      <x:c r="AE6" s="230" t="str">
        <x:v>Chiều cao hàng (mm)</x:v>
      </x:c>
      <x:c r="AF6" s="230" t="str">
        <x:v>Kiểu cao hàng</x:v>
      </x:c>
      <x:c r="AG6" s="230" t="str">
        <x:v>Lặp hàng đầu</x:v>
      </x:c>
      <x:c r="AH6" s="230" t="str">
        <x:v>Chống chia hàng</x:v>
      </x:c>
      <x:c r="AI6" s="230" t="str">
        <x:v>Giữ với đoạn sau</x:v>
      </x:c>
      <x:c r="AJ6" s="230" t="str">
        <x:v>Lề ô trên (mm)</x:v>
      </x:c>
      <x:c r="AK6" s="230" t="str">
        <x:v>Lề ô dưới (mm)</x:v>
      </x:c>
      <x:c r="AL6" s="230" t="str">
        <x:v>Lề ô trái (mm)</x:v>
      </x:c>
      <x:c r="AM6" s="230" t="str">
        <x:v>Lề ô phải (mm)</x:v>
      </x:c>
      <x:c r="AN6" s="230" t="str">
        <x:v>Viền ngoài</x:v>
      </x:c>
      <x:c r="AO6" s="230" t="str">
        <x:v>Viền ngang</x:v>
      </x:c>
      <x:c r="AP6" s="230" t="str">
        <x:v>Viền dọc</x:v>
      </x:c>
      <x:c r="AQ6" s="230" t="str">
        <x:v>Nét viền (pt)</x:v>
      </x:c>
      <x:c r="AR6" s="230" t="str">
        <x:v>Tô nền</x:v>
      </x:c>
      <x:c r="AS6" s="230" t="str">
        <x:v>Cho xuống dòng</x:v>
      </x:c>
      <x:c r="AT6" s="230" t="str">
        <x:v>Gộp ngang</x:v>
      </x:c>
      <x:c r="AU6" s="230" t="str">
        <x:v>Gộp dọc</x:v>
      </x:c>
      <x:c r="AV6" s="230" t="str">
        <x:v>Hướng giấy</x:v>
      </x:c>
      <x:c r="AW6" s="230" t="str">
        <x:v>Section</x:v>
      </x:c>
      <x:c r="AX6" s="230" t="str">
        <x:v>Tiêu chí QA</x:v>
      </x:c>
      <x:c r="AY6" s="230" t="str">
        <x:v>Ghi chú bảo toàn / ngoại lệ</x:v>
      </x:c>
      <x:c r="AZ6" s="230" t="str">
        <x:v>Nguồn preset</x:v>
      </x:c>
    </x:row>
    <x:row r="7" ht="31" customHeight="1">
      <x:c r="A7" s="233" t="n">
        <x:v>1</x:v>
      </x:c>
      <x:c r="B7" s="233" t="str">
        <x:v>ND30.N.BANG.BO_CUC.NHAN_DIEN</x:v>
      </x:c>
      <x:c r="C7" s="233" t="str">
        <x:v>ND30.N.BANG.BO_CUC</x:v>
      </x:c>
      <x:c r="D7" s="233" t="str">
        <x:v>Nhận diện bảng dữ liệu</x:v>
      </x:c>
      <x:c r="E7" s="233" t="str">
        <x:v>TABLE</x:v>
      </x:c>
      <x:c r="F7" s="233" t="str">
        <x:v>table_role</x:v>
      </x:c>
      <x:c r="G7" s="233" t="str">
        <x:v>DATA</x:v>
      </x:c>
      <x:c r="H7" s="233"/>
      <x:c r="I7" s="233" t="str">
        <x:v>Bảng dữ liệu thật nằm trong phần nội dung chính; loại trừ bảng dùng để căn chỉnh phần đầu/cuối.</x:v>
      </x:c>
      <x:c r="J7" s="233" t="str">
        <x:v>TECHNICAL</x:v>
      </x:c>
      <x:c r="K7" s="233" t="str">
        <x:v>Chưa có điều khoản riêng đã xác minh cho thuộc tính này</x:v>
      </x:c>
      <x:c r="L7" s="233" t="str">
        <x:v>NOT_VERIFIED_AT_ATTRIBUTE_LEVEL</x:v>
      </x:c>
      <x:c r="M7" s="233" t="str">
        <x:v>CHECK_ONLY</x:v>
      </x:c>
      <x:c r="N7" s="233" t="str">
        <x:v>6</x:v>
      </x:c>
      <x:c r="O7" s="233" t="str">
        <x:v>w:tbl</x:v>
      </x:c>
      <x:c r="P7" s="233"/>
      <x:c r="Q7" s="233"/>
      <x:c r="R7" s="233"/>
      <x:c r="S7" s="233"/>
      <x:c r="T7" s="233"/>
      <x:c r="U7" s="233"/>
      <x:c r="V7" s="233"/>
      <x:c r="W7" s="233"/>
      <x:c r="X7" s="233"/>
      <x:c r="Y7" s="233"/>
      <x:c r="Z7" s="233"/>
      <x:c r="AA7" s="233"/>
      <x:c r="AB7" s="233"/>
      <x:c r="AC7" s="233"/>
      <x:c r="AD7" s="233"/>
      <x:c r="AE7" s="233"/>
      <x:c r="AF7" s="233"/>
      <x:c r="AG7" s="233"/>
      <x:c r="AH7" s="233"/>
      <x:c r="AI7" s="233"/>
      <x:c r="AJ7" s="233"/>
      <x:c r="AK7" s="233"/>
      <x:c r="AL7" s="233"/>
      <x:c r="AM7" s="233"/>
      <x:c r="AN7" s="233"/>
      <x:c r="AO7" s="233"/>
      <x:c r="AP7" s="233"/>
      <x:c r="AQ7" s="233"/>
      <x:c r="AR7" s="233"/>
      <x:c r="AS7" s="233"/>
      <x:c r="AT7" s="233"/>
      <x:c r="AU7" s="233"/>
      <x:c r="AV7" s="233"/>
      <x:c r="AW7" s="233"/>
      <x:c r="AX7" s="233" t="str">
        <x:v>Không nhầm với bảng dàn trang đầu/cuối văn bản</x:v>
      </x:c>
      <x:c r="AY7" s="233" t="str">
        <x:v>Đối tượng bảng thật trong BODY, không áp cho layout table; Nhóm cha mới, chưa nhập registry 165 mã</x:v>
      </x:c>
      <x:c r="AZ7" s="233" t="str">
        <x:v>PROFILE_HTHHMB_v1.5_DRAFT</x:v>
      </x:c>
    </x:row>
    <x:row r="8" ht="31" customHeight="1">
      <x:c r="A8" s="233" t="n">
        <x:v>2</x:v>
      </x:c>
      <x:c r="B8" s="233" t="str">
        <x:v>ND30.N.BANG.BO_CUC.VAI_TRO</x:v>
      </x:c>
      <x:c r="C8" s="233" t="str">
        <x:v>ND30.N.BANG.BO_CUC</x:v>
      </x:c>
      <x:c r="D8" s="233" t="str">
        <x:v>Vai trò bảng trong thân văn bản</x:v>
      </x:c>
      <x:c r="E8" s="233" t="str">
        <x:v>TABLE</x:v>
      </x:c>
      <x:c r="F8" s="233" t="str">
        <x:v>body_region</x:v>
      </x:c>
      <x:c r="G8" s="233" t="str">
        <x:v>BODY</x:v>
      </x:c>
      <x:c r="H8" s="233"/>
      <x:c r="I8" s="233" t="str">
        <x:v>Bảng đã xác định thuộc nội dung chính, không phải Header/Footer hoặc phần phụ trợ.</x:v>
      </x:c>
      <x:c r="J8" s="233" t="str">
        <x:v>TECHNICAL</x:v>
      </x:c>
      <x:c r="K8" s="233" t="str">
        <x:v>Chưa có điều khoản riêng đã xác minh cho thuộc tính này</x:v>
      </x:c>
      <x:c r="L8" s="233" t="str">
        <x:v>NOT_VERIFIED_AT_ATTRIBUTE_LEVEL</x:v>
      </x:c>
      <x:c r="M8" s="233" t="str">
        <x:v>CHECK_ONLY</x:v>
      </x:c>
      <x:c r="N8" s="233" t="str">
        <x:v>6</x:v>
      </x:c>
      <x:c r="O8" s="233"/>
      <x:c r="P8" s="233"/>
      <x:c r="Q8" s="233"/>
      <x:c r="R8" s="233"/>
      <x:c r="S8" s="233"/>
      <x:c r="T8" s="233"/>
      <x:c r="U8" s="233"/>
      <x:c r="V8" s="233"/>
      <x:c r="W8" s="233"/>
      <x:c r="X8" s="233"/>
      <x:c r="Y8" s="233"/>
      <x:c r="Z8" s="233"/>
      <x:c r="AA8" s="233"/>
      <x:c r="AB8" s="233"/>
      <x:c r="AC8" s="233"/>
      <x:c r="AD8" s="233"/>
      <x:c r="AE8" s="233"/>
      <x:c r="AF8" s="233"/>
      <x:c r="AG8" s="233"/>
      <x:c r="AH8" s="233"/>
      <x:c r="AI8" s="233"/>
      <x:c r="AJ8" s="233"/>
      <x:c r="AK8" s="233"/>
      <x:c r="AL8" s="233"/>
      <x:c r="AM8" s="233"/>
      <x:c r="AN8" s="233"/>
      <x:c r="AO8" s="233"/>
      <x:c r="AP8" s="233"/>
      <x:c r="AQ8" s="233"/>
      <x:c r="AR8" s="233"/>
      <x:c r="AS8" s="233"/>
      <x:c r="AT8" s="233"/>
      <x:c r="AU8" s="233"/>
      <x:c r="AV8" s="233"/>
      <x:c r="AW8" s="233"/>
      <x:c r="AX8" s="233" t="str">
        <x:v>Chỉ nhận bảng nội dung, không thuộc phụ lục độc lập</x:v>
      </x:c>
      <x:c r="AY8" s="233" t="str">
        <x:v>Nhóm cha mới, chưa nhập registry 165 mã</x:v>
      </x:c>
      <x:c r="AZ8" s="233" t="str">
        <x:v>PROFILE_HTHHMB_v1.5_DRAFT</x:v>
      </x:c>
    </x:row>
    <x:row r="9" ht="31" customHeight="1">
      <x:c r="A9" s="233" t="n">
        <x:v>3</x:v>
      </x:c>
      <x:c r="B9" s="233" t="str">
        <x:v>ND30.N.BANG.BO_CUC.CAN_BANG</x:v>
      </x:c>
      <x:c r="C9" s="233" t="str">
        <x:v>ND30.N.BANG.BO_CUC</x:v>
      </x:c>
      <x:c r="D9" s="233" t="str">
        <x:v>Căn ngang toàn bảng</x:v>
      </x:c>
      <x:c r="E9" s="233" t="str">
        <x:v>TABLE</x:v>
      </x:c>
      <x:c r="F9" s="233" t="str">
        <x:v>table_align</x:v>
      </x:c>
      <x:c r="G9" s="233" t="str">
        <x:v>CENTER</x:v>
      </x:c>
      <x:c r="H9" s="233"/>
      <x:c r="I9" s="233" t="str">
        <x:v>Căn giữa khung bảng trong vùng nội dung hữu dụng; không căn theo khổ giấy bỏ qua lề.</x:v>
      </x:c>
      <x:c r="J9" s="233" t="str">
        <x:v>PROFILE_DA_XAC_NHAN</x:v>
      </x:c>
      <x:c r="K9" s="233" t="str">
        <x:v>Chưa có điều khoản riêng đã xác minh cho thuộc tính này</x:v>
      </x:c>
      <x:c r="L9" s="233" t="str">
        <x:v>NOT_VERIFIED_AT_ATTRIBUTE_LEVEL</x:v>
      </x:c>
      <x:c r="M9" s="233" t="str">
        <x:v>CHECK_ONLY</x:v>
      </x:c>
      <x:c r="N9" s="233" t="str">
        <x:v>6</x:v>
      </x:c>
      <x:c r="O9" s="233" t="str">
        <x:v>w:tblPr/w:jc</x:v>
      </x:c>
      <x:c r="P9" s="233"/>
      <x:c r="Q9" s="233"/>
      <x:c r="R9" s="233"/>
      <x:c r="S9" s="233"/>
      <x:c r="T9" s="233"/>
      <x:c r="U9" s="233" t="str">
        <x:v>CENTER</x:v>
      </x:c>
      <x:c r="V9" s="233"/>
      <x:c r="W9" s="233"/>
      <x:c r="X9" s="233"/>
      <x:c r="Y9" s="233"/>
      <x:c r="Z9" s="233"/>
      <x:c r="AA9" s="233"/>
      <x:c r="AB9" s="233"/>
      <x:c r="AC9" s="233"/>
      <x:c r="AD9" s="233"/>
      <x:c r="AE9" s="233"/>
      <x:c r="AF9" s="233"/>
      <x:c r="AG9" s="233"/>
      <x:c r="AH9" s="233"/>
      <x:c r="AI9" s="233"/>
      <x:c r="AJ9" s="233"/>
      <x:c r="AK9" s="233"/>
      <x:c r="AL9" s="233"/>
      <x:c r="AM9" s="233"/>
      <x:c r="AN9" s="233"/>
      <x:c r="AO9" s="233"/>
      <x:c r="AP9" s="233"/>
      <x:c r="AQ9" s="233"/>
      <x:c r="AR9" s="233"/>
      <x:c r="AS9" s="233"/>
      <x:c r="AT9" s="233"/>
      <x:c r="AU9" s="233"/>
      <x:c r="AV9" s="233"/>
      <x:c r="AW9" s="233"/>
      <x:c r="AX9" s="233" t="str">
        <x:v>Bảng cân đối vùng nội dung; kiểm tra bảng rộng</x:v>
      </x:c>
      <x:c r="AY9" s="233" t="str">
        <x:v>Căn giữa khung bảng trong vùng nội dung hữu dụng; không căn theo khổ giấy bỏ qua lề. | Chưa xác minh là yêu cầu bắt buộc riêng của NĐ30/HD05; chỉ là profile nội bộ.</x:v>
      </x:c>
      <x:c r="AZ9" s="233" t="str">
        <x:v>Người dùng chốt trong trao đổi 29/10/2026; PROFILE NỘI BỘ; chưa có văn bản phê duyệt doanh nghiệp</x:v>
      </x:c>
    </x:row>
    <x:row r="10" ht="31" customHeight="1">
      <x:c r="A10" s="233" t="n">
        <x:v>4</x:v>
      </x:c>
      <x:c r="B10" s="233" t="str">
        <x:v>ND30.N.BANG.BO_CUC.CHIEU_RONG</x:v>
      </x:c>
      <x:c r="C10" s="233" t="str">
        <x:v>ND30.N.BANG.BO_CUC</x:v>
      </x:c>
      <x:c r="D10" s="233" t="str">
        <x:v>Chiều rộng ưu tiên của bảng</x:v>
      </x:c>
      <x:c r="E10" s="233" t="str">
        <x:v>TABLE</x:v>
      </x:c>
      <x:c r="F10" s="233" t="str">
        <x:v>table_width</x:v>
      </x:c>
      <x:c r="G10" s="233" t="n">
        <x:v>100</x:v>
      </x:c>
      <x:c r="H10" s="233" t="str">
        <x:v>%</x:v>
      </x:c>
      <x:c r="I10" s="233" t="str">
        <x:v>100% vùng nội dung là mục tiêu khi lập/điều chỉnh bảng; ưu tiên giữ độ rộng thủ công nếu đang đẹp và không tràn lề.</x:v>
      </x:c>
      <x:c r="J10" s="233" t="str">
        <x:v>PROFILE_DA_XAC_NHAN</x:v>
      </x:c>
      <x:c r="K10" s="233" t="str">
        <x:v>Chưa có điều khoản riêng đã xác minh cho thuộc tính này</x:v>
      </x:c>
      <x:c r="L10" s="233" t="str">
        <x:v>NOT_VERIFIED_AT_ATTRIBUTE_LEVEL</x:v>
      </x:c>
      <x:c r="M10" s="233" t="str">
        <x:v>CHECK_ONLY</x:v>
      </x:c>
      <x:c r="N10" s="233" t="str">
        <x:v>6</x:v>
      </x:c>
      <x:c r="O10" s="233" t="str">
        <x:v>w:tblPr/w:tblW</x:v>
      </x:c>
      <x:c r="P10" s="233"/>
      <x:c r="Q10" s="233"/>
      <x:c r="R10" s="233"/>
      <x:c r="S10" s="233"/>
      <x:c r="T10" s="233"/>
      <x:c r="U10" s="233"/>
      <x:c r="V10" s="233"/>
      <x:c r="W10" s="233"/>
      <x:c r="X10" s="233"/>
      <x:c r="Y10" s="233"/>
      <x:c r="Z10" s="233"/>
      <x:c r="AA10" s="233"/>
      <x:c r="AB10" s="233" t="n">
        <x:v>100</x:v>
      </x:c>
      <x:c r="AC10" s="233"/>
      <x:c r="AD10" s="233"/>
      <x:c r="AE10" s="233"/>
      <x:c r="AF10" s="233"/>
      <x:c r="AG10" s="233"/>
      <x:c r="AH10" s="233"/>
      <x:c r="AI10" s="233"/>
      <x:c r="AJ10" s="233"/>
      <x:c r="AK10" s="233"/>
      <x:c r="AL10" s="233"/>
      <x:c r="AM10" s="233"/>
      <x:c r="AN10" s="233"/>
      <x:c r="AO10" s="233"/>
      <x:c r="AP10" s="233"/>
      <x:c r="AQ10" s="233"/>
      <x:c r="AR10" s="233"/>
      <x:c r="AS10" s="233"/>
      <x:c r="AT10" s="233"/>
      <x:c r="AU10" s="233"/>
      <x:c r="AV10" s="233"/>
      <x:c r="AW10" s="233"/>
      <x:c r="AX10" s="233" t="str">
        <x:v>Không vượt chiều rộng vùng in</x:v>
      </x:c>
      <x:c r="AY10" s="233" t="str">
        <x:v>100% vùng nội dung là mục tiêu khi lập/điều chỉnh bảng; ưu tiên giữ độ rộng thủ công nếu đang đẹp và không tràn lề. | Chưa xác minh là yêu cầu bắt buộc riêng của NĐ30/HD05; chỉ là profile nội bộ.</x:v>
      </x:c>
      <x:c r="AZ10" s="233" t="str">
        <x:v>Người dùng chốt trong trao đổi 29/10/2026; PROFILE NỘI BỘ; chưa có văn bản phê duyệt doanh nghiệp</x:v>
      </x:c>
    </x:row>
    <x:row r="11" ht="31" customHeight="1">
      <x:c r="A11" s="233" t="n">
        <x:v>5</x:v>
      </x:c>
      <x:c r="B11" s="233" t="str">
        <x:v>ND30.N.BANG.BO_CUC.AUTOFIT</x:v>
      </x:c>
      <x:c r="C11" s="233" t="str">
        <x:v>ND30.N.BANG.BO_CUC</x:v>
      </x:c>
      <x:c r="D11" s="233" t="str">
        <x:v>Chế độ điều chỉnh độ rộng bảng</x:v>
      </x:c>
      <x:c r="E11" s="233" t="str">
        <x:v>TABLE</x:v>
      </x:c>
      <x:c r="F11" s="233" t="str">
        <x:v>table_layout</x:v>
      </x:c>
      <x:c r="G11" s="233" t="str">
        <x:v>PRESERVE_IF_VALID_ELSE_AUTOFIT_WINDOW</x:v>
      </x:c>
      <x:c r="H11" s="233"/>
      <x:c r="I11" s="233" t="str">
        <x:v>Ưu tiên giữ độ rộng khi bảng nằm trong lề và dễ đọc; khi tràn lề mới điều chỉnh vừa cửa sổ/vùng in rồi kiểm tra cột, ô gộp.</x:v>
      </x:c>
      <x:c r="J11" s="233" t="str">
        <x:v>PROFILE_DA_XAC_NHAN</x:v>
      </x:c>
      <x:c r="K11" s="233" t="str">
        <x:v>Chưa có điều khoản riêng đã xác minh cho thuộc tính này</x:v>
      </x:c>
      <x:c r="L11" s="233" t="str">
        <x:v>NOT_VERIFIED_AT_ATTRIBUTE_LEVEL</x:v>
      </x:c>
      <x:c r="M11" s="233" t="str">
        <x:v>CHECK_ONLY</x:v>
      </x:c>
      <x:c r="N11" s="233" t="str">
        <x:v>6</x:v>
      </x:c>
      <x:c r="O11" s="233" t="str">
        <x:v>w:tblPr/w:tblLayout</x:v>
      </x:c>
      <x:c r="P11" s="233"/>
      <x:c r="Q11" s="233"/>
      <x:c r="R11" s="233"/>
      <x:c r="S11" s="233"/>
      <x:c r="T11" s="233"/>
      <x:c r="U11" s="233"/>
      <x:c r="V11" s="233"/>
      <x:c r="W11" s="233"/>
      <x:c r="X11" s="233"/>
      <x:c r="Y11" s="233"/>
      <x:c r="Z11" s="233"/>
      <x:c r="AA11" s="233"/>
      <x:c r="AB11" s="233"/>
      <x:c r="AC11" s="233"/>
      <x:c r="AD11" s="233" t="str">
        <x:v>PRESERVE_IF_VALID_ELSE_AUTOFIT_WINDOW</x:v>
      </x:c>
      <x:c r="AE11" s="233"/>
      <x:c r="AF11" s="233"/>
      <x:c r="AG11" s="233"/>
      <x:c r="AH11" s="233"/>
      <x:c r="AI11" s="233"/>
      <x:c r="AJ11" s="233"/>
      <x:c r="AK11" s="233"/>
      <x:c r="AL11" s="233"/>
      <x:c r="AM11" s="233"/>
      <x:c r="AN11" s="233"/>
      <x:c r="AO11" s="233"/>
      <x:c r="AP11" s="233"/>
      <x:c r="AQ11" s="233"/>
      <x:c r="AR11" s="233"/>
      <x:c r="AS11" s="233"/>
      <x:c r="AT11" s="233"/>
      <x:c r="AU11" s="233"/>
      <x:c r="AV11" s="233"/>
      <x:c r="AW11" s="233"/>
      <x:c r="AX11" s="233" t="str">
        <x:v>Không tự đổi bố cục/độ rộng bảng có dữ liệu</x:v>
      </x:c>
      <x:c r="AY11" s="233" t="str">
        <x:v>Ưu tiên giữ độ rộng khi bảng nằm trong lề và dễ đọc; khi tràn lề mới điều chỉnh vừa cửa sổ/vùng in rồi kiểm tra cột, ô gộp. | Chưa xác minh là yêu cầu bắt buộc riêng của NĐ30/HD05; chỉ là profile nội bộ.</x:v>
      </x:c>
      <x:c r="AZ11" s="233" t="str">
        <x:v>Người dùng chốt trong trao đổi 29/10/2026; PROFILE NỘI BỘ; chưa có văn bản phê duyệt doanh nghiệp</x:v>
      </x:c>
    </x:row>
    <x:row r="12" ht="31" customHeight="1">
      <x:c r="A12" s="233" t="n">
        <x:v>6</x:v>
      </x:c>
      <x:c r="B12" s="233" t="str">
        <x:v>ND30.N.BANG.BO_CUC.KHOANG_THUT</x:v>
      </x:c>
      <x:c r="C12" s="233" t="str">
        <x:v>ND30.N.BANG.BO_CUC</x:v>
      </x:c>
      <x:c r="D12" s="233" t="str">
        <x:v>Thụt trái toàn bảng</x:v>
      </x:c>
      <x:c r="E12" s="233" t="str">
        <x:v>TABLE</x:v>
      </x:c>
      <x:c r="F12" s="233" t="str">
        <x:v>table_indent</x:v>
      </x:c>
      <x:c r="G12" s="233" t="n">
        <x:v>0</x:v>
      </x:c>
      <x:c r="H12" s="233" t="str">
        <x:v>mm</x:v>
      </x:c>
      <x:c r="I12" s="233" t="str">
        <x:v>Bảng chính không thụt trái so với mép vùng nội dung; không di chuyển bảng có bố cục riêng đã duyệt.</x:v>
      </x:c>
      <x:c r="J12" s="233" t="str">
        <x:v>PROFILE_DA_XAC_NHAN</x:v>
      </x:c>
      <x:c r="K12" s="233" t="str">
        <x:v>Chưa có điều khoản riêng đã xác minh cho thuộc tính này</x:v>
      </x:c>
      <x:c r="L12" s="233" t="str">
        <x:v>NOT_VERIFIED_AT_ATTRIBUTE_LEVEL</x:v>
      </x:c>
      <x:c r="M12" s="233" t="str">
        <x:v>CHECK_ONLY</x:v>
      </x:c>
      <x:c r="N12" s="233" t="str">
        <x:v>6</x:v>
      </x:c>
      <x:c r="O12" s="233" t="str">
        <x:v>w:tblPr/w:tblInd</x:v>
      </x:c>
      <x:c r="P12" s="233"/>
      <x:c r="Q12" s="233"/>
      <x:c r="R12" s="233"/>
      <x:c r="S12" s="233"/>
      <x:c r="T12" s="233"/>
      <x:c r="U12" s="233"/>
      <x:c r="V12" s="233"/>
      <x:c r="W12" s="233"/>
      <x:c r="X12" s="233"/>
      <x:c r="Y12" s="233"/>
      <x:c r="Z12" s="233"/>
      <x:c r="AA12" s="233" t="n">
        <x:v>0</x:v>
      </x:c>
      <x:c r="AB12" s="233"/>
      <x:c r="AC12" s="233"/>
      <x:c r="AD12" s="233"/>
      <x:c r="AE12" s="233"/>
      <x:c r="AF12" s="233"/>
      <x:c r="AG12" s="233"/>
      <x:c r="AH12" s="233"/>
      <x:c r="AI12" s="233"/>
      <x:c r="AJ12" s="233"/>
      <x:c r="AK12" s="233"/>
      <x:c r="AL12" s="233"/>
      <x:c r="AM12" s="233"/>
      <x:c r="AN12" s="233"/>
      <x:c r="AO12" s="233"/>
      <x:c r="AP12" s="233"/>
      <x:c r="AQ12" s="233"/>
      <x:c r="AR12" s="233"/>
      <x:c r="AS12" s="233"/>
      <x:c r="AT12" s="233"/>
      <x:c r="AU12" s="233"/>
      <x:c r="AV12" s="233"/>
      <x:c r="AW12" s="233"/>
      <x:c r="AX12" s="233" t="str">
        <x:v>Không tràn lề</x:v>
      </x:c>
      <x:c r="AY12" s="233" t="str">
        <x:v>Bảng chính không thụt trái so với mép vùng nội dung; không di chuyển bảng có bố cục riêng đã duyệt. | Chưa xác minh là yêu cầu bắt buộc riêng của NĐ30/HD05; chỉ là profile nội bộ.</x:v>
      </x:c>
      <x:c r="AZ12" s="233" t="str">
        <x:v>Người dùng chốt trong trao đổi 29/10/2026; PROFILE NỘI BỘ; chưa có văn bản phê duyệt doanh nghiệp</x:v>
      </x:c>
    </x:row>
    <x:row r="13" ht="31" customHeight="1">
      <x:c r="A13" s="233" t="n">
        <x:v>7</x:v>
      </x:c>
      <x:c r="B13" s="233" t="str">
        <x:v>ND30.N.BANG.BO_CUC.CHIEU_TRANG</x:v>
      </x:c>
      <x:c r="C13" s="233" t="str">
        <x:v>ND30.N.BANG.BO_CUC</x:v>
      </x:c>
      <x:c r="D13" s="233" t="str">
        <x:v>Hướng trang khi có bảng rộng</x:v>
      </x:c>
      <x:c r="E13" s="233" t="str">
        <x:v>SECTION</x:v>
      </x:c>
      <x:c r="F13" s="233" t="str">
        <x:v>page_orientation</x:v>
      </x:c>
      <x:c r="G13" s="233" t="str">
        <x:v>PORTRAIT_DEFAULT; LANDSCAPE_IF_NEEDED</x:v>
      </x:c>
      <x:c r="H13" s="233"/>
      <x:c r="I13" s="233" t="str">
        <x:v>Khi có bảng/biểu không tách thành phụ lục riêng, cần trình bày ngang; không đổi hướng các trang không liên quan.</x:v>
      </x:c>
      <x:c r="J13" s="233" t="str">
        <x:v>LEGAL_CONDITIONAL</x:v>
      </x:c>
      <x:c r="K13" s="233" t="str">
        <x:v>NĐ30/PL.I/I.2 (bảng và hướng giấy)</x:v>
      </x:c>
      <x:c r="L13" s="233" t="str">
        <x:v>SOURCE_CHECKED_SCOPE_ONLY</x:v>
      </x:c>
      <x:c r="M13" s="233" t="str">
        <x:v>CHECK_ONLY</x:v>
      </x:c>
      <x:c r="N13" s="233" t="str">
        <x:v>6</x:v>
      </x:c>
      <x:c r="O13" s="233" t="str">
        <x:v>w:sectPr/w:pgSz</x:v>
      </x:c>
      <x:c r="P13" s="233"/>
      <x:c r="Q13" s="233"/>
      <x:c r="R13" s="233"/>
      <x:c r="S13" s="233"/>
      <x:c r="T13" s="233"/>
      <x:c r="U13" s="233"/>
      <x:c r="V13" s="233"/>
      <x:c r="W13" s="233"/>
      <x:c r="X13" s="233"/>
      <x:c r="Y13" s="233"/>
      <x:c r="Z13" s="233"/>
      <x:c r="AA13" s="233"/>
      <x:c r="AB13" s="233"/>
      <x:c r="AC13" s="233"/>
      <x:c r="AD13" s="233"/>
      <x:c r="AE13" s="233"/>
      <x:c r="AF13" s="233"/>
      <x:c r="AG13" s="233"/>
      <x:c r="AH13" s="233"/>
      <x:c r="AI13" s="233"/>
      <x:c r="AJ13" s="233"/>
      <x:c r="AK13" s="233"/>
      <x:c r="AL13" s="233"/>
      <x:c r="AM13" s="233"/>
      <x:c r="AN13" s="233"/>
      <x:c r="AO13" s="233"/>
      <x:c r="AP13" s="233"/>
      <x:c r="AQ13" s="233"/>
      <x:c r="AR13" s="233"/>
      <x:c r="AS13" s="233"/>
      <x:c r="AT13" s="233"/>
      <x:c r="AU13" s="233"/>
      <x:c r="AV13" s="233" t="str">
        <x:v>PORTRAIT</x:v>
      </x:c>
      <x:c r="AW13" s="233"/>
      <x:c r="AX13" s="233" t="str">
        <x:v>Chỉ đổi hướng khi bảng cần, có ngắt section kiểm soát</x:v>
      </x:c>
      <x:c r="AY13" s="233" t="str">
        <x:v>Nhóm cha mới, chưa nhập registry 165 mã</x:v>
      </x:c>
      <x:c r="AZ13" s="233" t="str">
        <x:v>https://vbpl.moj.gov.vn/bonoivu/Pages/vbpq-toanvan.aspx?ItemID=141142&amp;dvid=320</x:v>
      </x:c>
    </x:row>
    <x:row r="14" ht="31" customHeight="1">
      <x:c r="A14" s="233" t="n">
        <x:v>8</x:v>
      </x:c>
      <x:c r="B14" s="233" t="str">
        <x:v>ND30.N.BANG.BO_CUC.TACH_SECTION</x:v>
      </x:c>
      <x:c r="C14" s="233" t="str">
        <x:v>ND30.N.BANG.BO_CUC</x:v>
      </x:c>
      <x:c r="D14" s="233" t="str">
        <x:v>Vùng section chứa bảng ngang</x:v>
      </x:c>
      <x:c r="E14" s="233" t="str">
        <x:v>SECTION</x:v>
      </x:c>
      <x:c r="F14" s="233" t="str">
        <x:v>section_break</x:v>
      </x:c>
      <x:c r="G14" s="233" t="str">
        <x:v>REVIEW_REQUIRED</x:v>
      </x:c>
      <x:c r="H14" s="233"/>
      <x:c r="I14" s="233" t="str">
        <x:v>Chỉ xét khi bảng rộng cần trang ngang; không đổi hướng các trang khác.</x:v>
      </x:c>
      <x:c r="J14" s="233" t="str">
        <x:v>TECHNICAL</x:v>
      </x:c>
      <x:c r="K14" s="233" t="str">
        <x:v>Chưa có điều khoản riêng đã xác minh cho thuộc tính này</x:v>
      </x:c>
      <x:c r="L14" s="233" t="str">
        <x:v>NOT_VERIFIED_AT_ATTRIBUTE_LEVEL</x:v>
      </x:c>
      <x:c r="M14" s="233" t="str">
        <x:v>CHECK_ONLY</x:v>
      </x:c>
      <x:c r="N14" s="233" t="str">
        <x:v>6</x:v>
      </x:c>
      <x:c r="O14" s="233" t="str">
        <x:v>w:sectPr</x:v>
      </x:c>
      <x:c r="P14" s="233"/>
      <x:c r="Q14" s="233"/>
      <x:c r="R14" s="233"/>
      <x:c r="S14" s="233"/>
      <x:c r="T14" s="233"/>
      <x:c r="U14" s="233"/>
      <x:c r="V14" s="233"/>
      <x:c r="W14" s="233"/>
      <x:c r="X14" s="233"/>
      <x:c r="Y14" s="233"/>
      <x:c r="Z14" s="233"/>
      <x:c r="AA14" s="233"/>
      <x:c r="AB14" s="233"/>
      <x:c r="AC14" s="233"/>
      <x:c r="AD14" s="233"/>
      <x:c r="AE14" s="233"/>
      <x:c r="AF14" s="233"/>
      <x:c r="AG14" s="233"/>
      <x:c r="AH14" s="233"/>
      <x:c r="AI14" s="233"/>
      <x:c r="AJ14" s="233"/>
      <x:c r="AK14" s="233"/>
      <x:c r="AL14" s="233"/>
      <x:c r="AM14" s="233"/>
      <x:c r="AN14" s="233"/>
      <x:c r="AO14" s="233"/>
      <x:c r="AP14" s="233"/>
      <x:c r="AQ14" s="233"/>
      <x:c r="AR14" s="233"/>
      <x:c r="AS14" s="233"/>
      <x:c r="AT14" s="233"/>
      <x:c r="AU14" s="233"/>
      <x:c r="AV14" s="233"/>
      <x:c r="AW14" s="233" t="str">
        <x:v>PRESERVE</x:v>
      </x:c>
      <x:c r="AX14" s="233" t="str">
        <x:v>Không làm đổi hướng trang ngoài bảng</x:v>
      </x:c>
      <x:c r="AY14" s="233" t="str">
        <x:v>Nhóm cha mới, chưa nhập registry 165 mã</x:v>
      </x:c>
      <x:c r="AZ14" s="233" t="str">
        <x:v>PROFILE_HTHHMB_v1.5_DRAFT</x:v>
      </x:c>
    </x:row>
    <x:row r="15" ht="31" customHeight="1">
      <x:c r="A15" s="233" t="n">
        <x:v>9</x:v>
      </x:c>
      <x:c r="B15" s="233" t="str">
        <x:v>ND30.N.BANG.BO_CUC.KHOANG_TRUOC</x:v>
      </x:c>
      <x:c r="C15" s="233" t="str">
        <x:v>ND30.N.BANG.BO_CUC</x:v>
      </x:c>
      <x:c r="D15" s="233" t="str">
        <x:v>Khoảng cách trước bảng</x:v>
      </x:c>
      <x:c r="E15" s="233" t="str">
        <x:v>PARAGRAPH</x:v>
      </x:c>
      <x:c r="F15" s="233" t="str">
        <x:v>space_before</x:v>
      </x:c>
      <x:c r="G15" s="233" t="n">
        <x:v>6</x:v>
      </x:c>
      <x:c r="H15" s="233" t="str">
        <x:v>pt</x:v>
      </x:c>
      <x:c r="I15" s="233" t="str">
        <x:v>Đoạn văn thường ngay trước bảng; khoảng cách HIỂN THỊ mục tiêu 6 pt, không cộng thêm với space_after đoạn trước; nếu caption ngoài bảng thì nhường rule caption.</x:v>
      </x:c>
      <x:c r="J15" s="233" t="str">
        <x:v>PROFILE_DA_XAC_NHAN</x:v>
      </x:c>
      <x:c r="K15" s="233" t="str">
        <x:v>Chưa có điều khoản riêng đã xác minh cho thuộc tính này</x:v>
      </x:c>
      <x:c r="L15" s="233" t="str">
        <x:v>NOT_VERIFIED_AT_ATTRIBUTE_LEVEL</x:v>
      </x:c>
      <x:c r="M15" s="233" t="str">
        <x:v>CHECK_ONLY</x:v>
      </x:c>
      <x:c r="N15" s="233" t="str">
        <x:v>6</x:v>
      </x:c>
      <x:c r="O15" s="233"/>
      <x:c r="P15" s="233"/>
      <x:c r="Q15" s="233"/>
      <x:c r="R15" s="233"/>
      <x:c r="S15" s="233"/>
      <x:c r="T15" s="233"/>
      <x:c r="U15" s="233"/>
      <x:c r="V15" s="233"/>
      <x:c r="W15" s="233"/>
      <x:c r="X15" s="233"/>
      <x:c r="Y15" s="233"/>
      <x:c r="Z15" s="233"/>
      <x:c r="AA15" s="233"/>
      <x:c r="AB15" s="233"/>
      <x:c r="AC15" s="233"/>
      <x:c r="AD15" s="233"/>
      <x:c r="AE15" s="233"/>
      <x:c r="AF15" s="233"/>
      <x:c r="AG15" s="233"/>
      <x:c r="AH15" s="233"/>
      <x:c r="AI15" s="233"/>
      <x:c r="AJ15" s="233"/>
      <x:c r="AK15" s="233"/>
      <x:c r="AL15" s="233"/>
      <x:c r="AM15" s="233"/>
      <x:c r="AN15" s="233"/>
      <x:c r="AO15" s="233"/>
      <x:c r="AP15" s="233"/>
      <x:c r="AQ15" s="233"/>
      <x:c r="AR15" s="233"/>
      <x:c r="AS15" s="233"/>
      <x:c r="AT15" s="233"/>
      <x:c r="AU15" s="233"/>
      <x:c r="AV15" s="233"/>
      <x:c r="AW15" s="233"/>
      <x:c r="AX15" s="233" t="str">
        <x:v>Không tạo dòng trắng rỗng</x:v>
      </x:c>
      <x:c r="AY15" s="233" t="str">
        <x:v>Đoạn văn thường ngay trước bảng; khoảng cách HIỂN THỊ mục tiêu 6 pt, không cộng thêm với space_after đoạn trước; nếu caption ngoài bảng thì nhường rule caption. | Chưa xác minh là yêu cầu bắt buộc riêng của NĐ30/HD05; chỉ là profile nội bộ.</x:v>
      </x:c>
      <x:c r="AZ15" s="233" t="str">
        <x:v>Người dùng chốt trong trao đổi 29/10/2026; PROFILE NỘI BỘ; chưa có văn bản phê duyệt doanh nghiệp</x:v>
      </x:c>
    </x:row>
    <x:row r="16" ht="31" customHeight="1">
      <x:c r="A16" s="233" t="n">
        <x:v>10</x:v>
      </x:c>
      <x:c r="B16" s="233" t="str">
        <x:v>ND30.N.BANG.BO_CUC.KHOANG_SAU</x:v>
      </x:c>
      <x:c r="C16" s="233" t="str">
        <x:v>ND30.N.BANG.BO_CUC</x:v>
      </x:c>
      <x:c r="D16" s="233" t="str">
        <x:v>Khoảng cách sau bảng</x:v>
      </x:c>
      <x:c r="E16" s="233" t="str">
        <x:v>PARAGRAPH</x:v>
      </x:c>
      <x:c r="F16" s="233" t="str">
        <x:v>space_after</x:v>
      </x:c>
      <x:c r="G16" s="233" t="n">
        <x:v>6</x:v>
      </x:c>
      <x:c r="H16" s="233" t="str">
        <x:v>pt</x:v>
      </x:c>
      <x:c r="I16" s="233" t="str">
        <x:v>Đoạn văn thường ngay sau bảng; khoảng cách HIỂN THỊ mục tiêu 6 pt, không cộng với space_before tiếp sau; nếu ghi chú ngoài bảng thì nhường rule ghi chú.</x:v>
      </x:c>
      <x:c r="J16" s="233" t="str">
        <x:v>PROFILE_DA_XAC_NHAN</x:v>
      </x:c>
      <x:c r="K16" s="233" t="str">
        <x:v>Chưa có điều khoản riêng đã xác minh cho thuộc tính này</x:v>
      </x:c>
      <x:c r="L16" s="233" t="str">
        <x:v>NOT_VERIFIED_AT_ATTRIBUTE_LEVEL</x:v>
      </x:c>
      <x:c r="M16" s="233" t="str">
        <x:v>CHECK_ONLY</x:v>
      </x:c>
      <x:c r="N16" s="233" t="str">
        <x:v>6</x:v>
      </x:c>
      <x:c r="O16" s="233"/>
      <x:c r="P16" s="233"/>
      <x:c r="Q16" s="233"/>
      <x:c r="R16" s="233"/>
      <x:c r="S16" s="233"/>
      <x:c r="T16" s="233"/>
      <x:c r="U16" s="233"/>
      <x:c r="V16" s="233"/>
      <x:c r="W16" s="233"/>
      <x:c r="X16" s="233"/>
      <x:c r="Y16" s="233"/>
      <x:c r="Z16" s="233"/>
      <x:c r="AA16" s="233"/>
      <x:c r="AB16" s="233"/>
      <x:c r="AC16" s="233"/>
      <x:c r="AD16" s="233"/>
      <x:c r="AE16" s="233"/>
      <x:c r="AF16" s="233"/>
      <x:c r="AG16" s="233"/>
      <x:c r="AH16" s="233"/>
      <x:c r="AI16" s="233"/>
      <x:c r="AJ16" s="233"/>
      <x:c r="AK16" s="233"/>
      <x:c r="AL16" s="233"/>
      <x:c r="AM16" s="233"/>
      <x:c r="AN16" s="233"/>
      <x:c r="AO16" s="233"/>
      <x:c r="AP16" s="233"/>
      <x:c r="AQ16" s="233"/>
      <x:c r="AR16" s="233"/>
      <x:c r="AS16" s="233"/>
      <x:c r="AT16" s="233"/>
      <x:c r="AU16" s="233"/>
      <x:c r="AV16" s="233"/>
      <x:c r="AW16" s="233"/>
      <x:c r="AX16" s="233" t="str">
        <x:v>Không tạo dòng trắng rỗng</x:v>
      </x:c>
      <x:c r="AY16" s="233" t="str">
        <x:v>Đoạn văn thường ngay sau bảng; khoảng cách HIỂN THỊ mục tiêu 6 pt, không cộng với space_before tiếp sau; nếu ghi chú ngoài bảng thì nhường rule ghi chú. | Chưa xác minh là yêu cầu bắt buộc riêng của NĐ30/HD05; chỉ là profile nội bộ.</x:v>
      </x:c>
      <x:c r="AZ16" s="233" t="str">
        <x:v>Người dùng chốt trong trao đổi 29/10/2026; PROFILE NỘI BỘ; chưa có văn bản phê duyệt doanh nghiệp</x:v>
      </x:c>
    </x:row>
    <x:row r="17" ht="31" customHeight="1">
      <x:c r="A17" s="233" t="n">
        <x:v>11</x:v>
      </x:c>
      <x:c r="B17" s="233" t="str">
        <x:v>ND30.N.BANG.BO_CUC.PHAN_BIET_HEADER</x:v>
      </x:c>
      <x:c r="C17" s="233" t="str">
        <x:v>ND30.N.BANG.BO_CUC</x:v>
      </x:c>
      <x:c r="D17" s="233" t="str">
        <x:v>Bảo vệ bảng bố cục</x:v>
      </x:c>
      <x:c r="E17" s="233" t="str">
        <x:v>TABLE</x:v>
      </x:c>
      <x:c r="F17" s="233" t="str">
        <x:v>table_role_filter</x:v>
      </x:c>
      <x:c r="G17" s="233" t="str">
        <x:v>EXCLUDE_HEADER_FOOTER_LAYOUT</x:v>
      </x:c>
      <x:c r="H17" s="233"/>
      <x:c r="I17" s="233" t="str">
        <x:v>Khi có bảng dàn trang hoặc nằm trong Header/Footer; không áp rule bảng dữ liệu.</x:v>
      </x:c>
      <x:c r="J17" s="233" t="str">
        <x:v>TECHNICAL</x:v>
      </x:c>
      <x:c r="K17" s="233" t="str">
        <x:v>Chưa có điều khoản riêng đã xác minh cho thuộc tính này</x:v>
      </x:c>
      <x:c r="L17" s="233" t="str">
        <x:v>NOT_VERIFIED_AT_ATTRIBUTE_LEVEL</x:v>
      </x:c>
      <x:c r="M17" s="233" t="str">
        <x:v>CHECK_ONLY</x:v>
      </x:c>
      <x:c r="N17" s="233" t="str">
        <x:v>6</x:v>
      </x:c>
      <x:c r="O17" s="233"/>
      <x:c r="P17" s="233"/>
      <x:c r="Q17" s="233"/>
      <x:c r="R17" s="233"/>
      <x:c r="S17" s="233"/>
      <x:c r="T17" s="233"/>
      <x:c r="U17" s="233"/>
      <x:c r="V17" s="233"/>
      <x:c r="W17" s="233"/>
      <x:c r="X17" s="233"/>
      <x:c r="Y17" s="233"/>
      <x:c r="Z17" s="233"/>
      <x:c r="AA17" s="233"/>
      <x:c r="AB17" s="233"/>
      <x:c r="AC17" s="233"/>
      <x:c r="AD17" s="233"/>
      <x:c r="AE17" s="233"/>
      <x:c r="AF17" s="233"/>
      <x:c r="AG17" s="233"/>
      <x:c r="AH17" s="233"/>
      <x:c r="AI17" s="233"/>
      <x:c r="AJ17" s="233"/>
      <x:c r="AK17" s="233"/>
      <x:c r="AL17" s="233"/>
      <x:c r="AM17" s="233"/>
      <x:c r="AN17" s="233"/>
      <x:c r="AO17" s="233"/>
      <x:c r="AP17" s="233"/>
      <x:c r="AQ17" s="233"/>
      <x:c r="AR17" s="233"/>
      <x:c r="AS17" s="233"/>
      <x:c r="AT17" s="233"/>
      <x:c r="AU17" s="233"/>
      <x:c r="AV17" s="233"/>
      <x:c r="AW17" s="233"/>
      <x:c r="AX17" s="233" t="str">
        <x:v>Các bảng giả để căn đầu trang bị loại trừ</x:v>
      </x:c>
      <x:c r="AY17" s="233" t="str">
        <x:v>Nhóm cha mới, chưa nhập registry 165 mã</x:v>
      </x:c>
      <x:c r="AZ17" s="233" t="str">
        <x:v>PROFILE_HTHHMB_v1.5_DRAFT</x:v>
      </x:c>
    </x:row>
    <x:row r="18" ht="31" customHeight="1">
      <x:c r="A18" s="233" t="n">
        <x:v>12</x:v>
      </x:c>
      <x:c r="B18" s="233" t="str">
        <x:v>ND30.N.BANG.TIEU_DE.NOI_DUNG</x:v>
      </x:c>
      <x:c r="C18" s="233" t="str">
        <x:v>ND30.N.BANG.TIEU_DE</x:v>
      </x:c>
      <x:c r="D18" s="233" t="str">
        <x:v>Nội dung tiêu đề bảng</x:v>
      </x:c>
      <x:c r="E18" s="233" t="str">
        <x:v>PARAGRAPH</x:v>
      </x:c>
      <x:c r="F18" s="233" t="str">
        <x:v>caption_text</x:v>
      </x:c>
      <x:c r="G18" s="233" t="str">
        <x:v>PRESERVE</x:v>
      </x:c>
      <x:c r="H18" s="233"/>
      <x:c r="I18" s="233" t="str">
        <x:v>Khi có tiêu đề bảng nằm ngay trước hoặc liên kết rõ với bảng; bảo toàn chữ gốc.</x:v>
      </x:c>
      <x:c r="J18" s="233" t="str">
        <x:v>PRESERVE_ONLY</x:v>
      </x:c>
      <x:c r="K18" s="233" t="str">
        <x:v>Chưa có điều khoản riêng đã xác minh cho thuộc tính này</x:v>
      </x:c>
      <x:c r="L18" s="233" t="str">
        <x:v>NOT_VERIFIED_AT_ATTRIBUTE_LEVEL</x:v>
      </x:c>
      <x:c r="M18" s="233" t="str">
        <x:v>PROTECTED</x:v>
      </x:c>
      <x:c r="N18" s="233" t="str">
        <x:v>6</x:v>
      </x:c>
      <x:c r="O18" s="233" t="str">
        <x:v>w:p/w:r/w:t</x:v>
      </x:c>
      <x:c r="P18" s="233"/>
      <x:c r="Q18" s="233"/>
      <x:c r="R18" s="233"/>
      <x:c r="S18" s="233"/>
      <x:c r="T18" s="233"/>
      <x:c r="U18" s="233"/>
      <x:c r="V18" s="233"/>
      <x:c r="W18" s="233"/>
      <x:c r="X18" s="233"/>
      <x:c r="Y18" s="233"/>
      <x:c r="Z18" s="233"/>
      <x:c r="AA18" s="233"/>
      <x:c r="AB18" s="233"/>
      <x:c r="AC18" s="233"/>
      <x:c r="AD18" s="233"/>
      <x:c r="AE18" s="233"/>
      <x:c r="AF18" s="233"/>
      <x:c r="AG18" s="233"/>
      <x:c r="AH18" s="233"/>
      <x:c r="AI18" s="233"/>
      <x:c r="AJ18" s="233"/>
      <x:c r="AK18" s="233"/>
      <x:c r="AL18" s="233"/>
      <x:c r="AM18" s="233"/>
      <x:c r="AN18" s="233"/>
      <x:c r="AO18" s="233"/>
      <x:c r="AP18" s="233"/>
      <x:c r="AQ18" s="233"/>
      <x:c r="AR18" s="233"/>
      <x:c r="AS18" s="233"/>
      <x:c r="AT18" s="233"/>
      <x:c r="AU18" s="233"/>
      <x:c r="AV18" s="233"/>
      <x:c r="AW18" s="233"/>
      <x:c r="AX18" s="233" t="str">
        <x:v>Bảo toàn 100% tên bảng</x:v>
      </x:c>
      <x:c r="AY18" s="233" t="str">
        <x:v>Kiểm tra phần tử đích trước khi diễn giải rule; không tự sửa.</x:v>
      </x:c>
      <x:c r="AZ18" s="233" t="str">
        <x:v>https://vbpl.moj.gov.vn/bonoivu/Pages/vbpq-toanvan.aspx?ItemID=141142&amp;dvid=320</x:v>
      </x:c>
    </x:row>
    <x:row r="19" ht="31" customHeight="1">
      <x:c r="A19" s="233" t="n">
        <x:v>13</x:v>
      </x:c>
      <x:c r="B19" s="233" t="str">
        <x:v>ND30.N.BANG.TIEU_DE.KIEU_CHU</x:v>
      </x:c>
      <x:c r="C19" s="233" t="str">
        <x:v>ND30.N.BANG.TIEU_DE</x:v>
      </x:c>
      <x:c r="D19" s="233" t="str">
        <x:v>Kiểu chữ tiêu đề bảng</x:v>
      </x:c>
      <x:c r="E19" s="233" t="str">
        <x:v>RUN</x:v>
      </x:c>
      <x:c r="F19" s="233" t="str">
        <x:v>caption_style</x:v>
      </x:c>
      <x:c r="G19" s="233" t="str">
        <x:v>Times New Roman; 13 pt; BOLD; UPRIGHT</x:v>
      </x:c>
      <x:c r="H19" s="233"/>
      <x:c r="I19" s="233" t="str">
        <x:v>Chỉ tiêu đề NGOÀI bảng đã xác định; không áp cho dòng tiêu đề cột và không ghi đè nội dung chữ.</x:v>
      </x:c>
      <x:c r="J19" s="233" t="str">
        <x:v>PROFILE_DA_XAC_NHAN</x:v>
      </x:c>
      <x:c r="K19" s="233" t="str">
        <x:v>Chưa có điều khoản riêng đã xác minh cho thuộc tính này</x:v>
      </x:c>
      <x:c r="L19" s="233" t="str">
        <x:v>NOT_VERIFIED_AT_ATTRIBUTE_LEVEL</x:v>
      </x:c>
      <x:c r="M19" s="233" t="str">
        <x:v>CHECK_ONLY</x:v>
      </x:c>
      <x:c r="N19" s="233" t="str">
        <x:v>6</x:v>
      </x:c>
      <x:c r="O19" s="233" t="str">
        <x:v>w:rPr</x:v>
      </x:c>
      <x:c r="P19" s="233" t="str">
        <x:v>Times New Roman</x:v>
      </x:c>
      <x:c r="Q19" s="233" t="n">
        <x:v>13</x:v>
      </x:c>
      <x:c r="R19" s="233" t="str">
        <x:v>YES</x:v>
      </x:c>
      <x:c r="S19" s="233" t="str">
        <x:v>NO</x:v>
      </x:c>
      <x:c r="T19" s="233"/>
      <x:c r="U19" s="233"/>
      <x:c r="V19" s="233"/>
      <x:c r="W19" s="233"/>
      <x:c r="X19" s="233"/>
      <x:c r="Y19" s="233"/>
      <x:c r="Z19" s="233"/>
      <x:c r="AA19" s="233"/>
      <x:c r="AB19" s="233"/>
      <x:c r="AC19" s="233"/>
      <x:c r="AD19" s="233"/>
      <x:c r="AE19" s="233"/>
      <x:c r="AF19" s="233"/>
      <x:c r="AG19" s="233"/>
      <x:c r="AH19" s="233"/>
      <x:c r="AI19" s="233"/>
      <x:c r="AJ19" s="233"/>
      <x:c r="AK19" s="233"/>
      <x:c r="AL19" s="233"/>
      <x:c r="AM19" s="233"/>
      <x:c r="AN19" s="233"/>
      <x:c r="AO19" s="233"/>
      <x:c r="AP19" s="233"/>
      <x:c r="AQ19" s="233"/>
      <x:c r="AR19" s="233"/>
      <x:c r="AS19" s="233"/>
      <x:c r="AT19" s="233"/>
      <x:c r="AU19" s="233"/>
      <x:c r="AV19" s="233"/>
      <x:c r="AW19" s="233"/>
      <x:c r="AX19" s="233" t="str">
        <x:v>Chỉ định dạng sau khi nhận diện tiêu đề chính xác</x:v>
      </x:c>
      <x:c r="AY19" s="233" t="str">
        <x:v>Chỉ tiêu đề NGOÀI bảng đã xác định; không áp cho dòng tiêu đề cột và không ghi đè nội dung chữ. | Chưa xác minh là yêu cầu bắt buộc riêng của NĐ30/HD05; chỉ là profile nội bộ.</x:v>
      </x:c>
      <x:c r="AZ19" s="233" t="str">
        <x:v>Người dùng chốt trong trao đổi 29/10/2026; PROFILE NỘI BỘ; chưa có văn bản phê duyệt doanh nghiệp</x:v>
      </x:c>
    </x:row>
    <x:row r="20" ht="31" customHeight="1">
      <x:c r="A20" s="233" t="n">
        <x:v>14</x:v>
      </x:c>
      <x:c r="B20" s="233" t="str">
        <x:v>ND30.N.BANG.TIEU_DE.CAN_NGANG</x:v>
      </x:c>
      <x:c r="C20" s="233" t="str">
        <x:v>ND30.N.BANG.TIEU_DE</x:v>
      </x:c>
      <x:c r="D20" s="233" t="str">
        <x:v>Căn ngang tiêu đề bảng</x:v>
      </x:c>
      <x:c r="E20" s="233" t="str">
        <x:v>PARAGRAPH</x:v>
      </x:c>
      <x:c r="F20" s="233" t="str">
        <x:v>caption_align</x:v>
      </x:c>
      <x:c r="G20" s="233" t="str">
        <x:v>CENTER</x:v>
      </x:c>
      <x:c r="H20" s="233"/>
      <x:c r="I20" s="233" t="str">
        <x:v>Căn giữa tiêu đề theo chiều ngang bảng; nếu bố cục không cho phép thì ghi ngoại lệ.</x:v>
      </x:c>
      <x:c r="J20" s="233" t="str">
        <x:v>PROFILE_DA_XAC_NHAN</x:v>
      </x:c>
      <x:c r="K20" s="233" t="str">
        <x:v>Chưa có điều khoản riêng đã xác minh cho thuộc tính này</x:v>
      </x:c>
      <x:c r="L20" s="233" t="str">
        <x:v>NOT_VERIFIED_AT_ATTRIBUTE_LEVEL</x:v>
      </x:c>
      <x:c r="M20" s="233" t="str">
        <x:v>CHECK_ONLY</x:v>
      </x:c>
      <x:c r="N20" s="233" t="str">
        <x:v>6</x:v>
      </x:c>
      <x:c r="O20" s="233" t="str">
        <x:v>w:pPr/w:jc</x:v>
      </x:c>
      <x:c r="P20" s="233"/>
      <x:c r="Q20" s="233"/>
      <x:c r="R20" s="233"/>
      <x:c r="S20" s="233"/>
      <x:c r="T20" s="233"/>
      <x:c r="U20" s="233" t="str">
        <x:v>CENTER</x:v>
      </x:c>
      <x:c r="V20" s="233"/>
      <x:c r="W20" s="233"/>
      <x:c r="X20" s="233"/>
      <x:c r="Y20" s="233"/>
      <x:c r="Z20" s="233"/>
      <x:c r="AA20" s="233"/>
      <x:c r="AB20" s="233"/>
      <x:c r="AC20" s="233"/>
      <x:c r="AD20" s="233"/>
      <x:c r="AE20" s="233"/>
      <x:c r="AF20" s="233"/>
      <x:c r="AG20" s="233"/>
      <x:c r="AH20" s="233"/>
      <x:c r="AI20" s="233"/>
      <x:c r="AJ20" s="233"/>
      <x:c r="AK20" s="233"/>
      <x:c r="AL20" s="233"/>
      <x:c r="AM20" s="233"/>
      <x:c r="AN20" s="233"/>
      <x:c r="AO20" s="233"/>
      <x:c r="AP20" s="233"/>
      <x:c r="AQ20" s="233"/>
      <x:c r="AR20" s="233"/>
      <x:c r="AS20" s="233"/>
      <x:c r="AT20" s="233"/>
      <x:c r="AU20" s="233"/>
      <x:c r="AV20" s="233"/>
      <x:c r="AW20" s="233"/>
      <x:c r="AX20" s="233" t="str">
        <x:v>Không di chuyển tiêu đề sang trang khác</x:v>
      </x:c>
      <x:c r="AY20" s="233" t="str">
        <x:v>Căn giữa tiêu đề theo chiều ngang bảng; nếu bố cục không cho phép thì ghi ngoại lệ. | Chưa xác minh là yêu cầu bắt buộc riêng của NĐ30/HD05; chỉ là profile nội bộ.</x:v>
      </x:c>
      <x:c r="AZ20" s="233" t="str">
        <x:v>Người dùng chốt trong trao đổi 29/10/2026; PROFILE NỘI BỘ; chưa có văn bản phê duyệt doanh nghiệp</x:v>
      </x:c>
    </x:row>
    <x:row r="21" ht="31" customHeight="1">
      <x:c r="A21" s="233" t="n">
        <x:v>15</x:v>
      </x:c>
      <x:c r="B21" s="233" t="str">
        <x:v>ND30.N.BANG.TIEU_DE.GIU_CUNG_BANG</x:v>
      </x:c>
      <x:c r="C21" s="233" t="str">
        <x:v>ND30.N.BANG.TIEU_DE</x:v>
      </x:c>
      <x:c r="D21" s="233" t="str">
        <x:v>Giữ tiêu đề và bảng cùng trang</x:v>
      </x:c>
      <x:c r="E21" s="233" t="str">
        <x:v>PARAGRAPH</x:v>
      </x:c>
      <x:c r="F21" s="233" t="str">
        <x:v>caption_keep_next</x:v>
      </x:c>
      <x:c r="G21" s="233" t="str">
        <x:v>TRUE</x:v>
      </x:c>
      <x:c r="H21" s="233"/>
      <x:c r="I21" s="233" t="str">
        <x:v>Giữ caption với hàng/nhóm hàng đầu của bảng, không ép toàn bảng nhiều trang ở một trang.</x:v>
      </x:c>
      <x:c r="J21" s="233" t="str">
        <x:v>PROFILE_DA_XAC_NHAN</x:v>
      </x:c>
      <x:c r="K21" s="233" t="str">
        <x:v>Chưa có điều khoản riêng đã xác minh cho thuộc tính này</x:v>
      </x:c>
      <x:c r="L21" s="233" t="str">
        <x:v>NOT_VERIFIED_AT_ATTRIBUTE_LEVEL</x:v>
      </x:c>
      <x:c r="M21" s="233" t="str">
        <x:v>CHECK_ONLY</x:v>
      </x:c>
      <x:c r="N21" s="233" t="str">
        <x:v>6</x:v>
      </x:c>
      <x:c r="O21" s="233" t="str">
        <x:v>w:pPr/w:keepNext</x:v>
      </x:c>
      <x:c r="P21" s="233"/>
      <x:c r="Q21" s="233"/>
      <x:c r="R21" s="233"/>
      <x:c r="S21" s="233"/>
      <x:c r="T21" s="233"/>
      <x:c r="U21" s="233"/>
      <x:c r="V21" s="233"/>
      <x:c r="W21" s="233"/>
      <x:c r="X21" s="233"/>
      <x:c r="Y21" s="233"/>
      <x:c r="Z21" s="233"/>
      <x:c r="AA21" s="233"/>
      <x:c r="AB21" s="233"/>
      <x:c r="AC21" s="233"/>
      <x:c r="AD21" s="233"/>
      <x:c r="AE21" s="233"/>
      <x:c r="AF21" s="233"/>
      <x:c r="AG21" s="233"/>
      <x:c r="AH21" s="233"/>
      <x:c r="AI21" s="233" t="str">
        <x:v>TRUE</x:v>
      </x:c>
      <x:c r="AJ21" s="233"/>
      <x:c r="AK21" s="233"/>
      <x:c r="AL21" s="233"/>
      <x:c r="AM21" s="233"/>
      <x:c r="AN21" s="233"/>
      <x:c r="AO21" s="233"/>
      <x:c r="AP21" s="233"/>
      <x:c r="AQ21" s="233"/>
      <x:c r="AR21" s="233"/>
      <x:c r="AS21" s="233"/>
      <x:c r="AT21" s="233"/>
      <x:c r="AU21" s="233"/>
      <x:c r="AV21" s="233"/>
      <x:c r="AW21" s="233"/>
      <x:c r="AX21" s="233" t="str">
        <x:v>Tiêu đề không đứng cuối trang riêng</x:v>
      </x:c>
      <x:c r="AY21" s="233" t="str">
        <x:v>Giữ caption với hàng/nhóm hàng đầu của bảng, không ép toàn bảng nhiều trang ở một trang. | Chưa xác minh là yêu cầu bắt buộc riêng của NĐ30/HD05; chỉ là profile nội bộ.</x:v>
      </x:c>
      <x:c r="AZ21" s="233" t="str">
        <x:v>Người dùng chốt trong trao đổi 29/10/2026; PROFILE NỘI BỘ; chưa có văn bản phê duyệt doanh nghiệp</x:v>
      </x:c>
    </x:row>
    <x:row r="22" ht="31" customHeight="1">
      <x:c r="A22" s="233" t="n">
        <x:v>16</x:v>
      </x:c>
      <x:c r="B22" s="233" t="str">
        <x:v>ND30.N.BANG.TIEU_DE.KHOANG_CACH</x:v>
      </x:c>
      <x:c r="C22" s="233" t="str">
        <x:v>ND30.N.BANG.TIEU_DE</x:v>
      </x:c>
      <x:c r="D22" s="233" t="str">
        <x:v>Khoảng cách tiêu đề và bảng</x:v>
      </x:c>
      <x:c r="E22" s="233" t="str">
        <x:v>PARAGRAPH</x:v>
      </x:c>
      <x:c r="F22" s="233" t="str">
        <x:v>caption_spacing</x:v>
      </x:c>
      <x:c r="G22" s="233" t="n">
        <x:v>6</x:v>
      </x:c>
      <x:c r="H22" s="233" t="str">
        <x:v>pt</x:v>
      </x:c>
      <x:c r="I22" s="233" t="str">
        <x:v>Giữa caption NGOÀI bảng và mép trên bảng 6 pt; không cộng BO_CUC.KHOANG_TRUOC; caption space_before 6 pt là một ranh giới khác.</x:v>
      </x:c>
      <x:c r="J22" s="233" t="str">
        <x:v>PROFILE_DA_XAC_NHAN</x:v>
      </x:c>
      <x:c r="K22" s="233" t="str">
        <x:v>Chưa có điều khoản riêng đã xác minh cho thuộc tính này</x:v>
      </x:c>
      <x:c r="L22" s="233" t="str">
        <x:v>NOT_VERIFIED_AT_ATTRIBUTE_LEVEL</x:v>
      </x:c>
      <x:c r="M22" s="233" t="str">
        <x:v>CHECK_ONLY</x:v>
      </x:c>
      <x:c r="N22" s="233" t="str">
        <x:v>6</x:v>
      </x:c>
      <x:c r="O22" s="233" t="str">
        <x:v>w:pPr/w:spacing</x:v>
      </x:c>
      <x:c r="P22" s="233"/>
      <x:c r="Q22" s="233"/>
      <x:c r="R22" s="233"/>
      <x:c r="S22" s="233"/>
      <x:c r="T22" s="233"/>
      <x:c r="U22" s="233"/>
      <x:c r="V22" s="233"/>
      <x:c r="W22" s="233"/>
      <x:c r="X22" s="233"/>
      <x:c r="Y22" s="233"/>
      <x:c r="Z22" s="233"/>
      <x:c r="AA22" s="233"/>
      <x:c r="AB22" s="233"/>
      <x:c r="AC22" s="233"/>
      <x:c r="AD22" s="233"/>
      <x:c r="AE22" s="233"/>
      <x:c r="AF22" s="233"/>
      <x:c r="AG22" s="233"/>
      <x:c r="AH22" s="233"/>
      <x:c r="AI22" s="233"/>
      <x:c r="AJ22" s="233"/>
      <x:c r="AK22" s="233"/>
      <x:c r="AL22" s="233"/>
      <x:c r="AM22" s="233"/>
      <x:c r="AN22" s="233"/>
      <x:c r="AO22" s="233"/>
      <x:c r="AP22" s="233"/>
      <x:c r="AQ22" s="233"/>
      <x:c r="AR22" s="233"/>
      <x:c r="AS22" s="233"/>
      <x:c r="AT22" s="233"/>
      <x:c r="AU22" s="233"/>
      <x:c r="AV22" s="233"/>
      <x:c r="AW22" s="233"/>
      <x:c r="AX22" s="233" t="str">
        <x:v>Không nhân đôi với khoảng cách của bảng</x:v>
      </x:c>
      <x:c r="AY22" s="233" t="str">
        <x:v>Giữa caption NGOÀI bảng và mép trên bảng 6 pt; không cộng BO_CUC.KHOANG_TRUOC; caption space_before 6 pt là một ranh giới khác. | Chưa xác minh là yêu cầu bắt buộc riêng của NĐ30/HD05; chỉ là profile nội bộ.</x:v>
      </x:c>
      <x:c r="AZ22" s="233" t="str">
        <x:v>Người dùng chốt trong trao đổi 29/10/2026; PROFILE NỘI BỘ; chưa có văn bản phê duyệt doanh nghiệp</x:v>
      </x:c>
    </x:row>
    <x:row r="23" ht="31" customHeight="1">
      <x:c r="A23" s="233" t="n">
        <x:v>17</x:v>
      </x:c>
      <x:c r="B23" s="233" t="str">
        <x:v>ND30.N.BANG.DAU_BANG.NHAN_DIEN</x:v>
      </x:c>
      <x:c r="C23" s="233" t="str">
        <x:v>ND30.N.BANG.DAU_BANG</x:v>
      </x:c>
      <x:c r="D23" s="233" t="str">
        <x:v>Nhận diện hàng đầu bảng</x:v>
      </x:c>
      <x:c r="E23" s="233" t="str">
        <x:v>ROW</x:v>
      </x:c>
      <x:c r="F23" s="233" t="str">
        <x:v>header_row_detect</x:v>
      </x:c>
      <x:c r="G23" s="233" t="str">
        <x:v>MANUAL_OR_SEMANTIC</x:v>
      </x:c>
      <x:c r="H23" s="233"/>
      <x:c r="I23" s="233" t="str">
        <x:v>Chỉ một hoặc nhiều hàng đầu đóng vai trò NHÃN CỘT, không mặc định hàng đầu luôn là tiêu đề.</x:v>
      </x:c>
      <x:c r="J23" s="233" t="str">
        <x:v>TECHNICAL</x:v>
      </x:c>
      <x:c r="K23" s="233" t="str">
        <x:v>Chưa có điều khoản riêng đã xác minh cho thuộc tính này</x:v>
      </x:c>
      <x:c r="L23" s="233" t="str">
        <x:v>NOT_VERIFIED_AT_ATTRIBUTE_LEVEL</x:v>
      </x:c>
      <x:c r="M23" s="233" t="str">
        <x:v>CHECK_ONLY</x:v>
      </x:c>
      <x:c r="N23" s="233" t="str">
        <x:v>6</x:v>
      </x:c>
      <x:c r="O23" s="233" t="str">
        <x:v>w:tr</x:v>
      </x:c>
      <x:c r="P23" s="233"/>
      <x:c r="Q23" s="233"/>
      <x:c r="R23" s="233"/>
      <x:c r="S23" s="233"/>
      <x:c r="T23" s="233"/>
      <x:c r="U23" s="233"/>
      <x:c r="V23" s="233"/>
      <x:c r="W23" s="233"/>
      <x:c r="X23" s="233"/>
      <x:c r="Y23" s="233"/>
      <x:c r="Z23" s="233"/>
      <x:c r="AA23" s="233"/>
      <x:c r="AB23" s="233"/>
      <x:c r="AC23" s="233"/>
      <x:c r="AD23" s="233"/>
      <x:c r="AE23" s="233"/>
      <x:c r="AF23" s="233"/>
      <x:c r="AG23" s="233"/>
      <x:c r="AH23" s="233"/>
      <x:c r="AI23" s="233"/>
      <x:c r="AJ23" s="233"/>
      <x:c r="AK23" s="233"/>
      <x:c r="AL23" s="233"/>
      <x:c r="AM23" s="233"/>
      <x:c r="AN23" s="233"/>
      <x:c r="AO23" s="233"/>
      <x:c r="AP23" s="233"/>
      <x:c r="AQ23" s="233"/>
      <x:c r="AR23" s="233"/>
      <x:c r="AS23" s="233"/>
      <x:c r="AT23" s="233"/>
      <x:c r="AU23" s="233"/>
      <x:c r="AV23" s="233"/>
      <x:c r="AW23" s="233"/>
      <x:c r="AX23" s="233" t="str">
        <x:v>Nhận diện cả hàng tiêu đề nhiều cấp</x:v>
      </x:c>
      <x:c r="AY23" s="233" t="str">
        <x:v>Kiểm tra phần tử đích trước khi diễn giải rule; không tự sửa.</x:v>
      </x:c>
      <x:c r="AZ23" s="233" t="str">
        <x:v>PROFILE_HTHHMB_v1.5_DRAFT</x:v>
      </x:c>
    </x:row>
    <x:row r="24" ht="31" customHeight="1">
      <x:c r="A24" s="233" t="n">
        <x:v>18</x:v>
      </x:c>
      <x:c r="B24" s="233" t="str">
        <x:v>ND30.N.BANG.DAU_BANG.VAN_BAN</x:v>
      </x:c>
      <x:c r="C24" s="233" t="str">
        <x:v>ND30.N.BANG.DAU_BANG</x:v>
      </x:c>
      <x:c r="D24" s="233" t="str">
        <x:v>Nội dung nhãn cột/hàng đầu</x:v>
      </x:c>
      <x:c r="E24" s="233" t="str">
        <x:v>CELL_TEXT</x:v>
      </x:c>
      <x:c r="F24" s="233" t="str">
        <x:v>header_text</x:v>
      </x:c>
      <x:c r="G24" s="233" t="str">
        <x:v>PRESERVE</x:v>
      </x:c>
      <x:c r="H24" s="233"/>
      <x:c r="I24" s="233" t="str">
        <x:v>Trong ô của hàng tiêu đề; không thêm, bớt, viết lại nhãn cột.</x:v>
      </x:c>
      <x:c r="J24" s="233" t="str">
        <x:v>PRESERVE_ONLY</x:v>
      </x:c>
      <x:c r="K24" s="233" t="str">
        <x:v>Chưa có điều khoản riêng đã xác minh cho thuộc tính này</x:v>
      </x:c>
      <x:c r="L24" s="233" t="str">
        <x:v>NOT_VERIFIED_AT_ATTRIBUTE_LEVEL</x:v>
      </x:c>
      <x:c r="M24" s="233" t="str">
        <x:v>PROTECTED</x:v>
      </x:c>
      <x:c r="N24" s="233" t="str">
        <x:v>6</x:v>
      </x:c>
      <x:c r="O24" s="233" t="str">
        <x:v>w:tc/w:p/w:r</x:v>
      </x:c>
      <x:c r="P24" s="233"/>
      <x:c r="Q24" s="233"/>
      <x:c r="R24" s="233"/>
      <x:c r="S24" s="233"/>
      <x:c r="T24" s="233"/>
      <x:c r="U24" s="233"/>
      <x:c r="V24" s="233"/>
      <x:c r="W24" s="233"/>
      <x:c r="X24" s="233"/>
      <x:c r="Y24" s="233"/>
      <x:c r="Z24" s="233"/>
      <x:c r="AA24" s="233"/>
      <x:c r="AB24" s="233"/>
      <x:c r="AC24" s="233"/>
      <x:c r="AD24" s="233"/>
      <x:c r="AE24" s="233"/>
      <x:c r="AF24" s="233"/>
      <x:c r="AG24" s="233"/>
      <x:c r="AH24" s="233"/>
      <x:c r="AI24" s="233"/>
      <x:c r="AJ24" s="233"/>
      <x:c r="AK24" s="233"/>
      <x:c r="AL24" s="233"/>
      <x:c r="AM24" s="233"/>
      <x:c r="AN24" s="233"/>
      <x:c r="AO24" s="233"/>
      <x:c r="AP24" s="233"/>
      <x:c r="AQ24" s="233"/>
      <x:c r="AR24" s="233"/>
      <x:c r="AS24" s="233"/>
      <x:c r="AT24" s="233"/>
      <x:c r="AU24" s="233"/>
      <x:c r="AV24" s="233"/>
      <x:c r="AW24" s="233"/>
      <x:c r="AX24" s="233" t="str">
        <x:v>Không viết lại tiêu đề cột</x:v>
      </x:c>
      <x:c r="AY24" s="233" t="str">
        <x:v>Kiểm tra phần tử đích trước khi diễn giải rule; không tự sửa.</x:v>
      </x:c>
      <x:c r="AZ24" s="233" t="str">
        <x:v>https://vbpl.moj.gov.vn/bonoivu/Pages/vbpq-toanvan.aspx?ItemID=141142&amp;dvid=320</x:v>
      </x:c>
    </x:row>
    <x:row r="25" ht="31" customHeight="1">
      <x:c r="A25" s="233" t="n">
        <x:v>19</x:v>
      </x:c>
      <x:c r="B25" s="233" t="str">
        <x:v>ND30.N.BANG.DAU_BANG.CO_CHU</x:v>
      </x:c>
      <x:c r="C25" s="233" t="str">
        <x:v>ND30.N.BANG.DAU_BANG</x:v>
      </x:c>
      <x:c r="D25" s="233" t="str">
        <x:v>Cỡ chữ hàng tiêu đề</x:v>
      </x:c>
      <x:c r="E25" s="233" t="str">
        <x:v>RUN</x:v>
      </x:c>
      <x:c r="F25" s="233" t="str">
        <x:v>header_font_size</x:v>
      </x:c>
      <x:c r="G25" s="233" t="n">
        <x:v>13</x:v>
      </x:c>
      <x:c r="H25" s="233" t="str">
        <x:v>pt</x:v>
      </x:c>
      <x:c r="I25" s="233" t="str">
        <x:v>Toàn bộ chữ trong ô của mọi hàng tiêu đề đã xác định: 13 pt theo profile Công ty.</x:v>
      </x:c>
      <x:c r="J25" s="233" t="str">
        <x:v>PROFILE_DA_XAC_NHAN</x:v>
      </x:c>
      <x:c r="K25" s="233" t="str">
        <x:v>Chưa có điều khoản riêng đã xác minh cho thuộc tính này</x:v>
      </x:c>
      <x:c r="L25" s="233" t="str">
        <x:v>NOT_VERIFIED_AT_ATTRIBUTE_LEVEL</x:v>
      </x:c>
      <x:c r="M25" s="233" t="str">
        <x:v>CHECK_ONLY</x:v>
      </x:c>
      <x:c r="N25" s="233" t="str">
        <x:v>6</x:v>
      </x:c>
      <x:c r="O25" s="233" t="str">
        <x:v>w:rPr/w:sz</x:v>
      </x:c>
      <x:c r="P25" s="233" t="str">
        <x:v>Times New Roman</x:v>
      </x:c>
      <x:c r="Q25" s="233" t="n">
        <x:v>13</x:v>
      </x:c>
      <x:c r="R25" s="233"/>
      <x:c r="S25" s="233"/>
      <x:c r="T25" s="233"/>
      <x:c r="U25" s="233"/>
      <x:c r="V25" s="233"/>
      <x:c r="W25" s="233"/>
      <x:c r="X25" s="233"/>
      <x:c r="Y25" s="233"/>
      <x:c r="Z25" s="233"/>
      <x:c r="AA25" s="233"/>
      <x:c r="AB25" s="233"/>
      <x:c r="AC25" s="233"/>
      <x:c r="AD25" s="233"/>
      <x:c r="AE25" s="233"/>
      <x:c r="AF25" s="233"/>
      <x:c r="AG25" s="233"/>
      <x:c r="AH25" s="233"/>
      <x:c r="AI25" s="233"/>
      <x:c r="AJ25" s="233"/>
      <x:c r="AK25" s="233"/>
      <x:c r="AL25" s="233"/>
      <x:c r="AM25" s="233"/>
      <x:c r="AN25" s="233"/>
      <x:c r="AO25" s="233"/>
      <x:c r="AP25" s="233"/>
      <x:c r="AQ25" s="233"/>
      <x:c r="AR25" s="233"/>
      <x:c r="AS25" s="233"/>
      <x:c r="AT25" s="233"/>
      <x:c r="AU25" s="233"/>
      <x:c r="AV25" s="233"/>
      <x:c r="AW25" s="233"/>
      <x:c r="AX25" s="233" t="str">
        <x:v>Kiểm tra không vỡ dòng/đè chữ</x:v>
      </x:c>
      <x:c r="AY25" s="233" t="str">
        <x:v>ĐÃ CHỐT 13 PT (yêu cầu người dùng 29/10/2026). NĐ30: 13 pt là lựa chọn profile Công ty, không phải cỡ chữ bắt buộc duy nhất.</x:v>
      </x:c>
      <x:c r="AZ25" s="233" t="str">
        <x:v>PROFILE_HTHHMB_v1.5_DRAFT</x:v>
      </x:c>
    </x:row>
    <x:row r="26" ht="31" customHeight="1">
      <x:c r="A26" s="233" t="n">
        <x:v>20</x:v>
      </x:c>
      <x:c r="B26" s="233" t="str">
        <x:v>ND30.N.BANG.DAU_BANG.CHU_DAM</x:v>
      </x:c>
      <x:c r="C26" s="233" t="str">
        <x:v>ND30.N.BANG.DAU_BANG</x:v>
      </x:c>
      <x:c r="D26" s="233" t="str">
        <x:v>Chữ đậm hàng tiêu đề</x:v>
      </x:c>
      <x:c r="E26" s="233" t="str">
        <x:v>RUN</x:v>
      </x:c>
      <x:c r="F26" s="233" t="str">
        <x:v>header_bold</x:v>
      </x:c>
      <x:c r="G26" s="233" t="str">
        <x:v>YES</x:v>
      </x:c>
      <x:c r="H26" s="233"/>
      <x:c r="I26" s="233" t="str">
        <x:v>Chỉ hàng tiêu đề cột; không áp chữ đậm lên hàng dữ liệu chỉ vì nằm đầu trang.</x:v>
      </x:c>
      <x:c r="J26" s="233" t="str">
        <x:v>PROFILE_DA_XAC_NHAN</x:v>
      </x:c>
      <x:c r="K26" s="233" t="str">
        <x:v>Chưa có điều khoản riêng đã xác minh cho thuộc tính này</x:v>
      </x:c>
      <x:c r="L26" s="233" t="str">
        <x:v>NOT_VERIFIED_AT_ATTRIBUTE_LEVEL</x:v>
      </x:c>
      <x:c r="M26" s="233" t="str">
        <x:v>CHECK_ONLY</x:v>
      </x:c>
      <x:c r="N26" s="233" t="str">
        <x:v>6</x:v>
      </x:c>
      <x:c r="O26" s="233" t="str">
        <x:v>w:rPr/w:b</x:v>
      </x:c>
      <x:c r="P26" s="233"/>
      <x:c r="Q26" s="233"/>
      <x:c r="R26" s="233" t="str">
        <x:v>YES</x:v>
      </x:c>
      <x:c r="S26" s="233"/>
      <x:c r="T26" s="233"/>
      <x:c r="U26" s="233"/>
      <x:c r="V26" s="233"/>
      <x:c r="W26" s="233"/>
      <x:c r="X26" s="233"/>
      <x:c r="Y26" s="233"/>
      <x:c r="Z26" s="233"/>
      <x:c r="AA26" s="233"/>
      <x:c r="AB26" s="233"/>
      <x:c r="AC26" s="233"/>
      <x:c r="AD26" s="233"/>
      <x:c r="AE26" s="233"/>
      <x:c r="AF26" s="233"/>
      <x:c r="AG26" s="233"/>
      <x:c r="AH26" s="233"/>
      <x:c r="AI26" s="233"/>
      <x:c r="AJ26" s="233"/>
      <x:c r="AK26" s="233"/>
      <x:c r="AL26" s="233"/>
      <x:c r="AM26" s="233"/>
      <x:c r="AN26" s="233"/>
      <x:c r="AO26" s="233"/>
      <x:c r="AP26" s="233"/>
      <x:c r="AQ26" s="233"/>
      <x:c r="AR26" s="233"/>
      <x:c r="AS26" s="233"/>
      <x:c r="AT26" s="233"/>
      <x:c r="AU26" s="233"/>
      <x:c r="AV26" s="233"/>
      <x:c r="AW26" s="233"/>
      <x:c r="AX26" s="233" t="str">
        <x:v>Không làm đậm cả hàng dữ liệu</x:v>
      </x:c>
      <x:c r="AY26" s="233" t="str">
        <x:v>Chỉ hàng tiêu đề cột; không áp chữ đậm lên hàng dữ liệu chỉ vì nằm đầu trang. | Chưa xác minh là yêu cầu bắt buộc riêng của NĐ30/HD05; chỉ là profile nội bộ.</x:v>
      </x:c>
      <x:c r="AZ26" s="233" t="str">
        <x:v>Người dùng chốt trong trao đổi 29/10/2026; PROFILE NỘI BỘ; chưa có văn bản phê duyệt doanh nghiệp</x:v>
      </x:c>
    </x:row>
    <x:row r="27" ht="31" customHeight="1">
      <x:c r="A27" s="233" t="n">
        <x:v>21</x:v>
      </x:c>
      <x:c r="B27" s="233" t="str">
        <x:v>ND30.N.BANG.DAU_BANG.CAN_NGANG</x:v>
      </x:c>
      <x:c r="C27" s="233" t="str">
        <x:v>ND30.N.BANG.DAU_BANG</x:v>
      </x:c>
      <x:c r="D27" s="233" t="str">
        <x:v>Căn ngang hàng tiêu đề</x:v>
      </x:c>
      <x:c r="E27" s="233" t="str">
        <x:v>PARAGRAPH</x:v>
      </x:c>
      <x:c r="F27" s="233" t="str">
        <x:v>header_align</x:v>
      </x:c>
      <x:c r="G27" s="233" t="str">
        <x:v>CENTER</x:v>
      </x:c>
      <x:c r="H27" s="233"/>
      <x:c r="I27" s="233" t="str">
        <x:v>Căn giữa trong ô tiêu đề, nội dung dài được xuống dòng.</x:v>
      </x:c>
      <x:c r="J27" s="233" t="str">
        <x:v>PROFILE_DA_XAC_NHAN</x:v>
      </x:c>
      <x:c r="K27" s="233" t="str">
        <x:v>Chưa có điều khoản riêng đã xác minh cho thuộc tính này</x:v>
      </x:c>
      <x:c r="L27" s="233" t="str">
        <x:v>NOT_VERIFIED_AT_ATTRIBUTE_LEVEL</x:v>
      </x:c>
      <x:c r="M27" s="233" t="str">
        <x:v>CHECK_ONLY</x:v>
      </x:c>
      <x:c r="N27" s="233" t="str">
        <x:v>6</x:v>
      </x:c>
      <x:c r="O27" s="233" t="str">
        <x:v>w:pPr/w:jc</x:v>
      </x:c>
      <x:c r="P27" s="233"/>
      <x:c r="Q27" s="233"/>
      <x:c r="R27" s="233"/>
      <x:c r="S27" s="233"/>
      <x:c r="T27" s="233"/>
      <x:c r="U27" s="233" t="str">
        <x:v>CENTER</x:v>
      </x:c>
      <x:c r="V27" s="233"/>
      <x:c r="W27" s="233"/>
      <x:c r="X27" s="233"/>
      <x:c r="Y27" s="233"/>
      <x:c r="Z27" s="233"/>
      <x:c r="AA27" s="233"/>
      <x:c r="AB27" s="233"/>
      <x:c r="AC27" s="233"/>
      <x:c r="AD27" s="233"/>
      <x:c r="AE27" s="233"/>
      <x:c r="AF27" s="233"/>
      <x:c r="AG27" s="233"/>
      <x:c r="AH27" s="233"/>
      <x:c r="AI27" s="233"/>
      <x:c r="AJ27" s="233"/>
      <x:c r="AK27" s="233"/>
      <x:c r="AL27" s="233"/>
      <x:c r="AM27" s="233"/>
      <x:c r="AN27" s="233"/>
      <x:c r="AO27" s="233"/>
      <x:c r="AP27" s="233"/>
      <x:c r="AQ27" s="233"/>
      <x:c r="AR27" s="233"/>
      <x:c r="AS27" s="233"/>
      <x:c r="AT27" s="233"/>
      <x:c r="AU27" s="233"/>
      <x:c r="AV27" s="233"/>
      <x:c r="AW27" s="233"/>
      <x:c r="AX27" s="233" t="str">
        <x:v>Căn theo từng ô</x:v>
      </x:c>
      <x:c r="AY27" s="233" t="str">
        <x:v>Căn giữa trong ô tiêu đề, nội dung dài được xuống dòng. | Chưa xác minh là yêu cầu bắt buộc riêng của NĐ30/HD05; chỉ là profile nội bộ.</x:v>
      </x:c>
      <x:c r="AZ27" s="233" t="str">
        <x:v>Người dùng chốt trong trao đổi 29/10/2026; PROFILE NỘI BỘ; chưa có văn bản phê duyệt doanh nghiệp</x:v>
      </x:c>
    </x:row>
    <x:row r="28" ht="31" customHeight="1">
      <x:c r="A28" s="233" t="n">
        <x:v>22</x:v>
      </x:c>
      <x:c r="B28" s="233" t="str">
        <x:v>ND30.N.BANG.DAU_BANG.LAP_LAI</x:v>
      </x:c>
      <x:c r="C28" s="233" t="str">
        <x:v>ND30.N.BANG.DAU_BANG</x:v>
      </x:c>
      <x:c r="D28" s="233" t="str">
        <x:v>Lặp hàng tiêu đề khi bảng qua trang</x:v>
      </x:c>
      <x:c r="E28" s="233" t="str">
        <x:v>ROW</x:v>
      </x:c>
      <x:c r="F28" s="233" t="str">
        <x:v>repeat_header</x:v>
      </x:c>
      <x:c r="G28" s="233" t="str">
        <x:v>YES_IF_MULTIPAGE</x:v>
      </x:c>
      <x:c r="H28" s="233"/>
      <x:c r="I28" s="233" t="str">
        <x:v>Khi bảng nội dung chính chiếm từ 2 trang trở lên VÀ xác định được nhóm hàng tiêu đề liên tiếp từ hàng đầu: BẮT BUỘC lặp đầy đủ nhóm hàng tiêu đề trên mỗi trang sau. Không lặp hàng nhóm, hàng dữ liệu hoặc tiêu đề ngoài bảng. Nếu chưa xác định header, đánh dấu CẦN XÁC NHẬN; không tự bịa nhãn.</x:v>
      </x:c>
      <x:c r="J28" s="233" t="str">
        <x:v>PROFILE_DA_XAC_NHAN</x:v>
      </x:c>
      <x:c r="K28" s="233" t="str">
        <x:v>Chưa có điều khoản riêng đã xác minh cho thuộc tính này</x:v>
      </x:c>
      <x:c r="L28" s="233" t="str">
        <x:v>NOT_VERIFIED_AT_ATTRIBUTE_LEVEL</x:v>
      </x:c>
      <x:c r="M28" s="233" t="str">
        <x:v>CHECK_ONLY</x:v>
      </x:c>
      <x:c r="N28" s="233" t="str">
        <x:v>6</x:v>
      </x:c>
      <x:c r="O28" s="233" t="str">
        <x:v>w:trPr/w:tblHeader</x:v>
      </x:c>
      <x:c r="P28" s="233"/>
      <x:c r="Q28" s="233"/>
      <x:c r="R28" s="233"/>
      <x:c r="S28" s="233"/>
      <x:c r="T28" s="233"/>
      <x:c r="U28" s="233"/>
      <x:c r="V28" s="233"/>
      <x:c r="W28" s="233"/>
      <x:c r="X28" s="233"/>
      <x:c r="Y28" s="233"/>
      <x:c r="Z28" s="233"/>
      <x:c r="AA28" s="233"/>
      <x:c r="AB28" s="233"/>
      <x:c r="AC28" s="233"/>
      <x:c r="AD28" s="233"/>
      <x:c r="AE28" s="233"/>
      <x:c r="AF28" s="233"/>
      <x:c r="AG28" s="233" t="str">
        <x:v>CONDITIONAL</x:v>
      </x:c>
      <x:c r="AH28" s="233"/>
      <x:c r="AI28" s="233"/>
      <x:c r="AJ28" s="233"/>
      <x:c r="AK28" s="233"/>
      <x:c r="AL28" s="233"/>
      <x:c r="AM28" s="233"/>
      <x:c r="AN28" s="233"/>
      <x:c r="AO28" s="233"/>
      <x:c r="AP28" s="233"/>
      <x:c r="AQ28" s="233"/>
      <x:c r="AR28" s="233"/>
      <x:c r="AS28" s="233"/>
      <x:c r="AT28" s="233"/>
      <x:c r="AU28" s="233"/>
      <x:c r="AV28" s="233"/>
      <x:c r="AW28" s="233"/>
      <x:c r="AX28" s="233" t="str">
        <x:v>KIỂM TRA: tất cả trang sau trang đầu đều hiển thị đúng nhóm nhãn cột; nhóm hàng tiêu đề liên tiếp từ đầu, không tự tạo nội dung; không đòi lặp trên bảng 1 trang.</x:v>
      </x:c>
      <x:c r="AY28" s="233" t="str">
        <x:v>RULE CHÍNH — Đã duyệt theo yêu cầu người dùng 29/10/2026: lặp hàng tiêu đề là BẮT BUỘC THEO PROFILE nếu bảng qua nhiều trang; không khẳng định NĐ30/HD05 bắt buộc.</x:v>
      </x:c>
      <x:c r="AZ28" s="233" t="str">
        <x:v>QUYET_DINH_PROFILE_NGUOI_DUNG_2026-10-29</x:v>
      </x:c>
    </x:row>
    <x:row r="29" ht="31" customHeight="1">
      <x:c r="A29" s="233" t="n">
        <x:v>23</x:v>
      </x:c>
      <x:c r="B29" s="233" t="str">
        <x:v>ND30.N.BANG.DAU_BANG.NHIEU_CAP</x:v>
      </x:c>
      <x:c r="C29" s="233" t="str">
        <x:v>ND30.N.BANG.DAU_BANG</x:v>
      </x:c>
      <x:c r="D29" s="233" t="str">
        <x:v>Hàng tiêu đề nhiều tầng</x:v>
      </x:c>
      <x:c r="E29" s="233" t="str">
        <x:v>ROW</x:v>
      </x:c>
      <x:c r="F29" s="233" t="str">
        <x:v>header_levels</x:v>
      </x:c>
      <x:c r="G29" s="233" t="str">
        <x:v>PRESERVE</x:v>
      </x:c>
      <x:c r="H29" s="233"/>
      <x:c r="I29" s="233" t="str">
        <x:v>Khi hàng tiêu đề có nhiều tầng và/hoặc ô gộp; giữ đúng tầng và quan hệ nhãn.</x:v>
      </x:c>
      <x:c r="J29" s="233" t="str">
        <x:v>PRESERVE_ONLY</x:v>
      </x:c>
      <x:c r="K29" s="233" t="str">
        <x:v>Chưa có điều khoản riêng đã xác minh cho thuộc tính này</x:v>
      </x:c>
      <x:c r="L29" s="233" t="str">
        <x:v>NOT_VERIFIED_AT_ATTRIBUTE_LEVEL</x:v>
      </x:c>
      <x:c r="M29" s="233" t="str">
        <x:v>PROTECTED</x:v>
      </x:c>
      <x:c r="N29" s="233" t="str">
        <x:v>6</x:v>
      </x:c>
      <x:c r="O29" s="233" t="str">
        <x:v>w:tr/w:tc</x:v>
      </x:c>
      <x:c r="P29" s="233"/>
      <x:c r="Q29" s="233"/>
      <x:c r="R29" s="233"/>
      <x:c r="S29" s="233"/>
      <x:c r="T29" s="233"/>
      <x:c r="U29" s="233"/>
      <x:c r="V29" s="233"/>
      <x:c r="W29" s="233"/>
      <x:c r="X29" s="233"/>
      <x:c r="Y29" s="233"/>
      <x:c r="Z29" s="233"/>
      <x:c r="AA29" s="233"/>
      <x:c r="AB29" s="233"/>
      <x:c r="AC29" s="233"/>
      <x:c r="AD29" s="233"/>
      <x:c r="AE29" s="233"/>
      <x:c r="AF29" s="233"/>
      <x:c r="AG29" s="233"/>
      <x:c r="AH29" s="233"/>
      <x:c r="AI29" s="233"/>
      <x:c r="AJ29" s="233"/>
      <x:c r="AK29" s="233"/>
      <x:c r="AL29" s="233"/>
      <x:c r="AM29" s="233"/>
      <x:c r="AN29" s="233"/>
      <x:c r="AO29" s="233"/>
      <x:c r="AP29" s="233"/>
      <x:c r="AQ29" s="233"/>
      <x:c r="AR29" s="233"/>
      <x:c r="AS29" s="233"/>
      <x:c r="AT29" s="233"/>
      <x:c r="AU29" s="233"/>
      <x:c r="AV29" s="233"/>
      <x:c r="AW29" s="233"/>
      <x:c r="AX29" s="233" t="str">
        <x:v>Không tự gộp/tách ô tiêu đề nhiều tầng</x:v>
      </x:c>
      <x:c r="AY29" s="233" t="str">
        <x:v>Kiểm tra phần tử đích trước khi diễn giải rule; không tự sửa.</x:v>
      </x:c>
      <x:c r="AZ29" s="233" t="str">
        <x:v>https://vbpl.moj.gov.vn/bonoivu/Pages/vbpq-toanvan.aspx?ItemID=141142&amp;dvid=320</x:v>
      </x:c>
    </x:row>
    <x:row r="30" ht="31" customHeight="1">
      <x:c r="A30" s="233" t="n">
        <x:v>24</x:v>
      </x:c>
      <x:c r="B30" s="233" t="str">
        <x:v>ND30.N.BANG.DAU_BANG.TO_NEN</x:v>
      </x:c>
      <x:c r="C30" s="233" t="str">
        <x:v>ND30.N.BANG.DAU_BANG</x:v>
      </x:c>
      <x:c r="D30" s="233" t="str">
        <x:v>Màu nền hàng tiêu đề</x:v>
      </x:c>
      <x:c r="E30" s="233" t="str">
        <x:v>CELL</x:v>
      </x:c>
      <x:c r="F30" s="233" t="str">
        <x:v>header_shading</x:v>
      </x:c>
      <x:c r="G30" s="233" t="str">
        <x:v>NONE_NEW; PRESERVE_MEANINGFUL_EXISTING</x:v>
      </x:c>
      <x:c r="H30" s="233"/>
      <x:c r="I30" s="233" t="str">
        <x:v>Không thêm nền mới; không xóa nền đang thể hiện ý nghĩa dữ liệu/phân nhóm.</x:v>
      </x:c>
      <x:c r="J30" s="233" t="str">
        <x:v>PROFILE_DA_XAC_NHAN</x:v>
      </x:c>
      <x:c r="K30" s="233" t="str">
        <x:v>Chưa có điều khoản riêng đã xác minh cho thuộc tính này</x:v>
      </x:c>
      <x:c r="L30" s="233" t="str">
        <x:v>NOT_VERIFIED_AT_ATTRIBUTE_LEVEL</x:v>
      </x:c>
      <x:c r="M30" s="233" t="str">
        <x:v>CHECK_ONLY</x:v>
      </x:c>
      <x:c r="N30" s="233" t="str">
        <x:v>6</x:v>
      </x:c>
      <x:c r="O30" s="233" t="str">
        <x:v>w:tcPr/w:shd</x:v>
      </x:c>
      <x:c r="P30" s="233"/>
      <x:c r="Q30" s="233"/>
      <x:c r="R30" s="233"/>
      <x:c r="S30" s="233"/>
      <x:c r="T30" s="233"/>
      <x:c r="U30" s="233"/>
      <x:c r="V30" s="233"/>
      <x:c r="W30" s="233"/>
      <x:c r="X30" s="233"/>
      <x:c r="Y30" s="233"/>
      <x:c r="Z30" s="233"/>
      <x:c r="AA30" s="233"/>
      <x:c r="AB30" s="233"/>
      <x:c r="AC30" s="233"/>
      <x:c r="AD30" s="233"/>
      <x:c r="AE30" s="233"/>
      <x:c r="AF30" s="233"/>
      <x:c r="AG30" s="233"/>
      <x:c r="AH30" s="233"/>
      <x:c r="AI30" s="233"/>
      <x:c r="AJ30" s="233"/>
      <x:c r="AK30" s="233"/>
      <x:c r="AL30" s="233"/>
      <x:c r="AM30" s="233"/>
      <x:c r="AN30" s="233"/>
      <x:c r="AO30" s="233"/>
      <x:c r="AP30" s="233"/>
      <x:c r="AQ30" s="233"/>
      <x:c r="AR30" s="233" t="str">
        <x:v>NONE_NEW</x:v>
      </x:c>
      <x:c r="AS30" s="233"/>
      <x:c r="AT30" s="233"/>
      <x:c r="AU30" s="233"/>
      <x:c r="AV30" s="233"/>
      <x:c r="AW30" s="233"/>
      <x:c r="AX30" s="233" t="str">
        <x:v>Hạn chế tô nền, ưu tiên in trắng đen</x:v>
      </x:c>
      <x:c r="AY30" s="233" t="str">
        <x:v>Không thêm nền mới; không xóa nền đang thể hiện ý nghĩa dữ liệu/phân nhóm. | Chưa xác minh là yêu cầu bắt buộc riêng của NĐ30/HD05; chỉ là profile nội bộ.</x:v>
      </x:c>
      <x:c r="AZ30" s="233" t="str">
        <x:v>Người dùng chốt trong trao đổi 29/10/2026; PROFILE NỘI BỘ; chưa có văn bản phê duyệt doanh nghiệp</x:v>
      </x:c>
    </x:row>
    <x:row r="31" ht="31" customHeight="1">
      <x:c r="A31" s="233" t="n">
        <x:v>25</x:v>
      </x:c>
      <x:c r="B31" s="233" t="str">
        <x:v>ND30.N.BANG.COT.SO_LUONG</x:v>
      </x:c>
      <x:c r="C31" s="233" t="str">
        <x:v>ND30.N.BANG.COT</x:v>
      </x:c>
      <x:c r="D31" s="233" t="str">
        <x:v>Số cột của bảng</x:v>
      </x:c>
      <x:c r="E31" s="233" t="str">
        <x:v>TABLE_GRID</x:v>
      </x:c>
      <x:c r="F31" s="233" t="str">
        <x:v>column_count</x:v>
      </x:c>
      <x:c r="G31" s="233" t="str">
        <x:v>PRESERVE</x:v>
      </x:c>
      <x:c r="H31" s="233"/>
      <x:c r="I31" s="233" t="str">
        <x:v>Chỉ bảng dữ liệu trong nội dung; giữ đủ số cột và thứ tự gốc.</x:v>
      </x:c>
      <x:c r="J31" s="233" t="str">
        <x:v>PRESERVE_ONLY</x:v>
      </x:c>
      <x:c r="K31" s="233" t="str">
        <x:v>Chưa có điều khoản riêng đã xác minh cho thuộc tính này</x:v>
      </x:c>
      <x:c r="L31" s="233" t="str">
        <x:v>NOT_VERIFIED_AT_ATTRIBUTE_LEVEL</x:v>
      </x:c>
      <x:c r="M31" s="233" t="str">
        <x:v>PROTECTED</x:v>
      </x:c>
      <x:c r="N31" s="233" t="str">
        <x:v>6</x:v>
      </x:c>
      <x:c r="O31" s="233" t="str">
        <x:v>w:tblGrid</x:v>
      </x:c>
      <x:c r="P31" s="233"/>
      <x:c r="Q31" s="233"/>
      <x:c r="R31" s="233"/>
      <x:c r="S31" s="233"/>
      <x:c r="T31" s="233"/>
      <x:c r="U31" s="233"/>
      <x:c r="V31" s="233"/>
      <x:c r="W31" s="233"/>
      <x:c r="X31" s="233"/>
      <x:c r="Y31" s="233"/>
      <x:c r="Z31" s="233"/>
      <x:c r="AA31" s="233"/>
      <x:c r="AB31" s="233"/>
      <x:c r="AC31" s="233"/>
      <x:c r="AD31" s="233"/>
      <x:c r="AE31" s="233"/>
      <x:c r="AF31" s="233"/>
      <x:c r="AG31" s="233"/>
      <x:c r="AH31" s="233"/>
      <x:c r="AI31" s="233"/>
      <x:c r="AJ31" s="233"/>
      <x:c r="AK31" s="233"/>
      <x:c r="AL31" s="233"/>
      <x:c r="AM31" s="233"/>
      <x:c r="AN31" s="233"/>
      <x:c r="AO31" s="233"/>
      <x:c r="AP31" s="233"/>
      <x:c r="AQ31" s="233"/>
      <x:c r="AR31" s="233"/>
      <x:c r="AS31" s="233"/>
      <x:c r="AT31" s="233"/>
      <x:c r="AU31" s="233"/>
      <x:c r="AV31" s="233"/>
      <x:c r="AW31" s="233"/>
      <x:c r="AX31" s="233" t="str">
        <x:v>Không thêm/xóa cột</x:v>
      </x:c>
      <x:c r="AY31" s="233" t="str">
        <x:v>Nhóm cha mới, chưa nhập registry 165 mã</x:v>
      </x:c>
      <x:c r="AZ31" s="233" t="str">
        <x:v>https://vbpl.moj.gov.vn/bonoivu/Pages/vbpq-toanvan.aspx?ItemID=141142&amp;dvid=320</x:v>
      </x:c>
    </x:row>
    <x:row r="32" ht="31" customHeight="1">
      <x:c r="A32" s="233" t="n">
        <x:v>26</x:v>
      </x:c>
      <x:c r="B32" s="233" t="str">
        <x:v>ND30.N.BANG.COT.DO_RONG</x:v>
      </x:c>
      <x:c r="C32" s="233" t="str">
        <x:v>ND30.N.BANG.COT</x:v>
      </x:c>
      <x:c r="D32" s="233" t="str">
        <x:v>Chiều rộng từng cột</x:v>
      </x:c>
      <x:c r="E32" s="233" t="str">
        <x:v>TABLE_GRID</x:v>
      </x:c>
      <x:c r="F32" s="233" t="str">
        <x:v>col_width</x:v>
      </x:c>
      <x:c r="G32" s="233" t="str">
        <x:v>PRESERVE_IF_VALID; REVIEW_IF_OVERFLOW</x:v>
      </x:c>
      <x:c r="H32" s="233"/>
      <x:c r="I32" s="233" t="str">
        <x:v>Giữ độ rộng cột khi không tràn lề/không bóp chữ; chỉ cân chỉnh lại khi sai khung.</x:v>
      </x:c>
      <x:c r="J32" s="233" t="str">
        <x:v>PROFILE_DA_XAC_NHAN</x:v>
      </x:c>
      <x:c r="K32" s="233" t="str">
        <x:v>Chưa có điều khoản riêng đã xác minh cho thuộc tính này</x:v>
      </x:c>
      <x:c r="L32" s="233" t="str">
        <x:v>NOT_VERIFIED_AT_ATTRIBUTE_LEVEL</x:v>
      </x:c>
      <x:c r="M32" s="233" t="str">
        <x:v>CHECK_ONLY</x:v>
      </x:c>
      <x:c r="N32" s="233" t="str">
        <x:v>6</x:v>
      </x:c>
      <x:c r="O32" s="233" t="str">
        <x:v>w:gridCol/@w:w</x:v>
      </x:c>
      <x:c r="P32" s="233"/>
      <x:c r="Q32" s="233"/>
      <x:c r="R32" s="233"/>
      <x:c r="S32" s="233"/>
      <x:c r="T32" s="233"/>
      <x:c r="U32" s="233"/>
      <x:c r="V32" s="233"/>
      <x:c r="W32" s="233"/>
      <x:c r="X32" s="233"/>
      <x:c r="Y32" s="233"/>
      <x:c r="Z32" s="233"/>
      <x:c r="AA32" s="233"/>
      <x:c r="AB32" s="233"/>
      <x:c r="AC32" s="233"/>
      <x:c r="AD32" s="233"/>
      <x:c r="AE32" s="233"/>
      <x:c r="AF32" s="233"/>
      <x:c r="AG32" s="233"/>
      <x:c r="AH32" s="233"/>
      <x:c r="AI32" s="233"/>
      <x:c r="AJ32" s="233"/>
      <x:c r="AK32" s="233"/>
      <x:c r="AL32" s="233"/>
      <x:c r="AM32" s="233"/>
      <x:c r="AN32" s="233"/>
      <x:c r="AO32" s="233"/>
      <x:c r="AP32" s="233"/>
      <x:c r="AQ32" s="233"/>
      <x:c r="AR32" s="233"/>
      <x:c r="AS32" s="233"/>
      <x:c r="AT32" s="233"/>
      <x:c r="AU32" s="233"/>
      <x:c r="AV32" s="233"/>
      <x:c r="AW32" s="233"/>
      <x:c r="AX32" s="233" t="str">
        <x:v>Không cắt mất nội dung và không vượt vùng in</x:v>
      </x:c>
      <x:c r="AY32" s="233" t="str">
        <x:v>Giữ độ rộng cột khi không tràn lề/không bóp chữ; chỉ cân chỉnh lại khi sai khung. | Chưa xác minh là yêu cầu bắt buộc riêng của NĐ30/HD05; chỉ là profile nội bộ.</x:v>
      </x:c>
      <x:c r="AZ32" s="233" t="str">
        <x:v>Người dùng chốt trong trao đổi 29/10/2026; PROFILE NỘI BỘ; chưa có văn bản phê duyệt doanh nghiệp</x:v>
      </x:c>
    </x:row>
    <x:row r="33" ht="31" customHeight="1">
      <x:c r="A33" s="233" t="n">
        <x:v>27</x:v>
      </x:c>
      <x:c r="B33" s="233" t="str">
        <x:v>ND30.N.BANG.COT.PHAN_BO</x:v>
      </x:c>
      <x:c r="C33" s="233" t="str">
        <x:v>ND30.N.BANG.COT</x:v>
      </x:c>
      <x:c r="D33" s="233" t="str">
        <x:v>Phân bố chiều rộng giữa cột</x:v>
      </x:c>
      <x:c r="E33" s="233" t="str">
        <x:v>TABLE_GRID</x:v>
      </x:c>
      <x:c r="F33" s="233" t="str">
        <x:v>col_distribution</x:v>
      </x:c>
      <x:c r="G33" s="233" t="str">
        <x:v>PRESERVE</x:v>
      </x:c>
      <x:c r="H33" s="233"/>
      <x:c r="I33" s="233" t="str">
        <x:v>Khi có nhiều cột; bảo toàn tương quan và vùng nội dung.</x:v>
      </x:c>
      <x:c r="J33" s="233" t="str">
        <x:v>PRESERVE_ONLY</x:v>
      </x:c>
      <x:c r="K33" s="233" t="str">
        <x:v>Chưa có điều khoản riêng đã xác minh cho thuộc tính này</x:v>
      </x:c>
      <x:c r="L33" s="233" t="str">
        <x:v>NOT_VERIFIED_AT_ATTRIBUTE_LEVEL</x:v>
      </x:c>
      <x:c r="M33" s="233" t="str">
        <x:v>PROTECTED</x:v>
      </x:c>
      <x:c r="N33" s="233" t="str">
        <x:v>6</x:v>
      </x:c>
      <x:c r="O33" s="233" t="str">
        <x:v>w:tblGrid</x:v>
      </x:c>
      <x:c r="P33" s="233"/>
      <x:c r="Q33" s="233"/>
      <x:c r="R33" s="233"/>
      <x:c r="S33" s="233"/>
      <x:c r="T33" s="233"/>
      <x:c r="U33" s="233"/>
      <x:c r="V33" s="233"/>
      <x:c r="W33" s="233"/>
      <x:c r="X33" s="233"/>
      <x:c r="Y33" s="233"/>
      <x:c r="Z33" s="233"/>
      <x:c r="AA33" s="233"/>
      <x:c r="AB33" s="233"/>
      <x:c r="AC33" s="233"/>
      <x:c r="AD33" s="233"/>
      <x:c r="AE33" s="233"/>
      <x:c r="AF33" s="233"/>
      <x:c r="AG33" s="233"/>
      <x:c r="AH33" s="233"/>
      <x:c r="AI33" s="233"/>
      <x:c r="AJ33" s="233"/>
      <x:c r="AK33" s="233"/>
      <x:c r="AL33" s="233"/>
      <x:c r="AM33" s="233"/>
      <x:c r="AN33" s="233"/>
      <x:c r="AO33" s="233"/>
      <x:c r="AP33" s="233"/>
      <x:c r="AQ33" s="233"/>
      <x:c r="AR33" s="233"/>
      <x:c r="AS33" s="233"/>
      <x:c r="AT33" s="233"/>
      <x:c r="AU33" s="233"/>
      <x:c r="AV33" s="233"/>
      <x:c r="AW33" s="233"/>
      <x:c r="AX33" s="233" t="str">
        <x:v>Giữ tương quan độ rộng khi dữ liệu không rõ</x:v>
      </x:c>
      <x:c r="AY33" s="233" t="str">
        <x:v>Nhóm cha mới, chưa nhập registry 165 mã</x:v>
      </x:c>
      <x:c r="AZ33" s="233" t="str">
        <x:v>https://vbpl.moj.gov.vn/bonoivu/Pages/vbpq-toanvan.aspx?ItemID=141142&amp;dvid=320</x:v>
      </x:c>
    </x:row>
    <x:row r="34" ht="31" customHeight="1">
      <x:c r="A34" s="233" t="n">
        <x:v>28</x:v>
      </x:c>
      <x:c r="B34" s="233" t="str">
        <x:v>ND30.N.BANG.COT.CAN_CHU</x:v>
      </x:c>
      <x:c r="C34" s="233" t="str">
        <x:v>ND30.N.BANG.COT</x:v>
      </x:c>
      <x:c r="D34" s="233" t="str">
        <x:v>Căn cột nội dung chữ</x:v>
      </x:c>
      <x:c r="E34" s="233" t="str">
        <x:v>PARAGRAPH</x:v>
      </x:c>
      <x:c r="F34" s="233" t="str">
        <x:v>text_col_align</x:v>
      </x:c>
      <x:c r="G34" s="233" t="str">
        <x:v>LEFT</x:v>
      </x:c>
      <x:c r="H34" s="233"/>
      <x:c r="I34" s="233" t="str">
        <x:v>Cột mô tả/văn bản: căn trái; trường hợp mã, tiêu đề, STT đi theo vai trò ô.</x:v>
      </x:c>
      <x:c r="J34" s="233" t="str">
        <x:v>PROFILE_DA_XAC_NHAN</x:v>
      </x:c>
      <x:c r="K34" s="233" t="str">
        <x:v>Chưa có điều khoản riêng đã xác minh cho thuộc tính này</x:v>
      </x:c>
      <x:c r="L34" s="233" t="str">
        <x:v>NOT_VERIFIED_AT_ATTRIBUTE_LEVEL</x:v>
      </x:c>
      <x:c r="M34" s="233" t="str">
        <x:v>CHECK_ONLY</x:v>
      </x:c>
      <x:c r="N34" s="233" t="str">
        <x:v>6</x:v>
      </x:c>
      <x:c r="O34" s="233" t="str">
        <x:v>w:pPr/w:jc</x:v>
      </x:c>
      <x:c r="P34" s="233"/>
      <x:c r="Q34" s="233"/>
      <x:c r="R34" s="233"/>
      <x:c r="S34" s="233"/>
      <x:c r="T34" s="233"/>
      <x:c r="U34" s="233" t="str">
        <x:v>LEFT</x:v>
      </x:c>
      <x:c r="V34" s="233"/>
      <x:c r="W34" s="233"/>
      <x:c r="X34" s="233"/>
      <x:c r="Y34" s="233"/>
      <x:c r="Z34" s="233"/>
      <x:c r="AA34" s="233"/>
      <x:c r="AB34" s="233"/>
      <x:c r="AC34" s="233"/>
      <x:c r="AD34" s="233"/>
      <x:c r="AE34" s="233"/>
      <x:c r="AF34" s="233"/>
      <x:c r="AG34" s="233"/>
      <x:c r="AH34" s="233"/>
      <x:c r="AI34" s="233"/>
      <x:c r="AJ34" s="233"/>
      <x:c r="AK34" s="233"/>
      <x:c r="AL34" s="233"/>
      <x:c r="AM34" s="233"/>
      <x:c r="AN34" s="233"/>
      <x:c r="AO34" s="233"/>
      <x:c r="AP34" s="233"/>
      <x:c r="AQ34" s="233"/>
      <x:c r="AR34" s="233"/>
      <x:c r="AS34" s="233"/>
      <x:c r="AT34" s="233"/>
      <x:c r="AU34" s="233"/>
      <x:c r="AV34" s="233"/>
      <x:c r="AW34" s="233"/>
      <x:c r="AX34" s="233" t="str">
        <x:v>Nhận diện đúng cột chữ trước khi cân</x:v>
      </x:c>
      <x:c r="AY34" s="233" t="str">
        <x:v>Cột mô tả/văn bản: căn trái; trường hợp mã, tiêu đề, STT đi theo vai trò ô. | Chưa xác minh là yêu cầu bắt buộc riêng của NĐ30/HD05; chỉ là profile nội bộ.</x:v>
      </x:c>
      <x:c r="AZ34" s="233" t="str">
        <x:v>Người dùng chốt trong trao đổi 29/10/2026; PROFILE NỘI BỘ; chưa có văn bản phê duyệt doanh nghiệp</x:v>
      </x:c>
    </x:row>
    <x:row r="35" ht="31" customHeight="1">
      <x:c r="A35" s="233" t="n">
        <x:v>29</x:v>
      </x:c>
      <x:c r="B35" s="233" t="str">
        <x:v>ND30.N.BANG.COT.CAN_SO</x:v>
      </x:c>
      <x:c r="C35" s="233" t="str">
        <x:v>ND30.N.BANG.COT</x:v>
      </x:c>
      <x:c r="D35" s="233" t="str">
        <x:v>Căn cột số</x:v>
      </x:c>
      <x:c r="E35" s="233" t="str">
        <x:v>PARAGRAPH</x:v>
      </x:c>
      <x:c r="F35" s="233" t="str">
        <x:v>numeric_col_align</x:v>
      </x:c>
      <x:c r="G35" s="233" t="str">
        <x:v>RIGHT</x:v>
      </x:c>
      <x:c r="H35" s="233"/>
      <x:c r="I35" s="233" t="str">
        <x:v>Cột đại lượng (số lượng, định mức, tiền): căn phải; STT, mã, ngày, điện thoại không coi là số định lượng.</x:v>
      </x:c>
      <x:c r="J35" s="233" t="str">
        <x:v>PROFILE_DA_XAC_NHAN</x:v>
      </x:c>
      <x:c r="K35" s="233" t="str">
        <x:v>Chưa có điều khoản riêng đã xác minh cho thuộc tính này</x:v>
      </x:c>
      <x:c r="L35" s="233" t="str">
        <x:v>NOT_VERIFIED_AT_ATTRIBUTE_LEVEL</x:v>
      </x:c>
      <x:c r="M35" s="233" t="str">
        <x:v>CHECK_ONLY</x:v>
      </x:c>
      <x:c r="N35" s="233" t="str">
        <x:v>6</x:v>
      </x:c>
      <x:c r="O35" s="233" t="str">
        <x:v>w:pPr/w:jc</x:v>
      </x:c>
      <x:c r="P35" s="233"/>
      <x:c r="Q35" s="233"/>
      <x:c r="R35" s="233"/>
      <x:c r="S35" s="233"/>
      <x:c r="T35" s="233"/>
      <x:c r="U35" s="233" t="str">
        <x:v>RIGHT</x:v>
      </x:c>
      <x:c r="V35" s="233"/>
      <x:c r="W35" s="233"/>
      <x:c r="X35" s="233"/>
      <x:c r="Y35" s="233"/>
      <x:c r="Z35" s="233"/>
      <x:c r="AA35" s="233"/>
      <x:c r="AB35" s="233"/>
      <x:c r="AC35" s="233"/>
      <x:c r="AD35" s="233"/>
      <x:c r="AE35" s="233"/>
      <x:c r="AF35" s="233"/>
      <x:c r="AG35" s="233"/>
      <x:c r="AH35" s="233"/>
      <x:c r="AI35" s="233"/>
      <x:c r="AJ35" s="233"/>
      <x:c r="AK35" s="233"/>
      <x:c r="AL35" s="233"/>
      <x:c r="AM35" s="233"/>
      <x:c r="AN35" s="233"/>
      <x:c r="AO35" s="233"/>
      <x:c r="AP35" s="233"/>
      <x:c r="AQ35" s="233"/>
      <x:c r="AR35" s="233"/>
      <x:c r="AS35" s="233"/>
      <x:c r="AT35" s="233"/>
      <x:c r="AU35" s="233"/>
      <x:c r="AV35" s="233"/>
      <x:c r="AW35" s="233"/>
      <x:c r="AX35" s="233" t="str">
        <x:v>Không chuyển số thành chuỗi; giữ dấu thập phân</x:v>
      </x:c>
      <x:c r="AY35" s="233" t="str">
        <x:v>Cột đại lượng (số lượng, định mức, tiền): căn phải; STT, mã, ngày, điện thoại không coi là số định lượng. | Chưa xác minh là yêu cầu bắt buộc riêng của NĐ30/HD05; chỉ là profile nội bộ.</x:v>
      </x:c>
      <x:c r="AZ35" s="233" t="str">
        <x:v>Người dùng chốt trong trao đổi 29/10/2026; PROFILE NỘI BỘ; chưa có văn bản phê duyệt doanh nghiệp</x:v>
      </x:c>
    </x:row>
    <x:row r="36" ht="31" customHeight="1">
      <x:c r="A36" s="233" t="n">
        <x:v>30</x:v>
      </x:c>
      <x:c r="B36" s="233" t="str">
        <x:v>ND30.N.BANG.HANG.CHIEU_CAO</x:v>
      </x:c>
      <x:c r="C36" s="233" t="str">
        <x:v>ND30.N.BANG.HANG</x:v>
      </x:c>
      <x:c r="D36" s="233" t="str">
        <x:v>Chiều cao hàng</x:v>
      </x:c>
      <x:c r="E36" s="233" t="str">
        <x:v>ROW</x:v>
      </x:c>
      <x:c r="F36" s="233" t="str">
        <x:v>row_height</x:v>
      </x:c>
      <x:c r="G36" s="233" t="str">
        <x:v>AUTO</x:v>
      </x:c>
      <x:c r="H36" s="233"/>
      <x:c r="I36" s="233" t="str">
        <x:v>Chiều cao tự mở theo nội dung ô, tuyệt đối không cắt/mất chữ.</x:v>
      </x:c>
      <x:c r="J36" s="233" t="str">
        <x:v>PROFILE_DA_XAC_NHAN</x:v>
      </x:c>
      <x:c r="K36" s="233" t="str">
        <x:v>Chưa có điều khoản riêng đã xác minh cho thuộc tính này</x:v>
      </x:c>
      <x:c r="L36" s="233" t="str">
        <x:v>NOT_VERIFIED_AT_ATTRIBUTE_LEVEL</x:v>
      </x:c>
      <x:c r="M36" s="233" t="str">
        <x:v>CHECK_ONLY</x:v>
      </x:c>
      <x:c r="N36" s="233" t="str">
        <x:v>6</x:v>
      </x:c>
      <x:c r="O36" s="233" t="str">
        <x:v>w:trPr/w:trHeight</x:v>
      </x:c>
      <x:c r="P36" s="233"/>
      <x:c r="Q36" s="233"/>
      <x:c r="R36" s="233"/>
      <x:c r="S36" s="233"/>
      <x:c r="T36" s="233"/>
      <x:c r="U36" s="233"/>
      <x:c r="V36" s="233"/>
      <x:c r="W36" s="233"/>
      <x:c r="X36" s="233"/>
      <x:c r="Y36" s="233"/>
      <x:c r="Z36" s="233"/>
      <x:c r="AA36" s="233"/>
      <x:c r="AB36" s="233"/>
      <x:c r="AC36" s="233"/>
      <x:c r="AD36" s="233"/>
      <x:c r="AE36" s="233"/>
      <x:c r="AF36" s="233" t="str">
        <x:v>AUTO</x:v>
      </x:c>
      <x:c r="AG36" s="233"/>
      <x:c r="AH36" s="233"/>
      <x:c r="AI36" s="233"/>
      <x:c r="AJ36" s="233"/>
      <x:c r="AK36" s="233"/>
      <x:c r="AL36" s="233"/>
      <x:c r="AM36" s="233"/>
      <x:c r="AN36" s="233"/>
      <x:c r="AO36" s="233"/>
      <x:c r="AP36" s="233"/>
      <x:c r="AQ36" s="233"/>
      <x:c r="AR36" s="233"/>
      <x:c r="AS36" s="233"/>
      <x:c r="AT36" s="233"/>
      <x:c r="AU36" s="233"/>
      <x:c r="AV36" s="233"/>
      <x:c r="AW36" s="233"/>
      <x:c r="AX36" s="233" t="str">
        <x:v>Đủ chỗ cho nội dung</x:v>
      </x:c>
      <x:c r="AY36" s="233" t="str">
        <x:v>Chiều cao tự mở theo nội dung ô, tuyệt đối không cắt/mất chữ. | Chưa xác minh là yêu cầu bắt buộc riêng của NĐ30/HD05; chỉ là profile nội bộ.</x:v>
      </x:c>
      <x:c r="AZ36" s="233" t="str">
        <x:v>Người dùng chốt trong trao đổi 29/10/2026; PROFILE NỘI BỘ; chưa có văn bản phê duyệt doanh nghiệp</x:v>
      </x:c>
    </x:row>
    <x:row r="37" ht="31" customHeight="1">
      <x:c r="A37" s="233" t="n">
        <x:v>31</x:v>
      </x:c>
      <x:c r="B37" s="233" t="str">
        <x:v>ND30.N.BANG.HANG.KIEU_CAO</x:v>
      </x:c>
      <x:c r="C37" s="233" t="str">
        <x:v>ND30.N.BANG.HANG</x:v>
      </x:c>
      <x:c r="D37" s="233" t="str">
        <x:v>Quy tắc chiều cao</x:v>
      </x:c>
      <x:c r="E37" s="233" t="str">
        <x:v>ROW</x:v>
      </x:c>
      <x:c r="F37" s="233" t="str">
        <x:v>row_height_rule</x:v>
      </x:c>
      <x:c r="G37" s="233" t="str">
        <x:v>AT_LEAST_HEADER_6MM; AUTO_DATA</x:v>
      </x:c>
      <x:c r="H37" s="233"/>
      <x:c r="I37" s="233" t="str">
        <x:v>Hàng tiêu đề tối thiểu 6 mm và được giãn cao hơn; hàng dữ liệu tự động; không dùng EXACT.</x:v>
      </x:c>
      <x:c r="J37" s="233" t="str">
        <x:v>PROFILE_DA_XAC_NHAN</x:v>
      </x:c>
      <x:c r="K37" s="233" t="str">
        <x:v>Chưa có điều khoản riêng đã xác minh cho thuộc tính này</x:v>
      </x:c>
      <x:c r="L37" s="233" t="str">
        <x:v>NOT_VERIFIED_AT_ATTRIBUTE_LEVEL</x:v>
      </x:c>
      <x:c r="M37" s="233" t="str">
        <x:v>CHECK_ONLY</x:v>
      </x:c>
      <x:c r="N37" s="233" t="str">
        <x:v>6</x:v>
      </x:c>
      <x:c r="O37" s="233" t="str">
        <x:v>w:trPr/w:trHeight/@w:hRule</x:v>
      </x:c>
      <x:c r="P37" s="233"/>
      <x:c r="Q37" s="233"/>
      <x:c r="R37" s="233"/>
      <x:c r="S37" s="233"/>
      <x:c r="T37" s="233"/>
      <x:c r="U37" s="233"/>
      <x:c r="V37" s="233"/>
      <x:c r="W37" s="233"/>
      <x:c r="X37" s="233"/>
      <x:c r="Y37" s="233"/>
      <x:c r="Z37" s="233"/>
      <x:c r="AA37" s="233"/>
      <x:c r="AB37" s="233"/>
      <x:c r="AC37" s="233"/>
      <x:c r="AD37" s="233"/>
      <x:c r="AE37" s="233"/>
      <x:c r="AF37" s="233" t="str">
        <x:v>AT_LEAST_HEADER_6MM; AUTO_DATA</x:v>
      </x:c>
      <x:c r="AG37" s="233"/>
      <x:c r="AH37" s="233"/>
      <x:c r="AI37" s="233"/>
      <x:c r="AJ37" s="233"/>
      <x:c r="AK37" s="233"/>
      <x:c r="AL37" s="233"/>
      <x:c r="AM37" s="233"/>
      <x:c r="AN37" s="233"/>
      <x:c r="AO37" s="233"/>
      <x:c r="AP37" s="233"/>
      <x:c r="AQ37" s="233"/>
      <x:c r="AR37" s="233"/>
      <x:c r="AS37" s="233"/>
      <x:c r="AT37" s="233"/>
      <x:c r="AU37" s="233"/>
      <x:c r="AV37" s="233"/>
      <x:c r="AW37" s="233"/>
      <x:c r="AX37" s="233" t="str">
        <x:v>Tránh EXACT làm mất chữ</x:v>
      </x:c>
      <x:c r="AY37" s="233" t="str">
        <x:v>Hàng tiêu đề tối thiểu 6 mm và được giãn cao hơn; hàng dữ liệu tự động; không dùng EXACT. | Chưa xác minh là yêu cầu bắt buộc riêng của NĐ30/HD05; chỉ là profile nội bộ.</x:v>
      </x:c>
      <x:c r="AZ37" s="233" t="str">
        <x:v>Người dùng chốt trong trao đổi 29/10/2026; PROFILE NỘI BỘ; chưa có văn bản phê duyệt doanh nghiệp</x:v>
      </x:c>
    </x:row>
    <x:row r="38" ht="31" customHeight="1">
      <x:c r="A38" s="233" t="n">
        <x:v>32</x:v>
      </x:c>
      <x:c r="B38" s="233" t="str">
        <x:v>ND30.N.BANG.HANG.CHONG_CHIA_TRANG</x:v>
      </x:c>
      <x:c r="C38" s="233" t="str">
        <x:v>ND30.N.BANG.HANG</x:v>
      </x:c>
      <x:c r="D38" s="233" t="str">
        <x:v>Không chia một hàng sang trang khác</x:v>
      </x:c>
      <x:c r="E38" s="233" t="str">
        <x:v>ROW</x:v>
      </x:c>
      <x:c r="F38" s="233" t="str">
        <x:v>cant_split</x:v>
      </x:c>
      <x:c r="G38" s="233" t="str">
        <x:v>YES_IF_FITS; REVIEW_OVERSIZE</x:v>
      </x:c>
      <x:c r="H38" s="233"/>
      <x:c r="I38" s="233" t="str">
        <x:v>Không chia hàng nếu hàng vừa trang; hàng dài hơn vùng trang phải xử lý ngoại lệ, tránh che/mất chữ.</x:v>
      </x:c>
      <x:c r="J38" s="233" t="str">
        <x:v>PROFILE_DA_XAC_NHAN</x:v>
      </x:c>
      <x:c r="K38" s="233" t="str">
        <x:v>Chưa có điều khoản riêng đã xác minh cho thuộc tính này</x:v>
      </x:c>
      <x:c r="L38" s="233" t="str">
        <x:v>NOT_VERIFIED_AT_ATTRIBUTE_LEVEL</x:v>
      </x:c>
      <x:c r="M38" s="233" t="str">
        <x:v>CHECK_ONLY</x:v>
      </x:c>
      <x:c r="N38" s="233" t="str">
        <x:v>6</x:v>
      </x:c>
      <x:c r="O38" s="233" t="str">
        <x:v>w:trPr/w:cantSplit</x:v>
      </x:c>
      <x:c r="P38" s="233"/>
      <x:c r="Q38" s="233"/>
      <x:c r="R38" s="233"/>
      <x:c r="S38" s="233"/>
      <x:c r="T38" s="233"/>
      <x:c r="U38" s="233"/>
      <x:c r="V38" s="233"/>
      <x:c r="W38" s="233"/>
      <x:c r="X38" s="233"/>
      <x:c r="Y38" s="233"/>
      <x:c r="Z38" s="233"/>
      <x:c r="AA38" s="233"/>
      <x:c r="AB38" s="233"/>
      <x:c r="AC38" s="233"/>
      <x:c r="AD38" s="233"/>
      <x:c r="AE38" s="233"/>
      <x:c r="AF38" s="233"/>
      <x:c r="AG38" s="233"/>
      <x:c r="AH38" s="233" t="str">
        <x:v>YES_IF_FITS</x:v>
      </x:c>
      <x:c r="AI38" s="233"/>
      <x:c r="AJ38" s="233"/>
      <x:c r="AK38" s="233"/>
      <x:c r="AL38" s="233"/>
      <x:c r="AM38" s="233"/>
      <x:c r="AN38" s="233"/>
      <x:c r="AO38" s="233"/>
      <x:c r="AP38" s="233"/>
      <x:c r="AQ38" s="233"/>
      <x:c r="AR38" s="233"/>
      <x:c r="AS38" s="233"/>
      <x:c r="AT38" s="233"/>
      <x:c r="AU38" s="233"/>
      <x:c r="AV38" s="233"/>
      <x:c r="AW38" s="233"/>
      <x:c r="AX38" s="233" t="str">
        <x:v>Hàng không bị cắt nếu vừa một trang</x:v>
      </x:c>
      <x:c r="AY38" s="233" t="str">
        <x:v>Không chia hàng nếu hàng vừa trang; hàng dài hơn vùng trang phải xử lý ngoại lệ, tránh che/mất chữ. | Chưa xác minh là yêu cầu bắt buộc riêng của NĐ30/HD05; chỉ là profile nội bộ.</x:v>
      </x:c>
      <x:c r="AZ38" s="233" t="str">
        <x:v>Người dùng chốt trong trao đổi 29/10/2026; PROFILE NỘI BỘ; chưa có văn bản phê duyệt doanh nghiệp</x:v>
      </x:c>
    </x:row>
    <x:row r="39" ht="31" customHeight="1">
      <x:c r="A39" s="233" t="n">
        <x:v>33</x:v>
      </x:c>
      <x:c r="B39" s="233" t="str">
        <x:v>ND30.N.BANG.HANG.KHOANG_CACH</x:v>
      </x:c>
      <x:c r="C39" s="233" t="str">
        <x:v>ND30.N.BANG.HANG</x:v>
      </x:c>
      <x:c r="D39" s="233" t="str">
        <x:v>Khoảng cách giữa các hàng</x:v>
      </x:c>
      <x:c r="E39" s="233" t="str">
        <x:v>TABLE</x:v>
      </x:c>
      <x:c r="F39" s="233" t="str">
        <x:v>row_spacing</x:v>
      </x:c>
      <x:c r="G39" s="233" t="n">
        <x:v>0</x:v>
      </x:c>
      <x:c r="H39" s="233" t="str">
        <x:v>mm</x:v>
      </x:c>
      <x:c r="I39" s="233" t="str">
        <x:v>Khoảng cách giữa các ô/hàng bằng 0 mm; không tạo khe hở viền kép.</x:v>
      </x:c>
      <x:c r="J39" s="233" t="str">
        <x:v>PROFILE_DA_XAC_NHAN</x:v>
      </x:c>
      <x:c r="K39" s="233" t="str">
        <x:v>Chưa có điều khoản riêng đã xác minh cho thuộc tính này</x:v>
      </x:c>
      <x:c r="L39" s="233" t="str">
        <x:v>NOT_VERIFIED_AT_ATTRIBUTE_LEVEL</x:v>
      </x:c>
      <x:c r="M39" s="233" t="str">
        <x:v>CHECK_ONLY</x:v>
      </x:c>
      <x:c r="N39" s="233" t="str">
        <x:v>6</x:v>
      </x:c>
      <x:c r="O39" s="233" t="str">
        <x:v>w:tblCellSpacing</x:v>
      </x:c>
      <x:c r="P39" s="233"/>
      <x:c r="Q39" s="233"/>
      <x:c r="R39" s="233"/>
      <x:c r="S39" s="233"/>
      <x:c r="T39" s="233"/>
      <x:c r="U39" s="233"/>
      <x:c r="V39" s="233"/>
      <x:c r="W39" s="233"/>
      <x:c r="X39" s="233"/>
      <x:c r="Y39" s="233"/>
      <x:c r="Z39" s="233"/>
      <x:c r="AA39" s="233"/>
      <x:c r="AB39" s="233"/>
      <x:c r="AC39" s="233"/>
      <x:c r="AD39" s="233"/>
      <x:c r="AE39" s="233"/>
      <x:c r="AF39" s="233"/>
      <x:c r="AG39" s="233"/>
      <x:c r="AH39" s="233"/>
      <x:c r="AI39" s="233"/>
      <x:c r="AJ39" s="233"/>
      <x:c r="AK39" s="233"/>
      <x:c r="AL39" s="233"/>
      <x:c r="AM39" s="233"/>
      <x:c r="AN39" s="233"/>
      <x:c r="AO39" s="233"/>
      <x:c r="AP39" s="233"/>
      <x:c r="AQ39" s="233"/>
      <x:c r="AR39" s="233"/>
      <x:c r="AS39" s="233"/>
      <x:c r="AT39" s="233"/>
      <x:c r="AU39" s="233"/>
      <x:c r="AV39" s="233"/>
      <x:c r="AW39" s="233"/>
      <x:c r="AX39" s="233" t="str">
        <x:v>Giữ mật độ bảng gốc</x:v>
      </x:c>
      <x:c r="AY39" s="233" t="str">
        <x:v>Khoảng cách giữa các ô/hàng bằng 0 mm; không tạo khe hở viền kép. | Chưa xác minh là yêu cầu bắt buộc riêng của NĐ30/HD05; chỉ là profile nội bộ.</x:v>
      </x:c>
      <x:c r="AZ39" s="233" t="str">
        <x:v>Người dùng chốt trong trao đổi 29/10/2026; PROFILE NỘI BỘ; chưa có văn bản phê duyệt doanh nghiệp</x:v>
      </x:c>
    </x:row>
    <x:row r="40" ht="31" customHeight="1">
      <x:c r="A40" s="233" t="n">
        <x:v>34</x:v>
      </x:c>
      <x:c r="B40" s="233" t="str">
        <x:v>ND30.N.BANG.HANG.THU_TU</x:v>
      </x:c>
      <x:c r="C40" s="233" t="str">
        <x:v>ND30.N.BANG.HANG</x:v>
      </x:c>
      <x:c r="D40" s="233" t="str">
        <x:v>Thứ tự hàng</x:v>
      </x:c>
      <x:c r="E40" s="233" t="str">
        <x:v>ROW</x:v>
      </x:c>
      <x:c r="F40" s="233" t="str">
        <x:v>row_order</x:v>
      </x:c>
      <x:c r="G40" s="233" t="str">
        <x:v>PRESERVE</x:v>
      </x:c>
      <x:c r="H40" s="233"/>
      <x:c r="I40" s="233" t="str">
        <x:v>Mọi hàng của bảng; không sắp xếp lại dữ liệu.</x:v>
      </x:c>
      <x:c r="J40" s="233" t="str">
        <x:v>PRESERVE_ONLY</x:v>
      </x:c>
      <x:c r="K40" s="233" t="str">
        <x:v>Chưa có điều khoản riêng đã xác minh cho thuộc tính này</x:v>
      </x:c>
      <x:c r="L40" s="233" t="str">
        <x:v>NOT_VERIFIED_AT_ATTRIBUTE_LEVEL</x:v>
      </x:c>
      <x:c r="M40" s="233" t="str">
        <x:v>PROTECTED</x:v>
      </x:c>
      <x:c r="N40" s="233" t="str">
        <x:v>6</x:v>
      </x:c>
      <x:c r="O40" s="233"/>
      <x:c r="P40" s="233"/>
      <x:c r="Q40" s="233"/>
      <x:c r="R40" s="233"/>
      <x:c r="S40" s="233"/>
      <x:c r="T40" s="233"/>
      <x:c r="U40" s="233"/>
      <x:c r="V40" s="233"/>
      <x:c r="W40" s="233"/>
      <x:c r="X40" s="233"/>
      <x:c r="Y40" s="233"/>
      <x:c r="Z40" s="233"/>
      <x:c r="AA40" s="233"/>
      <x:c r="AB40" s="233"/>
      <x:c r="AC40" s="233"/>
      <x:c r="AD40" s="233"/>
      <x:c r="AE40" s="233"/>
      <x:c r="AF40" s="233"/>
      <x:c r="AG40" s="233"/>
      <x:c r="AH40" s="233"/>
      <x:c r="AI40" s="233"/>
      <x:c r="AJ40" s="233"/>
      <x:c r="AK40" s="233"/>
      <x:c r="AL40" s="233"/>
      <x:c r="AM40" s="233"/>
      <x:c r="AN40" s="233"/>
      <x:c r="AO40" s="233"/>
      <x:c r="AP40" s="233"/>
      <x:c r="AQ40" s="233"/>
      <x:c r="AR40" s="233"/>
      <x:c r="AS40" s="233"/>
      <x:c r="AT40" s="233"/>
      <x:c r="AU40" s="233"/>
      <x:c r="AV40" s="233"/>
      <x:c r="AW40" s="233"/>
      <x:c r="AX40" s="233" t="str">
        <x:v>Không đổi thứ tự hàng</x:v>
      </x:c>
      <x:c r="AY40" s="233" t="str">
        <x:v>Kiểm tra phần tử đích trước khi diễn giải rule; không tự sửa.</x:v>
      </x:c>
      <x:c r="AZ40" s="233" t="str">
        <x:v>https://vbpl.moj.gov.vn/bonoivu/Pages/vbpq-toanvan.aspx?ItemID=141142&amp;dvid=320</x:v>
      </x:c>
    </x:row>
    <x:row r="41" ht="31" customHeight="1">
      <x:c r="A41" s="233" t="n">
        <x:v>35</x:v>
      </x:c>
      <x:c r="B41" s="233" t="str">
        <x:v>ND30.N.BANG.HANG.DONG_TONG</x:v>
      </x:c>
      <x:c r="C41" s="233" t="str">
        <x:v>ND30.N.BANG.HANG</x:v>
      </x:c>
      <x:c r="D41" s="233" t="str">
        <x:v>Hàng tổng cộng</x:v>
      </x:c>
      <x:c r="E41" s="233" t="str">
        <x:v>ROW</x:v>
      </x:c>
      <x:c r="F41" s="233" t="str">
        <x:v>total_row</x:v>
      </x:c>
      <x:c r="G41" s="233" t="str">
        <x:v>DETECT_THEN_PRESERVE</x:v>
      </x:c>
      <x:c r="H41" s="233"/>
      <x:c r="I41" s="233" t="str">
        <x:v>Chỉ hàng tổng/tổng cộng đã được nhận diện; cỡ chữ trong ô vẫn 13 pt.</x:v>
      </x:c>
      <x:c r="J41" s="233" t="str">
        <x:v>PRESERVE_ONLY</x:v>
      </x:c>
      <x:c r="K41" s="233" t="str">
        <x:v>Chưa có điều khoản riêng đã xác minh cho thuộc tính này</x:v>
      </x:c>
      <x:c r="L41" s="233" t="str">
        <x:v>NOT_VERIFIED_AT_ATTRIBUTE_LEVEL</x:v>
      </x:c>
      <x:c r="M41" s="233" t="str">
        <x:v>PROTECTED</x:v>
      </x:c>
      <x:c r="N41" s="233" t="str">
        <x:v>6</x:v>
      </x:c>
      <x:c r="O41" s="233"/>
      <x:c r="P41" s="233"/>
      <x:c r="Q41" s="233"/>
      <x:c r="R41" s="233"/>
      <x:c r="S41" s="233"/>
      <x:c r="T41" s="233"/>
      <x:c r="U41" s="233"/>
      <x:c r="V41" s="233"/>
      <x:c r="W41" s="233"/>
      <x:c r="X41" s="233"/>
      <x:c r="Y41" s="233"/>
      <x:c r="Z41" s="233"/>
      <x:c r="AA41" s="233"/>
      <x:c r="AB41" s="233"/>
      <x:c r="AC41" s="233"/>
      <x:c r="AD41" s="233"/>
      <x:c r="AE41" s="233"/>
      <x:c r="AF41" s="233"/>
      <x:c r="AG41" s="233"/>
      <x:c r="AH41" s="233"/>
      <x:c r="AI41" s="233"/>
      <x:c r="AJ41" s="233"/>
      <x:c r="AK41" s="233"/>
      <x:c r="AL41" s="233"/>
      <x:c r="AM41" s="233"/>
      <x:c r="AN41" s="233"/>
      <x:c r="AO41" s="233"/>
      <x:c r="AP41" s="233"/>
      <x:c r="AQ41" s="233"/>
      <x:c r="AR41" s="233"/>
      <x:c r="AS41" s="233"/>
      <x:c r="AT41" s="233"/>
      <x:c r="AU41" s="233"/>
      <x:c r="AV41" s="233"/>
      <x:c r="AW41" s="233"/>
      <x:c r="AX41" s="233" t="str">
        <x:v>Không thay công thức, giá trị hoặc nhãn Tổng</x:v>
      </x:c>
      <x:c r="AY41" s="233" t="str">
        <x:v>Kiểm tra phần tử đích trước khi diễn giải rule; không tự sửa.</x:v>
      </x:c>
      <x:c r="AZ41" s="233" t="str">
        <x:v>https://vbpl.moj.gov.vn/bonoivu/Pages/vbpq-toanvan.aspx?ItemID=141142&amp;dvid=320</x:v>
      </x:c>
    </x:row>
    <x:row r="42" ht="31" customHeight="1">
      <x:c r="A42" s="233" t="n">
        <x:v>36</x:v>
      </x:c>
      <x:c r="B42" s="233" t="str">
        <x:v>ND30.N.BANG.HANG.DONG_NHOM</x:v>
      </x:c>
      <x:c r="C42" s="233" t="str">
        <x:v>ND30.N.BANG.HANG</x:v>
      </x:c>
      <x:c r="D42" s="233" t="str">
        <x:v>Hàng phân nhóm</x:v>
      </x:c>
      <x:c r="E42" s="233" t="str">
        <x:v>ROW</x:v>
      </x:c>
      <x:c r="F42" s="233" t="str">
        <x:v>group_row</x:v>
      </x:c>
      <x:c r="G42" s="233" t="str">
        <x:v>DETECT_THEN_PRESERVE</x:v>
      </x:c>
      <x:c r="H42" s="233"/>
      <x:c r="I42" s="233" t="str">
        <x:v>Chỉ hàng nhóm/phân nhóm đã nhận diện; cỡ chữ trong ô vẫn 13 pt.</x:v>
      </x:c>
      <x:c r="J42" s="233" t="str">
        <x:v>PRESERVE_ONLY</x:v>
      </x:c>
      <x:c r="K42" s="233" t="str">
        <x:v>Chưa có điều khoản riêng đã xác minh cho thuộc tính này</x:v>
      </x:c>
      <x:c r="L42" s="233" t="str">
        <x:v>NOT_VERIFIED_AT_ATTRIBUTE_LEVEL</x:v>
      </x:c>
      <x:c r="M42" s="233" t="str">
        <x:v>PROTECTED</x:v>
      </x:c>
      <x:c r="N42" s="233" t="str">
        <x:v>6</x:v>
      </x:c>
      <x:c r="O42" s="233"/>
      <x:c r="P42" s="233"/>
      <x:c r="Q42" s="233"/>
      <x:c r="R42" s="233"/>
      <x:c r="S42" s="233"/>
      <x:c r="T42" s="233"/>
      <x:c r="U42" s="233"/>
      <x:c r="V42" s="233"/>
      <x:c r="W42" s="233"/>
      <x:c r="X42" s="233"/>
      <x:c r="Y42" s="233"/>
      <x:c r="Z42" s="233"/>
      <x:c r="AA42" s="233"/>
      <x:c r="AB42" s="233"/>
      <x:c r="AC42" s="233"/>
      <x:c r="AD42" s="233"/>
      <x:c r="AE42" s="233"/>
      <x:c r="AF42" s="233"/>
      <x:c r="AG42" s="233"/>
      <x:c r="AH42" s="233"/>
      <x:c r="AI42" s="233"/>
      <x:c r="AJ42" s="233"/>
      <x:c r="AK42" s="233"/>
      <x:c r="AL42" s="233"/>
      <x:c r="AM42" s="233"/>
      <x:c r="AN42" s="233"/>
      <x:c r="AO42" s="233"/>
      <x:c r="AP42" s="233"/>
      <x:c r="AQ42" s="233"/>
      <x:c r="AR42" s="233"/>
      <x:c r="AS42" s="233"/>
      <x:c r="AT42" s="233"/>
      <x:c r="AU42" s="233"/>
      <x:c r="AV42" s="233"/>
      <x:c r="AW42" s="233"/>
      <x:c r="AX42" s="233" t="str">
        <x:v>Không tự gộp ô hay tô nền thêm</x:v>
      </x:c>
      <x:c r="AY42" s="233" t="str">
        <x:v>Kiểm tra phần tử đích trước khi diễn giải rule; không tự sửa.</x:v>
      </x:c>
      <x:c r="AZ42" s="233" t="str">
        <x:v>https://vbpl.moj.gov.vn/bonoivu/Pages/vbpq-toanvan.aspx?ItemID=141142&amp;dvid=320</x:v>
      </x:c>
    </x:row>
    <x:row r="43" ht="31" customHeight="1">
      <x:c r="A43" s="233" t="n">
        <x:v>37</x:v>
      </x:c>
      <x:c r="B43" s="233" t="str">
        <x:v>ND30.N.BANG.O.VAN_BAN</x:v>
      </x:c>
      <x:c r="C43" s="233" t="str">
        <x:v>ND30.N.BANG.O</x:v>
      </x:c>
      <x:c r="D43" s="233" t="str">
        <x:v>Nội dung văn bản trong ô</x:v>
      </x:c>
      <x:c r="E43" s="233" t="str">
        <x:v>CELL_TEXT</x:v>
      </x:c>
      <x:c r="F43" s="233" t="str">
        <x:v>cell_content</x:v>
      </x:c>
      <x:c r="G43" s="233" t="str">
        <x:v>PRESERVE</x:v>
      </x:c>
      <x:c r="H43" s="233"/>
      <x:c r="I43" s="233" t="str">
        <x:v>Mọi ô có chữ/số/ký hiệu; bảo toàn tuyệt đối nội dung, kể cả ô trống có chủ đích.</x:v>
      </x:c>
      <x:c r="J43" s="233" t="str">
        <x:v>PRESERVE_ONLY</x:v>
      </x:c>
      <x:c r="K43" s="233" t="str">
        <x:v>Chưa có điều khoản riêng đã xác minh cho thuộc tính này</x:v>
      </x:c>
      <x:c r="L43" s="233" t="str">
        <x:v>NOT_VERIFIED_AT_ATTRIBUTE_LEVEL</x:v>
      </x:c>
      <x:c r="M43" s="233" t="str">
        <x:v>PROTECTED</x:v>
      </x:c>
      <x:c r="N43" s="233" t="str">
        <x:v>6</x:v>
      </x:c>
      <x:c r="O43" s="233" t="str">
        <x:v>w:tc/w:p/w:r</x:v>
      </x:c>
      <x:c r="P43" s="233"/>
      <x:c r="Q43" s="233"/>
      <x:c r="R43" s="233"/>
      <x:c r="S43" s="233"/>
      <x:c r="T43" s="233"/>
      <x:c r="U43" s="233"/>
      <x:c r="V43" s="233"/>
      <x:c r="W43" s="233"/>
      <x:c r="X43" s="233"/>
      <x:c r="Y43" s="233"/>
      <x:c r="Z43" s="233"/>
      <x:c r="AA43" s="233"/>
      <x:c r="AB43" s="233"/>
      <x:c r="AC43" s="233"/>
      <x:c r="AD43" s="233"/>
      <x:c r="AE43" s="233"/>
      <x:c r="AF43" s="233"/>
      <x:c r="AG43" s="233"/>
      <x:c r="AH43" s="233"/>
      <x:c r="AI43" s="233"/>
      <x:c r="AJ43" s="233"/>
      <x:c r="AK43" s="233"/>
      <x:c r="AL43" s="233"/>
      <x:c r="AM43" s="233"/>
      <x:c r="AN43" s="233"/>
      <x:c r="AO43" s="233"/>
      <x:c r="AP43" s="233"/>
      <x:c r="AQ43" s="233"/>
      <x:c r="AR43" s="233"/>
      <x:c r="AS43" s="233"/>
      <x:c r="AT43" s="233"/>
      <x:c r="AU43" s="233"/>
      <x:c r="AV43" s="233"/>
      <x:c r="AW43" s="233"/>
      <x:c r="AX43" s="233" t="str">
        <x:v>Bảo toàn 100% text và thứ tự đoạn</x:v>
      </x:c>
      <x:c r="AY43" s="233" t="str">
        <x:v>Kiểm tra phần tử đích trước khi diễn giải rule; không tự sửa.</x:v>
      </x:c>
      <x:c r="AZ43" s="233" t="str">
        <x:v>https://vbpl.moj.gov.vn/bonoivu/Pages/vbpq-toanvan.aspx?ItemID=141142&amp;dvid=320</x:v>
      </x:c>
    </x:row>
    <x:row r="44" ht="31" customHeight="1">
      <x:c r="A44" s="233" t="n">
        <x:v>38</x:v>
      </x:c>
      <x:c r="B44" s="233" t="str">
        <x:v>ND30.N.BANG.O.FONT</x:v>
      </x:c>
      <x:c r="C44" s="233" t="str">
        <x:v>ND30.N.BANG.O</x:v>
      </x:c>
      <x:c r="D44" s="233" t="str">
        <x:v>Phông chữ nội dung ô</x:v>
      </x:c>
      <x:c r="E44" s="233" t="str">
        <x:v>RUN</x:v>
      </x:c>
      <x:c r="F44" s="233" t="str">
        <x:v>cell_font</x:v>
      </x:c>
      <x:c r="G44" s="233" t="str">
        <x:v>Times New Roman; Unicode; #000000</x:v>
      </x:c>
      <x:c r="H44" s="233"/>
      <x:c r="I44" s="233" t="str">
        <x:v>Dùng Times New Roman và màu chữ đen cho chữ bảng; không thay thế ký tự gốc.</x:v>
      </x:c>
      <x:c r="J44" s="233" t="str">
        <x:v>PROFILE_DA_XAC_NHAN</x:v>
      </x:c>
      <x:c r="K44" s="233" t="str">
        <x:v>Chưa có điều khoản riêng đã xác minh cho thuộc tính này</x:v>
      </x:c>
      <x:c r="L44" s="233" t="str">
        <x:v>NOT_VERIFIED_AT_ATTRIBUTE_LEVEL</x:v>
      </x:c>
      <x:c r="M44" s="233" t="str">
        <x:v>CHECK_ONLY</x:v>
      </x:c>
      <x:c r="N44" s="233" t="str">
        <x:v>6</x:v>
      </x:c>
      <x:c r="O44" s="233" t="str">
        <x:v>w:rPr/w:rFonts</x:v>
      </x:c>
      <x:c r="P44" s="233" t="str">
        <x:v>Times New Roman</x:v>
      </x:c>
      <x:c r="Q44" s="233"/>
      <x:c r="R44" s="233"/>
      <x:c r="S44" s="233"/>
      <x:c r="T44" s="233" t="str">
        <x:v>#000000</x:v>
      </x:c>
      <x:c r="U44" s="233"/>
      <x:c r="V44" s="233"/>
      <x:c r="W44" s="233"/>
      <x:c r="X44" s="233"/>
      <x:c r="Y44" s="233"/>
      <x:c r="Z44" s="233"/>
      <x:c r="AA44" s="233"/>
      <x:c r="AB44" s="233"/>
      <x:c r="AC44" s="233"/>
      <x:c r="AD44" s="233"/>
      <x:c r="AE44" s="233"/>
      <x:c r="AF44" s="233"/>
      <x:c r="AG44" s="233"/>
      <x:c r="AH44" s="233"/>
      <x:c r="AI44" s="233"/>
      <x:c r="AJ44" s="233"/>
      <x:c r="AK44" s="233"/>
      <x:c r="AL44" s="233"/>
      <x:c r="AM44" s="233"/>
      <x:c r="AN44" s="233"/>
      <x:c r="AO44" s="233"/>
      <x:c r="AP44" s="233"/>
      <x:c r="AQ44" s="233"/>
      <x:c r="AR44" s="233"/>
      <x:c r="AS44" s="233"/>
      <x:c r="AT44" s="233"/>
      <x:c r="AU44" s="233"/>
      <x:c r="AV44" s="233"/>
      <x:c r="AW44" s="233"/>
      <x:c r="AX44" s="233" t="str">
        <x:v>Phông Unicode không làm mất ký tự</x:v>
      </x:c>
      <x:c r="AY44" s="233" t="str">
        <x:v>Dùng Times New Roman và màu chữ đen cho chữ bảng; không thay thế ký tự gốc. | Chưa xác minh là yêu cầu bắt buộc riêng của NĐ30/HD05; chỉ là profile nội bộ.</x:v>
      </x:c>
      <x:c r="AZ44" s="233" t="str">
        <x:v>Người dùng chốt trong trao đổi 29/10/2026; PROFILE NỘI BỘ; chưa có văn bản phê duyệt doanh nghiệp</x:v>
      </x:c>
    </x:row>
    <x:row r="45" ht="31" customHeight="1">
      <x:c r="A45" s="233" t="n">
        <x:v>39</x:v>
      </x:c>
      <x:c r="B45" s="233" t="str">
        <x:v>ND30.N.BANG.O.CO_CHU</x:v>
      </x:c>
      <x:c r="C45" s="233" t="str">
        <x:v>ND30.N.BANG.O</x:v>
      </x:c>
      <x:c r="D45" s="233" t="str">
        <x:v>Cỡ chữ nội dung ô</x:v>
      </x:c>
      <x:c r="E45" s="233" t="str">
        <x:v>RUN</x:v>
      </x:c>
      <x:c r="F45" s="233" t="str">
        <x:v>cell_size</x:v>
      </x:c>
      <x:c r="G45" s="233" t="n">
        <x:v>13</x:v>
      </x:c>
      <x:c r="H45" s="233" t="str">
        <x:v>pt</x:v>
      </x:c>
      <x:c r="I45" s="233" t="str">
        <x:v>Mọi ký tự văn bản nằm TRONG ô bảng, kể cả header/nhóm/tổng: 13 pt.</x:v>
      </x:c>
      <x:c r="J45" s="233" t="str">
        <x:v>PROFILE_DA_XAC_NHAN</x:v>
      </x:c>
      <x:c r="K45" s="233" t="str">
        <x:v>Chưa có điều khoản riêng đã xác minh cho thuộc tính này</x:v>
      </x:c>
      <x:c r="L45" s="233" t="str">
        <x:v>NOT_VERIFIED_AT_ATTRIBUTE_LEVEL</x:v>
      </x:c>
      <x:c r="M45" s="233" t="str">
        <x:v>CHECK_ONLY</x:v>
      </x:c>
      <x:c r="N45" s="233" t="str">
        <x:v>6</x:v>
      </x:c>
      <x:c r="O45" s="233" t="str">
        <x:v>w:rPr/w:sz</x:v>
      </x:c>
      <x:c r="P45" s="233" t="str">
        <x:v>Times New Roman</x:v>
      </x:c>
      <x:c r="Q45" s="233" t="n">
        <x:v>13</x:v>
      </x:c>
      <x:c r="R45" s="233"/>
      <x:c r="S45" s="233"/>
      <x:c r="T45" s="233"/>
      <x:c r="U45" s="233"/>
      <x:c r="V45" s="233"/>
      <x:c r="W45" s="233"/>
      <x:c r="X45" s="233"/>
      <x:c r="Y45" s="233"/>
      <x:c r="Z45" s="233"/>
      <x:c r="AA45" s="233"/>
      <x:c r="AB45" s="233"/>
      <x:c r="AC45" s="233"/>
      <x:c r="AD45" s="233"/>
      <x:c r="AE45" s="233"/>
      <x:c r="AF45" s="233"/>
      <x:c r="AG45" s="233"/>
      <x:c r="AH45" s="233"/>
      <x:c r="AI45" s="233"/>
      <x:c r="AJ45" s="233"/>
      <x:c r="AK45" s="233"/>
      <x:c r="AL45" s="233"/>
      <x:c r="AM45" s="233"/>
      <x:c r="AN45" s="233"/>
      <x:c r="AO45" s="233"/>
      <x:c r="AP45" s="233"/>
      <x:c r="AQ45" s="233"/>
      <x:c r="AR45" s="233"/>
      <x:c r="AS45" s="233"/>
      <x:c r="AT45" s="233"/>
      <x:c r="AU45" s="233"/>
      <x:c r="AV45" s="233"/>
      <x:c r="AW45" s="233"/>
      <x:c r="AX45" s="233" t="str">
        <x:v>Chỉ là preset dự thảo, kiểm tra riêng HD05</x:v>
      </x:c>
      <x:c r="AY45" s="233" t="str">
        <x:v>ĐÃ CHỐT 13 PT (yêu cầu người dùng 29/10/2026). NĐ30: 13 pt là lựa chọn profile Công ty, không phải cỡ chữ bắt buộc duy nhất.</x:v>
      </x:c>
      <x:c r="AZ45" s="233" t="str">
        <x:v>PROFILE_HTHHMB_v1.5_DRAFT</x:v>
      </x:c>
    </x:row>
    <x:row r="46" ht="31" customHeight="1">
      <x:c r="A46" s="233" t="n">
        <x:v>40</x:v>
      </x:c>
      <x:c r="B46" s="233" t="str">
        <x:v>ND30.N.BANG.O.DAM</x:v>
      </x:c>
      <x:c r="C46" s="233" t="str">
        <x:v>ND30.N.BANG.O</x:v>
      </x:c>
      <x:c r="D46" s="233" t="str">
        <x:v>Chữ đậm trong ô</x:v>
      </x:c>
      <x:c r="E46" s="233" t="str">
        <x:v>RUN</x:v>
      </x:c>
      <x:c r="F46" s="233" t="str">
        <x:v>cell_bold</x:v>
      </x:c>
      <x:c r="G46" s="233" t="str">
        <x:v>PRESERVE</x:v>
      </x:c>
      <x:c r="H46" s="233"/>
      <x:c r="I46" s="233" t="str">
        <x:v>Chỉ thuộc tính đậm/nghiêng theo vai trò ô; giữ nguyên chỗ nhấn cục bộ ngoài header.</x:v>
      </x:c>
      <x:c r="J46" s="233" t="str">
        <x:v>PRESERVE_ONLY</x:v>
      </x:c>
      <x:c r="K46" s="233" t="str">
        <x:v>Chưa có điều khoản riêng đã xác minh cho thuộc tính này</x:v>
      </x:c>
      <x:c r="L46" s="233" t="str">
        <x:v>NOT_VERIFIED_AT_ATTRIBUTE_LEVEL</x:v>
      </x:c>
      <x:c r="M46" s="233" t="str">
        <x:v>PROTECTED</x:v>
      </x:c>
      <x:c r="N46" s="233" t="str">
        <x:v>6</x:v>
      </x:c>
      <x:c r="O46" s="233" t="str">
        <x:v>w:rPr/w:b</x:v>
      </x:c>
      <x:c r="P46" s="233"/>
      <x:c r="Q46" s="233"/>
      <x:c r="R46" s="233" t="str">
        <x:v>PRESERVE</x:v>
      </x:c>
      <x:c r="S46" s="233"/>
      <x:c r="T46" s="233"/>
      <x:c r="U46" s="233"/>
      <x:c r="V46" s="233"/>
      <x:c r="W46" s="233"/>
      <x:c r="X46" s="233"/>
      <x:c r="Y46" s="233"/>
      <x:c r="Z46" s="233"/>
      <x:c r="AA46" s="233"/>
      <x:c r="AB46" s="233"/>
      <x:c r="AC46" s="233"/>
      <x:c r="AD46" s="233"/>
      <x:c r="AE46" s="233"/>
      <x:c r="AF46" s="233"/>
      <x:c r="AG46" s="233"/>
      <x:c r="AH46" s="233"/>
      <x:c r="AI46" s="233"/>
      <x:c r="AJ46" s="233"/>
      <x:c r="AK46" s="233"/>
      <x:c r="AL46" s="233"/>
      <x:c r="AM46" s="233"/>
      <x:c r="AN46" s="233"/>
      <x:c r="AO46" s="233"/>
      <x:c r="AP46" s="233"/>
      <x:c r="AQ46" s="233"/>
      <x:c r="AR46" s="233"/>
      <x:c r="AS46" s="233"/>
      <x:c r="AT46" s="233"/>
      <x:c r="AU46" s="233"/>
      <x:c r="AV46" s="233"/>
      <x:c r="AW46" s="233"/>
      <x:c r="AX46" s="233" t="str">
        <x:v>Không xóa nhấn mạnh cục bộ</x:v>
      </x:c>
      <x:c r="AY46" s="233" t="str">
        <x:v>Kiểm tra phần tử đích trước khi diễn giải rule; không tự sửa.</x:v>
      </x:c>
      <x:c r="AZ46" s="233" t="str">
        <x:v>https://vbpl.moj.gov.vn/bonoivu/Pages/vbpq-toanvan.aspx?ItemID=141142&amp;dvid=320</x:v>
      </x:c>
    </x:row>
    <x:row r="47" ht="31" customHeight="1">
      <x:c r="A47" s="233" t="n">
        <x:v>41</x:v>
      </x:c>
      <x:c r="B47" s="233" t="str">
        <x:v>ND30.N.BANG.O.NGHIENG</x:v>
      </x:c>
      <x:c r="C47" s="233" t="str">
        <x:v>ND30.N.BANG.O</x:v>
      </x:c>
      <x:c r="D47" s="233" t="str">
        <x:v>Chữ nghiêng trong ô</x:v>
      </x:c>
      <x:c r="E47" s="233" t="str">
        <x:v>RUN</x:v>
      </x:c>
      <x:c r="F47" s="233" t="str">
        <x:v>cell_italic</x:v>
      </x:c>
      <x:c r="G47" s="233" t="str">
        <x:v>PRESERVE</x:v>
      </x:c>
      <x:c r="H47" s="233"/>
      <x:c r="I47" s="233" t="str">
        <x:v>Chỉ thuộc tính nghiêng của văn bản trong ô; bảo toàn nhấn mạnh có chủ đích.</x:v>
      </x:c>
      <x:c r="J47" s="233" t="str">
        <x:v>PRESERVE_ONLY</x:v>
      </x:c>
      <x:c r="K47" s="233" t="str">
        <x:v>Chưa có điều khoản riêng đã xác minh cho thuộc tính này</x:v>
      </x:c>
      <x:c r="L47" s="233" t="str">
        <x:v>NOT_VERIFIED_AT_ATTRIBUTE_LEVEL</x:v>
      </x:c>
      <x:c r="M47" s="233" t="str">
        <x:v>PROTECTED</x:v>
      </x:c>
      <x:c r="N47" s="233" t="str">
        <x:v>6</x:v>
      </x:c>
      <x:c r="O47" s="233" t="str">
        <x:v>w:rPr/w:i</x:v>
      </x:c>
      <x:c r="P47" s="233"/>
      <x:c r="Q47" s="233"/>
      <x:c r="R47" s="233"/>
      <x:c r="S47" s="233" t="str">
        <x:v>PRESERVE</x:v>
      </x:c>
      <x:c r="T47" s="233"/>
      <x:c r="U47" s="233"/>
      <x:c r="V47" s="233"/>
      <x:c r="W47" s="233"/>
      <x:c r="X47" s="233"/>
      <x:c r="Y47" s="233"/>
      <x:c r="Z47" s="233"/>
      <x:c r="AA47" s="233"/>
      <x:c r="AB47" s="233"/>
      <x:c r="AC47" s="233"/>
      <x:c r="AD47" s="233"/>
      <x:c r="AE47" s="233"/>
      <x:c r="AF47" s="233"/>
      <x:c r="AG47" s="233"/>
      <x:c r="AH47" s="233"/>
      <x:c r="AI47" s="233"/>
      <x:c r="AJ47" s="233"/>
      <x:c r="AK47" s="233"/>
      <x:c r="AL47" s="233"/>
      <x:c r="AM47" s="233"/>
      <x:c r="AN47" s="233"/>
      <x:c r="AO47" s="233"/>
      <x:c r="AP47" s="233"/>
      <x:c r="AQ47" s="233"/>
      <x:c r="AR47" s="233"/>
      <x:c r="AS47" s="233"/>
      <x:c r="AT47" s="233"/>
      <x:c r="AU47" s="233"/>
      <x:c r="AV47" s="233"/>
      <x:c r="AW47" s="233"/>
      <x:c r="AX47" s="233" t="str">
        <x:v>Không xóa định dạng cục bộ</x:v>
      </x:c>
      <x:c r="AY47" s="233" t="str">
        <x:v>Kiểm tra phần tử đích trước khi diễn giải rule; không tự sửa.</x:v>
      </x:c>
      <x:c r="AZ47" s="233" t="str">
        <x:v>https://vbpl.moj.gov.vn/bonoivu/Pages/vbpq-toanvan.aspx?ItemID=141142&amp;dvid=320</x:v>
      </x:c>
    </x:row>
    <x:row r="48" ht="31" customHeight="1">
      <x:c r="A48" s="233" t="n">
        <x:v>42</x:v>
      </x:c>
      <x:c r="B48" s="233" t="str">
        <x:v>ND30.N.BANG.O.CAN_NGANG</x:v>
      </x:c>
      <x:c r="C48" s="233" t="str">
        <x:v>ND30.N.BANG.O</x:v>
      </x:c>
      <x:c r="D48" s="233" t="str">
        <x:v>Căn ngang nội dung ô</x:v>
      </x:c>
      <x:c r="E48" s="233" t="str">
        <x:v>PARAGRAPH</x:v>
      </x:c>
      <x:c r="F48" s="233" t="str">
        <x:v>cell_h_align</x:v>
      </x:c>
      <x:c r="G48" s="233" t="str">
        <x:v>CENTER_STT_CODE; LEFT_TEXT; RIGHT_QUANTITIES</x:v>
      </x:c>
      <x:c r="H48" s="233"/>
      <x:c r="I48" s="233" t="str">
        <x:v>Ma trận: tiêu đề, STT, mã ngắn CENTER; văn bản diễn giải LEFT; đại lượng tài chính/thống kê RIGHT.</x:v>
      </x:c>
      <x:c r="J48" s="233" t="str">
        <x:v>PROFILE_DA_XAC_NHAN</x:v>
      </x:c>
      <x:c r="K48" s="233" t="str">
        <x:v>Chưa có điều khoản riêng đã xác minh cho thuộc tính này</x:v>
      </x:c>
      <x:c r="L48" s="233" t="str">
        <x:v>NOT_VERIFIED_AT_ATTRIBUTE_LEVEL</x:v>
      </x:c>
      <x:c r="M48" s="233" t="str">
        <x:v>CHECK_ONLY</x:v>
      </x:c>
      <x:c r="N48" s="233" t="str">
        <x:v>6</x:v>
      </x:c>
      <x:c r="O48" s="233" t="str">
        <x:v>w:pPr/w:jc</x:v>
      </x:c>
      <x:c r="P48" s="233"/>
      <x:c r="Q48" s="233"/>
      <x:c r="R48" s="233"/>
      <x:c r="S48" s="233"/>
      <x:c r="T48" s="233"/>
      <x:c r="U48" s="233" t="str">
        <x:v>ROLE_DEPENDENT</x:v>
      </x:c>
      <x:c r="V48" s="233"/>
      <x:c r="W48" s="233"/>
      <x:c r="X48" s="233"/>
      <x:c r="Y48" s="233"/>
      <x:c r="Z48" s="233"/>
      <x:c r="AA48" s="233"/>
      <x:c r="AB48" s="233"/>
      <x:c r="AC48" s="233"/>
      <x:c r="AD48" s="233"/>
      <x:c r="AE48" s="233"/>
      <x:c r="AF48" s="233"/>
      <x:c r="AG48" s="233"/>
      <x:c r="AH48" s="233"/>
      <x:c r="AI48" s="233"/>
      <x:c r="AJ48" s="233"/>
      <x:c r="AK48" s="233"/>
      <x:c r="AL48" s="233"/>
      <x:c r="AM48" s="233"/>
      <x:c r="AN48" s="233"/>
      <x:c r="AO48" s="233"/>
      <x:c r="AP48" s="233"/>
      <x:c r="AQ48" s="233"/>
      <x:c r="AR48" s="233"/>
      <x:c r="AS48" s="233"/>
      <x:c r="AT48" s="233"/>
      <x:c r="AU48" s="233"/>
      <x:c r="AV48" s="233"/>
      <x:c r="AW48" s="233"/>
      <x:c r="AX48" s="233" t="str">
        <x:v>Nhãn/chữ/số có thể khác nhau</x:v>
      </x:c>
      <x:c r="AY48" s="233" t="str">
        <x:v>Ma trận: tiêu đề, STT, mã ngắn CENTER; văn bản diễn giải LEFT; đại lượng tài chính/thống kê RIGHT. | Chưa xác minh là yêu cầu bắt buộc riêng của NĐ30/HD05; chỉ là profile nội bộ.</x:v>
      </x:c>
      <x:c r="AZ48" s="233" t="str">
        <x:v>Người dùng chốt trong trao đổi 29/10/2026; PROFILE NỘI BỘ; chưa có văn bản phê duyệt doanh nghiệp</x:v>
      </x:c>
    </x:row>
    <x:row r="49" ht="31" customHeight="1">
      <x:c r="A49" s="233" t="n">
        <x:v>43</x:v>
      </x:c>
      <x:c r="B49" s="233" t="str">
        <x:v>ND30.N.BANG.O.CAN_DOC</x:v>
      </x:c>
      <x:c r="C49" s="233" t="str">
        <x:v>ND30.N.BANG.O</x:v>
      </x:c>
      <x:c r="D49" s="233" t="str">
        <x:v>Căn dọc nội dung ô</x:v>
      </x:c>
      <x:c r="E49" s="233" t="str">
        <x:v>CELL</x:v>
      </x:c>
      <x:c r="F49" s="233" t="str">
        <x:v>cell_v_align</x:v>
      </x:c>
      <x:c r="G49" s="233" t="str">
        <x:v>CENTER</x:v>
      </x:c>
      <x:c r="H49" s="233"/>
      <x:c r="I49" s="233" t="str">
        <x:v>Căn giữa theo chiều dọc theo profile; nếu bảng có đoạn văn nhiều dòng đặc thù, đối chiếu trước khi sửa.</x:v>
      </x:c>
      <x:c r="J49" s="233" t="str">
        <x:v>PROFILE_DA_XAC_NHAN</x:v>
      </x:c>
      <x:c r="K49" s="233" t="str">
        <x:v>Chưa có điều khoản riêng đã xác minh cho thuộc tính này</x:v>
      </x:c>
      <x:c r="L49" s="233" t="str">
        <x:v>NOT_VERIFIED_AT_ATTRIBUTE_LEVEL</x:v>
      </x:c>
      <x:c r="M49" s="233" t="str">
        <x:v>CHECK_ONLY</x:v>
      </x:c>
      <x:c r="N49" s="233" t="str">
        <x:v>6</x:v>
      </x:c>
      <x:c r="O49" s="233" t="str">
        <x:v>w:tcPr/w:vAlign</x:v>
      </x:c>
      <x:c r="P49" s="233"/>
      <x:c r="Q49" s="233"/>
      <x:c r="R49" s="233"/>
      <x:c r="S49" s="233"/>
      <x:c r="T49" s="233"/>
      <x:c r="U49" s="233"/>
      <x:c r="V49" s="233" t="str">
        <x:v>CENTER</x:v>
      </x:c>
      <x:c r="W49" s="233"/>
      <x:c r="X49" s="233"/>
      <x:c r="Y49" s="233"/>
      <x:c r="Z49" s="233"/>
      <x:c r="AA49" s="233"/>
      <x:c r="AB49" s="233"/>
      <x:c r="AC49" s="233"/>
      <x:c r="AD49" s="233"/>
      <x:c r="AE49" s="233"/>
      <x:c r="AF49" s="233"/>
      <x:c r="AG49" s="233"/>
      <x:c r="AH49" s="233"/>
      <x:c r="AI49" s="233"/>
      <x:c r="AJ49" s="233"/>
      <x:c r="AK49" s="233"/>
      <x:c r="AL49" s="233"/>
      <x:c r="AM49" s="233"/>
      <x:c r="AN49" s="233"/>
      <x:c r="AO49" s="233"/>
      <x:c r="AP49" s="233"/>
      <x:c r="AQ49" s="233"/>
      <x:c r="AR49" s="233"/>
      <x:c r="AS49" s="233"/>
      <x:c r="AT49" s="233"/>
      <x:c r="AU49" s="233"/>
      <x:c r="AV49" s="233"/>
      <x:c r="AW49" s="233"/>
      <x:c r="AX49" s="233" t="str">
        <x:v>Nội dung không chạm mép trên/dưới</x:v>
      </x:c>
      <x:c r="AY49" s="233" t="str">
        <x:v>Căn giữa theo chiều dọc theo profile; nếu bảng có đoạn văn nhiều dòng đặc thù, đối chiếu trước khi sửa. | Chưa xác minh là yêu cầu bắt buộc riêng của NĐ30/HD05; chỉ là profile nội bộ.</x:v>
      </x:c>
      <x:c r="AZ49" s="233" t="str">
        <x:v>Người dùng chốt trong trao đổi 29/10/2026; PROFILE NỘI BỘ; chưa có văn bản phê duyệt doanh nghiệp</x:v>
      </x:c>
    </x:row>
    <x:row r="50" ht="31" customHeight="1">
      <x:c r="A50" s="233" t="n">
        <x:v>44</x:v>
      </x:c>
      <x:c r="B50" s="233" t="str">
        <x:v>ND30.N.BANG.O.GIAN_DONG</x:v>
      </x:c>
      <x:c r="C50" s="233" t="str">
        <x:v>ND30.N.BANG.O</x:v>
      </x:c>
      <x:c r="D50" s="233" t="str">
        <x:v>Giãn dòng trong ô</x:v>
      </x:c>
      <x:c r="E50" s="233" t="str">
        <x:v>PARAGRAPH</x:v>
      </x:c>
      <x:c r="F50" s="233" t="str">
        <x:v>cell_line_spacing</x:v>
      </x:c>
      <x:c r="G50" s="233" t="str">
        <x:v>SINGLE</x:v>
      </x:c>
      <x:c r="H50" s="233" t="str">
        <x:v>lines</x:v>
      </x:c>
      <x:c r="I50" s="233" t="str">
        <x:v>Giãn dòng đơn trong ô bảng theo quyết định nội bộ; riêng HD05 phải đánh dấu cần đối chiếu quy định lời văn 18–22 pt, không kết luận tuân thủ pháp lý.</x:v>
      </x:c>
      <x:c r="J50" s="233" t="str">
        <x:v>PROFILE_DA_XAC_NHAN</x:v>
      </x:c>
      <x:c r="K50" s="233" t="str">
        <x:v>Chưa có điều khoản riêng đã xác minh cho thuộc tính này</x:v>
      </x:c>
      <x:c r="L50" s="233" t="str">
        <x:v>NOT_VERIFIED_AT_ATTRIBUTE_LEVEL</x:v>
      </x:c>
      <x:c r="M50" s="233" t="str">
        <x:v>CHECK_ONLY</x:v>
      </x:c>
      <x:c r="N50" s="233" t="str">
        <x:v>6</x:v>
      </x:c>
      <x:c r="O50" s="233" t="str">
        <x:v>w:pPr/w:spacing</x:v>
      </x:c>
      <x:c r="P50" s="233"/>
      <x:c r="Q50" s="233"/>
      <x:c r="R50" s="233"/>
      <x:c r="S50" s="233"/>
      <x:c r="T50" s="233"/>
      <x:c r="U50" s="233"/>
      <x:c r="V50" s="233"/>
      <x:c r="W50" s="233" t="str">
        <x:v>SINGLE</x:v>
      </x:c>
      <x:c r="X50" s="233" t="n">
        <x:v>1</x:v>
      </x:c>
      <x:c r="Y50" s="233"/>
      <x:c r="Z50" s="233"/>
      <x:c r="AA50" s="233"/>
      <x:c r="AB50" s="233"/>
      <x:c r="AC50" s="233"/>
      <x:c r="AD50" s="233"/>
      <x:c r="AE50" s="233"/>
      <x:c r="AF50" s="233"/>
      <x:c r="AG50" s="233"/>
      <x:c r="AH50" s="233"/>
      <x:c r="AI50" s="233"/>
      <x:c r="AJ50" s="233"/>
      <x:c r="AK50" s="233"/>
      <x:c r="AL50" s="233"/>
      <x:c r="AM50" s="233"/>
      <x:c r="AN50" s="233"/>
      <x:c r="AO50" s="233"/>
      <x:c r="AP50" s="233"/>
      <x:c r="AQ50" s="233"/>
      <x:c r="AR50" s="233"/>
      <x:c r="AS50" s="233"/>
      <x:c r="AT50" s="233"/>
      <x:c r="AU50" s="233"/>
      <x:c r="AV50" s="233"/>
      <x:c r="AW50" s="233"/>
      <x:c r="AX50" s="233" t="str">
        <x:v>Không áp giãn dòng thân bài vào ô</x:v>
      </x:c>
      <x:c r="AY50" s="233" t="str">
        <x:v>Giãn dòng đơn trong ô bảng theo quyết định nội bộ; riêng HD05 phải đánh dấu cần đối chiếu quy định lời văn 18–22 pt, không kết luận tuân thủ pháp lý. | Chưa xác minh là yêu cầu bắt buộc riêng của NĐ30/HD05; chỉ là profile nội bộ.</x:v>
      </x:c>
      <x:c r="AZ50" s="233" t="str">
        <x:v>Người dùng chốt trong trao đổi 29/10/2026; PROFILE NỘI BỘ; chưa có văn bản phê duyệt doanh nghiệp</x:v>
      </x:c>
    </x:row>
    <x:row r="51" ht="31" customHeight="1">
      <x:c r="A51" s="233" t="n">
        <x:v>45</x:v>
      </x:c>
      <x:c r="B51" s="233" t="str">
        <x:v>ND30.N.BANG.O.CACH_DOAN</x:v>
      </x:c>
      <x:c r="C51" s="233" t="str">
        <x:v>ND30.N.BANG.O</x:v>
      </x:c>
      <x:c r="D51" s="233" t="str">
        <x:v>Cách đoạn bên trong ô</x:v>
      </x:c>
      <x:c r="E51" s="233" t="str">
        <x:v>PARAGRAPH</x:v>
      </x:c>
      <x:c r="F51" s="233" t="str">
        <x:v>cell_space_after</x:v>
      </x:c>
      <x:c r="G51" s="233" t="n">
        <x:v>0</x:v>
      </x:c>
      <x:c r="H51" s="233" t="str">
        <x:v>pt</x:v>
      </x:c>
      <x:c r="I51" s="233" t="str">
        <x:v>Trong mỗi ô, cách TRƯỚC = 0 pt và cách SAU = 0 pt; không xóa đoạn rỗng có ý nghĩa chưa được duyệt.</x:v>
      </x:c>
      <x:c r="J51" s="233" t="str">
        <x:v>PROFILE_DA_XAC_NHAN</x:v>
      </x:c>
      <x:c r="K51" s="233" t="str">
        <x:v>Chưa có điều khoản riêng đã xác minh cho thuộc tính này</x:v>
      </x:c>
      <x:c r="L51" s="233" t="str">
        <x:v>NOT_VERIFIED_AT_ATTRIBUTE_LEVEL</x:v>
      </x:c>
      <x:c r="M51" s="233" t="str">
        <x:v>CHECK_ONLY</x:v>
      </x:c>
      <x:c r="N51" s="233" t="str">
        <x:v>6</x:v>
      </x:c>
      <x:c r="O51" s="233" t="str">
        <x:v>w:pPr/w:spacing/@w:after</x:v>
      </x:c>
      <x:c r="P51" s="233"/>
      <x:c r="Q51" s="233"/>
      <x:c r="R51" s="233"/>
      <x:c r="S51" s="233"/>
      <x:c r="T51" s="233"/>
      <x:c r="U51" s="233"/>
      <x:c r="V51" s="233"/>
      <x:c r="W51" s="233"/>
      <x:c r="X51" s="233"/>
      <x:c r="Y51" s="233" t="n">
        <x:v>0</x:v>
      </x:c>
      <x:c r="Z51" s="233" t="n">
        <x:v>0</x:v>
      </x:c>
      <x:c r="AA51" s="233"/>
      <x:c r="AB51" s="233"/>
      <x:c r="AC51" s="233"/>
      <x:c r="AD51" s="233"/>
      <x:c r="AE51" s="233"/>
      <x:c r="AF51" s="233"/>
      <x:c r="AG51" s="233"/>
      <x:c r="AH51" s="233"/>
      <x:c r="AI51" s="233"/>
      <x:c r="AJ51" s="233"/>
      <x:c r="AK51" s="233"/>
      <x:c r="AL51" s="233"/>
      <x:c r="AM51" s="233"/>
      <x:c r="AN51" s="233"/>
      <x:c r="AO51" s="233"/>
      <x:c r="AP51" s="233"/>
      <x:c r="AQ51" s="233"/>
      <x:c r="AR51" s="233"/>
      <x:c r="AS51" s="233"/>
      <x:c r="AT51" s="233"/>
      <x:c r="AU51" s="233"/>
      <x:c r="AV51" s="233"/>
      <x:c r="AW51" s="233"/>
      <x:c r="AX51" s="233" t="str">
        <x:v>Không phát sinh khoảng trống giữa các dòng</x:v>
      </x:c>
      <x:c r="AY51" s="233" t="str">
        <x:v>Trong mỗi ô, cách TRƯỚC = 0 pt và cách SAU = 0 pt; không xóa đoạn rỗng có ý nghĩa chưa được duyệt. | Chưa xác minh là yêu cầu bắt buộc riêng của NĐ30/HD05; chỉ là profile nội bộ.</x:v>
      </x:c>
      <x:c r="AZ51" s="233" t="str">
        <x:v>Người dùng chốt trong trao đổi 29/10/2026; PROFILE NỘI BỘ; chưa có văn bản phê duyệt doanh nghiệp</x:v>
      </x:c>
    </x:row>
    <x:row r="52" ht="31" customHeight="1">
      <x:c r="A52" s="233" t="n">
        <x:v>46</x:v>
      </x:c>
      <x:c r="B52" s="233" t="str">
        <x:v>ND30.N.BANG.O.LE_TRONG</x:v>
      </x:c>
      <x:c r="C52" s="233" t="str">
        <x:v>ND30.N.BANG.O</x:v>
      </x:c>
      <x:c r="D52" s="233" t="str">
        <x:v>Lề trong ô</x:v>
      </x:c>
      <x:c r="E52" s="233" t="str">
        <x:v>CELL</x:v>
      </x:c>
      <x:c r="F52" s="233" t="str">
        <x:v>cell_padding</x:v>
      </x:c>
      <x:c r="G52" s="233" t="n">
        <x:v>1.5</x:v>
      </x:c>
      <x:c r="H52" s="233" t="str">
        <x:v>mm</x:v>
      </x:c>
      <x:c r="I52" s="233" t="str">
        <x:v>Bốn lề trong ô: trên, dưới, trái, phải đều 1,5 mm; không áp cho caption ngoài bảng.</x:v>
      </x:c>
      <x:c r="J52" s="233" t="str">
        <x:v>PROFILE_DA_XAC_NHAN</x:v>
      </x:c>
      <x:c r="K52" s="233" t="str">
        <x:v>Chưa có điều khoản riêng đã xác minh cho thuộc tính này</x:v>
      </x:c>
      <x:c r="L52" s="233" t="str">
        <x:v>NOT_VERIFIED_AT_ATTRIBUTE_LEVEL</x:v>
      </x:c>
      <x:c r="M52" s="233" t="str">
        <x:v>CHECK_ONLY</x:v>
      </x:c>
      <x:c r="N52" s="233" t="str">
        <x:v>6</x:v>
      </x:c>
      <x:c r="O52" s="233" t="str">
        <x:v>w:tcPr/w:tcMar</x:v>
      </x:c>
      <x:c r="P52" s="233"/>
      <x:c r="Q52" s="233"/>
      <x:c r="R52" s="233"/>
      <x:c r="S52" s="233"/>
      <x:c r="T52" s="233"/>
      <x:c r="U52" s="233"/>
      <x:c r="V52" s="233"/>
      <x:c r="W52" s="233"/>
      <x:c r="X52" s="233"/>
      <x:c r="Y52" s="233"/>
      <x:c r="Z52" s="233"/>
      <x:c r="AA52" s="233"/>
      <x:c r="AB52" s="233"/>
      <x:c r="AC52" s="233"/>
      <x:c r="AD52" s="233"/>
      <x:c r="AE52" s="233"/>
      <x:c r="AF52" s="233"/>
      <x:c r="AG52" s="233"/>
      <x:c r="AH52" s="233"/>
      <x:c r="AI52" s="233"/>
      <x:c r="AJ52" s="233" t="n">
        <x:v>1.5</x:v>
      </x:c>
      <x:c r="AK52" s="233" t="n">
        <x:v>1.5</x:v>
      </x:c>
      <x:c r="AL52" s="233" t="n">
        <x:v>1.5</x:v>
      </x:c>
      <x:c r="AM52" s="233" t="n">
        <x:v>1.5</x:v>
      </x:c>
      <x:c r="AN52" s="233"/>
      <x:c r="AO52" s="233"/>
      <x:c r="AP52" s="233"/>
      <x:c r="AQ52" s="233"/>
      <x:c r="AR52" s="233"/>
      <x:c r="AS52" s="233"/>
      <x:c r="AT52" s="233"/>
      <x:c r="AU52" s="233"/>
      <x:c r="AV52" s="233"/>
      <x:c r="AW52" s="233"/>
      <x:c r="AX52" s="233" t="str">
        <x:v>Có khoảng thở, không bị cắt chữ</x:v>
      </x:c>
      <x:c r="AY52" s="233" t="str">
        <x:v>Bốn lề trong ô: trên, dưới, trái, phải đều 1,5 mm; không áp cho caption ngoài bảng. | Chưa xác minh là yêu cầu bắt buộc riêng của NĐ30/HD05; chỉ là profile nội bộ.</x:v>
      </x:c>
      <x:c r="AZ52" s="233" t="str">
        <x:v>Người dùng chốt trong trao đổi 29/10/2026; PROFILE NỘI BỘ; chưa có văn bản phê duyệt doanh nghiệp</x:v>
      </x:c>
    </x:row>
    <x:row r="53" ht="31" customHeight="1">
      <x:c r="A53" s="233" t="n">
        <x:v>47</x:v>
      </x:c>
      <x:c r="B53" s="233" t="str">
        <x:v>ND30.N.BANG.O.XUONG_DONG</x:v>
      </x:c>
      <x:c r="C53" s="233" t="str">
        <x:v>ND30.N.BANG.O</x:v>
      </x:c>
      <x:c r="D53" s="233" t="str">
        <x:v>Xuống dòng trong ô</x:v>
      </x:c>
      <x:c r="E53" s="233" t="str">
        <x:v>CELL</x:v>
      </x:c>
      <x:c r="F53" s="233" t="str">
        <x:v>cell_wrap</x:v>
      </x:c>
      <x:c r="G53" s="233" t="str">
        <x:v>TRUE</x:v>
      </x:c>
      <x:c r="H53" s="233"/>
      <x:c r="I53" s="233" t="str">
        <x:v>Cho phép tự xuống dòng trong ô khi chạm lề; không biến thành hard line breaks.</x:v>
      </x:c>
      <x:c r="J53" s="233" t="str">
        <x:v>PROFILE_DA_XAC_NHAN</x:v>
      </x:c>
      <x:c r="K53" s="233" t="str">
        <x:v>Chưa có điều khoản riêng đã xác minh cho thuộc tính này</x:v>
      </x:c>
      <x:c r="L53" s="233" t="str">
        <x:v>NOT_VERIFIED_AT_ATTRIBUTE_LEVEL</x:v>
      </x:c>
      <x:c r="M53" s="233" t="str">
        <x:v>CHECK_ONLY</x:v>
      </x:c>
      <x:c r="N53" s="233" t="str">
        <x:v>6</x:v>
      </x:c>
      <x:c r="O53" s="233" t="str">
        <x:v>Word: cho phép tự xuống dòng trong ô (Wrap Text); không bật NoWrap</x:v>
      </x:c>
      <x:c r="P53" s="233"/>
      <x:c r="Q53" s="233"/>
      <x:c r="R53" s="233"/>
      <x:c r="S53" s="233"/>
      <x:c r="T53" s="233"/>
      <x:c r="U53" s="233"/>
      <x:c r="V53" s="233"/>
      <x:c r="W53" s="233"/>
      <x:c r="X53" s="233"/>
      <x:c r="Y53" s="233"/>
      <x:c r="Z53" s="233"/>
      <x:c r="AA53" s="233"/>
      <x:c r="AB53" s="233"/>
      <x:c r="AC53" s="233"/>
      <x:c r="AD53" s="233"/>
      <x:c r="AE53" s="233"/>
      <x:c r="AF53" s="233"/>
      <x:c r="AG53" s="233"/>
      <x:c r="AH53" s="233"/>
      <x:c r="AI53" s="233"/>
      <x:c r="AJ53" s="233"/>
      <x:c r="AK53" s="233"/>
      <x:c r="AL53" s="233"/>
      <x:c r="AM53" s="233"/>
      <x:c r="AN53" s="233"/>
      <x:c r="AO53" s="233"/>
      <x:c r="AP53" s="233"/>
      <x:c r="AQ53" s="233"/>
      <x:c r="AR53" s="233"/>
      <x:c r="AS53" s="233" t="str">
        <x:v>TRUE</x:v>
      </x:c>
      <x:c r="AT53" s="233"/>
      <x:c r="AU53" s="233"/>
      <x:c r="AV53" s="233"/>
      <x:c r="AW53" s="233"/>
      <x:c r="AX53" s="233" t="str">
        <x:v>Dòng dài không bị cắt</x:v>
      </x:c>
      <x:c r="AY53" s="233" t="str">
        <x:v>Cho phép tự xuống dòng trong ô khi chạm lề; không biến thành hard line breaks. | Chưa xác minh là yêu cầu bắt buộc riêng của NĐ30/HD05; chỉ là profile nội bộ.</x:v>
      </x:c>
      <x:c r="AZ53" s="233" t="str">
        <x:v>Người dùng chốt trong trao đổi 29/10/2026; PROFILE NỘI BỘ; chưa có văn bản phê duyệt doanh nghiệp</x:v>
      </x:c>
    </x:row>
    <x:row r="54" ht="31" customHeight="1">
      <x:c r="A54" s="233" t="n">
        <x:v>48</x:v>
      </x:c>
      <x:c r="B54" s="233" t="str">
        <x:v>ND30.N.BANG.O.TO_NEN</x:v>
      </x:c>
      <x:c r="C54" s="233" t="str">
        <x:v>ND30.N.BANG.O</x:v>
      </x:c>
      <x:c r="D54" s="233" t="str">
        <x:v>Tô nền ô</x:v>
      </x:c>
      <x:c r="E54" s="233" t="str">
        <x:v>CELL</x:v>
      </x:c>
      <x:c r="F54" s="233" t="str">
        <x:v>cell_shading</x:v>
      </x:c>
      <x:c r="G54" s="233" t="str">
        <x:v>NONE_NEW; PRESERVE_MEANINGFUL_EXISTING</x:v>
      </x:c>
      <x:c r="H54" s="233"/>
      <x:c r="I54" s="233" t="str">
        <x:v>Không thêm nền mặc định, bảo toàn màu nền gốc có ý nghĩa.</x:v>
      </x:c>
      <x:c r="J54" s="233" t="str">
        <x:v>PROFILE_DA_XAC_NHAN</x:v>
      </x:c>
      <x:c r="K54" s="233" t="str">
        <x:v>Chưa có điều khoản riêng đã xác minh cho thuộc tính này</x:v>
      </x:c>
      <x:c r="L54" s="233" t="str">
        <x:v>NOT_VERIFIED_AT_ATTRIBUTE_LEVEL</x:v>
      </x:c>
      <x:c r="M54" s="233" t="str">
        <x:v>CHECK_ONLY</x:v>
      </x:c>
      <x:c r="N54" s="233" t="str">
        <x:v>6</x:v>
      </x:c>
      <x:c r="O54" s="233" t="str">
        <x:v>w:tcPr/w:shd</x:v>
      </x:c>
      <x:c r="P54" s="233"/>
      <x:c r="Q54" s="233"/>
      <x:c r="R54" s="233"/>
      <x:c r="S54" s="233"/>
      <x:c r="T54" s="233"/>
      <x:c r="U54" s="233"/>
      <x:c r="V54" s="233"/>
      <x:c r="W54" s="233"/>
      <x:c r="X54" s="233"/>
      <x:c r="Y54" s="233"/>
      <x:c r="Z54" s="233"/>
      <x:c r="AA54" s="233"/>
      <x:c r="AB54" s="233"/>
      <x:c r="AC54" s="233"/>
      <x:c r="AD54" s="233"/>
      <x:c r="AE54" s="233"/>
      <x:c r="AF54" s="233"/>
      <x:c r="AG54" s="233"/>
      <x:c r="AH54" s="233"/>
      <x:c r="AI54" s="233"/>
      <x:c r="AJ54" s="233"/>
      <x:c r="AK54" s="233"/>
      <x:c r="AL54" s="233"/>
      <x:c r="AM54" s="233"/>
      <x:c r="AN54" s="233"/>
      <x:c r="AO54" s="233"/>
      <x:c r="AP54" s="233"/>
      <x:c r="AQ54" s="233"/>
      <x:c r="AR54" s="233" t="str">
        <x:v>NONE_NEW</x:v>
      </x:c>
      <x:c r="AS54" s="233"/>
      <x:c r="AT54" s="233"/>
      <x:c r="AU54" s="233"/>
      <x:c r="AV54" s="233"/>
      <x:c r="AW54" s="233"/>
      <x:c r="AX54" s="233" t="str">
        <x:v>Ưu tiên nền trắng</x:v>
      </x:c>
      <x:c r="AY54" s="233" t="str">
        <x:v>Không thêm nền mặc định, bảo toàn màu nền gốc có ý nghĩa. | Chưa xác minh là yêu cầu bắt buộc riêng của NĐ30/HD05; chỉ là profile nội bộ.</x:v>
      </x:c>
      <x:c r="AZ54" s="233" t="str">
        <x:v>Người dùng chốt trong trao đổi 29/10/2026; PROFILE NỘI BỘ; chưa có văn bản phê duyệt doanh nghiệp</x:v>
      </x:c>
    </x:row>
    <x:row r="55" ht="31" customHeight="1">
      <x:c r="A55" s="233" t="n">
        <x:v>49</x:v>
      </x:c>
      <x:c r="B55" s="233" t="str">
        <x:v>ND30.N.BANG.O.DINH_DANG_SO</x:v>
      </x:c>
      <x:c r="C55" s="233" t="str">
        <x:v>ND30.N.BANG.O</x:v>
      </x:c>
      <x:c r="D55" s="233" t="str">
        <x:v>Định dạng dữ liệu số</x:v>
      </x:c>
      <x:c r="E55" s="233" t="str">
        <x:v>CELL_TEXT</x:v>
      </x:c>
      <x:c r="F55" s="233" t="str">
        <x:v>number_format</x:v>
      </x:c>
      <x:c r="G55" s="233" t="str">
        <x:v>PRESERVE</x:v>
      </x:c>
      <x:c r="H55" s="233"/>
      <x:c r="I55" s="233" t="str">
        <x:v>Chỉ ô dữ liệu số; giữ nguyên số thập phân, dấu âm, đơn vị, phần trăm.</x:v>
      </x:c>
      <x:c r="J55" s="233" t="str">
        <x:v>PRESERVE_ONLY</x:v>
      </x:c>
      <x:c r="K55" s="233" t="str">
        <x:v>Chưa có điều khoản riêng đã xác minh cho thuộc tính này</x:v>
      </x:c>
      <x:c r="L55" s="233" t="str">
        <x:v>NOT_VERIFIED_AT_ATTRIBUTE_LEVEL</x:v>
      </x:c>
      <x:c r="M55" s="233" t="str">
        <x:v>PROTECTED</x:v>
      </x:c>
      <x:c r="N55" s="233" t="str">
        <x:v>6</x:v>
      </x:c>
      <x:c r="O55" s="233"/>
      <x:c r="P55" s="233"/>
      <x:c r="Q55" s="233"/>
      <x:c r="R55" s="233"/>
      <x:c r="S55" s="233"/>
      <x:c r="T55" s="233"/>
      <x:c r="U55" s="233"/>
      <x:c r="V55" s="233"/>
      <x:c r="W55" s="233"/>
      <x:c r="X55" s="233"/>
      <x:c r="Y55" s="233"/>
      <x:c r="Z55" s="233"/>
      <x:c r="AA55" s="233"/>
      <x:c r="AB55" s="233"/>
      <x:c r="AC55" s="233"/>
      <x:c r="AD55" s="233"/>
      <x:c r="AE55" s="233"/>
      <x:c r="AF55" s="233"/>
      <x:c r="AG55" s="233"/>
      <x:c r="AH55" s="233"/>
      <x:c r="AI55" s="233"/>
      <x:c r="AJ55" s="233"/>
      <x:c r="AK55" s="233"/>
      <x:c r="AL55" s="233"/>
      <x:c r="AM55" s="233"/>
      <x:c r="AN55" s="233"/>
      <x:c r="AO55" s="233"/>
      <x:c r="AP55" s="233"/>
      <x:c r="AQ55" s="233"/>
      <x:c r="AR55" s="233"/>
      <x:c r="AS55" s="233"/>
      <x:c r="AT55" s="233"/>
      <x:c r="AU55" s="233"/>
      <x:c r="AV55" s="233"/>
      <x:c r="AW55" s="233"/>
      <x:c r="AX55" s="233" t="str">
        <x:v>Không sửa phân cách thập phân, số 0 đầu</x:v>
      </x:c>
      <x:c r="AY55" s="233" t="str">
        <x:v>Kiểm tra phần tử đích trước khi diễn giải rule; không tự sửa.</x:v>
      </x:c>
      <x:c r="AZ55" s="233" t="str">
        <x:v>https://vbpl.moj.gov.vn/bonoivu/Pages/vbpq-toanvan.aspx?ItemID=141142&amp;dvid=320</x:v>
      </x:c>
    </x:row>
    <x:row r="56" ht="31" customHeight="1">
      <x:c r="A56" s="233" t="n">
        <x:v>50</x:v>
      </x:c>
      <x:c r="B56" s="233" t="str">
        <x:v>ND30.N.BANG.O.DU_LIEU</x:v>
      </x:c>
      <x:c r="C56" s="233" t="str">
        <x:v>ND30.N.BANG.O</x:v>
      </x:c>
      <x:c r="D56" s="233" t="str">
        <x:v>Ô trống và ô có dữ liệu</x:v>
      </x:c>
      <x:c r="E56" s="233" t="str">
        <x:v>CELL</x:v>
      </x:c>
      <x:c r="F56" s="233" t="str">
        <x:v>cell_presence</x:v>
      </x:c>
      <x:c r="G56" s="233" t="str">
        <x:v>PRESERVE</x:v>
      </x:c>
      <x:c r="H56" s="233"/>
      <x:c r="I56" s="233" t="str">
        <x:v>Tất cả ô; giữ nguyên trống/không trống và vị trí dữ liệu.</x:v>
      </x:c>
      <x:c r="J56" s="233" t="str">
        <x:v>PRESERVE_ONLY</x:v>
      </x:c>
      <x:c r="K56" s="233" t="str">
        <x:v>Chưa có điều khoản riêng đã xác minh cho thuộc tính này</x:v>
      </x:c>
      <x:c r="L56" s="233" t="str">
        <x:v>NOT_VERIFIED_AT_ATTRIBUTE_LEVEL</x:v>
      </x:c>
      <x:c r="M56" s="233" t="str">
        <x:v>PROTECTED</x:v>
      </x:c>
      <x:c r="N56" s="233" t="str">
        <x:v>6</x:v>
      </x:c>
      <x:c r="O56" s="233"/>
      <x:c r="P56" s="233"/>
      <x:c r="Q56" s="233"/>
      <x:c r="R56" s="233"/>
      <x:c r="S56" s="233"/>
      <x:c r="T56" s="233"/>
      <x:c r="U56" s="233"/>
      <x:c r="V56" s="233"/>
      <x:c r="W56" s="233"/>
      <x:c r="X56" s="233"/>
      <x:c r="Y56" s="233"/>
      <x:c r="Z56" s="233"/>
      <x:c r="AA56" s="233"/>
      <x:c r="AB56" s="233"/>
      <x:c r="AC56" s="233"/>
      <x:c r="AD56" s="233"/>
      <x:c r="AE56" s="233"/>
      <x:c r="AF56" s="233"/>
      <x:c r="AG56" s="233"/>
      <x:c r="AH56" s="233"/>
      <x:c r="AI56" s="233"/>
      <x:c r="AJ56" s="233"/>
      <x:c r="AK56" s="233"/>
      <x:c r="AL56" s="233"/>
      <x:c r="AM56" s="233"/>
      <x:c r="AN56" s="233"/>
      <x:c r="AO56" s="233"/>
      <x:c r="AP56" s="233"/>
      <x:c r="AQ56" s="233"/>
      <x:c r="AR56" s="233"/>
      <x:c r="AS56" s="233"/>
      <x:c r="AT56" s="233"/>
      <x:c r="AU56" s="233"/>
      <x:c r="AV56" s="233"/>
      <x:c r="AW56" s="233"/>
      <x:c r="AX56" s="233" t="str">
        <x:v>Không tự xóa/điền ô</x:v>
      </x:c>
      <x:c r="AY56" s="233" t="str">
        <x:v>Kiểm tra phần tử đích trước khi diễn giải rule; không tự sửa.</x:v>
      </x:c>
      <x:c r="AZ56" s="233" t="str">
        <x:v>https://vbpl.moj.gov.vn/bonoivu/Pages/vbpq-toanvan.aspx?ItemID=141142&amp;dvid=320</x:v>
      </x:c>
    </x:row>
    <x:row r="57" ht="31" customHeight="1">
      <x:c r="A57" s="233" t="n">
        <x:v>51</x:v>
      </x:c>
      <x:c r="B57" s="233" t="str">
        <x:v>ND30.N.BANG.VIEN.NGOAI</x:v>
      </x:c>
      <x:c r="C57" s="233" t="str">
        <x:v>ND30.N.BANG.VIEN</x:v>
      </x:c>
      <x:c r="D57" s="233" t="str">
        <x:v>Khung bao toàn bảng</x:v>
      </x:c>
      <x:c r="E57" s="233" t="str">
        <x:v>TABLE</x:v>
      </x:c>
      <x:c r="F57" s="233" t="str">
        <x:v>border_outer</x:v>
      </x:c>
      <x:c r="G57" s="233" t="str">
        <x:v>SINGLE_IF_FRAMED</x:v>
      </x:c>
      <x:c r="H57" s="233"/>
      <x:c r="I57" s="233" t="str">
        <x:v>Bảng đã dùng khung: viền ngoài nét liền; bảng không khung không tự thêm viền.</x:v>
      </x:c>
      <x:c r="J57" s="233" t="str">
        <x:v>PROFILE_DA_XAC_NHAN</x:v>
      </x:c>
      <x:c r="K57" s="233" t="str">
        <x:v>Chưa có điều khoản riêng đã xác minh cho thuộc tính này</x:v>
      </x:c>
      <x:c r="L57" s="233" t="str">
        <x:v>NOT_VERIFIED_AT_ATTRIBUTE_LEVEL</x:v>
      </x:c>
      <x:c r="M57" s="233" t="str">
        <x:v>CHECK_ONLY</x:v>
      </x:c>
      <x:c r="N57" s="233" t="str">
        <x:v>6</x:v>
      </x:c>
      <x:c r="O57" s="233" t="str">
        <x:v>w:tblPr/w:tblBorders</x:v>
      </x:c>
      <x:c r="P57" s="233"/>
      <x:c r="Q57" s="233"/>
      <x:c r="R57" s="233"/>
      <x:c r="S57" s="233"/>
      <x:c r="T57" s="233"/>
      <x:c r="U57" s="233"/>
      <x:c r="V57" s="233"/>
      <x:c r="W57" s="233"/>
      <x:c r="X57" s="233"/>
      <x:c r="Y57" s="233"/>
      <x:c r="Z57" s="233"/>
      <x:c r="AA57" s="233"/>
      <x:c r="AB57" s="233"/>
      <x:c r="AC57" s="233"/>
      <x:c r="AD57" s="233"/>
      <x:c r="AE57" s="233"/>
      <x:c r="AF57" s="233"/>
      <x:c r="AG57" s="233"/>
      <x:c r="AH57" s="233"/>
      <x:c r="AI57" s="233"/>
      <x:c r="AJ57" s="233"/>
      <x:c r="AK57" s="233"/>
      <x:c r="AL57" s="233"/>
      <x:c r="AM57" s="233"/>
      <x:c r="AN57" s="233" t="str">
        <x:v>SINGLE_IF_FRAMED</x:v>
      </x:c>
      <x:c r="AO57" s="233"/>
      <x:c r="AP57" s="233"/>
      <x:c r="AQ57" s="233"/>
      <x:c r="AR57" s="233"/>
      <x:c r="AS57" s="233"/>
      <x:c r="AT57" s="233"/>
      <x:c r="AU57" s="233"/>
      <x:c r="AV57" s="233"/>
      <x:c r="AW57" s="233"/>
      <x:c r="AX57" s="233" t="str">
        <x:v>Viền ngoài liên tục nếu mẫu áp dụng</x:v>
      </x:c>
      <x:c r="AY57" s="233" t="str">
        <x:v>Bảng đã dùng khung: viền ngoài nét liền; bảng không khung không tự thêm viền. | Chưa xác minh là yêu cầu bắt buộc riêng của NĐ30/HD05; chỉ là profile nội bộ.</x:v>
      </x:c>
      <x:c r="AZ57" s="233" t="str">
        <x:v>Người dùng chốt trong trao đổi 29/10/2026; PROFILE NỘI BỘ; chưa có văn bản phê duyệt doanh nghiệp</x:v>
      </x:c>
    </x:row>
    <x:row r="58" ht="31" customHeight="1">
      <x:c r="A58" s="233" t="n">
        <x:v>52</x:v>
      </x:c>
      <x:c r="B58" s="233" t="str">
        <x:v>ND30.N.BANG.VIEN.NGANG</x:v>
      </x:c>
      <x:c r="C58" s="233" t="str">
        <x:v>ND30.N.BANG.VIEN</x:v>
      </x:c>
      <x:c r="D58" s="233" t="str">
        <x:v>Đường kẻ nội bộ ngang</x:v>
      </x:c>
      <x:c r="E58" s="233" t="str">
        <x:v>TABLE</x:v>
      </x:c>
      <x:c r="F58" s="233" t="str">
        <x:v>border_inside_h</x:v>
      </x:c>
      <x:c r="G58" s="233" t="str">
        <x:v>SINGLE_IF_FRAMED</x:v>
      </x:c>
      <x:c r="H58" s="233"/>
      <x:c r="I58" s="233" t="str">
        <x:v>Đường nội bộ ngang nét đơn khi bảng dùng đường viền; không tự vẽ cho bảng không khung.</x:v>
      </x:c>
      <x:c r="J58" s="233" t="str">
        <x:v>PROFILE_DA_XAC_NHAN</x:v>
      </x:c>
      <x:c r="K58" s="233" t="str">
        <x:v>Chưa có điều khoản riêng đã xác minh cho thuộc tính này</x:v>
      </x:c>
      <x:c r="L58" s="233" t="str">
        <x:v>NOT_VERIFIED_AT_ATTRIBUTE_LEVEL</x:v>
      </x:c>
      <x:c r="M58" s="233" t="str">
        <x:v>CHECK_ONLY</x:v>
      </x:c>
      <x:c r="N58" s="233" t="str">
        <x:v>6</x:v>
      </x:c>
      <x:c r="O58" s="233" t="str">
        <x:v>w:tblBorders/w:insideH</x:v>
      </x:c>
      <x:c r="P58" s="233"/>
      <x:c r="Q58" s="233"/>
      <x:c r="R58" s="233"/>
      <x:c r="S58" s="233"/>
      <x:c r="T58" s="233"/>
      <x:c r="U58" s="233"/>
      <x:c r="V58" s="233"/>
      <x:c r="W58" s="233"/>
      <x:c r="X58" s="233"/>
      <x:c r="Y58" s="233"/>
      <x:c r="Z58" s="233"/>
      <x:c r="AA58" s="233"/>
      <x:c r="AB58" s="233"/>
      <x:c r="AC58" s="233"/>
      <x:c r="AD58" s="233"/>
      <x:c r="AE58" s="233"/>
      <x:c r="AF58" s="233"/>
      <x:c r="AG58" s="233"/>
      <x:c r="AH58" s="233"/>
      <x:c r="AI58" s="233"/>
      <x:c r="AJ58" s="233"/>
      <x:c r="AK58" s="233"/>
      <x:c r="AL58" s="233"/>
      <x:c r="AM58" s="233"/>
      <x:c r="AN58" s="233"/>
      <x:c r="AO58" s="233" t="str">
        <x:v>SINGLE_IF_FRAMED</x:v>
      </x:c>
      <x:c r="AP58" s="233"/>
      <x:c r="AQ58" s="233"/>
      <x:c r="AR58" s="233"/>
      <x:c r="AS58" s="233"/>
      <x:c r="AT58" s="233"/>
      <x:c r="AU58" s="233"/>
      <x:c r="AV58" s="233"/>
      <x:c r="AW58" s="233"/>
      <x:c r="AX58" s="233" t="str">
        <x:v>Không mất đường ngang khi gộp ô</x:v>
      </x:c>
      <x:c r="AY58" s="233" t="str">
        <x:v>Đường nội bộ ngang nét đơn khi bảng dùng đường viền; không tự vẽ cho bảng không khung. | Chưa xác minh là yêu cầu bắt buộc riêng của NĐ30/HD05; chỉ là profile nội bộ.</x:v>
      </x:c>
      <x:c r="AZ58" s="233" t="str">
        <x:v>Người dùng chốt trong trao đổi 29/10/2026; PROFILE NỘI BỘ; chưa có văn bản phê duyệt doanh nghiệp</x:v>
      </x:c>
    </x:row>
    <x:row r="59" ht="31" customHeight="1">
      <x:c r="A59" s="233" t="n">
        <x:v>53</x:v>
      </x:c>
      <x:c r="B59" s="233" t="str">
        <x:v>ND30.N.BANG.VIEN.DOC</x:v>
      </x:c>
      <x:c r="C59" s="233" t="str">
        <x:v>ND30.N.BANG.VIEN</x:v>
      </x:c>
      <x:c r="D59" s="233" t="str">
        <x:v>Đường kẻ nội bộ dọc</x:v>
      </x:c>
      <x:c r="E59" s="233" t="str">
        <x:v>TABLE</x:v>
      </x:c>
      <x:c r="F59" s="233" t="str">
        <x:v>border_inside_v</x:v>
      </x:c>
      <x:c r="G59" s="233" t="str">
        <x:v>SINGLE_IF_FRAMED</x:v>
      </x:c>
      <x:c r="H59" s="233"/>
      <x:c r="I59" s="233" t="str">
        <x:v>Đường nội bộ dọc nét đơn khi bảng dùng đường viền; không tự vẽ cho bảng không khung.</x:v>
      </x:c>
      <x:c r="J59" s="233" t="str">
        <x:v>PROFILE_DA_XAC_NHAN</x:v>
      </x:c>
      <x:c r="K59" s="233" t="str">
        <x:v>Chưa có điều khoản riêng đã xác minh cho thuộc tính này</x:v>
      </x:c>
      <x:c r="L59" s="233" t="str">
        <x:v>NOT_VERIFIED_AT_ATTRIBUTE_LEVEL</x:v>
      </x:c>
      <x:c r="M59" s="233" t="str">
        <x:v>CHECK_ONLY</x:v>
      </x:c>
      <x:c r="N59" s="233" t="str">
        <x:v>6</x:v>
      </x:c>
      <x:c r="O59" s="233" t="str">
        <x:v>w:tblBorders/w:insideV</x:v>
      </x:c>
      <x:c r="P59" s="233"/>
      <x:c r="Q59" s="233"/>
      <x:c r="R59" s="233"/>
      <x:c r="S59" s="233"/>
      <x:c r="T59" s="233"/>
      <x:c r="U59" s="233"/>
      <x:c r="V59" s="233"/>
      <x:c r="W59" s="233"/>
      <x:c r="X59" s="233"/>
      <x:c r="Y59" s="233"/>
      <x:c r="Z59" s="233"/>
      <x:c r="AA59" s="233"/>
      <x:c r="AB59" s="233"/>
      <x:c r="AC59" s="233"/>
      <x:c r="AD59" s="233"/>
      <x:c r="AE59" s="233"/>
      <x:c r="AF59" s="233"/>
      <x:c r="AG59" s="233"/>
      <x:c r="AH59" s="233"/>
      <x:c r="AI59" s="233"/>
      <x:c r="AJ59" s="233"/>
      <x:c r="AK59" s="233"/>
      <x:c r="AL59" s="233"/>
      <x:c r="AM59" s="233"/>
      <x:c r="AN59" s="233"/>
      <x:c r="AO59" s="233"/>
      <x:c r="AP59" s="233" t="str">
        <x:v>SINGLE_IF_FRAMED</x:v>
      </x:c>
      <x:c r="AQ59" s="233"/>
      <x:c r="AR59" s="233"/>
      <x:c r="AS59" s="233"/>
      <x:c r="AT59" s="233"/>
      <x:c r="AU59" s="233"/>
      <x:c r="AV59" s="233"/>
      <x:c r="AW59" s="233"/>
      <x:c r="AX59" s="233" t="str">
        <x:v>Không phát sinh viền thừa ở ô gộp</x:v>
      </x:c>
      <x:c r="AY59" s="233" t="str">
        <x:v>Đường nội bộ dọc nét đơn khi bảng dùng đường viền; không tự vẽ cho bảng không khung. | Chưa xác minh là yêu cầu bắt buộc riêng của NĐ30/HD05; chỉ là profile nội bộ.</x:v>
      </x:c>
      <x:c r="AZ59" s="233" t="str">
        <x:v>Người dùng chốt trong trao đổi 29/10/2026; PROFILE NỘI BỘ; chưa có văn bản phê duyệt doanh nghiệp</x:v>
      </x:c>
    </x:row>
    <x:row r="60" ht="31" customHeight="1">
      <x:c r="A60" s="233" t="n">
        <x:v>54</x:v>
      </x:c>
      <x:c r="B60" s="233" t="str">
        <x:v>ND30.N.BANG.VIEN.DO_DAY</x:v>
      </x:c>
      <x:c r="C60" s="233" t="str">
        <x:v>ND30.N.BANG.VIEN</x:v>
      </x:c>
      <x:c r="D60" s="233" t="str">
        <x:v>Độ dày đường viền bảng</x:v>
      </x:c>
      <x:c r="E60" s="233" t="str">
        <x:v>TABLE</x:v>
      </x:c>
      <x:c r="F60" s="233" t="str">
        <x:v>border_width</x:v>
      </x:c>
      <x:c r="G60" s="233" t="n">
        <x:v>0.5</x:v>
      </x:c>
      <x:c r="H60" s="233" t="str">
        <x:v>pt</x:v>
      </x:c>
      <x:c r="I60" s="233" t="str">
        <x:v>Độ dày 0,5 pt chỉ khi bảng có khung; đây là profile, không phải tiêu chuẩn pháp lý quốc gia.</x:v>
      </x:c>
      <x:c r="J60" s="233" t="str">
        <x:v>PROFILE_DA_XAC_NHAN</x:v>
      </x:c>
      <x:c r="K60" s="233" t="str">
        <x:v>Chưa có điều khoản riêng đã xác minh cho thuộc tính này</x:v>
      </x:c>
      <x:c r="L60" s="233" t="str">
        <x:v>NOT_VERIFIED_AT_ATTRIBUTE_LEVEL</x:v>
      </x:c>
      <x:c r="M60" s="233" t="str">
        <x:v>CHECK_ONLY</x:v>
      </x:c>
      <x:c r="N60" s="233" t="str">
        <x:v>6</x:v>
      </x:c>
      <x:c r="O60" s="233" t="str">
        <x:v>w:tblBorders/*/@w:sz</x:v>
      </x:c>
      <x:c r="P60" s="233"/>
      <x:c r="Q60" s="233"/>
      <x:c r="R60" s="233"/>
      <x:c r="S60" s="233"/>
      <x:c r="T60" s="233"/>
      <x:c r="U60" s="233"/>
      <x:c r="V60" s="233"/>
      <x:c r="W60" s="233"/>
      <x:c r="X60" s="233"/>
      <x:c r="Y60" s="233"/>
      <x:c r="Z60" s="233"/>
      <x:c r="AA60" s="233"/>
      <x:c r="AB60" s="233"/>
      <x:c r="AC60" s="233"/>
      <x:c r="AD60" s="233"/>
      <x:c r="AE60" s="233"/>
      <x:c r="AF60" s="233"/>
      <x:c r="AG60" s="233"/>
      <x:c r="AH60" s="233"/>
      <x:c r="AI60" s="233"/>
      <x:c r="AJ60" s="233"/>
      <x:c r="AK60" s="233"/>
      <x:c r="AL60" s="233"/>
      <x:c r="AM60" s="233"/>
      <x:c r="AN60" s="233"/>
      <x:c r="AO60" s="233"/>
      <x:c r="AP60" s="233"/>
      <x:c r="AQ60" s="233" t="n">
        <x:v>0.5</x:v>
      </x:c>
      <x:c r="AR60" s="233"/>
      <x:c r="AS60" s="233"/>
      <x:c r="AT60" s="233"/>
      <x:c r="AU60" s="233"/>
      <x:c r="AV60" s="233"/>
      <x:c r="AW60" s="233"/>
      <x:c r="AX60" s="233" t="str">
        <x:v>Độ dày thống nhất, đọc rõ khi in</x:v>
      </x:c>
      <x:c r="AY60" s="233" t="str">
        <x:v>Độ dày 0,5 pt chỉ khi bảng có khung; đây là profile, không phải tiêu chuẩn pháp lý quốc gia. | Chưa xác minh là yêu cầu bắt buộc riêng của NĐ30/HD05; chỉ là profile nội bộ.</x:v>
      </x:c>
      <x:c r="AZ60" s="233" t="str">
        <x:v>Người dùng chốt trong trao đổi 29/10/2026; PROFILE NỘI BỘ; chưa có văn bản phê duyệt doanh nghiệp</x:v>
      </x:c>
    </x:row>
    <x:row r="61" ht="31" customHeight="1">
      <x:c r="A61" s="233" t="n">
        <x:v>55</x:v>
      </x:c>
      <x:c r="B61" s="233" t="str">
        <x:v>ND30.N.BANG.GOP_O.NGANG</x:v>
      </x:c>
      <x:c r="C61" s="233" t="str">
        <x:v>ND30.N.BANG.GOP_O</x:v>
      </x:c>
      <x:c r="D61" s="233" t="str">
        <x:v>Gộp ngang ô</x:v>
      </x:c>
      <x:c r="E61" s="233" t="str">
        <x:v>CELL</x:v>
      </x:c>
      <x:c r="F61" s="233" t="str">
        <x:v>h_merge</x:v>
      </x:c>
      <x:c r="G61" s="233" t="str">
        <x:v>PRESERVE</x:v>
      </x:c>
      <x:c r="H61" s="233"/>
      <x:c r="I61" s="233" t="str">
        <x:v>Khi có ô gộp theo hàng; giữ nguyên số cột và các vùng gộp.</x:v>
      </x:c>
      <x:c r="J61" s="233" t="str">
        <x:v>PRESERVE_ONLY</x:v>
      </x:c>
      <x:c r="K61" s="233" t="str">
        <x:v>Chưa có điều khoản riêng đã xác minh cho thuộc tính này</x:v>
      </x:c>
      <x:c r="L61" s="233" t="str">
        <x:v>NOT_VERIFIED_AT_ATTRIBUTE_LEVEL</x:v>
      </x:c>
      <x:c r="M61" s="233" t="str">
        <x:v>PROTECTED</x:v>
      </x:c>
      <x:c r="N61" s="233" t="str">
        <x:v>6</x:v>
      </x:c>
      <x:c r="O61" s="233" t="str">
        <x:v>w:tcPr/w:gridSpan</x:v>
      </x:c>
      <x:c r="P61" s="233"/>
      <x:c r="Q61" s="233"/>
      <x:c r="R61" s="233"/>
      <x:c r="S61" s="233"/>
      <x:c r="T61" s="233"/>
      <x:c r="U61" s="233"/>
      <x:c r="V61" s="233"/>
      <x:c r="W61" s="233"/>
      <x:c r="X61" s="233"/>
      <x:c r="Y61" s="233"/>
      <x:c r="Z61" s="233"/>
      <x:c r="AA61" s="233"/>
      <x:c r="AB61" s="233"/>
      <x:c r="AC61" s="233"/>
      <x:c r="AD61" s="233"/>
      <x:c r="AE61" s="233"/>
      <x:c r="AF61" s="233"/>
      <x:c r="AG61" s="233"/>
      <x:c r="AH61" s="233"/>
      <x:c r="AI61" s="233"/>
      <x:c r="AJ61" s="233"/>
      <x:c r="AK61" s="233"/>
      <x:c r="AL61" s="233"/>
      <x:c r="AM61" s="233"/>
      <x:c r="AN61" s="233"/>
      <x:c r="AO61" s="233"/>
      <x:c r="AP61" s="233"/>
      <x:c r="AQ61" s="233"/>
      <x:c r="AR61" s="233"/>
      <x:c r="AS61" s="233"/>
      <x:c r="AT61" s="233" t="str">
        <x:v>PRESERVE</x:v>
      </x:c>
      <x:c r="AU61" s="233"/>
      <x:c r="AV61" s="233"/>
      <x:c r="AW61" s="233"/>
      <x:c r="AX61" s="233" t="str">
        <x:v>Không làm thay đổi gridSpan</x:v>
      </x:c>
      <x:c r="AY61" s="233" t="str">
        <x:v>Kiểm tra phần tử đích trước khi diễn giải rule; không tự sửa.</x:v>
      </x:c>
      <x:c r="AZ61" s="233" t="str">
        <x:v>https://vbpl.moj.gov.vn/bonoivu/Pages/vbpq-toanvan.aspx?ItemID=141142&amp;dvid=320</x:v>
      </x:c>
    </x:row>
    <x:row r="62" ht="31" customHeight="1">
      <x:c r="A62" s="233" t="n">
        <x:v>56</x:v>
      </x:c>
      <x:c r="B62" s="233" t="str">
        <x:v>ND30.N.BANG.GOP_O.DOC</x:v>
      </x:c>
      <x:c r="C62" s="233" t="str">
        <x:v>ND30.N.BANG.GOP_O</x:v>
      </x:c>
      <x:c r="D62" s="233" t="str">
        <x:v>Gộp dọc ô</x:v>
      </x:c>
      <x:c r="E62" s="233" t="str">
        <x:v>CELL</x:v>
      </x:c>
      <x:c r="F62" s="233" t="str">
        <x:v>v_merge</x:v>
      </x:c>
      <x:c r="G62" s="233" t="str">
        <x:v>PRESERVE</x:v>
      </x:c>
      <x:c r="H62" s="233"/>
      <x:c r="I62" s="233" t="str">
        <x:v>Khi có ô gộp theo cột; giữ nguyên quan hệ dữ liệu và chiều cao hàng.</x:v>
      </x:c>
      <x:c r="J62" s="233" t="str">
        <x:v>PRESERVE_ONLY</x:v>
      </x:c>
      <x:c r="K62" s="233" t="str">
        <x:v>Chưa có điều khoản riêng đã xác minh cho thuộc tính này</x:v>
      </x:c>
      <x:c r="L62" s="233" t="str">
        <x:v>NOT_VERIFIED_AT_ATTRIBUTE_LEVEL</x:v>
      </x:c>
      <x:c r="M62" s="233" t="str">
        <x:v>PROTECTED</x:v>
      </x:c>
      <x:c r="N62" s="233" t="str">
        <x:v>6</x:v>
      </x:c>
      <x:c r="O62" s="233" t="str">
        <x:v>w:tcPr/w:vMerge</x:v>
      </x:c>
      <x:c r="P62" s="233"/>
      <x:c r="Q62" s="233"/>
      <x:c r="R62" s="233"/>
      <x:c r="S62" s="233"/>
      <x:c r="T62" s="233"/>
      <x:c r="U62" s="233"/>
      <x:c r="V62" s="233"/>
      <x:c r="W62" s="233"/>
      <x:c r="X62" s="233"/>
      <x:c r="Y62" s="233"/>
      <x:c r="Z62" s="233"/>
      <x:c r="AA62" s="233"/>
      <x:c r="AB62" s="233"/>
      <x:c r="AC62" s="233"/>
      <x:c r="AD62" s="233"/>
      <x:c r="AE62" s="233"/>
      <x:c r="AF62" s="233"/>
      <x:c r="AG62" s="233"/>
      <x:c r="AH62" s="233"/>
      <x:c r="AI62" s="233"/>
      <x:c r="AJ62" s="233"/>
      <x:c r="AK62" s="233"/>
      <x:c r="AL62" s="233"/>
      <x:c r="AM62" s="233"/>
      <x:c r="AN62" s="233"/>
      <x:c r="AO62" s="233"/>
      <x:c r="AP62" s="233"/>
      <x:c r="AQ62" s="233"/>
      <x:c r="AR62" s="233"/>
      <x:c r="AS62" s="233"/>
      <x:c r="AT62" s="233"/>
      <x:c r="AU62" s="233" t="str">
        <x:v>PRESERVE</x:v>
      </x:c>
      <x:c r="AV62" s="233"/>
      <x:c r="AW62" s="233"/>
      <x:c r="AX62" s="233" t="str">
        <x:v>Không làm thay đổi vMerge</x:v>
      </x:c>
      <x:c r="AY62" s="233" t="str">
        <x:v>Kiểm tra phần tử đích trước khi diễn giải rule; không tự sửa.</x:v>
      </x:c>
      <x:c r="AZ62" s="233" t="str">
        <x:v>https://vbpl.moj.gov.vn/bonoivu/Pages/vbpq-toanvan.aspx?ItemID=141142&amp;dvid=320</x:v>
      </x:c>
    </x:row>
    <x:row r="63" ht="31" customHeight="1">
      <x:c r="A63" s="233" t="n">
        <x:v>57</x:v>
      </x:c>
      <x:c r="B63" s="233" t="str">
        <x:v>ND30.N.BANG.GOP_O.TINH_TOAN</x:v>
      </x:c>
      <x:c r="C63" s="233" t="str">
        <x:v>ND30.N.BANG.GOP_O</x:v>
      </x:c>
      <x:c r="D63" s="233" t="str">
        <x:v>Giữ dữ liệu khi ô gộp</x:v>
      </x:c>
      <x:c r="E63" s="233" t="str">
        <x:v>CELL</x:v>
      </x:c>
      <x:c r="F63" s="233" t="str">
        <x:v>merge_preserve</x:v>
      </x:c>
      <x:c r="G63" s="233" t="str">
        <x:v>PRESERVE</x:v>
      </x:c>
      <x:c r="H63" s="233"/>
      <x:c r="I63" s="233" t="str">
        <x:v>Khi tồn tại ô gộp; không làm mất dữ liệu trong bất kỳ ô liên quan.</x:v>
      </x:c>
      <x:c r="J63" s="233" t="str">
        <x:v>PRESERVE_ONLY</x:v>
      </x:c>
      <x:c r="K63" s="233" t="str">
        <x:v>Chưa có điều khoản riêng đã xác minh cho thuộc tính này</x:v>
      </x:c>
      <x:c r="L63" s="233" t="str">
        <x:v>NOT_VERIFIED_AT_ATTRIBUTE_LEVEL</x:v>
      </x:c>
      <x:c r="M63" s="233" t="str">
        <x:v>PROTECTED</x:v>
      </x:c>
      <x:c r="N63" s="233" t="str">
        <x:v>6</x:v>
      </x:c>
      <x:c r="O63" s="233"/>
      <x:c r="P63" s="233"/>
      <x:c r="Q63" s="233"/>
      <x:c r="R63" s="233"/>
      <x:c r="S63" s="233"/>
      <x:c r="T63" s="233"/>
      <x:c r="U63" s="233"/>
      <x:c r="V63" s="233"/>
      <x:c r="W63" s="233"/>
      <x:c r="X63" s="233"/>
      <x:c r="Y63" s="233"/>
      <x:c r="Z63" s="233"/>
      <x:c r="AA63" s="233"/>
      <x:c r="AB63" s="233"/>
      <x:c r="AC63" s="233"/>
      <x:c r="AD63" s="233"/>
      <x:c r="AE63" s="233"/>
      <x:c r="AF63" s="233"/>
      <x:c r="AG63" s="233"/>
      <x:c r="AH63" s="233"/>
      <x:c r="AI63" s="233"/>
      <x:c r="AJ63" s="233"/>
      <x:c r="AK63" s="233"/>
      <x:c r="AL63" s="233"/>
      <x:c r="AM63" s="233"/>
      <x:c r="AN63" s="233"/>
      <x:c r="AO63" s="233"/>
      <x:c r="AP63" s="233"/>
      <x:c r="AQ63" s="233"/>
      <x:c r="AR63" s="233"/>
      <x:c r="AS63" s="233"/>
      <x:c r="AT63" s="233"/>
      <x:c r="AU63" s="233"/>
      <x:c r="AV63" s="233"/>
      <x:c r="AW63" s="233"/>
      <x:c r="AX63" s="233" t="str">
        <x:v>Không mất giá trị các ô trước/sau gộp</x:v>
      </x:c>
      <x:c r="AY63" s="233" t="str">
        <x:v>Kiểm tra phần tử đích trước khi diễn giải rule; không tự sửa.</x:v>
      </x:c>
      <x:c r="AZ63" s="233" t="str">
        <x:v>https://vbpl.moj.gov.vn/bonoivu/Pages/vbpq-toanvan.aspx?ItemID=141142&amp;dvid=320</x:v>
      </x:c>
    </x:row>
    <x:row r="64" ht="31" customHeight="1">
      <x:c r="A64" s="233" t="n">
        <x:v>58</x:v>
      </x:c>
      <x:c r="B64" s="233" t="str">
        <x:v>ND30.N.BANG.NGAT_TRANG.GIU_DAU_BANG</x:v>
      </x:c>
      <x:c r="C64" s="233" t="str">
        <x:v>ND30.N.BANG.NGAT_TRANG</x:v>
      </x:c>
      <x:c r="D64" s="233" t="str">
        <x:v>Giữ hàng đầu bảng khi sang trang</x:v>
      </x:c>
      <x:c r="E64" s="233" t="str">
        <x:v>TABLE</x:v>
      </x:c>
      <x:c r="F64" s="233" t="str">
        <x:v>keep_table_header</x:v>
      </x:c>
      <x:c r="G64" s="233" t="str">
        <x:v>YES_IF_MULTIPAGE</x:v>
      </x:c>
      <x:c r="H64" s="233"/>
      <x:c r="I64" s="233" t="str">
        <x:v>MÃ THAM CHIẾU. Áp dụng cùng quyết định với ND30.N.BANG.DAU_BANG.LAP_LAI. Khi bảng nội dung chính chiếm từ 2 trang trở lên VÀ xác định được nhóm hàng tiêu đề liên tiếp từ hàng đầu: BẮT BUỘC lặp đầy đủ nhóm hàng tiêu đề trên mỗi trang sau. Không lặp hàng nhóm, hàng dữ liệu hoặc tiêu đề ngoài bảng. Nếu chưa xác định header, đánh dấu CẦN XÁC NHẬN; không tự bịa nhãn.</x:v>
      </x:c>
      <x:c r="J64" s="233" t="str">
        <x:v>PROFILE_DA_XAC_NHAN</x:v>
      </x:c>
      <x:c r="K64" s="233" t="str">
        <x:v>Chưa có điều khoản riêng đã xác minh cho thuộc tính này</x:v>
      </x:c>
      <x:c r="L64" s="233" t="str">
        <x:v>NOT_VERIFIED_AT_ATTRIBUTE_LEVEL</x:v>
      </x:c>
      <x:c r="M64" s="233" t="str">
        <x:v>CHECK_ONLY</x:v>
      </x:c>
      <x:c r="N64" s="233" t="str">
        <x:v>6</x:v>
      </x:c>
      <x:c r="O64" s="233" t="str">
        <x:v>w:trPr/w:tblHeader</x:v>
      </x:c>
      <x:c r="P64" s="233"/>
      <x:c r="Q64" s="233"/>
      <x:c r="R64" s="233"/>
      <x:c r="S64" s="233"/>
      <x:c r="T64" s="233"/>
      <x:c r="U64" s="233"/>
      <x:c r="V64" s="233"/>
      <x:c r="W64" s="233"/>
      <x:c r="X64" s="233"/>
      <x:c r="Y64" s="233"/>
      <x:c r="Z64" s="233"/>
      <x:c r="AA64" s="233"/>
      <x:c r="AB64" s="233"/>
      <x:c r="AC64" s="233"/>
      <x:c r="AD64" s="233"/>
      <x:c r="AE64" s="233"/>
      <x:c r="AF64" s="233"/>
      <x:c r="AG64" s="233" t="str">
        <x:v>CONDITIONAL</x:v>
      </x:c>
      <x:c r="AH64" s="233"/>
      <x:c r="AI64" s="233"/>
      <x:c r="AJ64" s="233"/>
      <x:c r="AK64" s="233"/>
      <x:c r="AL64" s="233"/>
      <x:c r="AM64" s="233"/>
      <x:c r="AN64" s="233"/>
      <x:c r="AO64" s="233"/>
      <x:c r="AP64" s="233"/>
      <x:c r="AQ64" s="233"/>
      <x:c r="AR64" s="233"/>
      <x:c r="AS64" s="233"/>
      <x:c r="AT64" s="233"/>
      <x:c r="AU64" s="233"/>
      <x:c r="AV64" s="233"/>
      <x:c r="AW64" s="233"/>
      <x:c r="AX64" s="233" t="str">
        <x:v>ĐỒNG BỘ MÃ CHÍNH: ND30.N.BANG.DAU_BANG.LAP_LAI; không tạo rule thứ hai.</x:v>
      </x:c>
      <x:c r="AY64" s="233" t="str">
        <x:v>ALIAS/CHỈ DẪN, không duyệt riêng. Đã duyệt theo yêu cầu người dùng 29/10/2026: lặp hàng tiêu đề là BẮT BUỘC THEO PROFILE nếu bảng qua nhiều trang; không khẳng định NĐ30/HD05 bắt buộc.</x:v>
      </x:c>
      <x:c r="AZ64" s="233" t="str">
        <x:v>QUYET_DINH_PROFILE_NGUOI_DUNG_2026-10-29</x:v>
      </x:c>
    </x:row>
    <x:row r="65" ht="31" customHeight="1">
      <x:c r="A65" s="233" t="n">
        <x:v>59</x:v>
      </x:c>
      <x:c r="B65" s="233" t="str">
        <x:v>ND30.N.BANG.NGAT_TRANG.BANG_DAI</x:v>
      </x:c>
      <x:c r="C65" s="233" t="str">
        <x:v>ND30.N.BANG.NGAT_TRANG</x:v>
      </x:c>
      <x:c r="D65" s="233" t="str">
        <x:v>Cắt trang cho bảng dài</x:v>
      </x:c>
      <x:c r="E65" s="233" t="str">
        <x:v>TABLE</x:v>
      </x:c>
      <x:c r="F65" s="233" t="str">
        <x:v>table_page_break</x:v>
      </x:c>
      <x:c r="G65" s="233" t="str">
        <x:v>AUTO_BREAK_BETWEEN_ROWS</x:v>
      </x:c>
      <x:c r="H65" s="233"/>
      <x:c r="I65" s="233" t="str">
        <x:v>Bảng nhiều trang ngắt giữa các hàng, không ép cả bảng ở một trang; phải lặp đầy đủ hàng tiêu đề.</x:v>
      </x:c>
      <x:c r="J65" s="233" t="str">
        <x:v>PROFILE_DA_XAC_NHAN</x:v>
      </x:c>
      <x:c r="K65" s="233" t="str">
        <x:v>Chưa có điều khoản riêng đã xác minh cho thuộc tính này</x:v>
      </x:c>
      <x:c r="L65" s="233" t="str">
        <x:v>NOT_VERIFIED_AT_ATTRIBUTE_LEVEL</x:v>
      </x:c>
      <x:c r="M65" s="233" t="str">
        <x:v>CHECK_ONLY</x:v>
      </x:c>
      <x:c r="N65" s="233" t="str">
        <x:v>6</x:v>
      </x:c>
      <x:c r="O65" s="233" t="str">
        <x:v>w:trPr/w:cantSplit</x:v>
      </x:c>
      <x:c r="P65" s="233"/>
      <x:c r="Q65" s="233"/>
      <x:c r="R65" s="233"/>
      <x:c r="S65" s="233"/>
      <x:c r="T65" s="233"/>
      <x:c r="U65" s="233"/>
      <x:c r="V65" s="233"/>
      <x:c r="W65" s="233"/>
      <x:c r="X65" s="233"/>
      <x:c r="Y65" s="233"/>
      <x:c r="Z65" s="233"/>
      <x:c r="AA65" s="233"/>
      <x:c r="AB65" s="233"/>
      <x:c r="AC65" s="233"/>
      <x:c r="AD65" s="233"/>
      <x:c r="AE65" s="233"/>
      <x:c r="AF65" s="233"/>
      <x:c r="AG65" s="233"/>
      <x:c r="AH65" s="233"/>
      <x:c r="AI65" s="233"/>
      <x:c r="AJ65" s="233"/>
      <x:c r="AK65" s="233"/>
      <x:c r="AL65" s="233"/>
      <x:c r="AM65" s="233"/>
      <x:c r="AN65" s="233"/>
      <x:c r="AO65" s="233"/>
      <x:c r="AP65" s="233"/>
      <x:c r="AQ65" s="233"/>
      <x:c r="AR65" s="233"/>
      <x:c r="AS65" s="233"/>
      <x:c r="AT65" s="233"/>
      <x:c r="AU65" s="233"/>
      <x:c r="AV65" s="233"/>
      <x:c r="AW65" s="233"/>
      <x:c r="AX65" s="233" t="str">
        <x:v>Không tạo trang trắng và bảng không tràn lề</x:v>
      </x:c>
      <x:c r="AY65" s="233" t="str">
        <x:v>Bảng nhiều trang ngắt giữa các hàng, không ép cả bảng ở một trang; phải lặp đầy đủ hàng tiêu đề. | Chưa xác minh là yêu cầu bắt buộc riêng của NĐ30/HD05; chỉ là profile nội bộ.</x:v>
      </x:c>
      <x:c r="AZ65" s="233" t="str">
        <x:v>Người dùng chốt trong trao đổi 29/10/2026; PROFILE NỘI BỘ; chưa có văn bản phê duyệt doanh nghiệp</x:v>
      </x:c>
    </x:row>
    <x:row r="66" ht="31" customHeight="1">
      <x:c r="A66" s="233" t="n">
        <x:v>60</x:v>
      </x:c>
      <x:c r="B66" s="233" t="str">
        <x:v>ND30.N.BANG.NGAT_TRANG.KHONG_HANG_MO_COI</x:v>
      </x:c>
      <x:c r="C66" s="233" t="str">
        <x:v>ND30.N.BANG.NGAT_TRANG</x:v>
      </x:c>
      <x:c r="D66" s="233" t="str">
        <x:v>Kiểm soát hàng cuối/trang đầu</x:v>
      </x:c>
      <x:c r="E66" s="233" t="str">
        <x:v>TABLE</x:v>
      </x:c>
      <x:c r="F66" s="233" t="str">
        <x:v>table_widow_control</x:v>
      </x:c>
      <x:c r="G66" s="233" t="str">
        <x:v>REVIEW</x:v>
      </x:c>
      <x:c r="H66" s="233"/>
      <x:c r="I66" s="233" t="str">
        <x:v>Chỉ bảng nhiều trang có một hàng lẻ cuối/đầu trang; ưu tiên dễ đọc, không đảo thứ tự.</x:v>
      </x:c>
      <x:c r="J66" s="233" t="str">
        <x:v>TECHNICAL</x:v>
      </x:c>
      <x:c r="K66" s="233" t="str">
        <x:v>Chưa có điều khoản riêng đã xác minh cho thuộc tính này</x:v>
      </x:c>
      <x:c r="L66" s="233" t="str">
        <x:v>NOT_VERIFIED_AT_ATTRIBUTE_LEVEL</x:v>
      </x:c>
      <x:c r="M66" s="233" t="str">
        <x:v>CHECK_ONLY</x:v>
      </x:c>
      <x:c r="N66" s="233" t="str">
        <x:v>6</x:v>
      </x:c>
      <x:c r="O66" s="233"/>
      <x:c r="P66" s="233"/>
      <x:c r="Q66" s="233"/>
      <x:c r="R66" s="233"/>
      <x:c r="S66" s="233"/>
      <x:c r="T66" s="233"/>
      <x:c r="U66" s="233"/>
      <x:c r="V66" s="233"/>
      <x:c r="W66" s="233"/>
      <x:c r="X66" s="233"/>
      <x:c r="Y66" s="233"/>
      <x:c r="Z66" s="233"/>
      <x:c r="AA66" s="233"/>
      <x:c r="AB66" s="233"/>
      <x:c r="AC66" s="233"/>
      <x:c r="AD66" s="233"/>
      <x:c r="AE66" s="233"/>
      <x:c r="AF66" s="233"/>
      <x:c r="AG66" s="233"/>
      <x:c r="AH66" s="233"/>
      <x:c r="AI66" s="233"/>
      <x:c r="AJ66" s="233"/>
      <x:c r="AK66" s="233"/>
      <x:c r="AL66" s="233"/>
      <x:c r="AM66" s="233"/>
      <x:c r="AN66" s="233"/>
      <x:c r="AO66" s="233"/>
      <x:c r="AP66" s="233"/>
      <x:c r="AQ66" s="233"/>
      <x:c r="AR66" s="233"/>
      <x:c r="AS66" s="233"/>
      <x:c r="AT66" s="233"/>
      <x:c r="AU66" s="233"/>
      <x:c r="AV66" s="233"/>
      <x:c r="AW66" s="233"/>
      <x:c r="AX66" s="233" t="str">
        <x:v>Tránh bảng chỉ còn một hàng lẻ gây mất cân đối</x:v>
      </x:c>
      <x:c r="AY66" s="233" t="str">
        <x:v>Nhóm cha mới, chưa nhập registry 165 mã</x:v>
      </x:c>
      <x:c r="AZ66" s="233" t="str">
        <x:v>PROFILE_HTHHMB_v1.5_DRAFT</x:v>
      </x:c>
    </x:row>
    <x:row r="67" ht="31" customHeight="1">
      <x:c r="A67" s="233" t="n">
        <x:v>61</x:v>
      </x:c>
      <x:c r="B67" s="233" t="str">
        <x:v>ND30.N.BANG.GHI_CHU.DON_VI</x:v>
      </x:c>
      <x:c r="C67" s="233" t="str">
        <x:v>ND30.N.BANG.GHI_CHU</x:v>
      </x:c>
      <x:c r="D67" s="233" t="str">
        <x:v>Dòng đơn vị tính</x:v>
      </x:c>
      <x:c r="E67" s="233" t="str">
        <x:v>PARAGRAPH</x:v>
      </x:c>
      <x:c r="F67" s="233" t="str">
        <x:v>table_unit</x:v>
      </x:c>
      <x:c r="G67" s="233" t="str">
        <x:v>PRESERVE</x:v>
      </x:c>
      <x:c r="H67" s="233"/>
      <x:c r="I67" s="233" t="str">
        <x:v>Khi có dòng đơn vị tính liên hệ với bảng; xác định dòng ở ngoài hay trong ô trước khi chọn font.</x:v>
      </x:c>
      <x:c r="J67" s="233" t="str">
        <x:v>PRESERVE_ONLY</x:v>
      </x:c>
      <x:c r="K67" s="233" t="str">
        <x:v>Chưa có điều khoản riêng đã xác minh cho thuộc tính này</x:v>
      </x:c>
      <x:c r="L67" s="233" t="str">
        <x:v>NOT_VERIFIED_AT_ATTRIBUTE_LEVEL</x:v>
      </x:c>
      <x:c r="M67" s="233" t="str">
        <x:v>PROTECTED</x:v>
      </x:c>
      <x:c r="N67" s="233" t="str">
        <x:v>6</x:v>
      </x:c>
      <x:c r="O67" s="233"/>
      <x:c r="P67" s="233"/>
      <x:c r="Q67" s="233"/>
      <x:c r="R67" s="233"/>
      <x:c r="S67" s="233"/>
      <x:c r="T67" s="233"/>
      <x:c r="U67" s="233"/>
      <x:c r="V67" s="233"/>
      <x:c r="W67" s="233"/>
      <x:c r="X67" s="233"/>
      <x:c r="Y67" s="233"/>
      <x:c r="Z67" s="233"/>
      <x:c r="AA67" s="233"/>
      <x:c r="AB67" s="233"/>
      <x:c r="AC67" s="233"/>
      <x:c r="AD67" s="233"/>
      <x:c r="AE67" s="233"/>
      <x:c r="AF67" s="233"/>
      <x:c r="AG67" s="233"/>
      <x:c r="AH67" s="233"/>
      <x:c r="AI67" s="233"/>
      <x:c r="AJ67" s="233"/>
      <x:c r="AK67" s="233"/>
      <x:c r="AL67" s="233"/>
      <x:c r="AM67" s="233"/>
      <x:c r="AN67" s="233"/>
      <x:c r="AO67" s="233"/>
      <x:c r="AP67" s="233"/>
      <x:c r="AQ67" s="233"/>
      <x:c r="AR67" s="233"/>
      <x:c r="AS67" s="233"/>
      <x:c r="AT67" s="233"/>
      <x:c r="AU67" s="233"/>
      <x:c r="AV67" s="233"/>
      <x:c r="AW67" s="233"/>
      <x:c r="AX67" s="233" t="str">
        <x:v>Đơn vị vẫn gắn đúng bảng</x:v>
      </x:c>
      <x:c r="AY67" s="233" t="str">
        <x:v>Nhóm cha mới, chưa nhập registry 165 mã</x:v>
      </x:c>
      <x:c r="AZ67" s="233" t="str">
        <x:v>https://vbpl.moj.gov.vn/bonoivu/Pages/vbpq-toanvan.aspx?ItemID=141142&amp;dvid=320</x:v>
      </x:c>
    </x:row>
    <x:row r="68" ht="31" customHeight="1">
      <x:c r="A68" s="233" t="n">
        <x:v>62</x:v>
      </x:c>
      <x:c r="B68" s="233" t="str">
        <x:v>ND30.N.BANG.GHI_CHU.NGUON</x:v>
      </x:c>
      <x:c r="C68" s="233" t="str">
        <x:v>ND30.N.BANG.GHI_CHU</x:v>
      </x:c>
      <x:c r="D68" s="233" t="str">
        <x:v>Dòng nguồn dữ liệu</x:v>
      </x:c>
      <x:c r="E68" s="233" t="str">
        <x:v>PARAGRAPH</x:v>
      </x:c>
      <x:c r="F68" s="233" t="str">
        <x:v>table_source_note</x:v>
      </x:c>
      <x:c r="G68" s="233" t="str">
        <x:v>PRESERVE</x:v>
      </x:c>
      <x:c r="H68" s="233"/>
      <x:c r="I68" s="233" t="str">
        <x:v>Khi có dòng nguồn dữ liệu liên hệ với bảng; bảo toàn nội dung nguồn gốc.</x:v>
      </x:c>
      <x:c r="J68" s="233" t="str">
        <x:v>PRESERVE_ONLY</x:v>
      </x:c>
      <x:c r="K68" s="233" t="str">
        <x:v>Chưa có điều khoản riêng đã xác minh cho thuộc tính này</x:v>
      </x:c>
      <x:c r="L68" s="233" t="str">
        <x:v>NOT_VERIFIED_AT_ATTRIBUTE_LEVEL</x:v>
      </x:c>
      <x:c r="M68" s="233" t="str">
        <x:v>PROTECTED</x:v>
      </x:c>
      <x:c r="N68" s="233" t="str">
        <x:v>6</x:v>
      </x:c>
      <x:c r="O68" s="233"/>
      <x:c r="P68" s="233"/>
      <x:c r="Q68" s="233"/>
      <x:c r="R68" s="233"/>
      <x:c r="S68" s="233"/>
      <x:c r="T68" s="233"/>
      <x:c r="U68" s="233"/>
      <x:c r="V68" s="233"/>
      <x:c r="W68" s="233"/>
      <x:c r="X68" s="233"/>
      <x:c r="Y68" s="233"/>
      <x:c r="Z68" s="233"/>
      <x:c r="AA68" s="233"/>
      <x:c r="AB68" s="233"/>
      <x:c r="AC68" s="233"/>
      <x:c r="AD68" s="233"/>
      <x:c r="AE68" s="233"/>
      <x:c r="AF68" s="233"/>
      <x:c r="AG68" s="233"/>
      <x:c r="AH68" s="233"/>
      <x:c r="AI68" s="233"/>
      <x:c r="AJ68" s="233"/>
      <x:c r="AK68" s="233"/>
      <x:c r="AL68" s="233"/>
      <x:c r="AM68" s="233"/>
      <x:c r="AN68" s="233"/>
      <x:c r="AO68" s="233"/>
      <x:c r="AP68" s="233"/>
      <x:c r="AQ68" s="233"/>
      <x:c r="AR68" s="233"/>
      <x:c r="AS68" s="233"/>
      <x:c r="AT68" s="233"/>
      <x:c r="AU68" s="233"/>
      <x:c r="AV68" s="233"/>
      <x:c r="AW68" s="233"/>
      <x:c r="AX68" s="233" t="str">
        <x:v>Không sửa tên nguồn/citation</x:v>
      </x:c>
      <x:c r="AY68" s="233" t="str">
        <x:v>Nhóm cha mới, chưa nhập registry 165 mã</x:v>
      </x:c>
      <x:c r="AZ68" s="233" t="str">
        <x:v>https://vbpl.moj.gov.vn/bonoivu/Pages/vbpq-toanvan.aspx?ItemID=141142&amp;dvid=320</x:v>
      </x:c>
    </x:row>
    <x:row r="69" ht="31" customHeight="1">
      <x:c r="A69" s="233" t="n">
        <x:v>63</x:v>
      </x:c>
      <x:c r="B69" s="233" t="str">
        <x:v>ND30.N.BANG.GHI_CHU.CHU_THICH</x:v>
      </x:c>
      <x:c r="C69" s="233" t="str">
        <x:v>ND30.N.BANG.GHI_CHU</x:v>
      </x:c>
      <x:c r="D69" s="233" t="str">
        <x:v>Chú thích dưới bảng</x:v>
      </x:c>
      <x:c r="E69" s="233" t="str">
        <x:v>PARAGRAPH</x:v>
      </x:c>
      <x:c r="F69" s="233" t="str">
        <x:v>table_footnote</x:v>
      </x:c>
      <x:c r="G69" s="233" t="str">
        <x:v>PRESERVE</x:v>
      </x:c>
      <x:c r="H69" s="233"/>
      <x:c r="I69" s="233" t="str">
        <x:v>Khi có chú thích dưới bảng; nếu ở ngoài bảng không tự áp cỡ chữ ô 13.</x:v>
      </x:c>
      <x:c r="J69" s="233" t="str">
        <x:v>PRESERVE_ONLY</x:v>
      </x:c>
      <x:c r="K69" s="233" t="str">
        <x:v>Chưa có điều khoản riêng đã xác minh cho thuộc tính này</x:v>
      </x:c>
      <x:c r="L69" s="233" t="str">
        <x:v>NOT_VERIFIED_AT_ATTRIBUTE_LEVEL</x:v>
      </x:c>
      <x:c r="M69" s="233" t="str">
        <x:v>PROTECTED</x:v>
      </x:c>
      <x:c r="N69" s="233" t="str">
        <x:v>6</x:v>
      </x:c>
      <x:c r="O69" s="233"/>
      <x:c r="P69" s="233"/>
      <x:c r="Q69" s="233"/>
      <x:c r="R69" s="233"/>
      <x:c r="S69" s="233"/>
      <x:c r="T69" s="233"/>
      <x:c r="U69" s="233"/>
      <x:c r="V69" s="233"/>
      <x:c r="W69" s="233"/>
      <x:c r="X69" s="233"/>
      <x:c r="Y69" s="233"/>
      <x:c r="Z69" s="233"/>
      <x:c r="AA69" s="233"/>
      <x:c r="AB69" s="233"/>
      <x:c r="AC69" s="233"/>
      <x:c r="AD69" s="233"/>
      <x:c r="AE69" s="233"/>
      <x:c r="AF69" s="233"/>
      <x:c r="AG69" s="233"/>
      <x:c r="AH69" s="233"/>
      <x:c r="AI69" s="233"/>
      <x:c r="AJ69" s="233"/>
      <x:c r="AK69" s="233"/>
      <x:c r="AL69" s="233"/>
      <x:c r="AM69" s="233"/>
      <x:c r="AN69" s="233"/>
      <x:c r="AO69" s="233"/>
      <x:c r="AP69" s="233"/>
      <x:c r="AQ69" s="233"/>
      <x:c r="AR69" s="233"/>
      <x:c r="AS69" s="233"/>
      <x:c r="AT69" s="233"/>
      <x:c r="AU69" s="233"/>
      <x:c r="AV69" s="233"/>
      <x:c r="AW69" s="233"/>
      <x:c r="AX69" s="233" t="str">
        <x:v>Không cắt hoặc làm sai tham chiếu ký hiệu</x:v>
      </x:c>
      <x:c r="AY69" s="233" t="str">
        <x:v>Nhóm cha mới, chưa nhập registry 165 mã</x:v>
      </x:c>
      <x:c r="AZ69" s="233" t="str">
        <x:v>https://vbpl.moj.gov.vn/bonoivu/Pages/vbpq-toanvan.aspx?ItemID=141142&amp;dvid=320</x:v>
      </x:c>
    </x:row>
    <x:row r="70" ht="31" customHeight="1">
      <x:c r="A70" s="233" t="n">
        <x:v>64</x:v>
      </x:c>
      <x:c r="B70" s="233" t="str">
        <x:v>ND30.N.BANG.GHI_CHU.CACH_BANG</x:v>
      </x:c>
      <x:c r="C70" s="233" t="str">
        <x:v>ND30.N.BANG.GHI_CHU</x:v>
      </x:c>
      <x:c r="D70" s="233" t="str">
        <x:v>Khoảng cách chú thích với bảng</x:v>
      </x:c>
      <x:c r="E70" s="233" t="str">
        <x:v>PARAGRAPH</x:v>
      </x:c>
      <x:c r="F70" s="233" t="str">
        <x:v>table_note_spacing</x:v>
      </x:c>
      <x:c r="G70" s="233" t="n">
        <x:v>6</x:v>
      </x:c>
      <x:c r="H70" s="233" t="str">
        <x:v>pt</x:v>
      </x:c>
      <x:c r="I70" s="233" t="str">
        <x:v>Giữa mép dưới bảng và chú thích/nguồn NGOÀI bảng: 6 pt; không cộng BO_CUC.KHOANG_SAU; chú thích trong ô không áp.</x:v>
      </x:c>
      <x:c r="J70" s="233" t="str">
        <x:v>PROFILE_DA_XAC_NHAN</x:v>
      </x:c>
      <x:c r="K70" s="233" t="str">
        <x:v>Chưa có điều khoản riêng đã xác minh cho thuộc tính này</x:v>
      </x:c>
      <x:c r="L70" s="233" t="str">
        <x:v>NOT_VERIFIED_AT_ATTRIBUTE_LEVEL</x:v>
      </x:c>
      <x:c r="M70" s="233" t="str">
        <x:v>CHECK_ONLY</x:v>
      </x:c>
      <x:c r="N70" s="233" t="str">
        <x:v>6</x:v>
      </x:c>
      <x:c r="O70" s="233"/>
      <x:c r="P70" s="233"/>
      <x:c r="Q70" s="233"/>
      <x:c r="R70" s="233"/>
      <x:c r="S70" s="233"/>
      <x:c r="T70" s="233"/>
      <x:c r="U70" s="233"/>
      <x:c r="V70" s="233"/>
      <x:c r="W70" s="233"/>
      <x:c r="X70" s="233"/>
      <x:c r="Y70" s="233"/>
      <x:c r="Z70" s="233"/>
      <x:c r="AA70" s="233"/>
      <x:c r="AB70" s="233"/>
      <x:c r="AC70" s="233"/>
      <x:c r="AD70" s="233"/>
      <x:c r="AE70" s="233"/>
      <x:c r="AF70" s="233"/>
      <x:c r="AG70" s="233"/>
      <x:c r="AH70" s="233"/>
      <x:c r="AI70" s="233"/>
      <x:c r="AJ70" s="233"/>
      <x:c r="AK70" s="233"/>
      <x:c r="AL70" s="233"/>
      <x:c r="AM70" s="233"/>
      <x:c r="AN70" s="233"/>
      <x:c r="AO70" s="233"/>
      <x:c r="AP70" s="233"/>
      <x:c r="AQ70" s="233"/>
      <x:c r="AR70" s="233"/>
      <x:c r="AS70" s="233"/>
      <x:c r="AT70" s="233"/>
      <x:c r="AU70" s="233"/>
      <x:c r="AV70" s="233"/>
      <x:c r="AW70" s="233"/>
      <x:c r="AX70" s="233" t="str">
        <x:v>Không phá vị trí chú thích</x:v>
      </x:c>
      <x:c r="AY70" s="233" t="str">
        <x:v>Giữa mép dưới bảng và chú thích/nguồn NGOÀI bảng: 6 pt; không cộng BO_CUC.KHOANG_SAU; chú thích trong ô không áp. | Chưa xác minh là yêu cầu bắt buộc riêng của NĐ30/HD05; chỉ là profile nội bộ.</x:v>
      </x:c>
      <x:c r="AZ70" s="233" t="str">
        <x:v>Người dùng chốt trong trao đổi 29/10/2026; PROFILE NỘI BỘ; chưa có văn bản phê duyệt doanh nghiệp</x:v>
      </x:c>
    </x:row>
    <x:row r="71" ht="31" customHeight="1">
      <x:c r="A71" s="233" t="n">
        <x:v>65</x:v>
      </x:c>
      <x:c r="B71" s="233" t="str">
        <x:v>ND30.N.BANG.BANG_LONG.NHAN_DIEN</x:v>
      </x:c>
      <x:c r="C71" s="233" t="str">
        <x:v>ND30.N.BANG.BANG_LONG</x:v>
      </x:c>
      <x:c r="D71" s="233" t="str">
        <x:v>Bảng lồng trong ô</x:v>
      </x:c>
      <x:c r="E71" s="233" t="str">
        <x:v>TABLE</x:v>
      </x:c>
      <x:c r="F71" s="233" t="str">
        <x:v>nested_table_detect</x:v>
      </x:c>
      <x:c r="G71" s="233" t="str">
        <x:v>DETECT_ONLY</x:v>
      </x:c>
      <x:c r="H71" s="233"/>
      <x:c r="I71" s="233" t="str">
        <x:v>Chỉ khi một ô chứa bảng con; không coi bảng con là một hàng của bảng cha.</x:v>
      </x:c>
      <x:c r="J71" s="233" t="str">
        <x:v>TECHNICAL</x:v>
      </x:c>
      <x:c r="K71" s="233" t="str">
        <x:v>Chưa có điều khoản riêng đã xác minh cho thuộc tính này</x:v>
      </x:c>
      <x:c r="L71" s="233" t="str">
        <x:v>NOT_VERIFIED_AT_ATTRIBUTE_LEVEL</x:v>
      </x:c>
      <x:c r="M71" s="233" t="str">
        <x:v>CHECK_ONLY</x:v>
      </x:c>
      <x:c r="N71" s="233" t="str">
        <x:v>6</x:v>
      </x:c>
      <x:c r="O71" s="233"/>
      <x:c r="P71" s="233"/>
      <x:c r="Q71" s="233"/>
      <x:c r="R71" s="233"/>
      <x:c r="S71" s="233"/>
      <x:c r="T71" s="233"/>
      <x:c r="U71" s="233"/>
      <x:c r="V71" s="233"/>
      <x:c r="W71" s="233"/>
      <x:c r="X71" s="233"/>
      <x:c r="Y71" s="233"/>
      <x:c r="Z71" s="233"/>
      <x:c r="AA71" s="233"/>
      <x:c r="AB71" s="233"/>
      <x:c r="AC71" s="233"/>
      <x:c r="AD71" s="233"/>
      <x:c r="AE71" s="233"/>
      <x:c r="AF71" s="233"/>
      <x:c r="AG71" s="233"/>
      <x:c r="AH71" s="233"/>
      <x:c r="AI71" s="233"/>
      <x:c r="AJ71" s="233"/>
      <x:c r="AK71" s="233"/>
      <x:c r="AL71" s="233"/>
      <x:c r="AM71" s="233"/>
      <x:c r="AN71" s="233"/>
      <x:c r="AO71" s="233"/>
      <x:c r="AP71" s="233"/>
      <x:c r="AQ71" s="233"/>
      <x:c r="AR71" s="233"/>
      <x:c r="AS71" s="233"/>
      <x:c r="AT71" s="233"/>
      <x:c r="AU71" s="233"/>
      <x:c r="AV71" s="233"/>
      <x:c r="AW71" s="233"/>
      <x:c r="AX71" s="233" t="str">
        <x:v>Không nhầm bảng lồng với bảng độc lập</x:v>
      </x:c>
      <x:c r="AY71" s="233" t="str">
        <x:v>Nhóm cha mới, chưa nhập registry 165 mã</x:v>
      </x:c>
      <x:c r="AZ71" s="233" t="str">
        <x:v>PROFILE_HTHHMB_v1.5_DRAFT</x:v>
      </x:c>
    </x:row>
    <x:row r="72" ht="31" customHeight="1">
      <x:c r="A72" s="233" t="n">
        <x:v>66</x:v>
      </x:c>
      <x:c r="B72" s="233" t="str">
        <x:v>ND30.N.BANG.BANG_LONG.BAO_TOAN</x:v>
      </x:c>
      <x:c r="C72" s="233" t="str">
        <x:v>ND30.N.BANG.BANG_LONG</x:v>
      </x:c>
      <x:c r="D72" s="233" t="str">
        <x:v>Bảo toàn cấu trúc bảng lồng</x:v>
      </x:c>
      <x:c r="E72" s="233" t="str">
        <x:v>TABLE</x:v>
      </x:c>
      <x:c r="F72" s="233" t="str">
        <x:v>nested_table_preserve</x:v>
      </x:c>
      <x:c r="G72" s="233" t="str">
        <x:v>PRESERVE</x:v>
      </x:c>
      <x:c r="H72" s="233"/>
      <x:c r="I72" s="233" t="str">
        <x:v>Khi tồn tại bảng lồng; giữ nguyên số ô, cấu trúc và nội dung bảng con.</x:v>
      </x:c>
      <x:c r="J72" s="233" t="str">
        <x:v>PRESERVE_ONLY</x:v>
      </x:c>
      <x:c r="K72" s="233" t="str">
        <x:v>Chưa có điều khoản riêng đã xác minh cho thuộc tính này</x:v>
      </x:c>
      <x:c r="L72" s="233" t="str">
        <x:v>NOT_VERIFIED_AT_ATTRIBUTE_LEVEL</x:v>
      </x:c>
      <x:c r="M72" s="233" t="str">
        <x:v>PROTECTED</x:v>
      </x:c>
      <x:c r="N72" s="233" t="str">
        <x:v>6</x:v>
      </x:c>
      <x:c r="O72" s="233"/>
      <x:c r="P72" s="233"/>
      <x:c r="Q72" s="233"/>
      <x:c r="R72" s="233"/>
      <x:c r="S72" s="233"/>
      <x:c r="T72" s="233"/>
      <x:c r="U72" s="233"/>
      <x:c r="V72" s="233"/>
      <x:c r="W72" s="233"/>
      <x:c r="X72" s="233"/>
      <x:c r="Y72" s="233"/>
      <x:c r="Z72" s="233"/>
      <x:c r="AA72" s="233"/>
      <x:c r="AB72" s="233"/>
      <x:c r="AC72" s="233"/>
      <x:c r="AD72" s="233"/>
      <x:c r="AE72" s="233"/>
      <x:c r="AF72" s="233"/>
      <x:c r="AG72" s="233"/>
      <x:c r="AH72" s="233"/>
      <x:c r="AI72" s="233"/>
      <x:c r="AJ72" s="233"/>
      <x:c r="AK72" s="233"/>
      <x:c r="AL72" s="233"/>
      <x:c r="AM72" s="233"/>
      <x:c r="AN72" s="233"/>
      <x:c r="AO72" s="233"/>
      <x:c r="AP72" s="233"/>
      <x:c r="AQ72" s="233"/>
      <x:c r="AR72" s="233"/>
      <x:c r="AS72" s="233"/>
      <x:c r="AT72" s="233"/>
      <x:c r="AU72" s="233"/>
      <x:c r="AV72" s="233"/>
      <x:c r="AW72" s="233"/>
      <x:c r="AX72" s="233" t="str">
        <x:v>Không xóa hoặc đẩy bảng lồng ra ngoài</x:v>
      </x:c>
      <x:c r="AY72" s="233" t="str">
        <x:v>Nhóm cha mới, chưa nhập registry 165 mã</x:v>
      </x:c>
      <x:c r="AZ72" s="233" t="str">
        <x:v>https://vbpl.moj.gov.vn/bonoivu/Pages/vbpq-toanvan.aspx?ItemID=141142&amp;dvid=320</x:v>
      </x:c>
    </x:row>
  </x:sheetData>
  <x:mergeCells>
    <x:mergeCell ref="A1:J1"/>
    <x:mergeCell ref="A2:J2"/>
  </x:mergeCells>
  <x:dataValidations count="2">
    <x:dataValidation type="list" sqref="M7:M72">
      <x:formula1>"CHECK_ONLY,PROTECTED"</x:formula1>
    </x:dataValidation>
    <x:dataValidation type="list" sqref="J7:J72">
      <x:formula1>"PROFILE_DRAFT,TECHNICAL,PRESERVE_ONLY,LEGAL_CONDITIONAL"</x:formula1>
    </x:dataValidation>
  </x:dataValidations>
  <x:pageMargins left="0.7" right="0.7" top="0.75" bottom="0.75" header="0.3" footer="0.3"/>
  <x:tableParts count="1">
    <x:tablePart xmlns:r="http://schemas.openxmlformats.org/officeDocument/2006/relationships" r:id="R70982d2b18714943"/>
  </x:tableParts>
</x:worksheet>
</file>

<file path=xl/worksheets/sheet12.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8" hidden="0" customWidth="1"/>
    <x:col min="2" max="2" width="39" hidden="0" customWidth="1"/>
    <x:col min="3" max="3" width="28" hidden="0" customWidth="1"/>
    <x:col min="4" max="4" width="31" hidden="0" customWidth="1"/>
    <x:col min="5" max="5" width="18" hidden="0" customWidth="1"/>
    <x:col min="6" max="6" width="24" hidden="0" customWidth="1"/>
    <x:col min="7" max="7" width="30" hidden="0" customWidth="1"/>
    <x:col min="8" max="8" width="11" hidden="0" customWidth="1"/>
    <x:col min="9" max="9" width="40" hidden="0" customWidth="1"/>
    <x:col min="10" max="10" width="19" hidden="0" customWidth="1"/>
    <x:col min="11" max="11" width="48" hidden="0" customWidth="1"/>
    <x:col min="12" max="12" width="22" hidden="0" customWidth="1"/>
    <x:col min="13" max="13" width="16" hidden="0" customWidth="1"/>
    <x:col min="14" max="14" width="11" hidden="0" customWidth="1"/>
    <x:col min="15" max="15" width="38"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51" max="51" width="45" hidden="0" customWidth="1"/>
    <x:col min="52" max="52" width="49"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s>
  <x:sheetData>
    <x:row r="1" ht="36" customHeight="1">
      <x:c r="A1" s="223" t="str">
        <x:v>HD05  |  BỘ QUY TẮC THÀNH PHẦN CON • BẢNG TRONG NỘI DUNG</x:v>
      </x:c>
      <x:c r="B1" s="223"/>
      <x:c r="C1" s="223"/>
      <x:c r="D1" s="223"/>
      <x:c r="E1" s="223"/>
      <x:c r="F1" s="223"/>
      <x:c r="G1" s="234"/>
      <x:c r="H1" s="223"/>
      <x:c r="I1" s="234"/>
      <x:c r="J1" s="223"/>
      <x:c r="K1" s="234"/>
      <x:c r="L1" s="223"/>
      <x:c r="M1" s="223"/>
      <x:c r="N1" s="223"/>
      <x:c r="O1" s="223"/>
      <x:c r="P1" s="223"/>
      <x:c r="Q1" s="223"/>
      <x:c r="R1" s="223"/>
      <x:c r="S1" s="223"/>
      <x:c r="T1" s="223"/>
      <x:c r="U1" s="223"/>
      <x:c r="V1" s="223"/>
      <x:c r="W1" s="223"/>
      <x:c r="X1" s="223"/>
      <x:c r="Y1" s="223"/>
      <x:c r="Z1" s="223"/>
      <x:c r="AA1" s="223"/>
      <x:c r="AB1" s="223"/>
      <x:c r="AC1" s="223"/>
      <x:c r="AD1" s="223"/>
      <x:c r="AE1" s="223"/>
      <x:c r="AF1" s="223"/>
      <x:c r="AG1" s="223"/>
      <x:c r="AH1" s="223"/>
      <x:c r="AI1" s="223"/>
      <x:c r="AJ1" s="223"/>
      <x:c r="AK1" s="223"/>
      <x:c r="AL1" s="223"/>
      <x:c r="AM1" s="223"/>
      <x:c r="AN1" s="223"/>
      <x:c r="AO1" s="223"/>
      <x:c r="AP1" s="223"/>
      <x:c r="AQ1" s="223"/>
      <x:c r="AR1" s="223"/>
      <x:c r="AS1" s="223"/>
      <x:c r="AT1" s="223"/>
      <x:c r="AU1" s="223"/>
      <x:c r="AV1" s="223"/>
      <x:c r="AW1" s="223"/>
      <x:c r="AX1" s="223"/>
      <x:c r="AY1" s="234"/>
      <x:c r="AZ1" s="234"/>
    </x:row>
    <x:row r="2" ht="27" customHeight="1">
      <x:c r="A2" s="226" t="str">
        <x:v>Dữ liệu đề xuất để thiết lập rule theo từng trường con; KHÔNG phải xác nhận pháp lý/không cấp quyền tự sửa DOCX.</x:v>
      </x:c>
      <x:c r="B2" s="226"/>
      <x:c r="C2" s="226"/>
      <x:c r="D2" s="226"/>
      <x:c r="E2" s="226"/>
      <x:c r="F2" s="226"/>
      <x:c r="G2" s="226"/>
      <x:c r="H2" s="226"/>
      <x:c r="I2" s="226"/>
      <x:c r="J2" s="226"/>
      <x:c r="K2" s="226"/>
      <x:c r="L2" s="226"/>
      <x:c r="M2" s="226"/>
      <x:c r="N2" s="226"/>
      <x:c r="O2" s="226"/>
      <x:c r="P2" s="226"/>
      <x:c r="Q2" s="226"/>
      <x:c r="R2" s="226"/>
      <x:c r="S2" s="226"/>
      <x:c r="T2" s="226"/>
      <x:c r="U2" s="226"/>
      <x:c r="V2" s="226"/>
      <x:c r="W2" s="226"/>
      <x:c r="X2" s="226"/>
      <x:c r="Y2" s="226"/>
      <x:c r="Z2" s="226"/>
      <x:c r="AA2" s="226"/>
      <x:c r="AB2" s="226"/>
      <x:c r="AC2" s="226"/>
      <x:c r="AD2" s="226"/>
      <x:c r="AE2" s="226"/>
      <x:c r="AF2" s="226"/>
      <x:c r="AG2" s="226"/>
      <x:c r="AH2" s="226"/>
      <x:c r="AI2" s="226"/>
      <x:c r="AJ2" s="226"/>
      <x:c r="AK2" s="226"/>
      <x:c r="AL2" s="226"/>
      <x:c r="AM2" s="226"/>
      <x:c r="AN2" s="226"/>
      <x:c r="AO2" s="226"/>
      <x:c r="AP2" s="226"/>
      <x:c r="AQ2" s="226"/>
      <x:c r="AR2" s="226"/>
      <x:c r="AS2" s="226"/>
      <x:c r="AT2" s="226"/>
      <x:c r="AU2" s="226"/>
      <x:c r="AV2" s="226"/>
      <x:c r="AW2" s="226"/>
      <x:c r="AX2" s="226"/>
      <x:c r="AY2" s="226"/>
      <x:c r="AZ2" s="226"/>
    </x:row>
    <x:row r="4">
      <x:c r="A4" t="str">
        <x:v>Chế độ</x:v>
      </x:c>
      <x:c r="B4" t="str">
        <x:v>HD05</x:v>
      </x:c>
      <x:c r="D4" t="str">
        <x:v>Nguồn pháp lý</x:v>
      </x:c>
      <x:c r="E4" t="str">
        <x:v>HD05 – Phần II</x:v>
      </x:c>
      <x:c r="G4" t="str">
        <x:v>Số trường con</x:v>
      </x:c>
      <x:c r="H4" t="n">
        <x:v>66</x:v>
      </x:c>
    </x:row>
    <x:row r="5">
      <x:c r="A5" t="str">
        <x:v>Trạng thái</x:v>
      </x:c>
      <x:c r="B5" t="str">
        <x:v>DRAFT • CHECK_ONLY</x:v>
      </x:c>
      <x:c r="D5" t="str">
        <x:v>Giới hạn</x:v>
      </x:c>
      <x:c r="E5" t="str">
        <x:v>Bảng nằm trong nội dung chính; không phải bảng layout hoặc phụ lục độc lập</x:v>
      </x:c>
      <x:c r="G5" t="str">
        <x:v>Mã 5 cấp</x:v>
      </x:c>
      <x:c r="H5" t="str">
        <x:v>HD05.N.BANG.[NHÓM].[TRƯỜNG]</x:v>
      </x:c>
    </x:row>
    <x:row r="6" ht="43" customHeight="1">
      <x:c r="A6" s="230" t="str">
        <x:v>STT</x:v>
      </x:c>
      <x:c r="B6" s="230" t="str">
        <x:v>Mã trường con (5 cấp)</x:v>
      </x:c>
      <x:c r="C6" s="230" t="str">
        <x:v>Mã cha (4 cấp)</x:v>
      </x:c>
      <x:c r="D6" s="230" t="str">
        <x:v>Tên trường con</x:v>
      </x:c>
      <x:c r="E6" s="230" t="str">
        <x:v>Đối tượng DOCX</x:v>
      </x:c>
      <x:c r="F6" s="230" t="str">
        <x:v>Thuộc tính / rule-key</x:v>
      </x:c>
      <x:c r="G6" s="230" t="str">
        <x:v>Giá trị preset / rule</x:v>
      </x:c>
      <x:c r="H6" s="230" t="str">
        <x:v>Đơn vị</x:v>
      </x:c>
      <x:c r="I6" s="230" t="str">
        <x:v>Điều kiện áp dụng</x:v>
      </x:c>
      <x:c r="J6" s="230" t="str">
        <x:v>Phân loại quy tắc</x:v>
      </x:c>
      <x:c r="K6" s="230" t="str">
        <x:v>Nguồn/căn cứ</x:v>
      </x:c>
      <x:c r="L6" s="230" t="str">
        <x:v>Trạng thái xác minh</x:v>
      </x:c>
      <x:c r="M6" s="230" t="str">
        <x:v>Quyền xử lý</x:v>
      </x:c>
      <x:c r="N6" s="230" t="str">
        <x:v>Ô pháp lý (thuộc nội dung)</x:v>
      </x:c>
      <x:c r="O6" s="230" t="str">
        <x:v>OOXML target</x:v>
      </x:c>
      <x:c r="P6" s="230" t="str">
        <x:v>Phông chữ</x:v>
      </x:c>
      <x:c r="Q6" s="230" t="str">
        <x:v>Cỡ chữ (pt)</x:v>
      </x:c>
      <x:c r="R6" s="230" t="str">
        <x:v>Đậm</x:v>
      </x:c>
      <x:c r="S6" s="230" t="str">
        <x:v>Nghiêng</x:v>
      </x:c>
      <x:c r="T6" s="230" t="str">
        <x:v>Màu chữ</x:v>
      </x:c>
      <x:c r="U6" s="230" t="str">
        <x:v>Căn ngang</x:v>
      </x:c>
      <x:c r="V6" s="230" t="str">
        <x:v>Căn dọc</x:v>
      </x:c>
      <x:c r="W6" s="230" t="str">
        <x:v>Kiểu giãn dòng</x:v>
      </x:c>
      <x:c r="X6" s="230" t="str">
        <x:v>Giá trị giãn dòng</x:v>
      </x:c>
      <x:c r="Y6" s="230" t="str">
        <x:v>Cách đoạn trước (pt)</x:v>
      </x:c>
      <x:c r="Z6" s="230" t="str">
        <x:v>Cách đoạn sau (pt)</x:v>
      </x:c>
      <x:c r="AA6" s="230" t="str">
        <x:v>Thụt trái (mm)</x:v>
      </x:c>
      <x:c r="AB6" s="230" t="str">
        <x:v>Chiều rộng bảng (%)</x:v>
      </x:c>
      <x:c r="AC6" s="230" t="str">
        <x:v>Chiều rộng cột (mm)</x:v>
      </x:c>
      <x:c r="AD6" s="230" t="str">
        <x:v>AutoFit</x:v>
      </x:c>
      <x:c r="AE6" s="230" t="str">
        <x:v>Chiều cao hàng (mm)</x:v>
      </x:c>
      <x:c r="AF6" s="230" t="str">
        <x:v>Kiểu cao hàng</x:v>
      </x:c>
      <x:c r="AG6" s="230" t="str">
        <x:v>Lặp hàng đầu</x:v>
      </x:c>
      <x:c r="AH6" s="230" t="str">
        <x:v>Chống chia hàng</x:v>
      </x:c>
      <x:c r="AI6" s="230" t="str">
        <x:v>Giữ với đoạn sau</x:v>
      </x:c>
      <x:c r="AJ6" s="230" t="str">
        <x:v>Lề ô trên (mm)</x:v>
      </x:c>
      <x:c r="AK6" s="230" t="str">
        <x:v>Lề ô dưới (mm)</x:v>
      </x:c>
      <x:c r="AL6" s="230" t="str">
        <x:v>Lề ô trái (mm)</x:v>
      </x:c>
      <x:c r="AM6" s="230" t="str">
        <x:v>Lề ô phải (mm)</x:v>
      </x:c>
      <x:c r="AN6" s="230" t="str">
        <x:v>Viền ngoài</x:v>
      </x:c>
      <x:c r="AO6" s="230" t="str">
        <x:v>Viền ngang</x:v>
      </x:c>
      <x:c r="AP6" s="230" t="str">
        <x:v>Viền dọc</x:v>
      </x:c>
      <x:c r="AQ6" s="230" t="str">
        <x:v>Nét viền (pt)</x:v>
      </x:c>
      <x:c r="AR6" s="230" t="str">
        <x:v>Tô nền</x:v>
      </x:c>
      <x:c r="AS6" s="230" t="str">
        <x:v>Cho xuống dòng</x:v>
      </x:c>
      <x:c r="AT6" s="230" t="str">
        <x:v>Gộp ngang</x:v>
      </x:c>
      <x:c r="AU6" s="230" t="str">
        <x:v>Gộp dọc</x:v>
      </x:c>
      <x:c r="AV6" s="230" t="str">
        <x:v>Hướng giấy</x:v>
      </x:c>
      <x:c r="AW6" s="230" t="str">
        <x:v>Section</x:v>
      </x:c>
      <x:c r="AX6" s="230" t="str">
        <x:v>Tiêu chí QA</x:v>
      </x:c>
      <x:c r="AY6" s="230" t="str">
        <x:v>Ghi chú bảo toàn / ngoại lệ</x:v>
      </x:c>
      <x:c r="AZ6" s="230" t="str">
        <x:v>Nguồn preset</x:v>
      </x:c>
    </x:row>
    <x:row r="7" ht="31" customHeight="1">
      <x:c r="A7" s="233" t="n">
        <x:v>1</x:v>
      </x:c>
      <x:c r="B7" s="233" t="str">
        <x:v>HD05.N.BANG.BO_CUC.NHAN_DIEN</x:v>
      </x:c>
      <x:c r="C7" s="233" t="str">
        <x:v>HD05.N.BANG.BO_CUC</x:v>
      </x:c>
      <x:c r="D7" s="233" t="str">
        <x:v>Nhận diện bảng dữ liệu</x:v>
      </x:c>
      <x:c r="E7" s="233" t="str">
        <x:v>TABLE</x:v>
      </x:c>
      <x:c r="F7" s="233" t="str">
        <x:v>table_role</x:v>
      </x:c>
      <x:c r="G7" s="233" t="str">
        <x:v>DATA</x:v>
      </x:c>
      <x:c r="H7" s="233"/>
      <x:c r="I7" s="233" t="str">
        <x:v>Bảng dữ liệu thật nằm trong phần nội dung chính; loại trừ bảng dùng để căn chỉnh phần đầu/cuối.</x:v>
      </x:c>
      <x:c r="J7" s="233" t="str">
        <x:v>TECHNICAL</x:v>
      </x:c>
      <x:c r="K7" s="233" t="str">
        <x:v>Chưa có điều khoản riêng đã xác minh cho thuộc tính này</x:v>
      </x:c>
      <x:c r="L7" s="233" t="str">
        <x:v>NOT_VERIFIED_AT_ATTRIBUTE_LEVEL</x:v>
      </x:c>
      <x:c r="M7" s="233" t="str">
        <x:v>CHECK_ONLY</x:v>
      </x:c>
      <x:c r="N7" s="233" t="str">
        <x:v>6</x:v>
      </x:c>
      <x:c r="O7" s="233" t="str">
        <x:v>w:tbl</x:v>
      </x:c>
      <x:c r="P7" s="233"/>
      <x:c r="Q7" s="233"/>
      <x:c r="R7" s="233"/>
      <x:c r="S7" s="233"/>
      <x:c r="T7" s="233"/>
      <x:c r="U7" s="233"/>
      <x:c r="V7" s="233"/>
      <x:c r="W7" s="233"/>
      <x:c r="X7" s="233"/>
      <x:c r="Y7" s="233"/>
      <x:c r="Z7" s="233"/>
      <x:c r="AA7" s="233"/>
      <x:c r="AB7" s="233"/>
      <x:c r="AC7" s="233"/>
      <x:c r="AD7" s="233"/>
      <x:c r="AE7" s="233"/>
      <x:c r="AF7" s="233"/>
      <x:c r="AG7" s="233"/>
      <x:c r="AH7" s="233"/>
      <x:c r="AI7" s="233"/>
      <x:c r="AJ7" s="233"/>
      <x:c r="AK7" s="233"/>
      <x:c r="AL7" s="233"/>
      <x:c r="AM7" s="233"/>
      <x:c r="AN7" s="233"/>
      <x:c r="AO7" s="233"/>
      <x:c r="AP7" s="233"/>
      <x:c r="AQ7" s="233"/>
      <x:c r="AR7" s="233"/>
      <x:c r="AS7" s="233"/>
      <x:c r="AT7" s="233"/>
      <x:c r="AU7" s="233"/>
      <x:c r="AV7" s="233"/>
      <x:c r="AW7" s="233"/>
      <x:c r="AX7" s="233" t="str">
        <x:v>Không nhầm với bảng dàn trang đầu/cuối văn bản</x:v>
      </x:c>
      <x:c r="AY7" s="233" t="str">
        <x:v>Đối tượng bảng thật trong BODY, không áp cho layout table; Nhóm cha mới, chưa nhập registry 165 mã</x:v>
      </x:c>
      <x:c r="AZ7" s="233" t="str">
        <x:v>PROFILE_HTHHMB_v1.5_DRAFT</x:v>
      </x:c>
    </x:row>
    <x:row r="8" ht="31" customHeight="1">
      <x:c r="A8" s="233" t="n">
        <x:v>2</x:v>
      </x:c>
      <x:c r="B8" s="233" t="str">
        <x:v>HD05.N.BANG.BO_CUC.VAI_TRO</x:v>
      </x:c>
      <x:c r="C8" s="233" t="str">
        <x:v>HD05.N.BANG.BO_CUC</x:v>
      </x:c>
      <x:c r="D8" s="233" t="str">
        <x:v>Vai trò bảng trong thân văn bản</x:v>
      </x:c>
      <x:c r="E8" s="233" t="str">
        <x:v>TABLE</x:v>
      </x:c>
      <x:c r="F8" s="233" t="str">
        <x:v>body_region</x:v>
      </x:c>
      <x:c r="G8" s="233" t="str">
        <x:v>BODY</x:v>
      </x:c>
      <x:c r="H8" s="233"/>
      <x:c r="I8" s="233" t="str">
        <x:v>Bảng đã xác định thuộc nội dung chính, không phải Header/Footer hoặc phần phụ trợ.</x:v>
      </x:c>
      <x:c r="J8" s="233" t="str">
        <x:v>TECHNICAL</x:v>
      </x:c>
      <x:c r="K8" s="233" t="str">
        <x:v>Chưa có điều khoản riêng đã xác minh cho thuộc tính này</x:v>
      </x:c>
      <x:c r="L8" s="233" t="str">
        <x:v>NOT_VERIFIED_AT_ATTRIBUTE_LEVEL</x:v>
      </x:c>
      <x:c r="M8" s="233" t="str">
        <x:v>CHECK_ONLY</x:v>
      </x:c>
      <x:c r="N8" s="233" t="str">
        <x:v>6</x:v>
      </x:c>
      <x:c r="O8" s="233"/>
      <x:c r="P8" s="233"/>
      <x:c r="Q8" s="233"/>
      <x:c r="R8" s="233"/>
      <x:c r="S8" s="233"/>
      <x:c r="T8" s="233"/>
      <x:c r="U8" s="233"/>
      <x:c r="V8" s="233"/>
      <x:c r="W8" s="233"/>
      <x:c r="X8" s="233"/>
      <x:c r="Y8" s="233"/>
      <x:c r="Z8" s="233"/>
      <x:c r="AA8" s="233"/>
      <x:c r="AB8" s="233"/>
      <x:c r="AC8" s="233"/>
      <x:c r="AD8" s="233"/>
      <x:c r="AE8" s="233"/>
      <x:c r="AF8" s="233"/>
      <x:c r="AG8" s="233"/>
      <x:c r="AH8" s="233"/>
      <x:c r="AI8" s="233"/>
      <x:c r="AJ8" s="233"/>
      <x:c r="AK8" s="233"/>
      <x:c r="AL8" s="233"/>
      <x:c r="AM8" s="233"/>
      <x:c r="AN8" s="233"/>
      <x:c r="AO8" s="233"/>
      <x:c r="AP8" s="233"/>
      <x:c r="AQ8" s="233"/>
      <x:c r="AR8" s="233"/>
      <x:c r="AS8" s="233"/>
      <x:c r="AT8" s="233"/>
      <x:c r="AU8" s="233"/>
      <x:c r="AV8" s="233"/>
      <x:c r="AW8" s="233"/>
      <x:c r="AX8" s="233" t="str">
        <x:v>Chỉ nhận bảng nội dung, không thuộc phụ lục độc lập</x:v>
      </x:c>
      <x:c r="AY8" s="233" t="str">
        <x:v>Nhóm cha mới, chưa nhập registry 165 mã</x:v>
      </x:c>
      <x:c r="AZ8" s="233" t="str">
        <x:v>PROFILE_HTHHMB_v1.5_DRAFT</x:v>
      </x:c>
    </x:row>
    <x:row r="9" ht="31" customHeight="1">
      <x:c r="A9" s="233" t="n">
        <x:v>3</x:v>
      </x:c>
      <x:c r="B9" s="233" t="str">
        <x:v>HD05.N.BANG.BO_CUC.CAN_BANG</x:v>
      </x:c>
      <x:c r="C9" s="233" t="str">
        <x:v>HD05.N.BANG.BO_CUC</x:v>
      </x:c>
      <x:c r="D9" s="233" t="str">
        <x:v>Căn ngang toàn bảng</x:v>
      </x:c>
      <x:c r="E9" s="233" t="str">
        <x:v>TABLE</x:v>
      </x:c>
      <x:c r="F9" s="233" t="str">
        <x:v>table_align</x:v>
      </x:c>
      <x:c r="G9" s="233" t="str">
        <x:v>CENTER</x:v>
      </x:c>
      <x:c r="H9" s="233"/>
      <x:c r="I9" s="233" t="str">
        <x:v>Căn giữa khung bảng trong vùng nội dung hữu dụng; không căn theo khổ giấy bỏ qua lề.</x:v>
      </x:c>
      <x:c r="J9" s="233" t="str">
        <x:v>PROFILE_DA_XAC_NHAN</x:v>
      </x:c>
      <x:c r="K9" s="233" t="str">
        <x:v>Chưa có điều khoản riêng đã xác minh cho thuộc tính này</x:v>
      </x:c>
      <x:c r="L9" s="233" t="str">
        <x:v>NOT_VERIFIED_AT_ATTRIBUTE_LEVEL</x:v>
      </x:c>
      <x:c r="M9" s="233" t="str">
        <x:v>CHECK_ONLY</x:v>
      </x:c>
      <x:c r="N9" s="233" t="str">
        <x:v>6</x:v>
      </x:c>
      <x:c r="O9" s="233" t="str">
        <x:v>w:tblPr/w:jc</x:v>
      </x:c>
      <x:c r="P9" s="233"/>
      <x:c r="Q9" s="233"/>
      <x:c r="R9" s="233"/>
      <x:c r="S9" s="233"/>
      <x:c r="T9" s="233"/>
      <x:c r="U9" s="233" t="str">
        <x:v>CENTER</x:v>
      </x:c>
      <x:c r="V9" s="233"/>
      <x:c r="W9" s="233"/>
      <x:c r="X9" s="233"/>
      <x:c r="Y9" s="233"/>
      <x:c r="Z9" s="233"/>
      <x:c r="AA9" s="233"/>
      <x:c r="AB9" s="233"/>
      <x:c r="AC9" s="233"/>
      <x:c r="AD9" s="233"/>
      <x:c r="AE9" s="233"/>
      <x:c r="AF9" s="233"/>
      <x:c r="AG9" s="233"/>
      <x:c r="AH9" s="233"/>
      <x:c r="AI9" s="233"/>
      <x:c r="AJ9" s="233"/>
      <x:c r="AK9" s="233"/>
      <x:c r="AL9" s="233"/>
      <x:c r="AM9" s="233"/>
      <x:c r="AN9" s="233"/>
      <x:c r="AO9" s="233"/>
      <x:c r="AP9" s="233"/>
      <x:c r="AQ9" s="233"/>
      <x:c r="AR9" s="233"/>
      <x:c r="AS9" s="233"/>
      <x:c r="AT9" s="233"/>
      <x:c r="AU9" s="233"/>
      <x:c r="AV9" s="233"/>
      <x:c r="AW9" s="233"/>
      <x:c r="AX9" s="233" t="str">
        <x:v>Bảng cân đối vùng nội dung; kiểm tra bảng rộng</x:v>
      </x:c>
      <x:c r="AY9" s="233" t="str">
        <x:v>Căn giữa khung bảng trong vùng nội dung hữu dụng; không căn theo khổ giấy bỏ qua lề. | Chưa xác minh là yêu cầu bắt buộc riêng của NĐ30/HD05; chỉ là profile nội bộ.</x:v>
      </x:c>
      <x:c r="AZ9" s="233" t="str">
        <x:v>Người dùng chốt trong trao đổi 29/10/2026; PROFILE NỘI BỘ; chưa có văn bản phê duyệt doanh nghiệp</x:v>
      </x:c>
    </x:row>
    <x:row r="10" ht="31" customHeight="1">
      <x:c r="A10" s="233" t="n">
        <x:v>4</x:v>
      </x:c>
      <x:c r="B10" s="233" t="str">
        <x:v>HD05.N.BANG.BO_CUC.CHIEU_RONG</x:v>
      </x:c>
      <x:c r="C10" s="233" t="str">
        <x:v>HD05.N.BANG.BO_CUC</x:v>
      </x:c>
      <x:c r="D10" s="233" t="str">
        <x:v>Chiều rộng ưu tiên của bảng</x:v>
      </x:c>
      <x:c r="E10" s="233" t="str">
        <x:v>TABLE</x:v>
      </x:c>
      <x:c r="F10" s="233" t="str">
        <x:v>table_width</x:v>
      </x:c>
      <x:c r="G10" s="233" t="n">
        <x:v>100</x:v>
      </x:c>
      <x:c r="H10" s="233" t="str">
        <x:v>%</x:v>
      </x:c>
      <x:c r="I10" s="233" t="str">
        <x:v>100% vùng nội dung là mục tiêu khi lập/điều chỉnh bảng; ưu tiên giữ độ rộng thủ công nếu đang đẹp và không tràn lề.</x:v>
      </x:c>
      <x:c r="J10" s="233" t="str">
        <x:v>PROFILE_DA_XAC_NHAN</x:v>
      </x:c>
      <x:c r="K10" s="233" t="str">
        <x:v>Chưa có điều khoản riêng đã xác minh cho thuộc tính này</x:v>
      </x:c>
      <x:c r="L10" s="233" t="str">
        <x:v>NOT_VERIFIED_AT_ATTRIBUTE_LEVEL</x:v>
      </x:c>
      <x:c r="M10" s="233" t="str">
        <x:v>CHECK_ONLY</x:v>
      </x:c>
      <x:c r="N10" s="233" t="str">
        <x:v>6</x:v>
      </x:c>
      <x:c r="O10" s="233" t="str">
        <x:v>w:tblPr/w:tblW</x:v>
      </x:c>
      <x:c r="P10" s="233"/>
      <x:c r="Q10" s="233"/>
      <x:c r="R10" s="233"/>
      <x:c r="S10" s="233"/>
      <x:c r="T10" s="233"/>
      <x:c r="U10" s="233"/>
      <x:c r="V10" s="233"/>
      <x:c r="W10" s="233"/>
      <x:c r="X10" s="233"/>
      <x:c r="Y10" s="233"/>
      <x:c r="Z10" s="233"/>
      <x:c r="AA10" s="233"/>
      <x:c r="AB10" s="233" t="n">
        <x:v>100</x:v>
      </x:c>
      <x:c r="AC10" s="233"/>
      <x:c r="AD10" s="233"/>
      <x:c r="AE10" s="233"/>
      <x:c r="AF10" s="233"/>
      <x:c r="AG10" s="233"/>
      <x:c r="AH10" s="233"/>
      <x:c r="AI10" s="233"/>
      <x:c r="AJ10" s="233"/>
      <x:c r="AK10" s="233"/>
      <x:c r="AL10" s="233"/>
      <x:c r="AM10" s="233"/>
      <x:c r="AN10" s="233"/>
      <x:c r="AO10" s="233"/>
      <x:c r="AP10" s="233"/>
      <x:c r="AQ10" s="233"/>
      <x:c r="AR10" s="233"/>
      <x:c r="AS10" s="233"/>
      <x:c r="AT10" s="233"/>
      <x:c r="AU10" s="233"/>
      <x:c r="AV10" s="233"/>
      <x:c r="AW10" s="233"/>
      <x:c r="AX10" s="233" t="str">
        <x:v>Không vượt chiều rộng vùng in</x:v>
      </x:c>
      <x:c r="AY10" s="233" t="str">
        <x:v>100% vùng nội dung là mục tiêu khi lập/điều chỉnh bảng; ưu tiên giữ độ rộng thủ công nếu đang đẹp và không tràn lề. | Chưa xác minh là yêu cầu bắt buộc riêng của NĐ30/HD05; chỉ là profile nội bộ.</x:v>
      </x:c>
      <x:c r="AZ10" s="233" t="str">
        <x:v>Người dùng chốt trong trao đổi 29/10/2026; PROFILE NỘI BỘ; chưa có văn bản phê duyệt doanh nghiệp</x:v>
      </x:c>
    </x:row>
    <x:row r="11" ht="31" customHeight="1">
      <x:c r="A11" s="233" t="n">
        <x:v>5</x:v>
      </x:c>
      <x:c r="B11" s="233" t="str">
        <x:v>HD05.N.BANG.BO_CUC.AUTOFIT</x:v>
      </x:c>
      <x:c r="C11" s="233" t="str">
        <x:v>HD05.N.BANG.BO_CUC</x:v>
      </x:c>
      <x:c r="D11" s="233" t="str">
        <x:v>Chế độ điều chỉnh độ rộng bảng</x:v>
      </x:c>
      <x:c r="E11" s="233" t="str">
        <x:v>TABLE</x:v>
      </x:c>
      <x:c r="F11" s="233" t="str">
        <x:v>table_layout</x:v>
      </x:c>
      <x:c r="G11" s="233" t="str">
        <x:v>PRESERVE_IF_VALID_ELSE_AUTOFIT_WINDOW</x:v>
      </x:c>
      <x:c r="H11" s="233"/>
      <x:c r="I11" s="233" t="str">
        <x:v>Ưu tiên giữ độ rộng khi bảng nằm trong lề và dễ đọc; khi tràn lề mới điều chỉnh vừa cửa sổ/vùng in rồi kiểm tra cột, ô gộp.</x:v>
      </x:c>
      <x:c r="J11" s="233" t="str">
        <x:v>PROFILE_DA_XAC_NHAN</x:v>
      </x:c>
      <x:c r="K11" s="233" t="str">
        <x:v>Chưa có điều khoản riêng đã xác minh cho thuộc tính này</x:v>
      </x:c>
      <x:c r="L11" s="233" t="str">
        <x:v>NOT_VERIFIED_AT_ATTRIBUTE_LEVEL</x:v>
      </x:c>
      <x:c r="M11" s="233" t="str">
        <x:v>CHECK_ONLY</x:v>
      </x:c>
      <x:c r="N11" s="233" t="str">
        <x:v>6</x:v>
      </x:c>
      <x:c r="O11" s="233" t="str">
        <x:v>w:tblPr/w:tblLayout</x:v>
      </x:c>
      <x:c r="P11" s="233"/>
      <x:c r="Q11" s="233"/>
      <x:c r="R11" s="233"/>
      <x:c r="S11" s="233"/>
      <x:c r="T11" s="233"/>
      <x:c r="U11" s="233"/>
      <x:c r="V11" s="233"/>
      <x:c r="W11" s="233"/>
      <x:c r="X11" s="233"/>
      <x:c r="Y11" s="233"/>
      <x:c r="Z11" s="233"/>
      <x:c r="AA11" s="233"/>
      <x:c r="AB11" s="233"/>
      <x:c r="AC11" s="233"/>
      <x:c r="AD11" s="233" t="str">
        <x:v>PRESERVE_IF_VALID_ELSE_AUTOFIT_WINDOW</x:v>
      </x:c>
      <x:c r="AE11" s="233"/>
      <x:c r="AF11" s="233"/>
      <x:c r="AG11" s="233"/>
      <x:c r="AH11" s="233"/>
      <x:c r="AI11" s="233"/>
      <x:c r="AJ11" s="233"/>
      <x:c r="AK11" s="233"/>
      <x:c r="AL11" s="233"/>
      <x:c r="AM11" s="233"/>
      <x:c r="AN11" s="233"/>
      <x:c r="AO11" s="233"/>
      <x:c r="AP11" s="233"/>
      <x:c r="AQ11" s="233"/>
      <x:c r="AR11" s="233"/>
      <x:c r="AS11" s="233"/>
      <x:c r="AT11" s="233"/>
      <x:c r="AU11" s="233"/>
      <x:c r="AV11" s="233"/>
      <x:c r="AW11" s="233"/>
      <x:c r="AX11" s="233" t="str">
        <x:v>Không tự đổi bố cục/độ rộng bảng có dữ liệu</x:v>
      </x:c>
      <x:c r="AY11" s="233" t="str">
        <x:v>Ưu tiên giữ độ rộng khi bảng nằm trong lề và dễ đọc; khi tràn lề mới điều chỉnh vừa cửa sổ/vùng in rồi kiểm tra cột, ô gộp. | Chưa xác minh là yêu cầu bắt buộc riêng của NĐ30/HD05; chỉ là profile nội bộ.</x:v>
      </x:c>
      <x:c r="AZ11" s="233" t="str">
        <x:v>Người dùng chốt trong trao đổi 29/10/2026; PROFILE NỘI BỘ; chưa có văn bản phê duyệt doanh nghiệp</x:v>
      </x:c>
    </x:row>
    <x:row r="12" ht="31" customHeight="1">
      <x:c r="A12" s="233" t="n">
        <x:v>6</x:v>
      </x:c>
      <x:c r="B12" s="233" t="str">
        <x:v>HD05.N.BANG.BO_CUC.KHOANG_THUT</x:v>
      </x:c>
      <x:c r="C12" s="233" t="str">
        <x:v>HD05.N.BANG.BO_CUC</x:v>
      </x:c>
      <x:c r="D12" s="233" t="str">
        <x:v>Thụt trái toàn bảng</x:v>
      </x:c>
      <x:c r="E12" s="233" t="str">
        <x:v>TABLE</x:v>
      </x:c>
      <x:c r="F12" s="233" t="str">
        <x:v>table_indent</x:v>
      </x:c>
      <x:c r="G12" s="233" t="n">
        <x:v>0</x:v>
      </x:c>
      <x:c r="H12" s="233" t="str">
        <x:v>mm</x:v>
      </x:c>
      <x:c r="I12" s="233" t="str">
        <x:v>Bảng chính không thụt trái so với mép vùng nội dung; không di chuyển bảng có bố cục riêng đã duyệt.</x:v>
      </x:c>
      <x:c r="J12" s="233" t="str">
        <x:v>PROFILE_DA_XAC_NHAN</x:v>
      </x:c>
      <x:c r="K12" s="233" t="str">
        <x:v>Chưa có điều khoản riêng đã xác minh cho thuộc tính này</x:v>
      </x:c>
      <x:c r="L12" s="233" t="str">
        <x:v>NOT_VERIFIED_AT_ATTRIBUTE_LEVEL</x:v>
      </x:c>
      <x:c r="M12" s="233" t="str">
        <x:v>CHECK_ONLY</x:v>
      </x:c>
      <x:c r="N12" s="233" t="str">
        <x:v>6</x:v>
      </x:c>
      <x:c r="O12" s="233" t="str">
        <x:v>w:tblPr/w:tblInd</x:v>
      </x:c>
      <x:c r="P12" s="233"/>
      <x:c r="Q12" s="233"/>
      <x:c r="R12" s="233"/>
      <x:c r="S12" s="233"/>
      <x:c r="T12" s="233"/>
      <x:c r="U12" s="233"/>
      <x:c r="V12" s="233"/>
      <x:c r="W12" s="233"/>
      <x:c r="X12" s="233"/>
      <x:c r="Y12" s="233"/>
      <x:c r="Z12" s="233"/>
      <x:c r="AA12" s="233" t="n">
        <x:v>0</x:v>
      </x:c>
      <x:c r="AB12" s="233"/>
      <x:c r="AC12" s="233"/>
      <x:c r="AD12" s="233"/>
      <x:c r="AE12" s="233"/>
      <x:c r="AF12" s="233"/>
      <x:c r="AG12" s="233"/>
      <x:c r="AH12" s="233"/>
      <x:c r="AI12" s="233"/>
      <x:c r="AJ12" s="233"/>
      <x:c r="AK12" s="233"/>
      <x:c r="AL12" s="233"/>
      <x:c r="AM12" s="233"/>
      <x:c r="AN12" s="233"/>
      <x:c r="AO12" s="233"/>
      <x:c r="AP12" s="233"/>
      <x:c r="AQ12" s="233"/>
      <x:c r="AR12" s="233"/>
      <x:c r="AS12" s="233"/>
      <x:c r="AT12" s="233"/>
      <x:c r="AU12" s="233"/>
      <x:c r="AV12" s="233"/>
      <x:c r="AW12" s="233"/>
      <x:c r="AX12" s="233" t="str">
        <x:v>Không tràn lề</x:v>
      </x:c>
      <x:c r="AY12" s="233" t="str">
        <x:v>Bảng chính không thụt trái so với mép vùng nội dung; không di chuyển bảng có bố cục riêng đã duyệt. | Chưa xác minh là yêu cầu bắt buộc riêng của NĐ30/HD05; chỉ là profile nội bộ.</x:v>
      </x:c>
      <x:c r="AZ12" s="233" t="str">
        <x:v>Người dùng chốt trong trao đổi 29/10/2026; PROFILE NỘI BỘ; chưa có văn bản phê duyệt doanh nghiệp</x:v>
      </x:c>
    </x:row>
    <x:row r="13" ht="31" customHeight="1">
      <x:c r="A13" s="233" t="n">
        <x:v>7</x:v>
      </x:c>
      <x:c r="B13" s="233" t="str">
        <x:v>HD05.N.BANG.BO_CUC.CHIEU_TRANG</x:v>
      </x:c>
      <x:c r="C13" s="233" t="str">
        <x:v>HD05.N.BANG.BO_CUC</x:v>
      </x:c>
      <x:c r="D13" s="233" t="str">
        <x:v>Hướng trang khi có bảng rộng</x:v>
      </x:c>
      <x:c r="E13" s="233" t="str">
        <x:v>SECTION</x:v>
      </x:c>
      <x:c r="F13" s="233" t="str">
        <x:v>page_orientation</x:v>
      </x:c>
      <x:c r="G13" s="233" t="str">
        <x:v>PORTRAIT_DEFAULT; LANDSCAPE_IF_NEEDED</x:v>
      </x:c>
      <x:c r="H13" s="233"/>
      <x:c r="I13" s="233" t="str">
        <x:v>Khi văn bản có bảng/biểu và cần trình bày trang ngang; phải bảo toàn vùng in và các section còn lại.</x:v>
      </x:c>
      <x:c r="J13" s="233" t="str">
        <x:v>LEGAL_CONDITIONAL</x:v>
      </x:c>
      <x:c r="K13" s="233" t="str">
        <x:v>HD05/P.II/4.3 (bảng và hướng giấy)</x:v>
      </x:c>
      <x:c r="L13" s="233" t="str">
        <x:v>SOURCE_CHECKED_SCOPE_ONLY</x:v>
      </x:c>
      <x:c r="M13" s="233" t="str">
        <x:v>CHECK_ONLY</x:v>
      </x:c>
      <x:c r="N13" s="233" t="str">
        <x:v>6</x:v>
      </x:c>
      <x:c r="O13" s="233" t="str">
        <x:v>w:sectPr/w:pgSz</x:v>
      </x:c>
      <x:c r="P13" s="233"/>
      <x:c r="Q13" s="233"/>
      <x:c r="R13" s="233"/>
      <x:c r="S13" s="233"/>
      <x:c r="T13" s="233"/>
      <x:c r="U13" s="233"/>
      <x:c r="V13" s="233"/>
      <x:c r="W13" s="233"/>
      <x:c r="X13" s="233"/>
      <x:c r="Y13" s="233"/>
      <x:c r="Z13" s="233"/>
      <x:c r="AA13" s="233"/>
      <x:c r="AB13" s="233"/>
      <x:c r="AC13" s="233"/>
      <x:c r="AD13" s="233"/>
      <x:c r="AE13" s="233"/>
      <x:c r="AF13" s="233"/>
      <x:c r="AG13" s="233"/>
      <x:c r="AH13" s="233"/>
      <x:c r="AI13" s="233"/>
      <x:c r="AJ13" s="233"/>
      <x:c r="AK13" s="233"/>
      <x:c r="AL13" s="233"/>
      <x:c r="AM13" s="233"/>
      <x:c r="AN13" s="233"/>
      <x:c r="AO13" s="233"/>
      <x:c r="AP13" s="233"/>
      <x:c r="AQ13" s="233"/>
      <x:c r="AR13" s="233"/>
      <x:c r="AS13" s="233"/>
      <x:c r="AT13" s="233"/>
      <x:c r="AU13" s="233"/>
      <x:c r="AV13" s="233" t="str">
        <x:v>PORTRAIT</x:v>
      </x:c>
      <x:c r="AW13" s="233"/>
      <x:c r="AX13" s="233" t="str">
        <x:v>Chỉ đổi hướng khi bảng cần, có ngắt section kiểm soát</x:v>
      </x:c>
      <x:c r="AY13" s="233" t="str">
        <x:v>Nhóm cha mới, chưa nhập registry 165 mã</x:v>
      </x:c>
      <x:c r="AZ13" s="233" t="str">
        <x:v>https://tulieuvankien.dangcongsan.vn/upload/2006988/20260529/HD_05_VPTW_e1550.pdf</x:v>
      </x:c>
    </x:row>
    <x:row r="14" ht="31" customHeight="1">
      <x:c r="A14" s="233" t="n">
        <x:v>8</x:v>
      </x:c>
      <x:c r="B14" s="233" t="str">
        <x:v>HD05.N.BANG.BO_CUC.TACH_SECTION</x:v>
      </x:c>
      <x:c r="C14" s="233" t="str">
        <x:v>HD05.N.BANG.BO_CUC</x:v>
      </x:c>
      <x:c r="D14" s="233" t="str">
        <x:v>Vùng section chứa bảng ngang</x:v>
      </x:c>
      <x:c r="E14" s="233" t="str">
        <x:v>SECTION</x:v>
      </x:c>
      <x:c r="F14" s="233" t="str">
        <x:v>section_break</x:v>
      </x:c>
      <x:c r="G14" s="233" t="str">
        <x:v>REVIEW_REQUIRED</x:v>
      </x:c>
      <x:c r="H14" s="233"/>
      <x:c r="I14" s="233" t="str">
        <x:v>Chỉ xét khi bảng rộng cần trang ngang; không đổi hướng các trang khác.</x:v>
      </x:c>
      <x:c r="J14" s="233" t="str">
        <x:v>TECHNICAL</x:v>
      </x:c>
      <x:c r="K14" s="233" t="str">
        <x:v>Chưa có điều khoản riêng đã xác minh cho thuộc tính này</x:v>
      </x:c>
      <x:c r="L14" s="233" t="str">
        <x:v>NOT_VERIFIED_AT_ATTRIBUTE_LEVEL</x:v>
      </x:c>
      <x:c r="M14" s="233" t="str">
        <x:v>CHECK_ONLY</x:v>
      </x:c>
      <x:c r="N14" s="233" t="str">
        <x:v>6</x:v>
      </x:c>
      <x:c r="O14" s="233" t="str">
        <x:v>w:sectPr</x:v>
      </x:c>
      <x:c r="P14" s="233"/>
      <x:c r="Q14" s="233"/>
      <x:c r="R14" s="233"/>
      <x:c r="S14" s="233"/>
      <x:c r="T14" s="233"/>
      <x:c r="U14" s="233"/>
      <x:c r="V14" s="233"/>
      <x:c r="W14" s="233"/>
      <x:c r="X14" s="233"/>
      <x:c r="Y14" s="233"/>
      <x:c r="Z14" s="233"/>
      <x:c r="AA14" s="233"/>
      <x:c r="AB14" s="233"/>
      <x:c r="AC14" s="233"/>
      <x:c r="AD14" s="233"/>
      <x:c r="AE14" s="233"/>
      <x:c r="AF14" s="233"/>
      <x:c r="AG14" s="233"/>
      <x:c r="AH14" s="233"/>
      <x:c r="AI14" s="233"/>
      <x:c r="AJ14" s="233"/>
      <x:c r="AK14" s="233"/>
      <x:c r="AL14" s="233"/>
      <x:c r="AM14" s="233"/>
      <x:c r="AN14" s="233"/>
      <x:c r="AO14" s="233"/>
      <x:c r="AP14" s="233"/>
      <x:c r="AQ14" s="233"/>
      <x:c r="AR14" s="233"/>
      <x:c r="AS14" s="233"/>
      <x:c r="AT14" s="233"/>
      <x:c r="AU14" s="233"/>
      <x:c r="AV14" s="233"/>
      <x:c r="AW14" s="233" t="str">
        <x:v>PRESERVE</x:v>
      </x:c>
      <x:c r="AX14" s="233" t="str">
        <x:v>Không làm đổi hướng trang ngoài bảng</x:v>
      </x:c>
      <x:c r="AY14" s="233" t="str">
        <x:v>Nhóm cha mới, chưa nhập registry 165 mã</x:v>
      </x:c>
      <x:c r="AZ14" s="233" t="str">
        <x:v>PROFILE_HTHHMB_v1.5_DRAFT</x:v>
      </x:c>
    </x:row>
    <x:row r="15" ht="31" customHeight="1">
      <x:c r="A15" s="233" t="n">
        <x:v>9</x:v>
      </x:c>
      <x:c r="B15" s="233" t="str">
        <x:v>HD05.N.BANG.BO_CUC.KHOANG_TRUOC</x:v>
      </x:c>
      <x:c r="C15" s="233" t="str">
        <x:v>HD05.N.BANG.BO_CUC</x:v>
      </x:c>
      <x:c r="D15" s="233" t="str">
        <x:v>Khoảng cách trước bảng</x:v>
      </x:c>
      <x:c r="E15" s="233" t="str">
        <x:v>PARAGRAPH</x:v>
      </x:c>
      <x:c r="F15" s="233" t="str">
        <x:v>space_before</x:v>
      </x:c>
      <x:c r="G15" s="233" t="n">
        <x:v>6</x:v>
      </x:c>
      <x:c r="H15" s="233" t="str">
        <x:v>pt</x:v>
      </x:c>
      <x:c r="I15" s="233" t="str">
        <x:v>Đoạn văn thường ngay trước bảng; khoảng cách HIỂN THỊ mục tiêu 6 pt, không cộng thêm với space_after đoạn trước; nếu caption ngoài bảng thì nhường rule caption.</x:v>
      </x:c>
      <x:c r="J15" s="233" t="str">
        <x:v>PROFILE_DA_XAC_NHAN</x:v>
      </x:c>
      <x:c r="K15" s="233" t="str">
        <x:v>Chưa có điều khoản riêng đã xác minh cho thuộc tính này</x:v>
      </x:c>
      <x:c r="L15" s="233" t="str">
        <x:v>NOT_VERIFIED_AT_ATTRIBUTE_LEVEL</x:v>
      </x:c>
      <x:c r="M15" s="233" t="str">
        <x:v>CHECK_ONLY</x:v>
      </x:c>
      <x:c r="N15" s="233" t="str">
        <x:v>6</x:v>
      </x:c>
      <x:c r="O15" s="233"/>
      <x:c r="P15" s="233"/>
      <x:c r="Q15" s="233"/>
      <x:c r="R15" s="233"/>
      <x:c r="S15" s="233"/>
      <x:c r="T15" s="233"/>
      <x:c r="U15" s="233"/>
      <x:c r="V15" s="233"/>
      <x:c r="W15" s="233"/>
      <x:c r="X15" s="233"/>
      <x:c r="Y15" s="233"/>
      <x:c r="Z15" s="233"/>
      <x:c r="AA15" s="233"/>
      <x:c r="AB15" s="233"/>
      <x:c r="AC15" s="233"/>
      <x:c r="AD15" s="233"/>
      <x:c r="AE15" s="233"/>
      <x:c r="AF15" s="233"/>
      <x:c r="AG15" s="233"/>
      <x:c r="AH15" s="233"/>
      <x:c r="AI15" s="233"/>
      <x:c r="AJ15" s="233"/>
      <x:c r="AK15" s="233"/>
      <x:c r="AL15" s="233"/>
      <x:c r="AM15" s="233"/>
      <x:c r="AN15" s="233"/>
      <x:c r="AO15" s="233"/>
      <x:c r="AP15" s="233"/>
      <x:c r="AQ15" s="233"/>
      <x:c r="AR15" s="233"/>
      <x:c r="AS15" s="233"/>
      <x:c r="AT15" s="233"/>
      <x:c r="AU15" s="233"/>
      <x:c r="AV15" s="233"/>
      <x:c r="AW15" s="233"/>
      <x:c r="AX15" s="233" t="str">
        <x:v>Không tạo dòng trắng rỗng</x:v>
      </x:c>
      <x:c r="AY15" s="233" t="str">
        <x:v>Đoạn văn thường ngay trước bảng; khoảng cách HIỂN THỊ mục tiêu 6 pt, không cộng thêm với space_after đoạn trước; nếu caption ngoài bảng thì nhường rule caption. | Chưa xác minh là yêu cầu bắt buộc riêng của NĐ30/HD05; chỉ là profile nội bộ.</x:v>
      </x:c>
      <x:c r="AZ15" s="233" t="str">
        <x:v>Người dùng chốt trong trao đổi 29/10/2026; PROFILE NỘI BỘ; chưa có văn bản phê duyệt doanh nghiệp</x:v>
      </x:c>
    </x:row>
    <x:row r="16" ht="31" customHeight="1">
      <x:c r="A16" s="233" t="n">
        <x:v>10</x:v>
      </x:c>
      <x:c r="B16" s="233" t="str">
        <x:v>HD05.N.BANG.BO_CUC.KHOANG_SAU</x:v>
      </x:c>
      <x:c r="C16" s="233" t="str">
        <x:v>HD05.N.BANG.BO_CUC</x:v>
      </x:c>
      <x:c r="D16" s="233" t="str">
        <x:v>Khoảng cách sau bảng</x:v>
      </x:c>
      <x:c r="E16" s="233" t="str">
        <x:v>PARAGRAPH</x:v>
      </x:c>
      <x:c r="F16" s="233" t="str">
        <x:v>space_after</x:v>
      </x:c>
      <x:c r="G16" s="233" t="n">
        <x:v>6</x:v>
      </x:c>
      <x:c r="H16" s="233" t="str">
        <x:v>pt</x:v>
      </x:c>
      <x:c r="I16" s="233" t="str">
        <x:v>Đoạn văn thường ngay sau bảng; khoảng cách HIỂN THỊ mục tiêu 6 pt, không cộng với space_before tiếp sau; nếu ghi chú ngoài bảng thì nhường rule ghi chú.</x:v>
      </x:c>
      <x:c r="J16" s="233" t="str">
        <x:v>PROFILE_DA_XAC_NHAN</x:v>
      </x:c>
      <x:c r="K16" s="233" t="str">
        <x:v>Chưa có điều khoản riêng đã xác minh cho thuộc tính này</x:v>
      </x:c>
      <x:c r="L16" s="233" t="str">
        <x:v>NOT_VERIFIED_AT_ATTRIBUTE_LEVEL</x:v>
      </x:c>
      <x:c r="M16" s="233" t="str">
        <x:v>CHECK_ONLY</x:v>
      </x:c>
      <x:c r="N16" s="233" t="str">
        <x:v>6</x:v>
      </x:c>
      <x:c r="O16" s="233"/>
      <x:c r="P16" s="233"/>
      <x:c r="Q16" s="233"/>
      <x:c r="R16" s="233"/>
      <x:c r="S16" s="233"/>
      <x:c r="T16" s="233"/>
      <x:c r="U16" s="233"/>
      <x:c r="V16" s="233"/>
      <x:c r="W16" s="233"/>
      <x:c r="X16" s="233"/>
      <x:c r="Y16" s="233"/>
      <x:c r="Z16" s="233"/>
      <x:c r="AA16" s="233"/>
      <x:c r="AB16" s="233"/>
      <x:c r="AC16" s="233"/>
      <x:c r="AD16" s="233"/>
      <x:c r="AE16" s="233"/>
      <x:c r="AF16" s="233"/>
      <x:c r="AG16" s="233"/>
      <x:c r="AH16" s="233"/>
      <x:c r="AI16" s="233"/>
      <x:c r="AJ16" s="233"/>
      <x:c r="AK16" s="233"/>
      <x:c r="AL16" s="233"/>
      <x:c r="AM16" s="233"/>
      <x:c r="AN16" s="233"/>
      <x:c r="AO16" s="233"/>
      <x:c r="AP16" s="233"/>
      <x:c r="AQ16" s="233"/>
      <x:c r="AR16" s="233"/>
      <x:c r="AS16" s="233"/>
      <x:c r="AT16" s="233"/>
      <x:c r="AU16" s="233"/>
      <x:c r="AV16" s="233"/>
      <x:c r="AW16" s="233"/>
      <x:c r="AX16" s="233" t="str">
        <x:v>Không tạo dòng trắng rỗng</x:v>
      </x:c>
      <x:c r="AY16" s="233" t="str">
        <x:v>Đoạn văn thường ngay sau bảng; khoảng cách HIỂN THỊ mục tiêu 6 pt, không cộng với space_before tiếp sau; nếu ghi chú ngoài bảng thì nhường rule ghi chú. | Chưa xác minh là yêu cầu bắt buộc riêng của NĐ30/HD05; chỉ là profile nội bộ.</x:v>
      </x:c>
      <x:c r="AZ16" s="233" t="str">
        <x:v>Người dùng chốt trong trao đổi 29/10/2026; PROFILE NỘI BỘ; chưa có văn bản phê duyệt doanh nghiệp</x:v>
      </x:c>
    </x:row>
    <x:row r="17" ht="31" customHeight="1">
      <x:c r="A17" s="233" t="n">
        <x:v>11</x:v>
      </x:c>
      <x:c r="B17" s="233" t="str">
        <x:v>HD05.N.BANG.BO_CUC.PHAN_BIET_HEADER</x:v>
      </x:c>
      <x:c r="C17" s="233" t="str">
        <x:v>HD05.N.BANG.BO_CUC</x:v>
      </x:c>
      <x:c r="D17" s="233" t="str">
        <x:v>Bảo vệ bảng bố cục</x:v>
      </x:c>
      <x:c r="E17" s="233" t="str">
        <x:v>TABLE</x:v>
      </x:c>
      <x:c r="F17" s="233" t="str">
        <x:v>table_role_filter</x:v>
      </x:c>
      <x:c r="G17" s="233" t="str">
        <x:v>EXCLUDE_HEADER_FOOTER_LAYOUT</x:v>
      </x:c>
      <x:c r="H17" s="233"/>
      <x:c r="I17" s="233" t="str">
        <x:v>Khi có bảng dàn trang hoặc nằm trong Header/Footer; không áp rule bảng dữ liệu.</x:v>
      </x:c>
      <x:c r="J17" s="233" t="str">
        <x:v>TECHNICAL</x:v>
      </x:c>
      <x:c r="K17" s="233" t="str">
        <x:v>Chưa có điều khoản riêng đã xác minh cho thuộc tính này</x:v>
      </x:c>
      <x:c r="L17" s="233" t="str">
        <x:v>NOT_VERIFIED_AT_ATTRIBUTE_LEVEL</x:v>
      </x:c>
      <x:c r="M17" s="233" t="str">
        <x:v>CHECK_ONLY</x:v>
      </x:c>
      <x:c r="N17" s="233" t="str">
        <x:v>6</x:v>
      </x:c>
      <x:c r="O17" s="233"/>
      <x:c r="P17" s="233"/>
      <x:c r="Q17" s="233"/>
      <x:c r="R17" s="233"/>
      <x:c r="S17" s="233"/>
      <x:c r="T17" s="233"/>
      <x:c r="U17" s="233"/>
      <x:c r="V17" s="233"/>
      <x:c r="W17" s="233"/>
      <x:c r="X17" s="233"/>
      <x:c r="Y17" s="233"/>
      <x:c r="Z17" s="233"/>
      <x:c r="AA17" s="233"/>
      <x:c r="AB17" s="233"/>
      <x:c r="AC17" s="233"/>
      <x:c r="AD17" s="233"/>
      <x:c r="AE17" s="233"/>
      <x:c r="AF17" s="233"/>
      <x:c r="AG17" s="233"/>
      <x:c r="AH17" s="233"/>
      <x:c r="AI17" s="233"/>
      <x:c r="AJ17" s="233"/>
      <x:c r="AK17" s="233"/>
      <x:c r="AL17" s="233"/>
      <x:c r="AM17" s="233"/>
      <x:c r="AN17" s="233"/>
      <x:c r="AO17" s="233"/>
      <x:c r="AP17" s="233"/>
      <x:c r="AQ17" s="233"/>
      <x:c r="AR17" s="233"/>
      <x:c r="AS17" s="233"/>
      <x:c r="AT17" s="233"/>
      <x:c r="AU17" s="233"/>
      <x:c r="AV17" s="233"/>
      <x:c r="AW17" s="233"/>
      <x:c r="AX17" s="233" t="str">
        <x:v>Các bảng giả để căn đầu trang bị loại trừ</x:v>
      </x:c>
      <x:c r="AY17" s="233" t="str">
        <x:v>Nhóm cha mới, chưa nhập registry 165 mã</x:v>
      </x:c>
      <x:c r="AZ17" s="233" t="str">
        <x:v>PROFILE_HTHHMB_v1.5_DRAFT</x:v>
      </x:c>
    </x:row>
    <x:row r="18" ht="31" customHeight="1">
      <x:c r="A18" s="233" t="n">
        <x:v>12</x:v>
      </x:c>
      <x:c r="B18" s="233" t="str">
        <x:v>HD05.N.BANG.TIEU_DE.NOI_DUNG</x:v>
      </x:c>
      <x:c r="C18" s="233" t="str">
        <x:v>HD05.N.BANG.TIEU_DE</x:v>
      </x:c>
      <x:c r="D18" s="233" t="str">
        <x:v>Nội dung tiêu đề bảng</x:v>
      </x:c>
      <x:c r="E18" s="233" t="str">
        <x:v>PARAGRAPH</x:v>
      </x:c>
      <x:c r="F18" s="233" t="str">
        <x:v>caption_text</x:v>
      </x:c>
      <x:c r="G18" s="233" t="str">
        <x:v>PRESERVE</x:v>
      </x:c>
      <x:c r="H18" s="233"/>
      <x:c r="I18" s="233" t="str">
        <x:v>Khi có tiêu đề bảng nằm ngay trước hoặc liên kết rõ với bảng; bảo toàn chữ gốc.</x:v>
      </x:c>
      <x:c r="J18" s="233" t="str">
        <x:v>PRESERVE_ONLY</x:v>
      </x:c>
      <x:c r="K18" s="233" t="str">
        <x:v>Chưa có điều khoản riêng đã xác minh cho thuộc tính này</x:v>
      </x:c>
      <x:c r="L18" s="233" t="str">
        <x:v>NOT_VERIFIED_AT_ATTRIBUTE_LEVEL</x:v>
      </x:c>
      <x:c r="M18" s="233" t="str">
        <x:v>PROTECTED</x:v>
      </x:c>
      <x:c r="N18" s="233" t="str">
        <x:v>6</x:v>
      </x:c>
      <x:c r="O18" s="233" t="str">
        <x:v>w:p/w:r/w:t</x:v>
      </x:c>
      <x:c r="P18" s="233"/>
      <x:c r="Q18" s="233"/>
      <x:c r="R18" s="233"/>
      <x:c r="S18" s="233"/>
      <x:c r="T18" s="233"/>
      <x:c r="U18" s="233"/>
      <x:c r="V18" s="233"/>
      <x:c r="W18" s="233"/>
      <x:c r="X18" s="233"/>
      <x:c r="Y18" s="233"/>
      <x:c r="Z18" s="233"/>
      <x:c r="AA18" s="233"/>
      <x:c r="AB18" s="233"/>
      <x:c r="AC18" s="233"/>
      <x:c r="AD18" s="233"/>
      <x:c r="AE18" s="233"/>
      <x:c r="AF18" s="233"/>
      <x:c r="AG18" s="233"/>
      <x:c r="AH18" s="233"/>
      <x:c r="AI18" s="233"/>
      <x:c r="AJ18" s="233"/>
      <x:c r="AK18" s="233"/>
      <x:c r="AL18" s="233"/>
      <x:c r="AM18" s="233"/>
      <x:c r="AN18" s="233"/>
      <x:c r="AO18" s="233"/>
      <x:c r="AP18" s="233"/>
      <x:c r="AQ18" s="233"/>
      <x:c r="AR18" s="233"/>
      <x:c r="AS18" s="233"/>
      <x:c r="AT18" s="233"/>
      <x:c r="AU18" s="233"/>
      <x:c r="AV18" s="233"/>
      <x:c r="AW18" s="233"/>
      <x:c r="AX18" s="233" t="str">
        <x:v>Bảo toàn 100% tên bảng</x:v>
      </x:c>
      <x:c r="AY18" s="233" t="str">
        <x:v>Kiểm tra phần tử đích trước khi diễn giải rule; không tự sửa.</x:v>
      </x:c>
      <x:c r="AZ18" s="233" t="str">
        <x:v>https://tulieuvankien.dangcongsan.vn/upload/2006988/20260529/HD_05_VPTW_e1550.pdf</x:v>
      </x:c>
    </x:row>
    <x:row r="19" ht="31" customHeight="1">
      <x:c r="A19" s="233" t="n">
        <x:v>13</x:v>
      </x:c>
      <x:c r="B19" s="233" t="str">
        <x:v>HD05.N.BANG.TIEU_DE.KIEU_CHU</x:v>
      </x:c>
      <x:c r="C19" s="233" t="str">
        <x:v>HD05.N.BANG.TIEU_DE</x:v>
      </x:c>
      <x:c r="D19" s="233" t="str">
        <x:v>Kiểu chữ tiêu đề bảng</x:v>
      </x:c>
      <x:c r="E19" s="233" t="str">
        <x:v>RUN</x:v>
      </x:c>
      <x:c r="F19" s="233" t="str">
        <x:v>caption_style</x:v>
      </x:c>
      <x:c r="G19" s="233" t="str">
        <x:v>Times New Roman; 13 pt; BOLD; UPRIGHT</x:v>
      </x:c>
      <x:c r="H19" s="233"/>
      <x:c r="I19" s="233" t="str">
        <x:v>Chỉ tiêu đề NGOÀI bảng đã xác định; không áp cho dòng tiêu đề cột và không ghi đè nội dung chữ.</x:v>
      </x:c>
      <x:c r="J19" s="233" t="str">
        <x:v>PROFILE_DA_XAC_NHAN</x:v>
      </x:c>
      <x:c r="K19" s="233" t="str">
        <x:v>Chưa có điều khoản riêng đã xác minh cho thuộc tính này</x:v>
      </x:c>
      <x:c r="L19" s="233" t="str">
        <x:v>NOT_VERIFIED_AT_ATTRIBUTE_LEVEL</x:v>
      </x:c>
      <x:c r="M19" s="233" t="str">
        <x:v>CHECK_ONLY</x:v>
      </x:c>
      <x:c r="N19" s="233" t="str">
        <x:v>6</x:v>
      </x:c>
      <x:c r="O19" s="233" t="str">
        <x:v>w:rPr</x:v>
      </x:c>
      <x:c r="P19" s="233" t="str">
        <x:v>Times New Roman</x:v>
      </x:c>
      <x:c r="Q19" s="233" t="n">
        <x:v>13</x:v>
      </x:c>
      <x:c r="R19" s="233" t="str">
        <x:v>YES</x:v>
      </x:c>
      <x:c r="S19" s="233" t="str">
        <x:v>NO</x:v>
      </x:c>
      <x:c r="T19" s="233"/>
      <x:c r="U19" s="233"/>
      <x:c r="V19" s="233"/>
      <x:c r="W19" s="233"/>
      <x:c r="X19" s="233"/>
      <x:c r="Y19" s="233"/>
      <x:c r="Z19" s="233"/>
      <x:c r="AA19" s="233"/>
      <x:c r="AB19" s="233"/>
      <x:c r="AC19" s="233"/>
      <x:c r="AD19" s="233"/>
      <x:c r="AE19" s="233"/>
      <x:c r="AF19" s="233"/>
      <x:c r="AG19" s="233"/>
      <x:c r="AH19" s="233"/>
      <x:c r="AI19" s="233"/>
      <x:c r="AJ19" s="233"/>
      <x:c r="AK19" s="233"/>
      <x:c r="AL19" s="233"/>
      <x:c r="AM19" s="233"/>
      <x:c r="AN19" s="233"/>
      <x:c r="AO19" s="233"/>
      <x:c r="AP19" s="233"/>
      <x:c r="AQ19" s="233"/>
      <x:c r="AR19" s="233"/>
      <x:c r="AS19" s="233"/>
      <x:c r="AT19" s="233"/>
      <x:c r="AU19" s="233"/>
      <x:c r="AV19" s="233"/>
      <x:c r="AW19" s="233"/>
      <x:c r="AX19" s="233" t="str">
        <x:v>Chỉ định dạng sau khi nhận diện tiêu đề chính xác</x:v>
      </x:c>
      <x:c r="AY19" s="233" t="str">
        <x:v>Chỉ tiêu đề NGOÀI bảng đã xác định; không áp cho dòng tiêu đề cột và không ghi đè nội dung chữ. | Chưa xác minh là yêu cầu bắt buộc riêng của NĐ30/HD05; chỉ là profile nội bộ. HD05: Cỡ chữ 13 pt / giãn dòng đơn trong bảng chưa được xác nhận phù hợp lời văn 14–15 pt và giãn dòng Exactly 18–22 pt.</x:v>
      </x:c>
      <x:c r="AZ19" s="233" t="str">
        <x:v>Người dùng chốt trong trao đổi 29/10/2026; PROFILE NỘI BỘ; chưa có văn bản phê duyệt doanh nghiệp</x:v>
      </x:c>
    </x:row>
    <x:row r="20" ht="31" customHeight="1">
      <x:c r="A20" s="233" t="n">
        <x:v>14</x:v>
      </x:c>
      <x:c r="B20" s="233" t="str">
        <x:v>HD05.N.BANG.TIEU_DE.CAN_NGANG</x:v>
      </x:c>
      <x:c r="C20" s="233" t="str">
        <x:v>HD05.N.BANG.TIEU_DE</x:v>
      </x:c>
      <x:c r="D20" s="233" t="str">
        <x:v>Căn ngang tiêu đề bảng</x:v>
      </x:c>
      <x:c r="E20" s="233" t="str">
        <x:v>PARAGRAPH</x:v>
      </x:c>
      <x:c r="F20" s="233" t="str">
        <x:v>caption_align</x:v>
      </x:c>
      <x:c r="G20" s="233" t="str">
        <x:v>CENTER</x:v>
      </x:c>
      <x:c r="H20" s="233"/>
      <x:c r="I20" s="233" t="str">
        <x:v>Căn giữa tiêu đề theo chiều ngang bảng; nếu bố cục không cho phép thì ghi ngoại lệ.</x:v>
      </x:c>
      <x:c r="J20" s="233" t="str">
        <x:v>PROFILE_DA_XAC_NHAN</x:v>
      </x:c>
      <x:c r="K20" s="233" t="str">
        <x:v>Chưa có điều khoản riêng đã xác minh cho thuộc tính này</x:v>
      </x:c>
      <x:c r="L20" s="233" t="str">
        <x:v>NOT_VERIFIED_AT_ATTRIBUTE_LEVEL</x:v>
      </x:c>
      <x:c r="M20" s="233" t="str">
        <x:v>CHECK_ONLY</x:v>
      </x:c>
      <x:c r="N20" s="233" t="str">
        <x:v>6</x:v>
      </x:c>
      <x:c r="O20" s="233" t="str">
        <x:v>w:pPr/w:jc</x:v>
      </x:c>
      <x:c r="P20" s="233"/>
      <x:c r="Q20" s="233"/>
      <x:c r="R20" s="233"/>
      <x:c r="S20" s="233"/>
      <x:c r="T20" s="233"/>
      <x:c r="U20" s="233" t="str">
        <x:v>CENTER</x:v>
      </x:c>
      <x:c r="V20" s="233"/>
      <x:c r="W20" s="233"/>
      <x:c r="X20" s="233"/>
      <x:c r="Y20" s="233"/>
      <x:c r="Z20" s="233"/>
      <x:c r="AA20" s="233"/>
      <x:c r="AB20" s="233"/>
      <x:c r="AC20" s="233"/>
      <x:c r="AD20" s="233"/>
      <x:c r="AE20" s="233"/>
      <x:c r="AF20" s="233"/>
      <x:c r="AG20" s="233"/>
      <x:c r="AH20" s="233"/>
      <x:c r="AI20" s="233"/>
      <x:c r="AJ20" s="233"/>
      <x:c r="AK20" s="233"/>
      <x:c r="AL20" s="233"/>
      <x:c r="AM20" s="233"/>
      <x:c r="AN20" s="233"/>
      <x:c r="AO20" s="233"/>
      <x:c r="AP20" s="233"/>
      <x:c r="AQ20" s="233"/>
      <x:c r="AR20" s="233"/>
      <x:c r="AS20" s="233"/>
      <x:c r="AT20" s="233"/>
      <x:c r="AU20" s="233"/>
      <x:c r="AV20" s="233"/>
      <x:c r="AW20" s="233"/>
      <x:c r="AX20" s="233" t="str">
        <x:v>Không di chuyển tiêu đề sang trang khác</x:v>
      </x:c>
      <x:c r="AY20" s="233" t="str">
        <x:v>Căn giữa tiêu đề theo chiều ngang bảng; nếu bố cục không cho phép thì ghi ngoại lệ. | Chưa xác minh là yêu cầu bắt buộc riêng của NĐ30/HD05; chỉ là profile nội bộ.</x:v>
      </x:c>
      <x:c r="AZ20" s="233" t="str">
        <x:v>Người dùng chốt trong trao đổi 29/10/2026; PROFILE NỘI BỘ; chưa có văn bản phê duyệt doanh nghiệp</x:v>
      </x:c>
    </x:row>
    <x:row r="21" ht="31" customHeight="1">
      <x:c r="A21" s="233" t="n">
        <x:v>15</x:v>
      </x:c>
      <x:c r="B21" s="233" t="str">
        <x:v>HD05.N.BANG.TIEU_DE.GIU_CUNG_BANG</x:v>
      </x:c>
      <x:c r="C21" s="233" t="str">
        <x:v>HD05.N.BANG.TIEU_DE</x:v>
      </x:c>
      <x:c r="D21" s="233" t="str">
        <x:v>Giữ tiêu đề và bảng cùng trang</x:v>
      </x:c>
      <x:c r="E21" s="233" t="str">
        <x:v>PARAGRAPH</x:v>
      </x:c>
      <x:c r="F21" s="233" t="str">
        <x:v>caption_keep_next</x:v>
      </x:c>
      <x:c r="G21" s="233" t="str">
        <x:v>TRUE</x:v>
      </x:c>
      <x:c r="H21" s="233"/>
      <x:c r="I21" s="233" t="str">
        <x:v>Giữ caption với hàng/nhóm hàng đầu của bảng, không ép toàn bảng nhiều trang ở một trang.</x:v>
      </x:c>
      <x:c r="J21" s="233" t="str">
        <x:v>PROFILE_DA_XAC_NHAN</x:v>
      </x:c>
      <x:c r="K21" s="233" t="str">
        <x:v>Chưa có điều khoản riêng đã xác minh cho thuộc tính này</x:v>
      </x:c>
      <x:c r="L21" s="233" t="str">
        <x:v>NOT_VERIFIED_AT_ATTRIBUTE_LEVEL</x:v>
      </x:c>
      <x:c r="M21" s="233" t="str">
        <x:v>CHECK_ONLY</x:v>
      </x:c>
      <x:c r="N21" s="233" t="str">
        <x:v>6</x:v>
      </x:c>
      <x:c r="O21" s="233" t="str">
        <x:v>w:pPr/w:keepNext</x:v>
      </x:c>
      <x:c r="P21" s="233"/>
      <x:c r="Q21" s="233"/>
      <x:c r="R21" s="233"/>
      <x:c r="S21" s="233"/>
      <x:c r="T21" s="233"/>
      <x:c r="U21" s="233"/>
      <x:c r="V21" s="233"/>
      <x:c r="W21" s="233"/>
      <x:c r="X21" s="233"/>
      <x:c r="Y21" s="233"/>
      <x:c r="Z21" s="233"/>
      <x:c r="AA21" s="233"/>
      <x:c r="AB21" s="233"/>
      <x:c r="AC21" s="233"/>
      <x:c r="AD21" s="233"/>
      <x:c r="AE21" s="233"/>
      <x:c r="AF21" s="233"/>
      <x:c r="AG21" s="233"/>
      <x:c r="AH21" s="233"/>
      <x:c r="AI21" s="233" t="str">
        <x:v>TRUE</x:v>
      </x:c>
      <x:c r="AJ21" s="233"/>
      <x:c r="AK21" s="233"/>
      <x:c r="AL21" s="233"/>
      <x:c r="AM21" s="233"/>
      <x:c r="AN21" s="233"/>
      <x:c r="AO21" s="233"/>
      <x:c r="AP21" s="233"/>
      <x:c r="AQ21" s="233"/>
      <x:c r="AR21" s="233"/>
      <x:c r="AS21" s="233"/>
      <x:c r="AT21" s="233"/>
      <x:c r="AU21" s="233"/>
      <x:c r="AV21" s="233"/>
      <x:c r="AW21" s="233"/>
      <x:c r="AX21" s="233" t="str">
        <x:v>Tiêu đề không đứng cuối trang riêng</x:v>
      </x:c>
      <x:c r="AY21" s="233" t="str">
        <x:v>Giữ caption với hàng/nhóm hàng đầu của bảng, không ép toàn bảng nhiều trang ở một trang. | Chưa xác minh là yêu cầu bắt buộc riêng của NĐ30/HD05; chỉ là profile nội bộ.</x:v>
      </x:c>
      <x:c r="AZ21" s="233" t="str">
        <x:v>Người dùng chốt trong trao đổi 29/10/2026; PROFILE NỘI BỘ; chưa có văn bản phê duyệt doanh nghiệp</x:v>
      </x:c>
    </x:row>
    <x:row r="22" ht="31" customHeight="1">
      <x:c r="A22" s="233" t="n">
        <x:v>16</x:v>
      </x:c>
      <x:c r="B22" s="233" t="str">
        <x:v>HD05.N.BANG.TIEU_DE.KHOANG_CACH</x:v>
      </x:c>
      <x:c r="C22" s="233" t="str">
        <x:v>HD05.N.BANG.TIEU_DE</x:v>
      </x:c>
      <x:c r="D22" s="233" t="str">
        <x:v>Khoảng cách tiêu đề và bảng</x:v>
      </x:c>
      <x:c r="E22" s="233" t="str">
        <x:v>PARAGRAPH</x:v>
      </x:c>
      <x:c r="F22" s="233" t="str">
        <x:v>caption_spacing</x:v>
      </x:c>
      <x:c r="G22" s="233" t="n">
        <x:v>6</x:v>
      </x:c>
      <x:c r="H22" s="233" t="str">
        <x:v>pt</x:v>
      </x:c>
      <x:c r="I22" s="233" t="str">
        <x:v>Giữa caption NGOÀI bảng và mép trên bảng 6 pt; không cộng BO_CUC.KHOANG_TRUOC; caption space_before 6 pt là một ranh giới khác.</x:v>
      </x:c>
      <x:c r="J22" s="233" t="str">
        <x:v>PROFILE_DA_XAC_NHAN</x:v>
      </x:c>
      <x:c r="K22" s="233" t="str">
        <x:v>Chưa có điều khoản riêng đã xác minh cho thuộc tính này</x:v>
      </x:c>
      <x:c r="L22" s="233" t="str">
        <x:v>NOT_VERIFIED_AT_ATTRIBUTE_LEVEL</x:v>
      </x:c>
      <x:c r="M22" s="233" t="str">
        <x:v>CHECK_ONLY</x:v>
      </x:c>
      <x:c r="N22" s="233" t="str">
        <x:v>6</x:v>
      </x:c>
      <x:c r="O22" s="233" t="str">
        <x:v>w:pPr/w:spacing</x:v>
      </x:c>
      <x:c r="P22" s="233"/>
      <x:c r="Q22" s="233"/>
      <x:c r="R22" s="233"/>
      <x:c r="S22" s="233"/>
      <x:c r="T22" s="233"/>
      <x:c r="U22" s="233"/>
      <x:c r="V22" s="233"/>
      <x:c r="W22" s="233"/>
      <x:c r="X22" s="233"/>
      <x:c r="Y22" s="233"/>
      <x:c r="Z22" s="233"/>
      <x:c r="AA22" s="233"/>
      <x:c r="AB22" s="233"/>
      <x:c r="AC22" s="233"/>
      <x:c r="AD22" s="233"/>
      <x:c r="AE22" s="233"/>
      <x:c r="AF22" s="233"/>
      <x:c r="AG22" s="233"/>
      <x:c r="AH22" s="233"/>
      <x:c r="AI22" s="233"/>
      <x:c r="AJ22" s="233"/>
      <x:c r="AK22" s="233"/>
      <x:c r="AL22" s="233"/>
      <x:c r="AM22" s="233"/>
      <x:c r="AN22" s="233"/>
      <x:c r="AO22" s="233"/>
      <x:c r="AP22" s="233"/>
      <x:c r="AQ22" s="233"/>
      <x:c r="AR22" s="233"/>
      <x:c r="AS22" s="233"/>
      <x:c r="AT22" s="233"/>
      <x:c r="AU22" s="233"/>
      <x:c r="AV22" s="233"/>
      <x:c r="AW22" s="233"/>
      <x:c r="AX22" s="233" t="str">
        <x:v>Không nhân đôi với khoảng cách của bảng</x:v>
      </x:c>
      <x:c r="AY22" s="233" t="str">
        <x:v>Giữa caption NGOÀI bảng và mép trên bảng 6 pt; không cộng BO_CUC.KHOANG_TRUOC; caption space_before 6 pt là một ranh giới khác. | Chưa xác minh là yêu cầu bắt buộc riêng của NĐ30/HD05; chỉ là profile nội bộ.</x:v>
      </x:c>
      <x:c r="AZ22" s="233" t="str">
        <x:v>Người dùng chốt trong trao đổi 29/10/2026; PROFILE NỘI BỘ; chưa có văn bản phê duyệt doanh nghiệp</x:v>
      </x:c>
    </x:row>
    <x:row r="23" ht="31" customHeight="1">
      <x:c r="A23" s="233" t="n">
        <x:v>17</x:v>
      </x:c>
      <x:c r="B23" s="233" t="str">
        <x:v>HD05.N.BANG.DAU_BANG.NHAN_DIEN</x:v>
      </x:c>
      <x:c r="C23" s="233" t="str">
        <x:v>HD05.N.BANG.DAU_BANG</x:v>
      </x:c>
      <x:c r="D23" s="233" t="str">
        <x:v>Nhận diện hàng đầu bảng</x:v>
      </x:c>
      <x:c r="E23" s="233" t="str">
        <x:v>ROW</x:v>
      </x:c>
      <x:c r="F23" s="233" t="str">
        <x:v>header_row_detect</x:v>
      </x:c>
      <x:c r="G23" s="233" t="str">
        <x:v>MANUAL_OR_SEMANTIC</x:v>
      </x:c>
      <x:c r="H23" s="233"/>
      <x:c r="I23" s="233" t="str">
        <x:v>Chỉ một hoặc nhiều hàng đầu đóng vai trò NHÃN CỘT, không mặc định hàng đầu luôn là tiêu đề.</x:v>
      </x:c>
      <x:c r="J23" s="233" t="str">
        <x:v>TECHNICAL</x:v>
      </x:c>
      <x:c r="K23" s="233" t="str">
        <x:v>Chưa có điều khoản riêng đã xác minh cho thuộc tính này</x:v>
      </x:c>
      <x:c r="L23" s="233" t="str">
        <x:v>NOT_VERIFIED_AT_ATTRIBUTE_LEVEL</x:v>
      </x:c>
      <x:c r="M23" s="233" t="str">
        <x:v>CHECK_ONLY</x:v>
      </x:c>
      <x:c r="N23" s="233" t="str">
        <x:v>6</x:v>
      </x:c>
      <x:c r="O23" s="233" t="str">
        <x:v>w:tr</x:v>
      </x:c>
      <x:c r="P23" s="233"/>
      <x:c r="Q23" s="233"/>
      <x:c r="R23" s="233"/>
      <x:c r="S23" s="233"/>
      <x:c r="T23" s="233"/>
      <x:c r="U23" s="233"/>
      <x:c r="V23" s="233"/>
      <x:c r="W23" s="233"/>
      <x:c r="X23" s="233"/>
      <x:c r="Y23" s="233"/>
      <x:c r="Z23" s="233"/>
      <x:c r="AA23" s="233"/>
      <x:c r="AB23" s="233"/>
      <x:c r="AC23" s="233"/>
      <x:c r="AD23" s="233"/>
      <x:c r="AE23" s="233"/>
      <x:c r="AF23" s="233"/>
      <x:c r="AG23" s="233"/>
      <x:c r="AH23" s="233"/>
      <x:c r="AI23" s="233"/>
      <x:c r="AJ23" s="233"/>
      <x:c r="AK23" s="233"/>
      <x:c r="AL23" s="233"/>
      <x:c r="AM23" s="233"/>
      <x:c r="AN23" s="233"/>
      <x:c r="AO23" s="233"/>
      <x:c r="AP23" s="233"/>
      <x:c r="AQ23" s="233"/>
      <x:c r="AR23" s="233"/>
      <x:c r="AS23" s="233"/>
      <x:c r="AT23" s="233"/>
      <x:c r="AU23" s="233"/>
      <x:c r="AV23" s="233"/>
      <x:c r="AW23" s="233"/>
      <x:c r="AX23" s="233" t="str">
        <x:v>Nhận diện cả hàng tiêu đề nhiều cấp</x:v>
      </x:c>
      <x:c r="AY23" s="233" t="str">
        <x:v>Kiểm tra phần tử đích trước khi diễn giải rule; không tự sửa.</x:v>
      </x:c>
      <x:c r="AZ23" s="233" t="str">
        <x:v>PROFILE_HTHHMB_v1.5_DRAFT</x:v>
      </x:c>
    </x:row>
    <x:row r="24" ht="31" customHeight="1">
      <x:c r="A24" s="233" t="n">
        <x:v>18</x:v>
      </x:c>
      <x:c r="B24" s="233" t="str">
        <x:v>HD05.N.BANG.DAU_BANG.VAN_BAN</x:v>
      </x:c>
      <x:c r="C24" s="233" t="str">
        <x:v>HD05.N.BANG.DAU_BANG</x:v>
      </x:c>
      <x:c r="D24" s="233" t="str">
        <x:v>Nội dung nhãn cột/hàng đầu</x:v>
      </x:c>
      <x:c r="E24" s="233" t="str">
        <x:v>CELL_TEXT</x:v>
      </x:c>
      <x:c r="F24" s="233" t="str">
        <x:v>header_text</x:v>
      </x:c>
      <x:c r="G24" s="233" t="str">
        <x:v>PRESERVE</x:v>
      </x:c>
      <x:c r="H24" s="233"/>
      <x:c r="I24" s="233" t="str">
        <x:v>Trong ô của hàng tiêu đề; không thêm, bớt, viết lại nhãn cột.</x:v>
      </x:c>
      <x:c r="J24" s="233" t="str">
        <x:v>PRESERVE_ONLY</x:v>
      </x:c>
      <x:c r="K24" s="233" t="str">
        <x:v>Chưa có điều khoản riêng đã xác minh cho thuộc tính này</x:v>
      </x:c>
      <x:c r="L24" s="233" t="str">
        <x:v>NOT_VERIFIED_AT_ATTRIBUTE_LEVEL</x:v>
      </x:c>
      <x:c r="M24" s="233" t="str">
        <x:v>PROTECTED</x:v>
      </x:c>
      <x:c r="N24" s="233" t="str">
        <x:v>6</x:v>
      </x:c>
      <x:c r="O24" s="233" t="str">
        <x:v>w:tc/w:p/w:r</x:v>
      </x:c>
      <x:c r="P24" s="233"/>
      <x:c r="Q24" s="233"/>
      <x:c r="R24" s="233"/>
      <x:c r="S24" s="233"/>
      <x:c r="T24" s="233"/>
      <x:c r="U24" s="233"/>
      <x:c r="V24" s="233"/>
      <x:c r="W24" s="233"/>
      <x:c r="X24" s="233"/>
      <x:c r="Y24" s="233"/>
      <x:c r="Z24" s="233"/>
      <x:c r="AA24" s="233"/>
      <x:c r="AB24" s="233"/>
      <x:c r="AC24" s="233"/>
      <x:c r="AD24" s="233"/>
      <x:c r="AE24" s="233"/>
      <x:c r="AF24" s="233"/>
      <x:c r="AG24" s="233"/>
      <x:c r="AH24" s="233"/>
      <x:c r="AI24" s="233"/>
      <x:c r="AJ24" s="233"/>
      <x:c r="AK24" s="233"/>
      <x:c r="AL24" s="233"/>
      <x:c r="AM24" s="233"/>
      <x:c r="AN24" s="233"/>
      <x:c r="AO24" s="233"/>
      <x:c r="AP24" s="233"/>
      <x:c r="AQ24" s="233"/>
      <x:c r="AR24" s="233"/>
      <x:c r="AS24" s="233"/>
      <x:c r="AT24" s="233"/>
      <x:c r="AU24" s="233"/>
      <x:c r="AV24" s="233"/>
      <x:c r="AW24" s="233"/>
      <x:c r="AX24" s="233" t="str">
        <x:v>Không viết lại tiêu đề cột</x:v>
      </x:c>
      <x:c r="AY24" s="233" t="str">
        <x:v>Kiểm tra phần tử đích trước khi diễn giải rule; không tự sửa.</x:v>
      </x:c>
      <x:c r="AZ24" s="233" t="str">
        <x:v>https://tulieuvankien.dangcongsan.vn/upload/2006988/20260529/HD_05_VPTW_e1550.pdf</x:v>
      </x:c>
    </x:row>
    <x:row r="25" ht="31" customHeight="1">
      <x:c r="A25" s="233" t="n">
        <x:v>19</x:v>
      </x:c>
      <x:c r="B25" s="233" t="str">
        <x:v>HD05.N.BANG.DAU_BANG.CO_CHU</x:v>
      </x:c>
      <x:c r="C25" s="233" t="str">
        <x:v>HD05.N.BANG.DAU_BANG</x:v>
      </x:c>
      <x:c r="D25" s="233" t="str">
        <x:v>Cỡ chữ hàng tiêu đề</x:v>
      </x:c>
      <x:c r="E25" s="233" t="str">
        <x:v>RUN</x:v>
      </x:c>
      <x:c r="F25" s="233" t="str">
        <x:v>header_font_size</x:v>
      </x:c>
      <x:c r="G25" s="233" t="n">
        <x:v>13</x:v>
      </x:c>
      <x:c r="H25" s="233" t="str">
        <x:v>pt</x:v>
      </x:c>
      <x:c r="I25" s="233" t="str">
        <x:v>Toàn bộ chữ trong ô của mọi hàng tiêu đề đã xác định: 13 pt theo profile Công ty.</x:v>
      </x:c>
      <x:c r="J25" s="233" t="str">
        <x:v>PROFILE_DA_XAC_NHAN</x:v>
      </x:c>
      <x:c r="K25" s="233" t="str">
        <x:v>Chưa có điều khoản riêng đã xác minh cho thuộc tính này</x:v>
      </x:c>
      <x:c r="L25" s="233" t="str">
        <x:v>NOT_VERIFIED_AT_ATTRIBUTE_LEVEL</x:v>
      </x:c>
      <x:c r="M25" s="233" t="str">
        <x:v>CHECK_ONLY</x:v>
      </x:c>
      <x:c r="N25" s="233" t="str">
        <x:v>6</x:v>
      </x:c>
      <x:c r="O25" s="233" t="str">
        <x:v>w:rPr/w:sz</x:v>
      </x:c>
      <x:c r="P25" s="233" t="str">
        <x:v>Times New Roman</x:v>
      </x:c>
      <x:c r="Q25" s="233" t="n">
        <x:v>13</x:v>
      </x:c>
      <x:c r="R25" s="233"/>
      <x:c r="S25" s="233"/>
      <x:c r="T25" s="233"/>
      <x:c r="U25" s="233"/>
      <x:c r="V25" s="233"/>
      <x:c r="W25" s="233"/>
      <x:c r="X25" s="233"/>
      <x:c r="Y25" s="233"/>
      <x:c r="Z25" s="233"/>
      <x:c r="AA25" s="233"/>
      <x:c r="AB25" s="233"/>
      <x:c r="AC25" s="233"/>
      <x:c r="AD25" s="233"/>
      <x:c r="AE25" s="233"/>
      <x:c r="AF25" s="233"/>
      <x:c r="AG25" s="233"/>
      <x:c r="AH25" s="233"/>
      <x:c r="AI25" s="233"/>
      <x:c r="AJ25" s="233"/>
      <x:c r="AK25" s="233"/>
      <x:c r="AL25" s="233"/>
      <x:c r="AM25" s="233"/>
      <x:c r="AN25" s="233"/>
      <x:c r="AO25" s="233"/>
      <x:c r="AP25" s="233"/>
      <x:c r="AQ25" s="233"/>
      <x:c r="AR25" s="233"/>
      <x:c r="AS25" s="233"/>
      <x:c r="AT25" s="233"/>
      <x:c r="AU25" s="233"/>
      <x:c r="AV25" s="233"/>
      <x:c r="AW25" s="233"/>
      <x:c r="AX25" s="233" t="str">
        <x:v>Kiểm tra không vỡ dòng/đè chữ</x:v>
      </x:c>
      <x:c r="AY25" s="233" t="str">
        <x:v>ĐÃ CHỐT 13 PT (yêu cầu người dùng 29/10/2026). HD05: profile Công ty 13 pt đã chốt; HD05 PL2 nêu nội dung văn bản 14–15 pt, chưa xác minh ngoại lệ cho ô bảng; không khẳng định đạt chuẩn HD05.</x:v>
      </x:c>
      <x:c r="AZ25" s="233" t="str">
        <x:v>PROFILE_HTHHMB_v1.5_DRAFT</x:v>
      </x:c>
    </x:row>
    <x:row r="26" ht="31" customHeight="1">
      <x:c r="A26" s="233" t="n">
        <x:v>20</x:v>
      </x:c>
      <x:c r="B26" s="233" t="str">
        <x:v>HD05.N.BANG.DAU_BANG.CHU_DAM</x:v>
      </x:c>
      <x:c r="C26" s="233" t="str">
        <x:v>HD05.N.BANG.DAU_BANG</x:v>
      </x:c>
      <x:c r="D26" s="233" t="str">
        <x:v>Chữ đậm hàng tiêu đề</x:v>
      </x:c>
      <x:c r="E26" s="233" t="str">
        <x:v>RUN</x:v>
      </x:c>
      <x:c r="F26" s="233" t="str">
        <x:v>header_bold</x:v>
      </x:c>
      <x:c r="G26" s="233" t="str">
        <x:v>YES</x:v>
      </x:c>
      <x:c r="H26" s="233"/>
      <x:c r="I26" s="233" t="str">
        <x:v>Chỉ hàng tiêu đề cột; không áp chữ đậm lên hàng dữ liệu chỉ vì nằm đầu trang.</x:v>
      </x:c>
      <x:c r="J26" s="233" t="str">
        <x:v>PROFILE_DA_XAC_NHAN</x:v>
      </x:c>
      <x:c r="K26" s="233" t="str">
        <x:v>Chưa có điều khoản riêng đã xác minh cho thuộc tính này</x:v>
      </x:c>
      <x:c r="L26" s="233" t="str">
        <x:v>NOT_VERIFIED_AT_ATTRIBUTE_LEVEL</x:v>
      </x:c>
      <x:c r="M26" s="233" t="str">
        <x:v>CHECK_ONLY</x:v>
      </x:c>
      <x:c r="N26" s="233" t="str">
        <x:v>6</x:v>
      </x:c>
      <x:c r="O26" s="233" t="str">
        <x:v>w:rPr/w:b</x:v>
      </x:c>
      <x:c r="P26" s="233"/>
      <x:c r="Q26" s="233"/>
      <x:c r="R26" s="233" t="str">
        <x:v>YES</x:v>
      </x:c>
      <x:c r="S26" s="233"/>
      <x:c r="T26" s="233"/>
      <x:c r="U26" s="233"/>
      <x:c r="V26" s="233"/>
      <x:c r="W26" s="233"/>
      <x:c r="X26" s="233"/>
      <x:c r="Y26" s="233"/>
      <x:c r="Z26" s="233"/>
      <x:c r="AA26" s="233"/>
      <x:c r="AB26" s="233"/>
      <x:c r="AC26" s="233"/>
      <x:c r="AD26" s="233"/>
      <x:c r="AE26" s="233"/>
      <x:c r="AF26" s="233"/>
      <x:c r="AG26" s="233"/>
      <x:c r="AH26" s="233"/>
      <x:c r="AI26" s="233"/>
      <x:c r="AJ26" s="233"/>
      <x:c r="AK26" s="233"/>
      <x:c r="AL26" s="233"/>
      <x:c r="AM26" s="233"/>
      <x:c r="AN26" s="233"/>
      <x:c r="AO26" s="233"/>
      <x:c r="AP26" s="233"/>
      <x:c r="AQ26" s="233"/>
      <x:c r="AR26" s="233"/>
      <x:c r="AS26" s="233"/>
      <x:c r="AT26" s="233"/>
      <x:c r="AU26" s="233"/>
      <x:c r="AV26" s="233"/>
      <x:c r="AW26" s="233"/>
      <x:c r="AX26" s="233" t="str">
        <x:v>Không làm đậm cả hàng dữ liệu</x:v>
      </x:c>
      <x:c r="AY26" s="233" t="str">
        <x:v>Chỉ hàng tiêu đề cột; không áp chữ đậm lên hàng dữ liệu chỉ vì nằm đầu trang. | Chưa xác minh là yêu cầu bắt buộc riêng của NĐ30/HD05; chỉ là profile nội bộ.</x:v>
      </x:c>
      <x:c r="AZ26" s="233" t="str">
        <x:v>Người dùng chốt trong trao đổi 29/10/2026; PROFILE NỘI BỘ; chưa có văn bản phê duyệt doanh nghiệp</x:v>
      </x:c>
    </x:row>
    <x:row r="27" ht="31" customHeight="1">
      <x:c r="A27" s="233" t="n">
        <x:v>21</x:v>
      </x:c>
      <x:c r="B27" s="233" t="str">
        <x:v>HD05.N.BANG.DAU_BANG.CAN_NGANG</x:v>
      </x:c>
      <x:c r="C27" s="233" t="str">
        <x:v>HD05.N.BANG.DAU_BANG</x:v>
      </x:c>
      <x:c r="D27" s="233" t="str">
        <x:v>Căn ngang hàng tiêu đề</x:v>
      </x:c>
      <x:c r="E27" s="233" t="str">
        <x:v>PARAGRAPH</x:v>
      </x:c>
      <x:c r="F27" s="233" t="str">
        <x:v>header_align</x:v>
      </x:c>
      <x:c r="G27" s="233" t="str">
        <x:v>CENTER</x:v>
      </x:c>
      <x:c r="H27" s="233"/>
      <x:c r="I27" s="233" t="str">
        <x:v>Căn giữa trong ô tiêu đề, nội dung dài được xuống dòng.</x:v>
      </x:c>
      <x:c r="J27" s="233" t="str">
        <x:v>PROFILE_DA_XAC_NHAN</x:v>
      </x:c>
      <x:c r="K27" s="233" t="str">
        <x:v>Chưa có điều khoản riêng đã xác minh cho thuộc tính này</x:v>
      </x:c>
      <x:c r="L27" s="233" t="str">
        <x:v>NOT_VERIFIED_AT_ATTRIBUTE_LEVEL</x:v>
      </x:c>
      <x:c r="M27" s="233" t="str">
        <x:v>CHECK_ONLY</x:v>
      </x:c>
      <x:c r="N27" s="233" t="str">
        <x:v>6</x:v>
      </x:c>
      <x:c r="O27" s="233" t="str">
        <x:v>w:pPr/w:jc</x:v>
      </x:c>
      <x:c r="P27" s="233"/>
      <x:c r="Q27" s="233"/>
      <x:c r="R27" s="233"/>
      <x:c r="S27" s="233"/>
      <x:c r="T27" s="233"/>
      <x:c r="U27" s="233" t="str">
        <x:v>CENTER</x:v>
      </x:c>
      <x:c r="V27" s="233"/>
      <x:c r="W27" s="233"/>
      <x:c r="X27" s="233"/>
      <x:c r="Y27" s="233"/>
      <x:c r="Z27" s="233"/>
      <x:c r="AA27" s="233"/>
      <x:c r="AB27" s="233"/>
      <x:c r="AC27" s="233"/>
      <x:c r="AD27" s="233"/>
      <x:c r="AE27" s="233"/>
      <x:c r="AF27" s="233"/>
      <x:c r="AG27" s="233"/>
      <x:c r="AH27" s="233"/>
      <x:c r="AI27" s="233"/>
      <x:c r="AJ27" s="233"/>
      <x:c r="AK27" s="233"/>
      <x:c r="AL27" s="233"/>
      <x:c r="AM27" s="233"/>
      <x:c r="AN27" s="233"/>
      <x:c r="AO27" s="233"/>
      <x:c r="AP27" s="233"/>
      <x:c r="AQ27" s="233"/>
      <x:c r="AR27" s="233"/>
      <x:c r="AS27" s="233"/>
      <x:c r="AT27" s="233"/>
      <x:c r="AU27" s="233"/>
      <x:c r="AV27" s="233"/>
      <x:c r="AW27" s="233"/>
      <x:c r="AX27" s="233" t="str">
        <x:v>Căn theo từng ô</x:v>
      </x:c>
      <x:c r="AY27" s="233" t="str">
        <x:v>Căn giữa trong ô tiêu đề, nội dung dài được xuống dòng. | Chưa xác minh là yêu cầu bắt buộc riêng của NĐ30/HD05; chỉ là profile nội bộ.</x:v>
      </x:c>
      <x:c r="AZ27" s="233" t="str">
        <x:v>Người dùng chốt trong trao đổi 29/10/2026; PROFILE NỘI BỘ; chưa có văn bản phê duyệt doanh nghiệp</x:v>
      </x:c>
    </x:row>
    <x:row r="28" ht="31" customHeight="1">
      <x:c r="A28" s="233" t="n">
        <x:v>22</x:v>
      </x:c>
      <x:c r="B28" s="233" t="str">
        <x:v>HD05.N.BANG.DAU_BANG.LAP_LAI</x:v>
      </x:c>
      <x:c r="C28" s="233" t="str">
        <x:v>HD05.N.BANG.DAU_BANG</x:v>
      </x:c>
      <x:c r="D28" s="233" t="str">
        <x:v>Lặp hàng tiêu đề khi bảng qua trang</x:v>
      </x:c>
      <x:c r="E28" s="233" t="str">
        <x:v>ROW</x:v>
      </x:c>
      <x:c r="F28" s="233" t="str">
        <x:v>repeat_header</x:v>
      </x:c>
      <x:c r="G28" s="233" t="str">
        <x:v>YES_IF_MULTIPAGE</x:v>
      </x:c>
      <x:c r="H28" s="233"/>
      <x:c r="I28" s="233" t="str">
        <x:v>Khi bảng nội dung chính chiếm từ 2 trang trở lên VÀ xác định được nhóm hàng tiêu đề liên tiếp từ hàng đầu: BẮT BUỘC lặp đầy đủ nhóm hàng tiêu đề trên mỗi trang sau. Không lặp hàng nhóm, hàng dữ liệu hoặc tiêu đề ngoài bảng. Nếu chưa xác định header, đánh dấu CẦN XÁC NHẬN; không tự bịa nhãn.</x:v>
      </x:c>
      <x:c r="J28" s="233" t="str">
        <x:v>PROFILE_DA_XAC_NHAN</x:v>
      </x:c>
      <x:c r="K28" s="233" t="str">
        <x:v>Chưa có điều khoản riêng đã xác minh cho thuộc tính này</x:v>
      </x:c>
      <x:c r="L28" s="233" t="str">
        <x:v>NOT_VERIFIED_AT_ATTRIBUTE_LEVEL</x:v>
      </x:c>
      <x:c r="M28" s="233" t="str">
        <x:v>CHECK_ONLY</x:v>
      </x:c>
      <x:c r="N28" s="233" t="str">
        <x:v>6</x:v>
      </x:c>
      <x:c r="O28" s="233" t="str">
        <x:v>w:trPr/w:tblHeader</x:v>
      </x:c>
      <x:c r="P28" s="233"/>
      <x:c r="Q28" s="233"/>
      <x:c r="R28" s="233"/>
      <x:c r="S28" s="233"/>
      <x:c r="T28" s="233"/>
      <x:c r="U28" s="233"/>
      <x:c r="V28" s="233"/>
      <x:c r="W28" s="233"/>
      <x:c r="X28" s="233"/>
      <x:c r="Y28" s="233"/>
      <x:c r="Z28" s="233"/>
      <x:c r="AA28" s="233"/>
      <x:c r="AB28" s="233"/>
      <x:c r="AC28" s="233"/>
      <x:c r="AD28" s="233"/>
      <x:c r="AE28" s="233"/>
      <x:c r="AF28" s="233"/>
      <x:c r="AG28" s="233" t="str">
        <x:v>CONDITIONAL</x:v>
      </x:c>
      <x:c r="AH28" s="233"/>
      <x:c r="AI28" s="233"/>
      <x:c r="AJ28" s="233"/>
      <x:c r="AK28" s="233"/>
      <x:c r="AL28" s="233"/>
      <x:c r="AM28" s="233"/>
      <x:c r="AN28" s="233"/>
      <x:c r="AO28" s="233"/>
      <x:c r="AP28" s="233"/>
      <x:c r="AQ28" s="233"/>
      <x:c r="AR28" s="233"/>
      <x:c r="AS28" s="233"/>
      <x:c r="AT28" s="233"/>
      <x:c r="AU28" s="233"/>
      <x:c r="AV28" s="233"/>
      <x:c r="AW28" s="233"/>
      <x:c r="AX28" s="233" t="str">
        <x:v>KIỂM TRA: tất cả trang sau trang đầu đều hiển thị đúng nhóm nhãn cột; nhóm hàng tiêu đề liên tiếp từ đầu, không tự tạo nội dung; không đòi lặp trên bảng 1 trang.</x:v>
      </x:c>
      <x:c r="AY28" s="233" t="str">
        <x:v>RULE CHÍNH — Đã duyệt theo yêu cầu người dùng 29/10/2026: lặp hàng tiêu đề là BẮT BUỘC THEO PROFILE nếu bảng qua nhiều trang; không khẳng định NĐ30/HD05 bắt buộc.</x:v>
      </x:c>
      <x:c r="AZ28" s="233" t="str">
        <x:v>QUYET_DINH_PROFILE_NGUOI_DUNG_2026-10-29</x:v>
      </x:c>
    </x:row>
    <x:row r="29" ht="31" customHeight="1">
      <x:c r="A29" s="233" t="n">
        <x:v>23</x:v>
      </x:c>
      <x:c r="B29" s="233" t="str">
        <x:v>HD05.N.BANG.DAU_BANG.NHIEU_CAP</x:v>
      </x:c>
      <x:c r="C29" s="233" t="str">
        <x:v>HD05.N.BANG.DAU_BANG</x:v>
      </x:c>
      <x:c r="D29" s="233" t="str">
        <x:v>Hàng tiêu đề nhiều tầng</x:v>
      </x:c>
      <x:c r="E29" s="233" t="str">
        <x:v>ROW</x:v>
      </x:c>
      <x:c r="F29" s="233" t="str">
        <x:v>header_levels</x:v>
      </x:c>
      <x:c r="G29" s="233" t="str">
        <x:v>PRESERVE</x:v>
      </x:c>
      <x:c r="H29" s="233"/>
      <x:c r="I29" s="233" t="str">
        <x:v>Khi hàng tiêu đề có nhiều tầng và/hoặc ô gộp; giữ đúng tầng và quan hệ nhãn.</x:v>
      </x:c>
      <x:c r="J29" s="233" t="str">
        <x:v>PRESERVE_ONLY</x:v>
      </x:c>
      <x:c r="K29" s="233" t="str">
        <x:v>Chưa có điều khoản riêng đã xác minh cho thuộc tính này</x:v>
      </x:c>
      <x:c r="L29" s="233" t="str">
        <x:v>NOT_VERIFIED_AT_ATTRIBUTE_LEVEL</x:v>
      </x:c>
      <x:c r="M29" s="233" t="str">
        <x:v>PROTECTED</x:v>
      </x:c>
      <x:c r="N29" s="233" t="str">
        <x:v>6</x:v>
      </x:c>
      <x:c r="O29" s="233" t="str">
        <x:v>w:tr/w:tc</x:v>
      </x:c>
      <x:c r="P29" s="233"/>
      <x:c r="Q29" s="233"/>
      <x:c r="R29" s="233"/>
      <x:c r="S29" s="233"/>
      <x:c r="T29" s="233"/>
      <x:c r="U29" s="233"/>
      <x:c r="V29" s="233"/>
      <x:c r="W29" s="233"/>
      <x:c r="X29" s="233"/>
      <x:c r="Y29" s="233"/>
      <x:c r="Z29" s="233"/>
      <x:c r="AA29" s="233"/>
      <x:c r="AB29" s="233"/>
      <x:c r="AC29" s="233"/>
      <x:c r="AD29" s="233"/>
      <x:c r="AE29" s="233"/>
      <x:c r="AF29" s="233"/>
      <x:c r="AG29" s="233"/>
      <x:c r="AH29" s="233"/>
      <x:c r="AI29" s="233"/>
      <x:c r="AJ29" s="233"/>
      <x:c r="AK29" s="233"/>
      <x:c r="AL29" s="233"/>
      <x:c r="AM29" s="233"/>
      <x:c r="AN29" s="233"/>
      <x:c r="AO29" s="233"/>
      <x:c r="AP29" s="233"/>
      <x:c r="AQ29" s="233"/>
      <x:c r="AR29" s="233"/>
      <x:c r="AS29" s="233"/>
      <x:c r="AT29" s="233"/>
      <x:c r="AU29" s="233"/>
      <x:c r="AV29" s="233"/>
      <x:c r="AW29" s="233"/>
      <x:c r="AX29" s="233" t="str">
        <x:v>Không tự gộp/tách ô tiêu đề nhiều tầng</x:v>
      </x:c>
      <x:c r="AY29" s="233" t="str">
        <x:v>Kiểm tra phần tử đích trước khi diễn giải rule; không tự sửa.</x:v>
      </x:c>
      <x:c r="AZ29" s="233" t="str">
        <x:v>https://tulieuvankien.dangcongsan.vn/upload/2006988/20260529/HD_05_VPTW_e1550.pdf</x:v>
      </x:c>
    </x:row>
    <x:row r="30" ht="31" customHeight="1">
      <x:c r="A30" s="233" t="n">
        <x:v>24</x:v>
      </x:c>
      <x:c r="B30" s="233" t="str">
        <x:v>HD05.N.BANG.DAU_BANG.TO_NEN</x:v>
      </x:c>
      <x:c r="C30" s="233" t="str">
        <x:v>HD05.N.BANG.DAU_BANG</x:v>
      </x:c>
      <x:c r="D30" s="233" t="str">
        <x:v>Màu nền hàng tiêu đề</x:v>
      </x:c>
      <x:c r="E30" s="233" t="str">
        <x:v>CELL</x:v>
      </x:c>
      <x:c r="F30" s="233" t="str">
        <x:v>header_shading</x:v>
      </x:c>
      <x:c r="G30" s="233" t="str">
        <x:v>NONE_NEW; PRESERVE_MEANINGFUL_EXISTING</x:v>
      </x:c>
      <x:c r="H30" s="233"/>
      <x:c r="I30" s="233" t="str">
        <x:v>Không thêm nền mới; không xóa nền đang thể hiện ý nghĩa dữ liệu/phân nhóm.</x:v>
      </x:c>
      <x:c r="J30" s="233" t="str">
        <x:v>PROFILE_DA_XAC_NHAN</x:v>
      </x:c>
      <x:c r="K30" s="233" t="str">
        <x:v>Chưa có điều khoản riêng đã xác minh cho thuộc tính này</x:v>
      </x:c>
      <x:c r="L30" s="233" t="str">
        <x:v>NOT_VERIFIED_AT_ATTRIBUTE_LEVEL</x:v>
      </x:c>
      <x:c r="M30" s="233" t="str">
        <x:v>CHECK_ONLY</x:v>
      </x:c>
      <x:c r="N30" s="233" t="str">
        <x:v>6</x:v>
      </x:c>
      <x:c r="O30" s="233" t="str">
        <x:v>w:tcPr/w:shd</x:v>
      </x:c>
      <x:c r="P30" s="233"/>
      <x:c r="Q30" s="233"/>
      <x:c r="R30" s="233"/>
      <x:c r="S30" s="233"/>
      <x:c r="T30" s="233"/>
      <x:c r="U30" s="233"/>
      <x:c r="V30" s="233"/>
      <x:c r="W30" s="233"/>
      <x:c r="X30" s="233"/>
      <x:c r="Y30" s="233"/>
      <x:c r="Z30" s="233"/>
      <x:c r="AA30" s="233"/>
      <x:c r="AB30" s="233"/>
      <x:c r="AC30" s="233"/>
      <x:c r="AD30" s="233"/>
      <x:c r="AE30" s="233"/>
      <x:c r="AF30" s="233"/>
      <x:c r="AG30" s="233"/>
      <x:c r="AH30" s="233"/>
      <x:c r="AI30" s="233"/>
      <x:c r="AJ30" s="233"/>
      <x:c r="AK30" s="233"/>
      <x:c r="AL30" s="233"/>
      <x:c r="AM30" s="233"/>
      <x:c r="AN30" s="233"/>
      <x:c r="AO30" s="233"/>
      <x:c r="AP30" s="233"/>
      <x:c r="AQ30" s="233"/>
      <x:c r="AR30" s="233" t="str">
        <x:v>NONE_NEW</x:v>
      </x:c>
      <x:c r="AS30" s="233"/>
      <x:c r="AT30" s="233"/>
      <x:c r="AU30" s="233"/>
      <x:c r="AV30" s="233"/>
      <x:c r="AW30" s="233"/>
      <x:c r="AX30" s="233" t="str">
        <x:v>Hạn chế tô nền, ưu tiên in trắng đen</x:v>
      </x:c>
      <x:c r="AY30" s="233" t="str">
        <x:v>Không thêm nền mới; không xóa nền đang thể hiện ý nghĩa dữ liệu/phân nhóm. | Chưa xác minh là yêu cầu bắt buộc riêng của NĐ30/HD05; chỉ là profile nội bộ.</x:v>
      </x:c>
      <x:c r="AZ30" s="233" t="str">
        <x:v>Người dùng chốt trong trao đổi 29/10/2026; PROFILE NỘI BỘ; chưa có văn bản phê duyệt doanh nghiệp</x:v>
      </x:c>
    </x:row>
    <x:row r="31" ht="31" customHeight="1">
      <x:c r="A31" s="233" t="n">
        <x:v>25</x:v>
      </x:c>
      <x:c r="B31" s="233" t="str">
        <x:v>HD05.N.BANG.COT.SO_LUONG</x:v>
      </x:c>
      <x:c r="C31" s="233" t="str">
        <x:v>HD05.N.BANG.COT</x:v>
      </x:c>
      <x:c r="D31" s="233" t="str">
        <x:v>Số cột của bảng</x:v>
      </x:c>
      <x:c r="E31" s="233" t="str">
        <x:v>TABLE_GRID</x:v>
      </x:c>
      <x:c r="F31" s="233" t="str">
        <x:v>column_count</x:v>
      </x:c>
      <x:c r="G31" s="233" t="str">
        <x:v>PRESERVE</x:v>
      </x:c>
      <x:c r="H31" s="233"/>
      <x:c r="I31" s="233" t="str">
        <x:v>Chỉ bảng dữ liệu trong nội dung; giữ đủ số cột và thứ tự gốc.</x:v>
      </x:c>
      <x:c r="J31" s="233" t="str">
        <x:v>PRESERVE_ONLY</x:v>
      </x:c>
      <x:c r="K31" s="233" t="str">
        <x:v>Chưa có điều khoản riêng đã xác minh cho thuộc tính này</x:v>
      </x:c>
      <x:c r="L31" s="233" t="str">
        <x:v>NOT_VERIFIED_AT_ATTRIBUTE_LEVEL</x:v>
      </x:c>
      <x:c r="M31" s="233" t="str">
        <x:v>PROTECTED</x:v>
      </x:c>
      <x:c r="N31" s="233" t="str">
        <x:v>6</x:v>
      </x:c>
      <x:c r="O31" s="233" t="str">
        <x:v>w:tblGrid</x:v>
      </x:c>
      <x:c r="P31" s="233"/>
      <x:c r="Q31" s="233"/>
      <x:c r="R31" s="233"/>
      <x:c r="S31" s="233"/>
      <x:c r="T31" s="233"/>
      <x:c r="U31" s="233"/>
      <x:c r="V31" s="233"/>
      <x:c r="W31" s="233"/>
      <x:c r="X31" s="233"/>
      <x:c r="Y31" s="233"/>
      <x:c r="Z31" s="233"/>
      <x:c r="AA31" s="233"/>
      <x:c r="AB31" s="233"/>
      <x:c r="AC31" s="233"/>
      <x:c r="AD31" s="233"/>
      <x:c r="AE31" s="233"/>
      <x:c r="AF31" s="233"/>
      <x:c r="AG31" s="233"/>
      <x:c r="AH31" s="233"/>
      <x:c r="AI31" s="233"/>
      <x:c r="AJ31" s="233"/>
      <x:c r="AK31" s="233"/>
      <x:c r="AL31" s="233"/>
      <x:c r="AM31" s="233"/>
      <x:c r="AN31" s="233"/>
      <x:c r="AO31" s="233"/>
      <x:c r="AP31" s="233"/>
      <x:c r="AQ31" s="233"/>
      <x:c r="AR31" s="233"/>
      <x:c r="AS31" s="233"/>
      <x:c r="AT31" s="233"/>
      <x:c r="AU31" s="233"/>
      <x:c r="AV31" s="233"/>
      <x:c r="AW31" s="233"/>
      <x:c r="AX31" s="233" t="str">
        <x:v>Không thêm/xóa cột</x:v>
      </x:c>
      <x:c r="AY31" s="233" t="str">
        <x:v>Nhóm cha mới, chưa nhập registry 165 mã</x:v>
      </x:c>
      <x:c r="AZ31" s="233" t="str">
        <x:v>https://tulieuvankien.dangcongsan.vn/upload/2006988/20260529/HD_05_VPTW_e1550.pdf</x:v>
      </x:c>
    </x:row>
    <x:row r="32" ht="31" customHeight="1">
      <x:c r="A32" s="233" t="n">
        <x:v>26</x:v>
      </x:c>
      <x:c r="B32" s="233" t="str">
        <x:v>HD05.N.BANG.COT.DO_RONG</x:v>
      </x:c>
      <x:c r="C32" s="233" t="str">
        <x:v>HD05.N.BANG.COT</x:v>
      </x:c>
      <x:c r="D32" s="233" t="str">
        <x:v>Chiều rộng từng cột</x:v>
      </x:c>
      <x:c r="E32" s="233" t="str">
        <x:v>TABLE_GRID</x:v>
      </x:c>
      <x:c r="F32" s="233" t="str">
        <x:v>col_width</x:v>
      </x:c>
      <x:c r="G32" s="233" t="str">
        <x:v>PRESERVE_IF_VALID; REVIEW_IF_OVERFLOW</x:v>
      </x:c>
      <x:c r="H32" s="233"/>
      <x:c r="I32" s="233" t="str">
        <x:v>Giữ độ rộng cột khi không tràn lề/không bóp chữ; chỉ cân chỉnh lại khi sai khung.</x:v>
      </x:c>
      <x:c r="J32" s="233" t="str">
        <x:v>PROFILE_DA_XAC_NHAN</x:v>
      </x:c>
      <x:c r="K32" s="233" t="str">
        <x:v>Chưa có điều khoản riêng đã xác minh cho thuộc tính này</x:v>
      </x:c>
      <x:c r="L32" s="233" t="str">
        <x:v>NOT_VERIFIED_AT_ATTRIBUTE_LEVEL</x:v>
      </x:c>
      <x:c r="M32" s="233" t="str">
        <x:v>CHECK_ONLY</x:v>
      </x:c>
      <x:c r="N32" s="233" t="str">
        <x:v>6</x:v>
      </x:c>
      <x:c r="O32" s="233" t="str">
        <x:v>w:gridCol/@w:w</x:v>
      </x:c>
      <x:c r="P32" s="233"/>
      <x:c r="Q32" s="233"/>
      <x:c r="R32" s="233"/>
      <x:c r="S32" s="233"/>
      <x:c r="T32" s="233"/>
      <x:c r="U32" s="233"/>
      <x:c r="V32" s="233"/>
      <x:c r="W32" s="233"/>
      <x:c r="X32" s="233"/>
      <x:c r="Y32" s="233"/>
      <x:c r="Z32" s="233"/>
      <x:c r="AA32" s="233"/>
      <x:c r="AB32" s="233"/>
      <x:c r="AC32" s="233"/>
      <x:c r="AD32" s="233"/>
      <x:c r="AE32" s="233"/>
      <x:c r="AF32" s="233"/>
      <x:c r="AG32" s="233"/>
      <x:c r="AH32" s="233"/>
      <x:c r="AI32" s="233"/>
      <x:c r="AJ32" s="233"/>
      <x:c r="AK32" s="233"/>
      <x:c r="AL32" s="233"/>
      <x:c r="AM32" s="233"/>
      <x:c r="AN32" s="233"/>
      <x:c r="AO32" s="233"/>
      <x:c r="AP32" s="233"/>
      <x:c r="AQ32" s="233"/>
      <x:c r="AR32" s="233"/>
      <x:c r="AS32" s="233"/>
      <x:c r="AT32" s="233"/>
      <x:c r="AU32" s="233"/>
      <x:c r="AV32" s="233"/>
      <x:c r="AW32" s="233"/>
      <x:c r="AX32" s="233" t="str">
        <x:v>Không cắt mất nội dung và không vượt vùng in</x:v>
      </x:c>
      <x:c r="AY32" s="233" t="str">
        <x:v>Giữ độ rộng cột khi không tràn lề/không bóp chữ; chỉ cân chỉnh lại khi sai khung. | Chưa xác minh là yêu cầu bắt buộc riêng của NĐ30/HD05; chỉ là profile nội bộ.</x:v>
      </x:c>
      <x:c r="AZ32" s="233" t="str">
        <x:v>Người dùng chốt trong trao đổi 29/10/2026; PROFILE NỘI BỘ; chưa có văn bản phê duyệt doanh nghiệp</x:v>
      </x:c>
    </x:row>
    <x:row r="33" ht="31" customHeight="1">
      <x:c r="A33" s="233" t="n">
        <x:v>27</x:v>
      </x:c>
      <x:c r="B33" s="233" t="str">
        <x:v>HD05.N.BANG.COT.PHAN_BO</x:v>
      </x:c>
      <x:c r="C33" s="233" t="str">
        <x:v>HD05.N.BANG.COT</x:v>
      </x:c>
      <x:c r="D33" s="233" t="str">
        <x:v>Phân bố chiều rộng giữa cột</x:v>
      </x:c>
      <x:c r="E33" s="233" t="str">
        <x:v>TABLE_GRID</x:v>
      </x:c>
      <x:c r="F33" s="233" t="str">
        <x:v>col_distribution</x:v>
      </x:c>
      <x:c r="G33" s="233" t="str">
        <x:v>PRESERVE</x:v>
      </x:c>
      <x:c r="H33" s="233"/>
      <x:c r="I33" s="233" t="str">
        <x:v>Khi có nhiều cột; bảo toàn tương quan và vùng nội dung.</x:v>
      </x:c>
      <x:c r="J33" s="233" t="str">
        <x:v>PRESERVE_ONLY</x:v>
      </x:c>
      <x:c r="K33" s="233" t="str">
        <x:v>Chưa có điều khoản riêng đã xác minh cho thuộc tính này</x:v>
      </x:c>
      <x:c r="L33" s="233" t="str">
        <x:v>NOT_VERIFIED_AT_ATTRIBUTE_LEVEL</x:v>
      </x:c>
      <x:c r="M33" s="233" t="str">
        <x:v>PROTECTED</x:v>
      </x:c>
      <x:c r="N33" s="233" t="str">
        <x:v>6</x:v>
      </x:c>
      <x:c r="O33" s="233" t="str">
        <x:v>w:tblGrid</x:v>
      </x:c>
      <x:c r="P33" s="233"/>
      <x:c r="Q33" s="233"/>
      <x:c r="R33" s="233"/>
      <x:c r="S33" s="233"/>
      <x:c r="T33" s="233"/>
      <x:c r="U33" s="233"/>
      <x:c r="V33" s="233"/>
      <x:c r="W33" s="233"/>
      <x:c r="X33" s="233"/>
      <x:c r="Y33" s="233"/>
      <x:c r="Z33" s="233"/>
      <x:c r="AA33" s="233"/>
      <x:c r="AB33" s="233"/>
      <x:c r="AC33" s="233"/>
      <x:c r="AD33" s="233"/>
      <x:c r="AE33" s="233"/>
      <x:c r="AF33" s="233"/>
      <x:c r="AG33" s="233"/>
      <x:c r="AH33" s="233"/>
      <x:c r="AI33" s="233"/>
      <x:c r="AJ33" s="233"/>
      <x:c r="AK33" s="233"/>
      <x:c r="AL33" s="233"/>
      <x:c r="AM33" s="233"/>
      <x:c r="AN33" s="233"/>
      <x:c r="AO33" s="233"/>
      <x:c r="AP33" s="233"/>
      <x:c r="AQ33" s="233"/>
      <x:c r="AR33" s="233"/>
      <x:c r="AS33" s="233"/>
      <x:c r="AT33" s="233"/>
      <x:c r="AU33" s="233"/>
      <x:c r="AV33" s="233"/>
      <x:c r="AW33" s="233"/>
      <x:c r="AX33" s="233" t="str">
        <x:v>Giữ tương quan độ rộng khi dữ liệu không rõ</x:v>
      </x:c>
      <x:c r="AY33" s="233" t="str">
        <x:v>Nhóm cha mới, chưa nhập registry 165 mã</x:v>
      </x:c>
      <x:c r="AZ33" s="233" t="str">
        <x:v>https://tulieuvankien.dangcongsan.vn/upload/2006988/20260529/HD_05_VPTW_e1550.pdf</x:v>
      </x:c>
    </x:row>
    <x:row r="34" ht="31" customHeight="1">
      <x:c r="A34" s="233" t="n">
        <x:v>28</x:v>
      </x:c>
      <x:c r="B34" s="233" t="str">
        <x:v>HD05.N.BANG.COT.CAN_CHU</x:v>
      </x:c>
      <x:c r="C34" s="233" t="str">
        <x:v>HD05.N.BANG.COT</x:v>
      </x:c>
      <x:c r="D34" s="233" t="str">
        <x:v>Căn cột nội dung chữ</x:v>
      </x:c>
      <x:c r="E34" s="233" t="str">
        <x:v>PARAGRAPH</x:v>
      </x:c>
      <x:c r="F34" s="233" t="str">
        <x:v>text_col_align</x:v>
      </x:c>
      <x:c r="G34" s="233" t="str">
        <x:v>LEFT</x:v>
      </x:c>
      <x:c r="H34" s="233"/>
      <x:c r="I34" s="233" t="str">
        <x:v>Cột mô tả/văn bản: căn trái; trường hợp mã, tiêu đề, STT đi theo vai trò ô.</x:v>
      </x:c>
      <x:c r="J34" s="233" t="str">
        <x:v>PROFILE_DA_XAC_NHAN</x:v>
      </x:c>
      <x:c r="K34" s="233" t="str">
        <x:v>Chưa có điều khoản riêng đã xác minh cho thuộc tính này</x:v>
      </x:c>
      <x:c r="L34" s="233" t="str">
        <x:v>NOT_VERIFIED_AT_ATTRIBUTE_LEVEL</x:v>
      </x:c>
      <x:c r="M34" s="233" t="str">
        <x:v>CHECK_ONLY</x:v>
      </x:c>
      <x:c r="N34" s="233" t="str">
        <x:v>6</x:v>
      </x:c>
      <x:c r="O34" s="233" t="str">
        <x:v>w:pPr/w:jc</x:v>
      </x:c>
      <x:c r="P34" s="233"/>
      <x:c r="Q34" s="233"/>
      <x:c r="R34" s="233"/>
      <x:c r="S34" s="233"/>
      <x:c r="T34" s="233"/>
      <x:c r="U34" s="233" t="str">
        <x:v>LEFT</x:v>
      </x:c>
      <x:c r="V34" s="233"/>
      <x:c r="W34" s="233"/>
      <x:c r="X34" s="233"/>
      <x:c r="Y34" s="233"/>
      <x:c r="Z34" s="233"/>
      <x:c r="AA34" s="233"/>
      <x:c r="AB34" s="233"/>
      <x:c r="AC34" s="233"/>
      <x:c r="AD34" s="233"/>
      <x:c r="AE34" s="233"/>
      <x:c r="AF34" s="233"/>
      <x:c r="AG34" s="233"/>
      <x:c r="AH34" s="233"/>
      <x:c r="AI34" s="233"/>
      <x:c r="AJ34" s="233"/>
      <x:c r="AK34" s="233"/>
      <x:c r="AL34" s="233"/>
      <x:c r="AM34" s="233"/>
      <x:c r="AN34" s="233"/>
      <x:c r="AO34" s="233"/>
      <x:c r="AP34" s="233"/>
      <x:c r="AQ34" s="233"/>
      <x:c r="AR34" s="233"/>
      <x:c r="AS34" s="233"/>
      <x:c r="AT34" s="233"/>
      <x:c r="AU34" s="233"/>
      <x:c r="AV34" s="233"/>
      <x:c r="AW34" s="233"/>
      <x:c r="AX34" s="233" t="str">
        <x:v>Nhận diện đúng cột chữ trước khi cân</x:v>
      </x:c>
      <x:c r="AY34" s="233" t="str">
        <x:v>Cột mô tả/văn bản: căn trái; trường hợp mã, tiêu đề, STT đi theo vai trò ô. | Chưa xác minh là yêu cầu bắt buộc riêng của NĐ30/HD05; chỉ là profile nội bộ.</x:v>
      </x:c>
      <x:c r="AZ34" s="233" t="str">
        <x:v>Người dùng chốt trong trao đổi 29/10/2026; PROFILE NỘI BỘ; chưa có văn bản phê duyệt doanh nghiệp</x:v>
      </x:c>
    </x:row>
    <x:row r="35" ht="31" customHeight="1">
      <x:c r="A35" s="233" t="n">
        <x:v>29</x:v>
      </x:c>
      <x:c r="B35" s="233" t="str">
        <x:v>HD05.N.BANG.COT.CAN_SO</x:v>
      </x:c>
      <x:c r="C35" s="233" t="str">
        <x:v>HD05.N.BANG.COT</x:v>
      </x:c>
      <x:c r="D35" s="233" t="str">
        <x:v>Căn cột số</x:v>
      </x:c>
      <x:c r="E35" s="233" t="str">
        <x:v>PARAGRAPH</x:v>
      </x:c>
      <x:c r="F35" s="233" t="str">
        <x:v>numeric_col_align</x:v>
      </x:c>
      <x:c r="G35" s="233" t="str">
        <x:v>RIGHT</x:v>
      </x:c>
      <x:c r="H35" s="233"/>
      <x:c r="I35" s="233" t="str">
        <x:v>Cột đại lượng (số lượng, định mức, tiền): căn phải; STT, mã, ngày, điện thoại không coi là số định lượng.</x:v>
      </x:c>
      <x:c r="J35" s="233" t="str">
        <x:v>PROFILE_DA_XAC_NHAN</x:v>
      </x:c>
      <x:c r="K35" s="233" t="str">
        <x:v>Chưa có điều khoản riêng đã xác minh cho thuộc tính này</x:v>
      </x:c>
      <x:c r="L35" s="233" t="str">
        <x:v>NOT_VERIFIED_AT_ATTRIBUTE_LEVEL</x:v>
      </x:c>
      <x:c r="M35" s="233" t="str">
        <x:v>CHECK_ONLY</x:v>
      </x:c>
      <x:c r="N35" s="233" t="str">
        <x:v>6</x:v>
      </x:c>
      <x:c r="O35" s="233" t="str">
        <x:v>w:pPr/w:jc</x:v>
      </x:c>
      <x:c r="P35" s="233"/>
      <x:c r="Q35" s="233"/>
      <x:c r="R35" s="233"/>
      <x:c r="S35" s="233"/>
      <x:c r="T35" s="233"/>
      <x:c r="U35" s="233" t="str">
        <x:v>RIGHT</x:v>
      </x:c>
      <x:c r="V35" s="233"/>
      <x:c r="W35" s="233"/>
      <x:c r="X35" s="233"/>
      <x:c r="Y35" s="233"/>
      <x:c r="Z35" s="233"/>
      <x:c r="AA35" s="233"/>
      <x:c r="AB35" s="233"/>
      <x:c r="AC35" s="233"/>
      <x:c r="AD35" s="233"/>
      <x:c r="AE35" s="233"/>
      <x:c r="AF35" s="233"/>
      <x:c r="AG35" s="233"/>
      <x:c r="AH35" s="233"/>
      <x:c r="AI35" s="233"/>
      <x:c r="AJ35" s="233"/>
      <x:c r="AK35" s="233"/>
      <x:c r="AL35" s="233"/>
      <x:c r="AM35" s="233"/>
      <x:c r="AN35" s="233"/>
      <x:c r="AO35" s="233"/>
      <x:c r="AP35" s="233"/>
      <x:c r="AQ35" s="233"/>
      <x:c r="AR35" s="233"/>
      <x:c r="AS35" s="233"/>
      <x:c r="AT35" s="233"/>
      <x:c r="AU35" s="233"/>
      <x:c r="AV35" s="233"/>
      <x:c r="AW35" s="233"/>
      <x:c r="AX35" s="233" t="str">
        <x:v>Không chuyển số thành chuỗi; giữ dấu thập phân</x:v>
      </x:c>
      <x:c r="AY35" s="233" t="str">
        <x:v>Cột đại lượng (số lượng, định mức, tiền): căn phải; STT, mã, ngày, điện thoại không coi là số định lượng. | Chưa xác minh là yêu cầu bắt buộc riêng của NĐ30/HD05; chỉ là profile nội bộ.</x:v>
      </x:c>
      <x:c r="AZ35" s="233" t="str">
        <x:v>Người dùng chốt trong trao đổi 29/10/2026; PROFILE NỘI BỘ; chưa có văn bản phê duyệt doanh nghiệp</x:v>
      </x:c>
    </x:row>
    <x:row r="36" ht="31" customHeight="1">
      <x:c r="A36" s="233" t="n">
        <x:v>30</x:v>
      </x:c>
      <x:c r="B36" s="233" t="str">
        <x:v>HD05.N.BANG.HANG.CHIEU_CAO</x:v>
      </x:c>
      <x:c r="C36" s="233" t="str">
        <x:v>HD05.N.BANG.HANG</x:v>
      </x:c>
      <x:c r="D36" s="233" t="str">
        <x:v>Chiều cao hàng</x:v>
      </x:c>
      <x:c r="E36" s="233" t="str">
        <x:v>ROW</x:v>
      </x:c>
      <x:c r="F36" s="233" t="str">
        <x:v>row_height</x:v>
      </x:c>
      <x:c r="G36" s="233" t="str">
        <x:v>AUTO</x:v>
      </x:c>
      <x:c r="H36" s="233"/>
      <x:c r="I36" s="233" t="str">
        <x:v>Chiều cao tự mở theo nội dung ô, tuyệt đối không cắt/mất chữ.</x:v>
      </x:c>
      <x:c r="J36" s="233" t="str">
        <x:v>PROFILE_DA_XAC_NHAN</x:v>
      </x:c>
      <x:c r="K36" s="233" t="str">
        <x:v>Chưa có điều khoản riêng đã xác minh cho thuộc tính này</x:v>
      </x:c>
      <x:c r="L36" s="233" t="str">
        <x:v>NOT_VERIFIED_AT_ATTRIBUTE_LEVEL</x:v>
      </x:c>
      <x:c r="M36" s="233" t="str">
        <x:v>CHECK_ONLY</x:v>
      </x:c>
      <x:c r="N36" s="233" t="str">
        <x:v>6</x:v>
      </x:c>
      <x:c r="O36" s="233" t="str">
        <x:v>w:trPr/w:trHeight</x:v>
      </x:c>
      <x:c r="P36" s="233"/>
      <x:c r="Q36" s="233"/>
      <x:c r="R36" s="233"/>
      <x:c r="S36" s="233"/>
      <x:c r="T36" s="233"/>
      <x:c r="U36" s="233"/>
      <x:c r="V36" s="233"/>
      <x:c r="W36" s="233"/>
      <x:c r="X36" s="233"/>
      <x:c r="Y36" s="233"/>
      <x:c r="Z36" s="233"/>
      <x:c r="AA36" s="233"/>
      <x:c r="AB36" s="233"/>
      <x:c r="AC36" s="233"/>
      <x:c r="AD36" s="233"/>
      <x:c r="AE36" s="233"/>
      <x:c r="AF36" s="233" t="str">
        <x:v>AUTO</x:v>
      </x:c>
      <x:c r="AG36" s="233"/>
      <x:c r="AH36" s="233"/>
      <x:c r="AI36" s="233"/>
      <x:c r="AJ36" s="233"/>
      <x:c r="AK36" s="233"/>
      <x:c r="AL36" s="233"/>
      <x:c r="AM36" s="233"/>
      <x:c r="AN36" s="233"/>
      <x:c r="AO36" s="233"/>
      <x:c r="AP36" s="233"/>
      <x:c r="AQ36" s="233"/>
      <x:c r="AR36" s="233"/>
      <x:c r="AS36" s="233"/>
      <x:c r="AT36" s="233"/>
      <x:c r="AU36" s="233"/>
      <x:c r="AV36" s="233"/>
      <x:c r="AW36" s="233"/>
      <x:c r="AX36" s="233" t="str">
        <x:v>Đủ chỗ cho nội dung</x:v>
      </x:c>
      <x:c r="AY36" s="233" t="str">
        <x:v>Chiều cao tự mở theo nội dung ô, tuyệt đối không cắt/mất chữ. | Chưa xác minh là yêu cầu bắt buộc riêng của NĐ30/HD05; chỉ là profile nội bộ.</x:v>
      </x:c>
      <x:c r="AZ36" s="233" t="str">
        <x:v>Người dùng chốt trong trao đổi 29/10/2026; PROFILE NỘI BỘ; chưa có văn bản phê duyệt doanh nghiệp</x:v>
      </x:c>
    </x:row>
    <x:row r="37" ht="31" customHeight="1">
      <x:c r="A37" s="233" t="n">
        <x:v>31</x:v>
      </x:c>
      <x:c r="B37" s="233" t="str">
        <x:v>HD05.N.BANG.HANG.KIEU_CAO</x:v>
      </x:c>
      <x:c r="C37" s="233" t="str">
        <x:v>HD05.N.BANG.HANG</x:v>
      </x:c>
      <x:c r="D37" s="233" t="str">
        <x:v>Quy tắc chiều cao</x:v>
      </x:c>
      <x:c r="E37" s="233" t="str">
        <x:v>ROW</x:v>
      </x:c>
      <x:c r="F37" s="233" t="str">
        <x:v>row_height_rule</x:v>
      </x:c>
      <x:c r="G37" s="233" t="str">
        <x:v>AT_LEAST_HEADER_6MM; AUTO_DATA</x:v>
      </x:c>
      <x:c r="H37" s="233"/>
      <x:c r="I37" s="233" t="str">
        <x:v>Hàng tiêu đề tối thiểu 6 mm và được giãn cao hơn; hàng dữ liệu tự động; không dùng EXACT.</x:v>
      </x:c>
      <x:c r="J37" s="233" t="str">
        <x:v>PROFILE_DA_XAC_NHAN</x:v>
      </x:c>
      <x:c r="K37" s="233" t="str">
        <x:v>Chưa có điều khoản riêng đã xác minh cho thuộc tính này</x:v>
      </x:c>
      <x:c r="L37" s="233" t="str">
        <x:v>NOT_VERIFIED_AT_ATTRIBUTE_LEVEL</x:v>
      </x:c>
      <x:c r="M37" s="233" t="str">
        <x:v>CHECK_ONLY</x:v>
      </x:c>
      <x:c r="N37" s="233" t="str">
        <x:v>6</x:v>
      </x:c>
      <x:c r="O37" s="233" t="str">
        <x:v>w:trPr/w:trHeight/@w:hRule</x:v>
      </x:c>
      <x:c r="P37" s="233"/>
      <x:c r="Q37" s="233"/>
      <x:c r="R37" s="233"/>
      <x:c r="S37" s="233"/>
      <x:c r="T37" s="233"/>
      <x:c r="U37" s="233"/>
      <x:c r="V37" s="233"/>
      <x:c r="W37" s="233"/>
      <x:c r="X37" s="233"/>
      <x:c r="Y37" s="233"/>
      <x:c r="Z37" s="233"/>
      <x:c r="AA37" s="233"/>
      <x:c r="AB37" s="233"/>
      <x:c r="AC37" s="233"/>
      <x:c r="AD37" s="233"/>
      <x:c r="AE37" s="233"/>
      <x:c r="AF37" s="233" t="str">
        <x:v>AT_LEAST_HEADER_6MM; AUTO_DATA</x:v>
      </x:c>
      <x:c r="AG37" s="233"/>
      <x:c r="AH37" s="233"/>
      <x:c r="AI37" s="233"/>
      <x:c r="AJ37" s="233"/>
      <x:c r="AK37" s="233"/>
      <x:c r="AL37" s="233"/>
      <x:c r="AM37" s="233"/>
      <x:c r="AN37" s="233"/>
      <x:c r="AO37" s="233"/>
      <x:c r="AP37" s="233"/>
      <x:c r="AQ37" s="233"/>
      <x:c r="AR37" s="233"/>
      <x:c r="AS37" s="233"/>
      <x:c r="AT37" s="233"/>
      <x:c r="AU37" s="233"/>
      <x:c r="AV37" s="233"/>
      <x:c r="AW37" s="233"/>
      <x:c r="AX37" s="233" t="str">
        <x:v>Tránh EXACT làm mất chữ</x:v>
      </x:c>
      <x:c r="AY37" s="233" t="str">
        <x:v>Hàng tiêu đề tối thiểu 6 mm và được giãn cao hơn; hàng dữ liệu tự động; không dùng EXACT. | Chưa xác minh là yêu cầu bắt buộc riêng của NĐ30/HD05; chỉ là profile nội bộ.</x:v>
      </x:c>
      <x:c r="AZ37" s="233" t="str">
        <x:v>Người dùng chốt trong trao đổi 29/10/2026; PROFILE NỘI BỘ; chưa có văn bản phê duyệt doanh nghiệp</x:v>
      </x:c>
    </x:row>
    <x:row r="38" ht="31" customHeight="1">
      <x:c r="A38" s="233" t="n">
        <x:v>32</x:v>
      </x:c>
      <x:c r="B38" s="233" t="str">
        <x:v>HD05.N.BANG.HANG.CHONG_CHIA_TRANG</x:v>
      </x:c>
      <x:c r="C38" s="233" t="str">
        <x:v>HD05.N.BANG.HANG</x:v>
      </x:c>
      <x:c r="D38" s="233" t="str">
        <x:v>Không chia một hàng sang trang khác</x:v>
      </x:c>
      <x:c r="E38" s="233" t="str">
        <x:v>ROW</x:v>
      </x:c>
      <x:c r="F38" s="233" t="str">
        <x:v>cant_split</x:v>
      </x:c>
      <x:c r="G38" s="233" t="str">
        <x:v>YES_IF_FITS; REVIEW_OVERSIZE</x:v>
      </x:c>
      <x:c r="H38" s="233"/>
      <x:c r="I38" s="233" t="str">
        <x:v>Không chia hàng nếu hàng vừa trang; hàng dài hơn vùng trang phải xử lý ngoại lệ, tránh che/mất chữ.</x:v>
      </x:c>
      <x:c r="J38" s="233" t="str">
        <x:v>PROFILE_DA_XAC_NHAN</x:v>
      </x:c>
      <x:c r="K38" s="233" t="str">
        <x:v>Chưa có điều khoản riêng đã xác minh cho thuộc tính này</x:v>
      </x:c>
      <x:c r="L38" s="233" t="str">
        <x:v>NOT_VERIFIED_AT_ATTRIBUTE_LEVEL</x:v>
      </x:c>
      <x:c r="M38" s="233" t="str">
        <x:v>CHECK_ONLY</x:v>
      </x:c>
      <x:c r="N38" s="233" t="str">
        <x:v>6</x:v>
      </x:c>
      <x:c r="O38" s="233" t="str">
        <x:v>w:trPr/w:cantSplit</x:v>
      </x:c>
      <x:c r="P38" s="233"/>
      <x:c r="Q38" s="233"/>
      <x:c r="R38" s="233"/>
      <x:c r="S38" s="233"/>
      <x:c r="T38" s="233"/>
      <x:c r="U38" s="233"/>
      <x:c r="V38" s="233"/>
      <x:c r="W38" s="233"/>
      <x:c r="X38" s="233"/>
      <x:c r="Y38" s="233"/>
      <x:c r="Z38" s="233"/>
      <x:c r="AA38" s="233"/>
      <x:c r="AB38" s="233"/>
      <x:c r="AC38" s="233"/>
      <x:c r="AD38" s="233"/>
      <x:c r="AE38" s="233"/>
      <x:c r="AF38" s="233"/>
      <x:c r="AG38" s="233"/>
      <x:c r="AH38" s="233" t="str">
        <x:v>YES_IF_FITS</x:v>
      </x:c>
      <x:c r="AI38" s="233"/>
      <x:c r="AJ38" s="233"/>
      <x:c r="AK38" s="233"/>
      <x:c r="AL38" s="233"/>
      <x:c r="AM38" s="233"/>
      <x:c r="AN38" s="233"/>
      <x:c r="AO38" s="233"/>
      <x:c r="AP38" s="233"/>
      <x:c r="AQ38" s="233"/>
      <x:c r="AR38" s="233"/>
      <x:c r="AS38" s="233"/>
      <x:c r="AT38" s="233"/>
      <x:c r="AU38" s="233"/>
      <x:c r="AV38" s="233"/>
      <x:c r="AW38" s="233"/>
      <x:c r="AX38" s="233" t="str">
        <x:v>Hàng không bị cắt nếu vừa một trang</x:v>
      </x:c>
      <x:c r="AY38" s="233" t="str">
        <x:v>Không chia hàng nếu hàng vừa trang; hàng dài hơn vùng trang phải xử lý ngoại lệ, tránh che/mất chữ. | Chưa xác minh là yêu cầu bắt buộc riêng của NĐ30/HD05; chỉ là profile nội bộ.</x:v>
      </x:c>
      <x:c r="AZ38" s="233" t="str">
        <x:v>Người dùng chốt trong trao đổi 29/10/2026; PROFILE NỘI BỘ; chưa có văn bản phê duyệt doanh nghiệp</x:v>
      </x:c>
    </x:row>
    <x:row r="39" ht="31" customHeight="1">
      <x:c r="A39" s="233" t="n">
        <x:v>33</x:v>
      </x:c>
      <x:c r="B39" s="233" t="str">
        <x:v>HD05.N.BANG.HANG.KHOANG_CACH</x:v>
      </x:c>
      <x:c r="C39" s="233" t="str">
        <x:v>HD05.N.BANG.HANG</x:v>
      </x:c>
      <x:c r="D39" s="233" t="str">
        <x:v>Khoảng cách giữa các hàng</x:v>
      </x:c>
      <x:c r="E39" s="233" t="str">
        <x:v>TABLE</x:v>
      </x:c>
      <x:c r="F39" s="233" t="str">
        <x:v>row_spacing</x:v>
      </x:c>
      <x:c r="G39" s="233" t="n">
        <x:v>0</x:v>
      </x:c>
      <x:c r="H39" s="233" t="str">
        <x:v>mm</x:v>
      </x:c>
      <x:c r="I39" s="233" t="str">
        <x:v>Khoảng cách giữa các ô/hàng bằng 0 mm; không tạo khe hở viền kép.</x:v>
      </x:c>
      <x:c r="J39" s="233" t="str">
        <x:v>PROFILE_DA_XAC_NHAN</x:v>
      </x:c>
      <x:c r="K39" s="233" t="str">
        <x:v>Chưa có điều khoản riêng đã xác minh cho thuộc tính này</x:v>
      </x:c>
      <x:c r="L39" s="233" t="str">
        <x:v>NOT_VERIFIED_AT_ATTRIBUTE_LEVEL</x:v>
      </x:c>
      <x:c r="M39" s="233" t="str">
        <x:v>CHECK_ONLY</x:v>
      </x:c>
      <x:c r="N39" s="233" t="str">
        <x:v>6</x:v>
      </x:c>
      <x:c r="O39" s="233" t="str">
        <x:v>w:tblCellSpacing</x:v>
      </x:c>
      <x:c r="P39" s="233"/>
      <x:c r="Q39" s="233"/>
      <x:c r="R39" s="233"/>
      <x:c r="S39" s="233"/>
      <x:c r="T39" s="233"/>
      <x:c r="U39" s="233"/>
      <x:c r="V39" s="233"/>
      <x:c r="W39" s="233"/>
      <x:c r="X39" s="233"/>
      <x:c r="Y39" s="233"/>
      <x:c r="Z39" s="233"/>
      <x:c r="AA39" s="233"/>
      <x:c r="AB39" s="233"/>
      <x:c r="AC39" s="233"/>
      <x:c r="AD39" s="233"/>
      <x:c r="AE39" s="233"/>
      <x:c r="AF39" s="233"/>
      <x:c r="AG39" s="233"/>
      <x:c r="AH39" s="233"/>
      <x:c r="AI39" s="233"/>
      <x:c r="AJ39" s="233"/>
      <x:c r="AK39" s="233"/>
      <x:c r="AL39" s="233"/>
      <x:c r="AM39" s="233"/>
      <x:c r="AN39" s="233"/>
      <x:c r="AO39" s="233"/>
      <x:c r="AP39" s="233"/>
      <x:c r="AQ39" s="233"/>
      <x:c r="AR39" s="233"/>
      <x:c r="AS39" s="233"/>
      <x:c r="AT39" s="233"/>
      <x:c r="AU39" s="233"/>
      <x:c r="AV39" s="233"/>
      <x:c r="AW39" s="233"/>
      <x:c r="AX39" s="233" t="str">
        <x:v>Giữ mật độ bảng gốc</x:v>
      </x:c>
      <x:c r="AY39" s="233" t="str">
        <x:v>Khoảng cách giữa các ô/hàng bằng 0 mm; không tạo khe hở viền kép. | Chưa xác minh là yêu cầu bắt buộc riêng của NĐ30/HD05; chỉ là profile nội bộ.</x:v>
      </x:c>
      <x:c r="AZ39" s="233" t="str">
        <x:v>Người dùng chốt trong trao đổi 29/10/2026; PROFILE NỘI BỘ; chưa có văn bản phê duyệt doanh nghiệp</x:v>
      </x:c>
    </x:row>
    <x:row r="40" ht="31" customHeight="1">
      <x:c r="A40" s="233" t="n">
        <x:v>34</x:v>
      </x:c>
      <x:c r="B40" s="233" t="str">
        <x:v>HD05.N.BANG.HANG.THU_TU</x:v>
      </x:c>
      <x:c r="C40" s="233" t="str">
        <x:v>HD05.N.BANG.HANG</x:v>
      </x:c>
      <x:c r="D40" s="233" t="str">
        <x:v>Thứ tự hàng</x:v>
      </x:c>
      <x:c r="E40" s="233" t="str">
        <x:v>ROW</x:v>
      </x:c>
      <x:c r="F40" s="233" t="str">
        <x:v>row_order</x:v>
      </x:c>
      <x:c r="G40" s="233" t="str">
        <x:v>PRESERVE</x:v>
      </x:c>
      <x:c r="H40" s="233"/>
      <x:c r="I40" s="233" t="str">
        <x:v>Mọi hàng của bảng; không sắp xếp lại dữ liệu.</x:v>
      </x:c>
      <x:c r="J40" s="233" t="str">
        <x:v>PRESERVE_ONLY</x:v>
      </x:c>
      <x:c r="K40" s="233" t="str">
        <x:v>Chưa có điều khoản riêng đã xác minh cho thuộc tính này</x:v>
      </x:c>
      <x:c r="L40" s="233" t="str">
        <x:v>NOT_VERIFIED_AT_ATTRIBUTE_LEVEL</x:v>
      </x:c>
      <x:c r="M40" s="233" t="str">
        <x:v>PROTECTED</x:v>
      </x:c>
      <x:c r="N40" s="233" t="str">
        <x:v>6</x:v>
      </x:c>
      <x:c r="O40" s="233"/>
      <x:c r="P40" s="233"/>
      <x:c r="Q40" s="233"/>
      <x:c r="R40" s="233"/>
      <x:c r="S40" s="233"/>
      <x:c r="T40" s="233"/>
      <x:c r="U40" s="233"/>
      <x:c r="V40" s="233"/>
      <x:c r="W40" s="233"/>
      <x:c r="X40" s="233"/>
      <x:c r="Y40" s="233"/>
      <x:c r="Z40" s="233"/>
      <x:c r="AA40" s="233"/>
      <x:c r="AB40" s="233"/>
      <x:c r="AC40" s="233"/>
      <x:c r="AD40" s="233"/>
      <x:c r="AE40" s="233"/>
      <x:c r="AF40" s="233"/>
      <x:c r="AG40" s="233"/>
      <x:c r="AH40" s="233"/>
      <x:c r="AI40" s="233"/>
      <x:c r="AJ40" s="233"/>
      <x:c r="AK40" s="233"/>
      <x:c r="AL40" s="233"/>
      <x:c r="AM40" s="233"/>
      <x:c r="AN40" s="233"/>
      <x:c r="AO40" s="233"/>
      <x:c r="AP40" s="233"/>
      <x:c r="AQ40" s="233"/>
      <x:c r="AR40" s="233"/>
      <x:c r="AS40" s="233"/>
      <x:c r="AT40" s="233"/>
      <x:c r="AU40" s="233"/>
      <x:c r="AV40" s="233"/>
      <x:c r="AW40" s="233"/>
      <x:c r="AX40" s="233" t="str">
        <x:v>Không đổi thứ tự hàng</x:v>
      </x:c>
      <x:c r="AY40" s="233" t="str">
        <x:v>Kiểm tra phần tử đích trước khi diễn giải rule; không tự sửa.</x:v>
      </x:c>
      <x:c r="AZ40" s="233" t="str">
        <x:v>https://tulieuvankien.dangcongsan.vn/upload/2006988/20260529/HD_05_VPTW_e1550.pdf</x:v>
      </x:c>
    </x:row>
    <x:row r="41" ht="31" customHeight="1">
      <x:c r="A41" s="233" t="n">
        <x:v>35</x:v>
      </x:c>
      <x:c r="B41" s="233" t="str">
        <x:v>HD05.N.BANG.HANG.DONG_TONG</x:v>
      </x:c>
      <x:c r="C41" s="233" t="str">
        <x:v>HD05.N.BANG.HANG</x:v>
      </x:c>
      <x:c r="D41" s="233" t="str">
        <x:v>Hàng tổng cộng</x:v>
      </x:c>
      <x:c r="E41" s="233" t="str">
        <x:v>ROW</x:v>
      </x:c>
      <x:c r="F41" s="233" t="str">
        <x:v>total_row</x:v>
      </x:c>
      <x:c r="G41" s="233" t="str">
        <x:v>DETECT_THEN_PRESERVE</x:v>
      </x:c>
      <x:c r="H41" s="233"/>
      <x:c r="I41" s="233" t="str">
        <x:v>Chỉ hàng tổng/tổng cộng đã được nhận diện; cỡ chữ trong ô vẫn 13 pt.</x:v>
      </x:c>
      <x:c r="J41" s="233" t="str">
        <x:v>PRESERVE_ONLY</x:v>
      </x:c>
      <x:c r="K41" s="233" t="str">
        <x:v>Chưa có điều khoản riêng đã xác minh cho thuộc tính này</x:v>
      </x:c>
      <x:c r="L41" s="233" t="str">
        <x:v>NOT_VERIFIED_AT_ATTRIBUTE_LEVEL</x:v>
      </x:c>
      <x:c r="M41" s="233" t="str">
        <x:v>PROTECTED</x:v>
      </x:c>
      <x:c r="N41" s="233" t="str">
        <x:v>6</x:v>
      </x:c>
      <x:c r="O41" s="233"/>
      <x:c r="P41" s="233"/>
      <x:c r="Q41" s="233"/>
      <x:c r="R41" s="233"/>
      <x:c r="S41" s="233"/>
      <x:c r="T41" s="233"/>
      <x:c r="U41" s="233"/>
      <x:c r="V41" s="233"/>
      <x:c r="W41" s="233"/>
      <x:c r="X41" s="233"/>
      <x:c r="Y41" s="233"/>
      <x:c r="Z41" s="233"/>
      <x:c r="AA41" s="233"/>
      <x:c r="AB41" s="233"/>
      <x:c r="AC41" s="233"/>
      <x:c r="AD41" s="233"/>
      <x:c r="AE41" s="233"/>
      <x:c r="AF41" s="233"/>
      <x:c r="AG41" s="233"/>
      <x:c r="AH41" s="233"/>
      <x:c r="AI41" s="233"/>
      <x:c r="AJ41" s="233"/>
      <x:c r="AK41" s="233"/>
      <x:c r="AL41" s="233"/>
      <x:c r="AM41" s="233"/>
      <x:c r="AN41" s="233"/>
      <x:c r="AO41" s="233"/>
      <x:c r="AP41" s="233"/>
      <x:c r="AQ41" s="233"/>
      <x:c r="AR41" s="233"/>
      <x:c r="AS41" s="233"/>
      <x:c r="AT41" s="233"/>
      <x:c r="AU41" s="233"/>
      <x:c r="AV41" s="233"/>
      <x:c r="AW41" s="233"/>
      <x:c r="AX41" s="233" t="str">
        <x:v>Không thay công thức, giá trị hoặc nhãn Tổng</x:v>
      </x:c>
      <x:c r="AY41" s="233" t="str">
        <x:v>Kiểm tra phần tử đích trước khi diễn giải rule; không tự sửa.</x:v>
      </x:c>
      <x:c r="AZ41" s="233" t="str">
        <x:v>https://tulieuvankien.dangcongsan.vn/upload/2006988/20260529/HD_05_VPTW_e1550.pdf</x:v>
      </x:c>
    </x:row>
    <x:row r="42" ht="31" customHeight="1">
      <x:c r="A42" s="233" t="n">
        <x:v>36</x:v>
      </x:c>
      <x:c r="B42" s="233" t="str">
        <x:v>HD05.N.BANG.HANG.DONG_NHOM</x:v>
      </x:c>
      <x:c r="C42" s="233" t="str">
        <x:v>HD05.N.BANG.HANG</x:v>
      </x:c>
      <x:c r="D42" s="233" t="str">
        <x:v>Hàng phân nhóm</x:v>
      </x:c>
      <x:c r="E42" s="233" t="str">
        <x:v>ROW</x:v>
      </x:c>
      <x:c r="F42" s="233" t="str">
        <x:v>group_row</x:v>
      </x:c>
      <x:c r="G42" s="233" t="str">
        <x:v>DETECT_THEN_PRESERVE</x:v>
      </x:c>
      <x:c r="H42" s="233"/>
      <x:c r="I42" s="233" t="str">
        <x:v>Chỉ hàng nhóm/phân nhóm đã nhận diện; cỡ chữ trong ô vẫn 13 pt.</x:v>
      </x:c>
      <x:c r="J42" s="233" t="str">
        <x:v>PRESERVE_ONLY</x:v>
      </x:c>
      <x:c r="K42" s="233" t="str">
        <x:v>Chưa có điều khoản riêng đã xác minh cho thuộc tính này</x:v>
      </x:c>
      <x:c r="L42" s="233" t="str">
        <x:v>NOT_VERIFIED_AT_ATTRIBUTE_LEVEL</x:v>
      </x:c>
      <x:c r="M42" s="233" t="str">
        <x:v>PROTECTED</x:v>
      </x:c>
      <x:c r="N42" s="233" t="str">
        <x:v>6</x:v>
      </x:c>
      <x:c r="O42" s="233"/>
      <x:c r="P42" s="233"/>
      <x:c r="Q42" s="233"/>
      <x:c r="R42" s="233"/>
      <x:c r="S42" s="233"/>
      <x:c r="T42" s="233"/>
      <x:c r="U42" s="233"/>
      <x:c r="V42" s="233"/>
      <x:c r="W42" s="233"/>
      <x:c r="X42" s="233"/>
      <x:c r="Y42" s="233"/>
      <x:c r="Z42" s="233"/>
      <x:c r="AA42" s="233"/>
      <x:c r="AB42" s="233"/>
      <x:c r="AC42" s="233"/>
      <x:c r="AD42" s="233"/>
      <x:c r="AE42" s="233"/>
      <x:c r="AF42" s="233"/>
      <x:c r="AG42" s="233"/>
      <x:c r="AH42" s="233"/>
      <x:c r="AI42" s="233"/>
      <x:c r="AJ42" s="233"/>
      <x:c r="AK42" s="233"/>
      <x:c r="AL42" s="233"/>
      <x:c r="AM42" s="233"/>
      <x:c r="AN42" s="233"/>
      <x:c r="AO42" s="233"/>
      <x:c r="AP42" s="233"/>
      <x:c r="AQ42" s="233"/>
      <x:c r="AR42" s="233"/>
      <x:c r="AS42" s="233"/>
      <x:c r="AT42" s="233"/>
      <x:c r="AU42" s="233"/>
      <x:c r="AV42" s="233"/>
      <x:c r="AW42" s="233"/>
      <x:c r="AX42" s="233" t="str">
        <x:v>Không tự gộp ô hay tô nền thêm</x:v>
      </x:c>
      <x:c r="AY42" s="233" t="str">
        <x:v>Kiểm tra phần tử đích trước khi diễn giải rule; không tự sửa.</x:v>
      </x:c>
      <x:c r="AZ42" s="233" t="str">
        <x:v>https://tulieuvankien.dangcongsan.vn/upload/2006988/20260529/HD_05_VPTW_e1550.pdf</x:v>
      </x:c>
    </x:row>
    <x:row r="43" ht="31" customHeight="1">
      <x:c r="A43" s="233" t="n">
        <x:v>37</x:v>
      </x:c>
      <x:c r="B43" s="233" t="str">
        <x:v>HD05.N.BANG.O.VAN_BAN</x:v>
      </x:c>
      <x:c r="C43" s="233" t="str">
        <x:v>HD05.N.BANG.O</x:v>
      </x:c>
      <x:c r="D43" s="233" t="str">
        <x:v>Nội dung văn bản trong ô</x:v>
      </x:c>
      <x:c r="E43" s="233" t="str">
        <x:v>CELL_TEXT</x:v>
      </x:c>
      <x:c r="F43" s="233" t="str">
        <x:v>cell_content</x:v>
      </x:c>
      <x:c r="G43" s="233" t="str">
        <x:v>PRESERVE</x:v>
      </x:c>
      <x:c r="H43" s="233"/>
      <x:c r="I43" s="233" t="str">
        <x:v>Mọi ô có chữ/số/ký hiệu; bảo toàn tuyệt đối nội dung, kể cả ô trống có chủ đích.</x:v>
      </x:c>
      <x:c r="J43" s="233" t="str">
        <x:v>PRESERVE_ONLY</x:v>
      </x:c>
      <x:c r="K43" s="233" t="str">
        <x:v>Chưa có điều khoản riêng đã xác minh cho thuộc tính này</x:v>
      </x:c>
      <x:c r="L43" s="233" t="str">
        <x:v>NOT_VERIFIED_AT_ATTRIBUTE_LEVEL</x:v>
      </x:c>
      <x:c r="M43" s="233" t="str">
        <x:v>PROTECTED</x:v>
      </x:c>
      <x:c r="N43" s="233" t="str">
        <x:v>6</x:v>
      </x:c>
      <x:c r="O43" s="233" t="str">
        <x:v>w:tc/w:p/w:r</x:v>
      </x:c>
      <x:c r="P43" s="233"/>
      <x:c r="Q43" s="233"/>
      <x:c r="R43" s="233"/>
      <x:c r="S43" s="233"/>
      <x:c r="T43" s="233"/>
      <x:c r="U43" s="233"/>
      <x:c r="V43" s="233"/>
      <x:c r="W43" s="233"/>
      <x:c r="X43" s="233"/>
      <x:c r="Y43" s="233"/>
      <x:c r="Z43" s="233"/>
      <x:c r="AA43" s="233"/>
      <x:c r="AB43" s="233"/>
      <x:c r="AC43" s="233"/>
      <x:c r="AD43" s="233"/>
      <x:c r="AE43" s="233"/>
      <x:c r="AF43" s="233"/>
      <x:c r="AG43" s="233"/>
      <x:c r="AH43" s="233"/>
      <x:c r="AI43" s="233"/>
      <x:c r="AJ43" s="233"/>
      <x:c r="AK43" s="233"/>
      <x:c r="AL43" s="233"/>
      <x:c r="AM43" s="233"/>
      <x:c r="AN43" s="233"/>
      <x:c r="AO43" s="233"/>
      <x:c r="AP43" s="233"/>
      <x:c r="AQ43" s="233"/>
      <x:c r="AR43" s="233"/>
      <x:c r="AS43" s="233"/>
      <x:c r="AT43" s="233"/>
      <x:c r="AU43" s="233"/>
      <x:c r="AV43" s="233"/>
      <x:c r="AW43" s="233"/>
      <x:c r="AX43" s="233" t="str">
        <x:v>Bảo toàn 100% text và thứ tự đoạn</x:v>
      </x:c>
      <x:c r="AY43" s="233" t="str">
        <x:v>Kiểm tra phần tử đích trước khi diễn giải rule; không tự sửa.</x:v>
      </x:c>
      <x:c r="AZ43" s="233" t="str">
        <x:v>https://tulieuvankien.dangcongsan.vn/upload/2006988/20260529/HD_05_VPTW_e1550.pdf</x:v>
      </x:c>
    </x:row>
    <x:row r="44" ht="31" customHeight="1">
      <x:c r="A44" s="233" t="n">
        <x:v>38</x:v>
      </x:c>
      <x:c r="B44" s="233" t="str">
        <x:v>HD05.N.BANG.O.FONT</x:v>
      </x:c>
      <x:c r="C44" s="233" t="str">
        <x:v>HD05.N.BANG.O</x:v>
      </x:c>
      <x:c r="D44" s="233" t="str">
        <x:v>Phông chữ nội dung ô</x:v>
      </x:c>
      <x:c r="E44" s="233" t="str">
        <x:v>RUN</x:v>
      </x:c>
      <x:c r="F44" s="233" t="str">
        <x:v>cell_font</x:v>
      </x:c>
      <x:c r="G44" s="233" t="str">
        <x:v>Times New Roman; Unicode; #000000</x:v>
      </x:c>
      <x:c r="H44" s="233"/>
      <x:c r="I44" s="233" t="str">
        <x:v>Dùng Times New Roman và màu chữ đen cho chữ bảng; không thay thế ký tự gốc.</x:v>
      </x:c>
      <x:c r="J44" s="233" t="str">
        <x:v>PROFILE_DA_XAC_NHAN</x:v>
      </x:c>
      <x:c r="K44" s="233" t="str">
        <x:v>Chưa có điều khoản riêng đã xác minh cho thuộc tính này</x:v>
      </x:c>
      <x:c r="L44" s="233" t="str">
        <x:v>NOT_VERIFIED_AT_ATTRIBUTE_LEVEL</x:v>
      </x:c>
      <x:c r="M44" s="233" t="str">
        <x:v>CHECK_ONLY</x:v>
      </x:c>
      <x:c r="N44" s="233" t="str">
        <x:v>6</x:v>
      </x:c>
      <x:c r="O44" s="233" t="str">
        <x:v>w:rPr/w:rFonts</x:v>
      </x:c>
      <x:c r="P44" s="233" t="str">
        <x:v>Times New Roman</x:v>
      </x:c>
      <x:c r="Q44" s="233"/>
      <x:c r="R44" s="233"/>
      <x:c r="S44" s="233"/>
      <x:c r="T44" s="233" t="str">
        <x:v>#000000</x:v>
      </x:c>
      <x:c r="U44" s="233"/>
      <x:c r="V44" s="233"/>
      <x:c r="W44" s="233"/>
      <x:c r="X44" s="233"/>
      <x:c r="Y44" s="233"/>
      <x:c r="Z44" s="233"/>
      <x:c r="AA44" s="233"/>
      <x:c r="AB44" s="233"/>
      <x:c r="AC44" s="233"/>
      <x:c r="AD44" s="233"/>
      <x:c r="AE44" s="233"/>
      <x:c r="AF44" s="233"/>
      <x:c r="AG44" s="233"/>
      <x:c r="AH44" s="233"/>
      <x:c r="AI44" s="233"/>
      <x:c r="AJ44" s="233"/>
      <x:c r="AK44" s="233"/>
      <x:c r="AL44" s="233"/>
      <x:c r="AM44" s="233"/>
      <x:c r="AN44" s="233"/>
      <x:c r="AO44" s="233"/>
      <x:c r="AP44" s="233"/>
      <x:c r="AQ44" s="233"/>
      <x:c r="AR44" s="233"/>
      <x:c r="AS44" s="233"/>
      <x:c r="AT44" s="233"/>
      <x:c r="AU44" s="233"/>
      <x:c r="AV44" s="233"/>
      <x:c r="AW44" s="233"/>
      <x:c r="AX44" s="233" t="str">
        <x:v>Phông Unicode không làm mất ký tự</x:v>
      </x:c>
      <x:c r="AY44" s="233" t="str">
        <x:v>Dùng Times New Roman và màu chữ đen cho chữ bảng; không thay thế ký tự gốc. | Chưa xác minh là yêu cầu bắt buộc riêng của NĐ30/HD05; chỉ là profile nội bộ.</x:v>
      </x:c>
      <x:c r="AZ44" s="233" t="str">
        <x:v>Người dùng chốt trong trao đổi 29/10/2026; PROFILE NỘI BỘ; chưa có văn bản phê duyệt doanh nghiệp</x:v>
      </x:c>
    </x:row>
    <x:row r="45" ht="31" customHeight="1">
      <x:c r="A45" s="233" t="n">
        <x:v>39</x:v>
      </x:c>
      <x:c r="B45" s="233" t="str">
        <x:v>HD05.N.BANG.O.CO_CHU</x:v>
      </x:c>
      <x:c r="C45" s="233" t="str">
        <x:v>HD05.N.BANG.O</x:v>
      </x:c>
      <x:c r="D45" s="233" t="str">
        <x:v>Cỡ chữ nội dung ô</x:v>
      </x:c>
      <x:c r="E45" s="233" t="str">
        <x:v>RUN</x:v>
      </x:c>
      <x:c r="F45" s="233" t="str">
        <x:v>cell_size</x:v>
      </x:c>
      <x:c r="G45" s="233" t="n">
        <x:v>13</x:v>
      </x:c>
      <x:c r="H45" s="233" t="str">
        <x:v>pt</x:v>
      </x:c>
      <x:c r="I45" s="233" t="str">
        <x:v>Mọi ký tự văn bản nằm TRONG ô bảng, kể cả header/nhóm/tổng: 13 pt.</x:v>
      </x:c>
      <x:c r="J45" s="233" t="str">
        <x:v>PROFILE_DA_XAC_NHAN</x:v>
      </x:c>
      <x:c r="K45" s="233" t="str">
        <x:v>Chưa có điều khoản riêng đã xác minh cho thuộc tính này</x:v>
      </x:c>
      <x:c r="L45" s="233" t="str">
        <x:v>NOT_VERIFIED_AT_ATTRIBUTE_LEVEL</x:v>
      </x:c>
      <x:c r="M45" s="233" t="str">
        <x:v>CHECK_ONLY</x:v>
      </x:c>
      <x:c r="N45" s="233" t="str">
        <x:v>6</x:v>
      </x:c>
      <x:c r="O45" s="233" t="str">
        <x:v>w:rPr/w:sz</x:v>
      </x:c>
      <x:c r="P45" s="233" t="str">
        <x:v>Times New Roman</x:v>
      </x:c>
      <x:c r="Q45" s="233" t="n">
        <x:v>13</x:v>
      </x:c>
      <x:c r="R45" s="233"/>
      <x:c r="S45" s="233"/>
      <x:c r="T45" s="233"/>
      <x:c r="U45" s="233"/>
      <x:c r="V45" s="233"/>
      <x:c r="W45" s="233"/>
      <x:c r="X45" s="233"/>
      <x:c r="Y45" s="233"/>
      <x:c r="Z45" s="233"/>
      <x:c r="AA45" s="233"/>
      <x:c r="AB45" s="233"/>
      <x:c r="AC45" s="233"/>
      <x:c r="AD45" s="233"/>
      <x:c r="AE45" s="233"/>
      <x:c r="AF45" s="233"/>
      <x:c r="AG45" s="233"/>
      <x:c r="AH45" s="233"/>
      <x:c r="AI45" s="233"/>
      <x:c r="AJ45" s="233"/>
      <x:c r="AK45" s="233"/>
      <x:c r="AL45" s="233"/>
      <x:c r="AM45" s="233"/>
      <x:c r="AN45" s="233"/>
      <x:c r="AO45" s="233"/>
      <x:c r="AP45" s="233"/>
      <x:c r="AQ45" s="233"/>
      <x:c r="AR45" s="233"/>
      <x:c r="AS45" s="233"/>
      <x:c r="AT45" s="233"/>
      <x:c r="AU45" s="233"/>
      <x:c r="AV45" s="233"/>
      <x:c r="AW45" s="233"/>
      <x:c r="AX45" s="233" t="str">
        <x:v>Chỉ là preset dự thảo, kiểm tra riêng HD05</x:v>
      </x:c>
      <x:c r="AY45" s="233" t="str">
        <x:v>ĐÃ CHỐT 13 PT (yêu cầu người dùng 29/10/2026). HD05: profile Công ty 13 pt đã chốt; HD05 PL2 nêu nội dung văn bản 14–15 pt, chưa xác minh ngoại lệ cho ô bảng; không khẳng định đạt chuẩn HD05.</x:v>
      </x:c>
      <x:c r="AZ45" s="233" t="str">
        <x:v>PROFILE_HTHHMB_v1.5_DRAFT</x:v>
      </x:c>
    </x:row>
    <x:row r="46" ht="31" customHeight="1">
      <x:c r="A46" s="233" t="n">
        <x:v>40</x:v>
      </x:c>
      <x:c r="B46" s="233" t="str">
        <x:v>HD05.N.BANG.O.DAM</x:v>
      </x:c>
      <x:c r="C46" s="233" t="str">
        <x:v>HD05.N.BANG.O</x:v>
      </x:c>
      <x:c r="D46" s="233" t="str">
        <x:v>Chữ đậm trong ô</x:v>
      </x:c>
      <x:c r="E46" s="233" t="str">
        <x:v>RUN</x:v>
      </x:c>
      <x:c r="F46" s="233" t="str">
        <x:v>cell_bold</x:v>
      </x:c>
      <x:c r="G46" s="233" t="str">
        <x:v>PRESERVE</x:v>
      </x:c>
      <x:c r="H46" s="233"/>
      <x:c r="I46" s="233" t="str">
        <x:v>Chỉ thuộc tính đậm/nghiêng theo vai trò ô; giữ nguyên chỗ nhấn cục bộ ngoài header.</x:v>
      </x:c>
      <x:c r="J46" s="233" t="str">
        <x:v>PRESERVE_ONLY</x:v>
      </x:c>
      <x:c r="K46" s="233" t="str">
        <x:v>Chưa có điều khoản riêng đã xác minh cho thuộc tính này</x:v>
      </x:c>
      <x:c r="L46" s="233" t="str">
        <x:v>NOT_VERIFIED_AT_ATTRIBUTE_LEVEL</x:v>
      </x:c>
      <x:c r="M46" s="233" t="str">
        <x:v>PROTECTED</x:v>
      </x:c>
      <x:c r="N46" s="233" t="str">
        <x:v>6</x:v>
      </x:c>
      <x:c r="O46" s="233" t="str">
        <x:v>w:rPr/w:b</x:v>
      </x:c>
      <x:c r="P46" s="233"/>
      <x:c r="Q46" s="233"/>
      <x:c r="R46" s="233" t="str">
        <x:v>PRESERVE</x:v>
      </x:c>
      <x:c r="S46" s="233"/>
      <x:c r="T46" s="233"/>
      <x:c r="U46" s="233"/>
      <x:c r="V46" s="233"/>
      <x:c r="W46" s="233"/>
      <x:c r="X46" s="233"/>
      <x:c r="Y46" s="233"/>
      <x:c r="Z46" s="233"/>
      <x:c r="AA46" s="233"/>
      <x:c r="AB46" s="233"/>
      <x:c r="AC46" s="233"/>
      <x:c r="AD46" s="233"/>
      <x:c r="AE46" s="233"/>
      <x:c r="AF46" s="233"/>
      <x:c r="AG46" s="233"/>
      <x:c r="AH46" s="233"/>
      <x:c r="AI46" s="233"/>
      <x:c r="AJ46" s="233"/>
      <x:c r="AK46" s="233"/>
      <x:c r="AL46" s="233"/>
      <x:c r="AM46" s="233"/>
      <x:c r="AN46" s="233"/>
      <x:c r="AO46" s="233"/>
      <x:c r="AP46" s="233"/>
      <x:c r="AQ46" s="233"/>
      <x:c r="AR46" s="233"/>
      <x:c r="AS46" s="233"/>
      <x:c r="AT46" s="233"/>
      <x:c r="AU46" s="233"/>
      <x:c r="AV46" s="233"/>
      <x:c r="AW46" s="233"/>
      <x:c r="AX46" s="233" t="str">
        <x:v>Không xóa nhấn mạnh cục bộ</x:v>
      </x:c>
      <x:c r="AY46" s="233" t="str">
        <x:v>Kiểm tra phần tử đích trước khi diễn giải rule; không tự sửa.</x:v>
      </x:c>
      <x:c r="AZ46" s="233" t="str">
        <x:v>https://tulieuvankien.dangcongsan.vn/upload/2006988/20260529/HD_05_VPTW_e1550.pdf</x:v>
      </x:c>
    </x:row>
    <x:row r="47" ht="31" customHeight="1">
      <x:c r="A47" s="233" t="n">
        <x:v>41</x:v>
      </x:c>
      <x:c r="B47" s="233" t="str">
        <x:v>HD05.N.BANG.O.NGHIENG</x:v>
      </x:c>
      <x:c r="C47" s="233" t="str">
        <x:v>HD05.N.BANG.O</x:v>
      </x:c>
      <x:c r="D47" s="233" t="str">
        <x:v>Chữ nghiêng trong ô</x:v>
      </x:c>
      <x:c r="E47" s="233" t="str">
        <x:v>RUN</x:v>
      </x:c>
      <x:c r="F47" s="233" t="str">
        <x:v>cell_italic</x:v>
      </x:c>
      <x:c r="G47" s="233" t="str">
        <x:v>PRESERVE</x:v>
      </x:c>
      <x:c r="H47" s="233"/>
      <x:c r="I47" s="233" t="str">
        <x:v>Chỉ thuộc tính nghiêng của văn bản trong ô; bảo toàn nhấn mạnh có chủ đích.</x:v>
      </x:c>
      <x:c r="J47" s="233" t="str">
        <x:v>PRESERVE_ONLY</x:v>
      </x:c>
      <x:c r="K47" s="233" t="str">
        <x:v>Chưa có điều khoản riêng đã xác minh cho thuộc tính này</x:v>
      </x:c>
      <x:c r="L47" s="233" t="str">
        <x:v>NOT_VERIFIED_AT_ATTRIBUTE_LEVEL</x:v>
      </x:c>
      <x:c r="M47" s="233" t="str">
        <x:v>PROTECTED</x:v>
      </x:c>
      <x:c r="N47" s="233" t="str">
        <x:v>6</x:v>
      </x:c>
      <x:c r="O47" s="233" t="str">
        <x:v>w:rPr/w:i</x:v>
      </x:c>
      <x:c r="P47" s="233"/>
      <x:c r="Q47" s="233"/>
      <x:c r="R47" s="233"/>
      <x:c r="S47" s="233" t="str">
        <x:v>PRESERVE</x:v>
      </x:c>
      <x:c r="T47" s="233"/>
      <x:c r="U47" s="233"/>
      <x:c r="V47" s="233"/>
      <x:c r="W47" s="233"/>
      <x:c r="X47" s="233"/>
      <x:c r="Y47" s="233"/>
      <x:c r="Z47" s="233"/>
      <x:c r="AA47" s="233"/>
      <x:c r="AB47" s="233"/>
      <x:c r="AC47" s="233"/>
      <x:c r="AD47" s="233"/>
      <x:c r="AE47" s="233"/>
      <x:c r="AF47" s="233"/>
      <x:c r="AG47" s="233"/>
      <x:c r="AH47" s="233"/>
      <x:c r="AI47" s="233"/>
      <x:c r="AJ47" s="233"/>
      <x:c r="AK47" s="233"/>
      <x:c r="AL47" s="233"/>
      <x:c r="AM47" s="233"/>
      <x:c r="AN47" s="233"/>
      <x:c r="AO47" s="233"/>
      <x:c r="AP47" s="233"/>
      <x:c r="AQ47" s="233"/>
      <x:c r="AR47" s="233"/>
      <x:c r="AS47" s="233"/>
      <x:c r="AT47" s="233"/>
      <x:c r="AU47" s="233"/>
      <x:c r="AV47" s="233"/>
      <x:c r="AW47" s="233"/>
      <x:c r="AX47" s="233" t="str">
        <x:v>Không xóa định dạng cục bộ</x:v>
      </x:c>
      <x:c r="AY47" s="233" t="str">
        <x:v>Kiểm tra phần tử đích trước khi diễn giải rule; không tự sửa.</x:v>
      </x:c>
      <x:c r="AZ47" s="233" t="str">
        <x:v>https://tulieuvankien.dangcongsan.vn/upload/2006988/20260529/HD_05_VPTW_e1550.pdf</x:v>
      </x:c>
    </x:row>
    <x:row r="48" ht="31" customHeight="1">
      <x:c r="A48" s="233" t="n">
        <x:v>42</x:v>
      </x:c>
      <x:c r="B48" s="233" t="str">
        <x:v>HD05.N.BANG.O.CAN_NGANG</x:v>
      </x:c>
      <x:c r="C48" s="233" t="str">
        <x:v>HD05.N.BANG.O</x:v>
      </x:c>
      <x:c r="D48" s="233" t="str">
        <x:v>Căn ngang nội dung ô</x:v>
      </x:c>
      <x:c r="E48" s="233" t="str">
        <x:v>PARAGRAPH</x:v>
      </x:c>
      <x:c r="F48" s="233" t="str">
        <x:v>cell_h_align</x:v>
      </x:c>
      <x:c r="G48" s="233" t="str">
        <x:v>CENTER_STT_CODE; LEFT_TEXT; RIGHT_QUANTITIES</x:v>
      </x:c>
      <x:c r="H48" s="233"/>
      <x:c r="I48" s="233" t="str">
        <x:v>Ma trận: tiêu đề, STT, mã ngắn CENTER; văn bản diễn giải LEFT; đại lượng tài chính/thống kê RIGHT.</x:v>
      </x:c>
      <x:c r="J48" s="233" t="str">
        <x:v>PROFILE_DA_XAC_NHAN</x:v>
      </x:c>
      <x:c r="K48" s="233" t="str">
        <x:v>Chưa có điều khoản riêng đã xác minh cho thuộc tính này</x:v>
      </x:c>
      <x:c r="L48" s="233" t="str">
        <x:v>NOT_VERIFIED_AT_ATTRIBUTE_LEVEL</x:v>
      </x:c>
      <x:c r="M48" s="233" t="str">
        <x:v>CHECK_ONLY</x:v>
      </x:c>
      <x:c r="N48" s="233" t="str">
        <x:v>6</x:v>
      </x:c>
      <x:c r="O48" s="233" t="str">
        <x:v>w:pPr/w:jc</x:v>
      </x:c>
      <x:c r="P48" s="233"/>
      <x:c r="Q48" s="233"/>
      <x:c r="R48" s="233"/>
      <x:c r="S48" s="233"/>
      <x:c r="T48" s="233"/>
      <x:c r="U48" s="233" t="str">
        <x:v>ROLE_DEPENDENT</x:v>
      </x:c>
      <x:c r="V48" s="233"/>
      <x:c r="W48" s="233"/>
      <x:c r="X48" s="233"/>
      <x:c r="Y48" s="233"/>
      <x:c r="Z48" s="233"/>
      <x:c r="AA48" s="233"/>
      <x:c r="AB48" s="233"/>
      <x:c r="AC48" s="233"/>
      <x:c r="AD48" s="233"/>
      <x:c r="AE48" s="233"/>
      <x:c r="AF48" s="233"/>
      <x:c r="AG48" s="233"/>
      <x:c r="AH48" s="233"/>
      <x:c r="AI48" s="233"/>
      <x:c r="AJ48" s="233"/>
      <x:c r="AK48" s="233"/>
      <x:c r="AL48" s="233"/>
      <x:c r="AM48" s="233"/>
      <x:c r="AN48" s="233"/>
      <x:c r="AO48" s="233"/>
      <x:c r="AP48" s="233"/>
      <x:c r="AQ48" s="233"/>
      <x:c r="AR48" s="233"/>
      <x:c r="AS48" s="233"/>
      <x:c r="AT48" s="233"/>
      <x:c r="AU48" s="233"/>
      <x:c r="AV48" s="233"/>
      <x:c r="AW48" s="233"/>
      <x:c r="AX48" s="233" t="str">
        <x:v>Nhãn/chữ/số có thể khác nhau</x:v>
      </x:c>
      <x:c r="AY48" s="233" t="str">
        <x:v>Ma trận: tiêu đề, STT, mã ngắn CENTER; văn bản diễn giải LEFT; đại lượng tài chính/thống kê RIGHT. | Chưa xác minh là yêu cầu bắt buộc riêng của NĐ30/HD05; chỉ là profile nội bộ.</x:v>
      </x:c>
      <x:c r="AZ48" s="233" t="str">
        <x:v>Người dùng chốt trong trao đổi 29/10/2026; PROFILE NỘI BỘ; chưa có văn bản phê duyệt doanh nghiệp</x:v>
      </x:c>
    </x:row>
    <x:row r="49" ht="31" customHeight="1">
      <x:c r="A49" s="233" t="n">
        <x:v>43</x:v>
      </x:c>
      <x:c r="B49" s="233" t="str">
        <x:v>HD05.N.BANG.O.CAN_DOC</x:v>
      </x:c>
      <x:c r="C49" s="233" t="str">
        <x:v>HD05.N.BANG.O</x:v>
      </x:c>
      <x:c r="D49" s="233" t="str">
        <x:v>Căn dọc nội dung ô</x:v>
      </x:c>
      <x:c r="E49" s="233" t="str">
        <x:v>CELL</x:v>
      </x:c>
      <x:c r="F49" s="233" t="str">
        <x:v>cell_v_align</x:v>
      </x:c>
      <x:c r="G49" s="233" t="str">
        <x:v>CENTER</x:v>
      </x:c>
      <x:c r="H49" s="233"/>
      <x:c r="I49" s="233" t="str">
        <x:v>Căn giữa theo chiều dọc theo profile; nếu bảng có đoạn văn nhiều dòng đặc thù, đối chiếu trước khi sửa.</x:v>
      </x:c>
      <x:c r="J49" s="233" t="str">
        <x:v>PROFILE_DA_XAC_NHAN</x:v>
      </x:c>
      <x:c r="K49" s="233" t="str">
        <x:v>Chưa có điều khoản riêng đã xác minh cho thuộc tính này</x:v>
      </x:c>
      <x:c r="L49" s="233" t="str">
        <x:v>NOT_VERIFIED_AT_ATTRIBUTE_LEVEL</x:v>
      </x:c>
      <x:c r="M49" s="233" t="str">
        <x:v>CHECK_ONLY</x:v>
      </x:c>
      <x:c r="N49" s="233" t="str">
        <x:v>6</x:v>
      </x:c>
      <x:c r="O49" s="233" t="str">
        <x:v>w:tcPr/w:vAlign</x:v>
      </x:c>
      <x:c r="P49" s="233"/>
      <x:c r="Q49" s="233"/>
      <x:c r="R49" s="233"/>
      <x:c r="S49" s="233"/>
      <x:c r="T49" s="233"/>
      <x:c r="U49" s="233"/>
      <x:c r="V49" s="233" t="str">
        <x:v>CENTER</x:v>
      </x:c>
      <x:c r="W49" s="233"/>
      <x:c r="X49" s="233"/>
      <x:c r="Y49" s="233"/>
      <x:c r="Z49" s="233"/>
      <x:c r="AA49" s="233"/>
      <x:c r="AB49" s="233"/>
      <x:c r="AC49" s="233"/>
      <x:c r="AD49" s="233"/>
      <x:c r="AE49" s="233"/>
      <x:c r="AF49" s="233"/>
      <x:c r="AG49" s="233"/>
      <x:c r="AH49" s="233"/>
      <x:c r="AI49" s="233"/>
      <x:c r="AJ49" s="233"/>
      <x:c r="AK49" s="233"/>
      <x:c r="AL49" s="233"/>
      <x:c r="AM49" s="233"/>
      <x:c r="AN49" s="233"/>
      <x:c r="AO49" s="233"/>
      <x:c r="AP49" s="233"/>
      <x:c r="AQ49" s="233"/>
      <x:c r="AR49" s="233"/>
      <x:c r="AS49" s="233"/>
      <x:c r="AT49" s="233"/>
      <x:c r="AU49" s="233"/>
      <x:c r="AV49" s="233"/>
      <x:c r="AW49" s="233"/>
      <x:c r="AX49" s="233" t="str">
        <x:v>Nội dung không chạm mép trên/dưới</x:v>
      </x:c>
      <x:c r="AY49" s="233" t="str">
        <x:v>Căn giữa theo chiều dọc theo profile; nếu bảng có đoạn văn nhiều dòng đặc thù, đối chiếu trước khi sửa. | Chưa xác minh là yêu cầu bắt buộc riêng của NĐ30/HD05; chỉ là profile nội bộ.</x:v>
      </x:c>
      <x:c r="AZ49" s="233" t="str">
        <x:v>Người dùng chốt trong trao đổi 29/10/2026; PROFILE NỘI BỘ; chưa có văn bản phê duyệt doanh nghiệp</x:v>
      </x:c>
    </x:row>
    <x:row r="50" ht="31" customHeight="1">
      <x:c r="A50" s="233" t="n">
        <x:v>44</x:v>
      </x:c>
      <x:c r="B50" s="233" t="str">
        <x:v>HD05.N.BANG.O.GIAN_DONG</x:v>
      </x:c>
      <x:c r="C50" s="233" t="str">
        <x:v>HD05.N.BANG.O</x:v>
      </x:c>
      <x:c r="D50" s="233" t="str">
        <x:v>Giãn dòng trong ô</x:v>
      </x:c>
      <x:c r="E50" s="233" t="str">
        <x:v>PARAGRAPH</x:v>
      </x:c>
      <x:c r="F50" s="233" t="str">
        <x:v>cell_line_spacing</x:v>
      </x:c>
      <x:c r="G50" s="233" t="str">
        <x:v>SINGLE</x:v>
      </x:c>
      <x:c r="H50" s="233" t="str">
        <x:v>lines</x:v>
      </x:c>
      <x:c r="I50" s="233" t="str">
        <x:v>Giãn dòng đơn trong ô bảng theo quyết định nội bộ; riêng HD05 phải đánh dấu cần đối chiếu quy định lời văn 18–22 pt, không kết luận tuân thủ pháp lý.</x:v>
      </x:c>
      <x:c r="J50" s="233" t="str">
        <x:v>PROFILE_DA_XAC_NHAN</x:v>
      </x:c>
      <x:c r="K50" s="233" t="str">
        <x:v>HD05 Phần II mục 6.2.2: giãn dòng nội dung 18–22 pt (Exactly); áp dụng với ô bảng còn cần kiểm tra theo ngữ cảnh.</x:v>
      </x:c>
      <x:c r="L50" s="233" t="str">
        <x:v>NOT_VERIFIED_AT_ATTRIBUTE_LEVEL</x:v>
      </x:c>
      <x:c r="M50" s="233" t="str">
        <x:v>CHECK_ONLY</x:v>
      </x:c>
      <x:c r="N50" s="233" t="str">
        <x:v>6</x:v>
      </x:c>
      <x:c r="O50" s="233" t="str">
        <x:v>w:pPr/w:spacing</x:v>
      </x:c>
      <x:c r="P50" s="233"/>
      <x:c r="Q50" s="233"/>
      <x:c r="R50" s="233"/>
      <x:c r="S50" s="233"/>
      <x:c r="T50" s="233"/>
      <x:c r="U50" s="233"/>
      <x:c r="V50" s="233"/>
      <x:c r="W50" s="233" t="str">
        <x:v>SINGLE</x:v>
      </x:c>
      <x:c r="X50" s="233" t="n">
        <x:v>1</x:v>
      </x:c>
      <x:c r="Y50" s="233"/>
      <x:c r="Z50" s="233"/>
      <x:c r="AA50" s="233"/>
      <x:c r="AB50" s="233"/>
      <x:c r="AC50" s="233"/>
      <x:c r="AD50" s="233"/>
      <x:c r="AE50" s="233"/>
      <x:c r="AF50" s="233"/>
      <x:c r="AG50" s="233"/>
      <x:c r="AH50" s="233"/>
      <x:c r="AI50" s="233"/>
      <x:c r="AJ50" s="233"/>
      <x:c r="AK50" s="233"/>
      <x:c r="AL50" s="233"/>
      <x:c r="AM50" s="233"/>
      <x:c r="AN50" s="233"/>
      <x:c r="AO50" s="233"/>
      <x:c r="AP50" s="233"/>
      <x:c r="AQ50" s="233"/>
      <x:c r="AR50" s="233"/>
      <x:c r="AS50" s="233"/>
      <x:c r="AT50" s="233"/>
      <x:c r="AU50" s="233"/>
      <x:c r="AV50" s="233"/>
      <x:c r="AW50" s="233"/>
      <x:c r="AX50" s="233" t="str">
        <x:v>Không áp giãn dòng thân bài vào ô</x:v>
      </x:c>
      <x:c r="AY50" s="233" t="str">
        <x:v>Giãn dòng đơn trong ô bảng theo quyết định nội bộ; riêng HD05 phải đánh dấu cần đối chiếu quy định lời văn 18–22 pt, không kết luận tuân thủ pháp lý. | Chưa xác minh là yêu cầu bắt buộc riêng của NĐ30/HD05; chỉ là profile nội bộ. HD05: Cỡ chữ 13 pt / giãn dòng đơn trong bảng chưa được xác nhận phù hợp lời văn 14–15 pt và giãn dòng Exactly 18–22 pt.</x:v>
      </x:c>
      <x:c r="AZ50" s="233" t="str">
        <x:v>Người dùng chốt trong trao đổi 29/10/2026; PROFILE NỘI BỘ; chưa có văn bản phê duyệt doanh nghiệp</x:v>
      </x:c>
    </x:row>
    <x:row r="51" ht="31" customHeight="1">
      <x:c r="A51" s="233" t="n">
        <x:v>45</x:v>
      </x:c>
      <x:c r="B51" s="233" t="str">
        <x:v>HD05.N.BANG.O.CACH_DOAN</x:v>
      </x:c>
      <x:c r="C51" s="233" t="str">
        <x:v>HD05.N.BANG.O</x:v>
      </x:c>
      <x:c r="D51" s="233" t="str">
        <x:v>Cách đoạn bên trong ô</x:v>
      </x:c>
      <x:c r="E51" s="233" t="str">
        <x:v>PARAGRAPH</x:v>
      </x:c>
      <x:c r="F51" s="233" t="str">
        <x:v>cell_space_after</x:v>
      </x:c>
      <x:c r="G51" s="233" t="n">
        <x:v>0</x:v>
      </x:c>
      <x:c r="H51" s="233" t="str">
        <x:v>pt</x:v>
      </x:c>
      <x:c r="I51" s="233" t="str">
        <x:v>Trong mỗi ô, cách TRƯỚC = 0 pt và cách SAU = 0 pt; không xóa đoạn rỗng có ý nghĩa chưa được duyệt.</x:v>
      </x:c>
      <x:c r="J51" s="233" t="str">
        <x:v>PROFILE_DA_XAC_NHAN</x:v>
      </x:c>
      <x:c r="K51" s="233" t="str">
        <x:v>Chưa có điều khoản riêng đã xác minh cho thuộc tính này</x:v>
      </x:c>
      <x:c r="L51" s="233" t="str">
        <x:v>NOT_VERIFIED_AT_ATTRIBUTE_LEVEL</x:v>
      </x:c>
      <x:c r="M51" s="233" t="str">
        <x:v>CHECK_ONLY</x:v>
      </x:c>
      <x:c r="N51" s="233" t="str">
        <x:v>6</x:v>
      </x:c>
      <x:c r="O51" s="233" t="str">
        <x:v>w:pPr/w:spacing/@w:after</x:v>
      </x:c>
      <x:c r="P51" s="233"/>
      <x:c r="Q51" s="233"/>
      <x:c r="R51" s="233"/>
      <x:c r="S51" s="233"/>
      <x:c r="T51" s="233"/>
      <x:c r="U51" s="233"/>
      <x:c r="V51" s="233"/>
      <x:c r="W51" s="233"/>
      <x:c r="X51" s="233"/>
      <x:c r="Y51" s="233" t="n">
        <x:v>0</x:v>
      </x:c>
      <x:c r="Z51" s="233" t="n">
        <x:v>0</x:v>
      </x:c>
      <x:c r="AA51" s="233"/>
      <x:c r="AB51" s="233"/>
      <x:c r="AC51" s="233"/>
      <x:c r="AD51" s="233"/>
      <x:c r="AE51" s="233"/>
      <x:c r="AF51" s="233"/>
      <x:c r="AG51" s="233"/>
      <x:c r="AH51" s="233"/>
      <x:c r="AI51" s="233"/>
      <x:c r="AJ51" s="233"/>
      <x:c r="AK51" s="233"/>
      <x:c r="AL51" s="233"/>
      <x:c r="AM51" s="233"/>
      <x:c r="AN51" s="233"/>
      <x:c r="AO51" s="233"/>
      <x:c r="AP51" s="233"/>
      <x:c r="AQ51" s="233"/>
      <x:c r="AR51" s="233"/>
      <x:c r="AS51" s="233"/>
      <x:c r="AT51" s="233"/>
      <x:c r="AU51" s="233"/>
      <x:c r="AV51" s="233"/>
      <x:c r="AW51" s="233"/>
      <x:c r="AX51" s="233" t="str">
        <x:v>Không phát sinh khoảng trống giữa các dòng</x:v>
      </x:c>
      <x:c r="AY51" s="233" t="str">
        <x:v>Trong mỗi ô, cách TRƯỚC = 0 pt và cách SAU = 0 pt; không xóa đoạn rỗng có ý nghĩa chưa được duyệt. | Chưa xác minh là yêu cầu bắt buộc riêng của NĐ30/HD05; chỉ là profile nội bộ.</x:v>
      </x:c>
      <x:c r="AZ51" s="233" t="str">
        <x:v>Người dùng chốt trong trao đổi 29/10/2026; PROFILE NỘI BỘ; chưa có văn bản phê duyệt doanh nghiệp</x:v>
      </x:c>
    </x:row>
    <x:row r="52" ht="31" customHeight="1">
      <x:c r="A52" s="233" t="n">
        <x:v>46</x:v>
      </x:c>
      <x:c r="B52" s="233" t="str">
        <x:v>HD05.N.BANG.O.LE_TRONG</x:v>
      </x:c>
      <x:c r="C52" s="233" t="str">
        <x:v>HD05.N.BANG.O</x:v>
      </x:c>
      <x:c r="D52" s="233" t="str">
        <x:v>Lề trong ô</x:v>
      </x:c>
      <x:c r="E52" s="233" t="str">
        <x:v>CELL</x:v>
      </x:c>
      <x:c r="F52" s="233" t="str">
        <x:v>cell_padding</x:v>
      </x:c>
      <x:c r="G52" s="233" t="n">
        <x:v>1.5</x:v>
      </x:c>
      <x:c r="H52" s="233" t="str">
        <x:v>mm</x:v>
      </x:c>
      <x:c r="I52" s="233" t="str">
        <x:v>Bốn lề trong ô: trên, dưới, trái, phải đều 1,5 mm; không áp cho caption ngoài bảng.</x:v>
      </x:c>
      <x:c r="J52" s="233" t="str">
        <x:v>PROFILE_DA_XAC_NHAN</x:v>
      </x:c>
      <x:c r="K52" s="233" t="str">
        <x:v>Chưa có điều khoản riêng đã xác minh cho thuộc tính này</x:v>
      </x:c>
      <x:c r="L52" s="233" t="str">
        <x:v>NOT_VERIFIED_AT_ATTRIBUTE_LEVEL</x:v>
      </x:c>
      <x:c r="M52" s="233" t="str">
        <x:v>CHECK_ONLY</x:v>
      </x:c>
      <x:c r="N52" s="233" t="str">
        <x:v>6</x:v>
      </x:c>
      <x:c r="O52" s="233" t="str">
        <x:v>w:tcPr/w:tcMar</x:v>
      </x:c>
      <x:c r="P52" s="233"/>
      <x:c r="Q52" s="233"/>
      <x:c r="R52" s="233"/>
      <x:c r="S52" s="233"/>
      <x:c r="T52" s="233"/>
      <x:c r="U52" s="233"/>
      <x:c r="V52" s="233"/>
      <x:c r="W52" s="233"/>
      <x:c r="X52" s="233"/>
      <x:c r="Y52" s="233"/>
      <x:c r="Z52" s="233"/>
      <x:c r="AA52" s="233"/>
      <x:c r="AB52" s="233"/>
      <x:c r="AC52" s="233"/>
      <x:c r="AD52" s="233"/>
      <x:c r="AE52" s="233"/>
      <x:c r="AF52" s="233"/>
      <x:c r="AG52" s="233"/>
      <x:c r="AH52" s="233"/>
      <x:c r="AI52" s="233"/>
      <x:c r="AJ52" s="233" t="n">
        <x:v>1.5</x:v>
      </x:c>
      <x:c r="AK52" s="233" t="n">
        <x:v>1.5</x:v>
      </x:c>
      <x:c r="AL52" s="233" t="n">
        <x:v>1.5</x:v>
      </x:c>
      <x:c r="AM52" s="233" t="n">
        <x:v>1.5</x:v>
      </x:c>
      <x:c r="AN52" s="233"/>
      <x:c r="AO52" s="233"/>
      <x:c r="AP52" s="233"/>
      <x:c r="AQ52" s="233"/>
      <x:c r="AR52" s="233"/>
      <x:c r="AS52" s="233"/>
      <x:c r="AT52" s="233"/>
      <x:c r="AU52" s="233"/>
      <x:c r="AV52" s="233"/>
      <x:c r="AW52" s="233"/>
      <x:c r="AX52" s="233" t="str">
        <x:v>Có khoảng thở, không bị cắt chữ</x:v>
      </x:c>
      <x:c r="AY52" s="233" t="str">
        <x:v>Bốn lề trong ô: trên, dưới, trái, phải đều 1,5 mm; không áp cho caption ngoài bảng. | Chưa xác minh là yêu cầu bắt buộc riêng của NĐ30/HD05; chỉ là profile nội bộ.</x:v>
      </x:c>
      <x:c r="AZ52" s="233" t="str">
        <x:v>Người dùng chốt trong trao đổi 29/10/2026; PROFILE NỘI BỘ; chưa có văn bản phê duyệt doanh nghiệp</x:v>
      </x:c>
    </x:row>
    <x:row r="53" ht="31" customHeight="1">
      <x:c r="A53" s="233" t="n">
        <x:v>47</x:v>
      </x:c>
      <x:c r="B53" s="233" t="str">
        <x:v>HD05.N.BANG.O.XUONG_DONG</x:v>
      </x:c>
      <x:c r="C53" s="233" t="str">
        <x:v>HD05.N.BANG.O</x:v>
      </x:c>
      <x:c r="D53" s="233" t="str">
        <x:v>Xuống dòng trong ô</x:v>
      </x:c>
      <x:c r="E53" s="233" t="str">
        <x:v>CELL</x:v>
      </x:c>
      <x:c r="F53" s="233" t="str">
        <x:v>cell_wrap</x:v>
      </x:c>
      <x:c r="G53" s="233" t="str">
        <x:v>TRUE</x:v>
      </x:c>
      <x:c r="H53" s="233"/>
      <x:c r="I53" s="233" t="str">
        <x:v>Cho phép tự xuống dòng trong ô khi chạm lề; không biến thành hard line breaks.</x:v>
      </x:c>
      <x:c r="J53" s="233" t="str">
        <x:v>PROFILE_DA_XAC_NHAN</x:v>
      </x:c>
      <x:c r="K53" s="233" t="str">
        <x:v>Chưa có điều khoản riêng đã xác minh cho thuộc tính này</x:v>
      </x:c>
      <x:c r="L53" s="233" t="str">
        <x:v>NOT_VERIFIED_AT_ATTRIBUTE_LEVEL</x:v>
      </x:c>
      <x:c r="M53" s="233" t="str">
        <x:v>CHECK_ONLY</x:v>
      </x:c>
      <x:c r="N53" s="233" t="str">
        <x:v>6</x:v>
      </x:c>
      <x:c r="O53" s="233" t="str">
        <x:v>Word: cho phép tự xuống dòng trong ô (Wrap Text); không bật NoWrap</x:v>
      </x:c>
      <x:c r="P53" s="233"/>
      <x:c r="Q53" s="233"/>
      <x:c r="R53" s="233"/>
      <x:c r="S53" s="233"/>
      <x:c r="T53" s="233"/>
      <x:c r="U53" s="233"/>
      <x:c r="V53" s="233"/>
      <x:c r="W53" s="233"/>
      <x:c r="X53" s="233"/>
      <x:c r="Y53" s="233"/>
      <x:c r="Z53" s="233"/>
      <x:c r="AA53" s="233"/>
      <x:c r="AB53" s="233"/>
      <x:c r="AC53" s="233"/>
      <x:c r="AD53" s="233"/>
      <x:c r="AE53" s="233"/>
      <x:c r="AF53" s="233"/>
      <x:c r="AG53" s="233"/>
      <x:c r="AH53" s="233"/>
      <x:c r="AI53" s="233"/>
      <x:c r="AJ53" s="233"/>
      <x:c r="AK53" s="233"/>
      <x:c r="AL53" s="233"/>
      <x:c r="AM53" s="233"/>
      <x:c r="AN53" s="233"/>
      <x:c r="AO53" s="233"/>
      <x:c r="AP53" s="233"/>
      <x:c r="AQ53" s="233"/>
      <x:c r="AR53" s="233"/>
      <x:c r="AS53" s="233" t="str">
        <x:v>TRUE</x:v>
      </x:c>
      <x:c r="AT53" s="233"/>
      <x:c r="AU53" s="233"/>
      <x:c r="AV53" s="233"/>
      <x:c r="AW53" s="233"/>
      <x:c r="AX53" s="233" t="str">
        <x:v>Dòng dài không bị cắt</x:v>
      </x:c>
      <x:c r="AY53" s="233" t="str">
        <x:v>Cho phép tự xuống dòng trong ô khi chạm lề; không biến thành hard line breaks. | Chưa xác minh là yêu cầu bắt buộc riêng của NĐ30/HD05; chỉ là profile nội bộ.</x:v>
      </x:c>
      <x:c r="AZ53" s="233" t="str">
        <x:v>Người dùng chốt trong trao đổi 29/10/2026; PROFILE NỘI BỘ; chưa có văn bản phê duyệt doanh nghiệp</x:v>
      </x:c>
    </x:row>
    <x:row r="54" ht="31" customHeight="1">
      <x:c r="A54" s="233" t="n">
        <x:v>48</x:v>
      </x:c>
      <x:c r="B54" s="233" t="str">
        <x:v>HD05.N.BANG.O.TO_NEN</x:v>
      </x:c>
      <x:c r="C54" s="233" t="str">
        <x:v>HD05.N.BANG.O</x:v>
      </x:c>
      <x:c r="D54" s="233" t="str">
        <x:v>Tô nền ô</x:v>
      </x:c>
      <x:c r="E54" s="233" t="str">
        <x:v>CELL</x:v>
      </x:c>
      <x:c r="F54" s="233" t="str">
        <x:v>cell_shading</x:v>
      </x:c>
      <x:c r="G54" s="233" t="str">
        <x:v>NONE_NEW; PRESERVE_MEANINGFUL_EXISTING</x:v>
      </x:c>
      <x:c r="H54" s="233"/>
      <x:c r="I54" s="233" t="str">
        <x:v>Không thêm nền mặc định, bảo toàn màu nền gốc có ý nghĩa.</x:v>
      </x:c>
      <x:c r="J54" s="233" t="str">
        <x:v>PROFILE_DA_XAC_NHAN</x:v>
      </x:c>
      <x:c r="K54" s="233" t="str">
        <x:v>Chưa có điều khoản riêng đã xác minh cho thuộc tính này</x:v>
      </x:c>
      <x:c r="L54" s="233" t="str">
        <x:v>NOT_VERIFIED_AT_ATTRIBUTE_LEVEL</x:v>
      </x:c>
      <x:c r="M54" s="233" t="str">
        <x:v>CHECK_ONLY</x:v>
      </x:c>
      <x:c r="N54" s="233" t="str">
        <x:v>6</x:v>
      </x:c>
      <x:c r="O54" s="233" t="str">
        <x:v>w:tcPr/w:shd</x:v>
      </x:c>
      <x:c r="P54" s="233"/>
      <x:c r="Q54" s="233"/>
      <x:c r="R54" s="233"/>
      <x:c r="S54" s="233"/>
      <x:c r="T54" s="233"/>
      <x:c r="U54" s="233"/>
      <x:c r="V54" s="233"/>
      <x:c r="W54" s="233"/>
      <x:c r="X54" s="233"/>
      <x:c r="Y54" s="233"/>
      <x:c r="Z54" s="233"/>
      <x:c r="AA54" s="233"/>
      <x:c r="AB54" s="233"/>
      <x:c r="AC54" s="233"/>
      <x:c r="AD54" s="233"/>
      <x:c r="AE54" s="233"/>
      <x:c r="AF54" s="233"/>
      <x:c r="AG54" s="233"/>
      <x:c r="AH54" s="233"/>
      <x:c r="AI54" s="233"/>
      <x:c r="AJ54" s="233"/>
      <x:c r="AK54" s="233"/>
      <x:c r="AL54" s="233"/>
      <x:c r="AM54" s="233"/>
      <x:c r="AN54" s="233"/>
      <x:c r="AO54" s="233"/>
      <x:c r="AP54" s="233"/>
      <x:c r="AQ54" s="233"/>
      <x:c r="AR54" s="233" t="str">
        <x:v>NONE_NEW</x:v>
      </x:c>
      <x:c r="AS54" s="233"/>
      <x:c r="AT54" s="233"/>
      <x:c r="AU54" s="233"/>
      <x:c r="AV54" s="233"/>
      <x:c r="AW54" s="233"/>
      <x:c r="AX54" s="233" t="str">
        <x:v>Ưu tiên nền trắng</x:v>
      </x:c>
      <x:c r="AY54" s="233" t="str">
        <x:v>Không thêm nền mặc định, bảo toàn màu nền gốc có ý nghĩa. | Chưa xác minh là yêu cầu bắt buộc riêng của NĐ30/HD05; chỉ là profile nội bộ.</x:v>
      </x:c>
      <x:c r="AZ54" s="233" t="str">
        <x:v>Người dùng chốt trong trao đổi 29/10/2026; PROFILE NỘI BỘ; chưa có văn bản phê duyệt doanh nghiệp</x:v>
      </x:c>
    </x:row>
    <x:row r="55" ht="31" customHeight="1">
      <x:c r="A55" s="233" t="n">
        <x:v>49</x:v>
      </x:c>
      <x:c r="B55" s="233" t="str">
        <x:v>HD05.N.BANG.O.DINH_DANG_SO</x:v>
      </x:c>
      <x:c r="C55" s="233" t="str">
        <x:v>HD05.N.BANG.O</x:v>
      </x:c>
      <x:c r="D55" s="233" t="str">
        <x:v>Định dạng dữ liệu số</x:v>
      </x:c>
      <x:c r="E55" s="233" t="str">
        <x:v>CELL_TEXT</x:v>
      </x:c>
      <x:c r="F55" s="233" t="str">
        <x:v>number_format</x:v>
      </x:c>
      <x:c r="G55" s="233" t="str">
        <x:v>PRESERVE</x:v>
      </x:c>
      <x:c r="H55" s="233"/>
      <x:c r="I55" s="233" t="str">
        <x:v>Chỉ ô dữ liệu số; giữ nguyên số thập phân, dấu âm, đơn vị, phần trăm.</x:v>
      </x:c>
      <x:c r="J55" s="233" t="str">
        <x:v>PRESERVE_ONLY</x:v>
      </x:c>
      <x:c r="K55" s="233" t="str">
        <x:v>Chưa có điều khoản riêng đã xác minh cho thuộc tính này</x:v>
      </x:c>
      <x:c r="L55" s="233" t="str">
        <x:v>NOT_VERIFIED_AT_ATTRIBUTE_LEVEL</x:v>
      </x:c>
      <x:c r="M55" s="233" t="str">
        <x:v>PROTECTED</x:v>
      </x:c>
      <x:c r="N55" s="233" t="str">
        <x:v>6</x:v>
      </x:c>
      <x:c r="O55" s="233"/>
      <x:c r="P55" s="233"/>
      <x:c r="Q55" s="233"/>
      <x:c r="R55" s="233"/>
      <x:c r="S55" s="233"/>
      <x:c r="T55" s="233"/>
      <x:c r="U55" s="233"/>
      <x:c r="V55" s="233"/>
      <x:c r="W55" s="233"/>
      <x:c r="X55" s="233"/>
      <x:c r="Y55" s="233"/>
      <x:c r="Z55" s="233"/>
      <x:c r="AA55" s="233"/>
      <x:c r="AB55" s="233"/>
      <x:c r="AC55" s="233"/>
      <x:c r="AD55" s="233"/>
      <x:c r="AE55" s="233"/>
      <x:c r="AF55" s="233"/>
      <x:c r="AG55" s="233"/>
      <x:c r="AH55" s="233"/>
      <x:c r="AI55" s="233"/>
      <x:c r="AJ55" s="233"/>
      <x:c r="AK55" s="233"/>
      <x:c r="AL55" s="233"/>
      <x:c r="AM55" s="233"/>
      <x:c r="AN55" s="233"/>
      <x:c r="AO55" s="233"/>
      <x:c r="AP55" s="233"/>
      <x:c r="AQ55" s="233"/>
      <x:c r="AR55" s="233"/>
      <x:c r="AS55" s="233"/>
      <x:c r="AT55" s="233"/>
      <x:c r="AU55" s="233"/>
      <x:c r="AV55" s="233"/>
      <x:c r="AW55" s="233"/>
      <x:c r="AX55" s="233" t="str">
        <x:v>Không sửa phân cách thập phân, số 0 đầu</x:v>
      </x:c>
      <x:c r="AY55" s="233" t="str">
        <x:v>Kiểm tra phần tử đích trước khi diễn giải rule; không tự sửa.</x:v>
      </x:c>
      <x:c r="AZ55" s="233" t="str">
        <x:v>https://tulieuvankien.dangcongsan.vn/upload/2006988/20260529/HD_05_VPTW_e1550.pdf</x:v>
      </x:c>
    </x:row>
    <x:row r="56" ht="31" customHeight="1">
      <x:c r="A56" s="233" t="n">
        <x:v>50</x:v>
      </x:c>
      <x:c r="B56" s="233" t="str">
        <x:v>HD05.N.BANG.O.DU_LIEU</x:v>
      </x:c>
      <x:c r="C56" s="233" t="str">
        <x:v>HD05.N.BANG.O</x:v>
      </x:c>
      <x:c r="D56" s="233" t="str">
        <x:v>Ô trống và ô có dữ liệu</x:v>
      </x:c>
      <x:c r="E56" s="233" t="str">
        <x:v>CELL</x:v>
      </x:c>
      <x:c r="F56" s="233" t="str">
        <x:v>cell_presence</x:v>
      </x:c>
      <x:c r="G56" s="233" t="str">
        <x:v>PRESERVE</x:v>
      </x:c>
      <x:c r="H56" s="233"/>
      <x:c r="I56" s="233" t="str">
        <x:v>Tất cả ô; giữ nguyên trống/không trống và vị trí dữ liệu.</x:v>
      </x:c>
      <x:c r="J56" s="233" t="str">
        <x:v>PRESERVE_ONLY</x:v>
      </x:c>
      <x:c r="K56" s="233" t="str">
        <x:v>Chưa có điều khoản riêng đã xác minh cho thuộc tính này</x:v>
      </x:c>
      <x:c r="L56" s="233" t="str">
        <x:v>NOT_VERIFIED_AT_ATTRIBUTE_LEVEL</x:v>
      </x:c>
      <x:c r="M56" s="233" t="str">
        <x:v>PROTECTED</x:v>
      </x:c>
      <x:c r="N56" s="233" t="str">
        <x:v>6</x:v>
      </x:c>
      <x:c r="O56" s="233"/>
      <x:c r="P56" s="233"/>
      <x:c r="Q56" s="233"/>
      <x:c r="R56" s="233"/>
      <x:c r="S56" s="233"/>
      <x:c r="T56" s="233"/>
      <x:c r="U56" s="233"/>
      <x:c r="V56" s="233"/>
      <x:c r="W56" s="233"/>
      <x:c r="X56" s="233"/>
      <x:c r="Y56" s="233"/>
      <x:c r="Z56" s="233"/>
      <x:c r="AA56" s="233"/>
      <x:c r="AB56" s="233"/>
      <x:c r="AC56" s="233"/>
      <x:c r="AD56" s="233"/>
      <x:c r="AE56" s="233"/>
      <x:c r="AF56" s="233"/>
      <x:c r="AG56" s="233"/>
      <x:c r="AH56" s="233"/>
      <x:c r="AI56" s="233"/>
      <x:c r="AJ56" s="233"/>
      <x:c r="AK56" s="233"/>
      <x:c r="AL56" s="233"/>
      <x:c r="AM56" s="233"/>
      <x:c r="AN56" s="233"/>
      <x:c r="AO56" s="233"/>
      <x:c r="AP56" s="233"/>
      <x:c r="AQ56" s="233"/>
      <x:c r="AR56" s="233"/>
      <x:c r="AS56" s="233"/>
      <x:c r="AT56" s="233"/>
      <x:c r="AU56" s="233"/>
      <x:c r="AV56" s="233"/>
      <x:c r="AW56" s="233"/>
      <x:c r="AX56" s="233" t="str">
        <x:v>Không tự xóa/điền ô</x:v>
      </x:c>
      <x:c r="AY56" s="233" t="str">
        <x:v>Kiểm tra phần tử đích trước khi diễn giải rule; không tự sửa.</x:v>
      </x:c>
      <x:c r="AZ56" s="233" t="str">
        <x:v>https://tulieuvankien.dangcongsan.vn/upload/2006988/20260529/HD_05_VPTW_e1550.pdf</x:v>
      </x:c>
    </x:row>
    <x:row r="57" ht="31" customHeight="1">
      <x:c r="A57" s="233" t="n">
        <x:v>51</x:v>
      </x:c>
      <x:c r="B57" s="233" t="str">
        <x:v>HD05.N.BANG.VIEN.NGOAI</x:v>
      </x:c>
      <x:c r="C57" s="233" t="str">
        <x:v>HD05.N.BANG.VIEN</x:v>
      </x:c>
      <x:c r="D57" s="233" t="str">
        <x:v>Khung bao toàn bảng</x:v>
      </x:c>
      <x:c r="E57" s="233" t="str">
        <x:v>TABLE</x:v>
      </x:c>
      <x:c r="F57" s="233" t="str">
        <x:v>border_outer</x:v>
      </x:c>
      <x:c r="G57" s="233" t="str">
        <x:v>SINGLE_IF_FRAMED</x:v>
      </x:c>
      <x:c r="H57" s="233"/>
      <x:c r="I57" s="233" t="str">
        <x:v>Bảng đã dùng khung: viền ngoài nét liền; bảng không khung không tự thêm viền.</x:v>
      </x:c>
      <x:c r="J57" s="233" t="str">
        <x:v>PROFILE_DA_XAC_NHAN</x:v>
      </x:c>
      <x:c r="K57" s="233" t="str">
        <x:v>Chưa có điều khoản riêng đã xác minh cho thuộc tính này</x:v>
      </x:c>
      <x:c r="L57" s="233" t="str">
        <x:v>NOT_VERIFIED_AT_ATTRIBUTE_LEVEL</x:v>
      </x:c>
      <x:c r="M57" s="233" t="str">
        <x:v>CHECK_ONLY</x:v>
      </x:c>
      <x:c r="N57" s="233" t="str">
        <x:v>6</x:v>
      </x:c>
      <x:c r="O57" s="233" t="str">
        <x:v>w:tblPr/w:tblBorders</x:v>
      </x:c>
      <x:c r="P57" s="233"/>
      <x:c r="Q57" s="233"/>
      <x:c r="R57" s="233"/>
      <x:c r="S57" s="233"/>
      <x:c r="T57" s="233"/>
      <x:c r="U57" s="233"/>
      <x:c r="V57" s="233"/>
      <x:c r="W57" s="233"/>
      <x:c r="X57" s="233"/>
      <x:c r="Y57" s="233"/>
      <x:c r="Z57" s="233"/>
      <x:c r="AA57" s="233"/>
      <x:c r="AB57" s="233"/>
      <x:c r="AC57" s="233"/>
      <x:c r="AD57" s="233"/>
      <x:c r="AE57" s="233"/>
      <x:c r="AF57" s="233"/>
      <x:c r="AG57" s="233"/>
      <x:c r="AH57" s="233"/>
      <x:c r="AI57" s="233"/>
      <x:c r="AJ57" s="233"/>
      <x:c r="AK57" s="233"/>
      <x:c r="AL57" s="233"/>
      <x:c r="AM57" s="233"/>
      <x:c r="AN57" s="233" t="str">
        <x:v>SINGLE_IF_FRAMED</x:v>
      </x:c>
      <x:c r="AO57" s="233"/>
      <x:c r="AP57" s="233"/>
      <x:c r="AQ57" s="233"/>
      <x:c r="AR57" s="233"/>
      <x:c r="AS57" s="233"/>
      <x:c r="AT57" s="233"/>
      <x:c r="AU57" s="233"/>
      <x:c r="AV57" s="233"/>
      <x:c r="AW57" s="233"/>
      <x:c r="AX57" s="233" t="str">
        <x:v>Viền ngoài liên tục nếu mẫu áp dụng</x:v>
      </x:c>
      <x:c r="AY57" s="233" t="str">
        <x:v>Bảng đã dùng khung: viền ngoài nét liền; bảng không khung không tự thêm viền. | Chưa xác minh là yêu cầu bắt buộc riêng của NĐ30/HD05; chỉ là profile nội bộ.</x:v>
      </x:c>
      <x:c r="AZ57" s="233" t="str">
        <x:v>Người dùng chốt trong trao đổi 29/10/2026; PROFILE NỘI BỘ; chưa có văn bản phê duyệt doanh nghiệp</x:v>
      </x:c>
    </x:row>
    <x:row r="58" ht="31" customHeight="1">
      <x:c r="A58" s="233" t="n">
        <x:v>52</x:v>
      </x:c>
      <x:c r="B58" s="233" t="str">
        <x:v>HD05.N.BANG.VIEN.NGANG</x:v>
      </x:c>
      <x:c r="C58" s="233" t="str">
        <x:v>HD05.N.BANG.VIEN</x:v>
      </x:c>
      <x:c r="D58" s="233" t="str">
        <x:v>Đường kẻ nội bộ ngang</x:v>
      </x:c>
      <x:c r="E58" s="233" t="str">
        <x:v>TABLE</x:v>
      </x:c>
      <x:c r="F58" s="233" t="str">
        <x:v>border_inside_h</x:v>
      </x:c>
      <x:c r="G58" s="233" t="str">
        <x:v>SINGLE_IF_FRAMED</x:v>
      </x:c>
      <x:c r="H58" s="233"/>
      <x:c r="I58" s="233" t="str">
        <x:v>Đường nội bộ ngang nét đơn khi bảng dùng đường viền; không tự vẽ cho bảng không khung.</x:v>
      </x:c>
      <x:c r="J58" s="233" t="str">
        <x:v>PROFILE_DA_XAC_NHAN</x:v>
      </x:c>
      <x:c r="K58" s="233" t="str">
        <x:v>Chưa có điều khoản riêng đã xác minh cho thuộc tính này</x:v>
      </x:c>
      <x:c r="L58" s="233" t="str">
        <x:v>NOT_VERIFIED_AT_ATTRIBUTE_LEVEL</x:v>
      </x:c>
      <x:c r="M58" s="233" t="str">
        <x:v>CHECK_ONLY</x:v>
      </x:c>
      <x:c r="N58" s="233" t="str">
        <x:v>6</x:v>
      </x:c>
      <x:c r="O58" s="233" t="str">
        <x:v>w:tblBorders/w:insideH</x:v>
      </x:c>
      <x:c r="P58" s="233"/>
      <x:c r="Q58" s="233"/>
      <x:c r="R58" s="233"/>
      <x:c r="S58" s="233"/>
      <x:c r="T58" s="233"/>
      <x:c r="U58" s="233"/>
      <x:c r="V58" s="233"/>
      <x:c r="W58" s="233"/>
      <x:c r="X58" s="233"/>
      <x:c r="Y58" s="233"/>
      <x:c r="Z58" s="233"/>
      <x:c r="AA58" s="233"/>
      <x:c r="AB58" s="233"/>
      <x:c r="AC58" s="233"/>
      <x:c r="AD58" s="233"/>
      <x:c r="AE58" s="233"/>
      <x:c r="AF58" s="233"/>
      <x:c r="AG58" s="233"/>
      <x:c r="AH58" s="233"/>
      <x:c r="AI58" s="233"/>
      <x:c r="AJ58" s="233"/>
      <x:c r="AK58" s="233"/>
      <x:c r="AL58" s="233"/>
      <x:c r="AM58" s="233"/>
      <x:c r="AN58" s="233"/>
      <x:c r="AO58" s="233" t="str">
        <x:v>SINGLE_IF_FRAMED</x:v>
      </x:c>
      <x:c r="AP58" s="233"/>
      <x:c r="AQ58" s="233"/>
      <x:c r="AR58" s="233"/>
      <x:c r="AS58" s="233"/>
      <x:c r="AT58" s="233"/>
      <x:c r="AU58" s="233"/>
      <x:c r="AV58" s="233"/>
      <x:c r="AW58" s="233"/>
      <x:c r="AX58" s="233" t="str">
        <x:v>Không mất đường ngang khi gộp ô</x:v>
      </x:c>
      <x:c r="AY58" s="233" t="str">
        <x:v>Đường nội bộ ngang nét đơn khi bảng dùng đường viền; không tự vẽ cho bảng không khung. | Chưa xác minh là yêu cầu bắt buộc riêng của NĐ30/HD05; chỉ là profile nội bộ.</x:v>
      </x:c>
      <x:c r="AZ58" s="233" t="str">
        <x:v>Người dùng chốt trong trao đổi 29/10/2026; PROFILE NỘI BỘ; chưa có văn bản phê duyệt doanh nghiệp</x:v>
      </x:c>
    </x:row>
    <x:row r="59" ht="31" customHeight="1">
      <x:c r="A59" s="233" t="n">
        <x:v>53</x:v>
      </x:c>
      <x:c r="B59" s="233" t="str">
        <x:v>HD05.N.BANG.VIEN.DOC</x:v>
      </x:c>
      <x:c r="C59" s="233" t="str">
        <x:v>HD05.N.BANG.VIEN</x:v>
      </x:c>
      <x:c r="D59" s="233" t="str">
        <x:v>Đường kẻ nội bộ dọc</x:v>
      </x:c>
      <x:c r="E59" s="233" t="str">
        <x:v>TABLE</x:v>
      </x:c>
      <x:c r="F59" s="233" t="str">
        <x:v>border_inside_v</x:v>
      </x:c>
      <x:c r="G59" s="233" t="str">
        <x:v>SINGLE_IF_FRAMED</x:v>
      </x:c>
      <x:c r="H59" s="233"/>
      <x:c r="I59" s="233" t="str">
        <x:v>Đường nội bộ dọc nét đơn khi bảng dùng đường viền; không tự vẽ cho bảng không khung.</x:v>
      </x:c>
      <x:c r="J59" s="233" t="str">
        <x:v>PROFILE_DA_XAC_NHAN</x:v>
      </x:c>
      <x:c r="K59" s="233" t="str">
        <x:v>Chưa có điều khoản riêng đã xác minh cho thuộc tính này</x:v>
      </x:c>
      <x:c r="L59" s="233" t="str">
        <x:v>NOT_VERIFIED_AT_ATTRIBUTE_LEVEL</x:v>
      </x:c>
      <x:c r="M59" s="233" t="str">
        <x:v>CHECK_ONLY</x:v>
      </x:c>
      <x:c r="N59" s="233" t="str">
        <x:v>6</x:v>
      </x:c>
      <x:c r="O59" s="233" t="str">
        <x:v>w:tblBorders/w:insideV</x:v>
      </x:c>
      <x:c r="P59" s="233"/>
      <x:c r="Q59" s="233"/>
      <x:c r="R59" s="233"/>
      <x:c r="S59" s="233"/>
      <x:c r="T59" s="233"/>
      <x:c r="U59" s="233"/>
      <x:c r="V59" s="233"/>
      <x:c r="W59" s="233"/>
      <x:c r="X59" s="233"/>
      <x:c r="Y59" s="233"/>
      <x:c r="Z59" s="233"/>
      <x:c r="AA59" s="233"/>
      <x:c r="AB59" s="233"/>
      <x:c r="AC59" s="233"/>
      <x:c r="AD59" s="233"/>
      <x:c r="AE59" s="233"/>
      <x:c r="AF59" s="233"/>
      <x:c r="AG59" s="233"/>
      <x:c r="AH59" s="233"/>
      <x:c r="AI59" s="233"/>
      <x:c r="AJ59" s="233"/>
      <x:c r="AK59" s="233"/>
      <x:c r="AL59" s="233"/>
      <x:c r="AM59" s="233"/>
      <x:c r="AN59" s="233"/>
      <x:c r="AO59" s="233"/>
      <x:c r="AP59" s="233" t="str">
        <x:v>SINGLE_IF_FRAMED</x:v>
      </x:c>
      <x:c r="AQ59" s="233"/>
      <x:c r="AR59" s="233"/>
      <x:c r="AS59" s="233"/>
      <x:c r="AT59" s="233"/>
      <x:c r="AU59" s="233"/>
      <x:c r="AV59" s="233"/>
      <x:c r="AW59" s="233"/>
      <x:c r="AX59" s="233" t="str">
        <x:v>Không phát sinh viền thừa ở ô gộp</x:v>
      </x:c>
      <x:c r="AY59" s="233" t="str">
        <x:v>Đường nội bộ dọc nét đơn khi bảng dùng đường viền; không tự vẽ cho bảng không khung. | Chưa xác minh là yêu cầu bắt buộc riêng của NĐ30/HD05; chỉ là profile nội bộ.</x:v>
      </x:c>
      <x:c r="AZ59" s="233" t="str">
        <x:v>Người dùng chốt trong trao đổi 29/10/2026; PROFILE NỘI BỘ; chưa có văn bản phê duyệt doanh nghiệp</x:v>
      </x:c>
    </x:row>
    <x:row r="60" ht="31" customHeight="1">
      <x:c r="A60" s="233" t="n">
        <x:v>54</x:v>
      </x:c>
      <x:c r="B60" s="233" t="str">
        <x:v>HD05.N.BANG.VIEN.DO_DAY</x:v>
      </x:c>
      <x:c r="C60" s="233" t="str">
        <x:v>HD05.N.BANG.VIEN</x:v>
      </x:c>
      <x:c r="D60" s="233" t="str">
        <x:v>Độ dày đường viền bảng</x:v>
      </x:c>
      <x:c r="E60" s="233" t="str">
        <x:v>TABLE</x:v>
      </x:c>
      <x:c r="F60" s="233" t="str">
        <x:v>border_width</x:v>
      </x:c>
      <x:c r="G60" s="233" t="n">
        <x:v>0.5</x:v>
      </x:c>
      <x:c r="H60" s="233" t="str">
        <x:v>pt</x:v>
      </x:c>
      <x:c r="I60" s="233" t="str">
        <x:v>Độ dày 0,5 pt chỉ khi bảng có khung; đây là profile, không phải tiêu chuẩn pháp lý quốc gia.</x:v>
      </x:c>
      <x:c r="J60" s="233" t="str">
        <x:v>PROFILE_DA_XAC_NHAN</x:v>
      </x:c>
      <x:c r="K60" s="233" t="str">
        <x:v>Chưa có điều khoản riêng đã xác minh cho thuộc tính này</x:v>
      </x:c>
      <x:c r="L60" s="233" t="str">
        <x:v>NOT_VERIFIED_AT_ATTRIBUTE_LEVEL</x:v>
      </x:c>
      <x:c r="M60" s="233" t="str">
        <x:v>CHECK_ONLY</x:v>
      </x:c>
      <x:c r="N60" s="233" t="str">
        <x:v>6</x:v>
      </x:c>
      <x:c r="O60" s="233" t="str">
        <x:v>w:tblBorders/*/@w:sz</x:v>
      </x:c>
      <x:c r="P60" s="233"/>
      <x:c r="Q60" s="233"/>
      <x:c r="R60" s="233"/>
      <x:c r="S60" s="233"/>
      <x:c r="T60" s="233"/>
      <x:c r="U60" s="233"/>
      <x:c r="V60" s="233"/>
      <x:c r="W60" s="233"/>
      <x:c r="X60" s="233"/>
      <x:c r="Y60" s="233"/>
      <x:c r="Z60" s="233"/>
      <x:c r="AA60" s="233"/>
      <x:c r="AB60" s="233"/>
      <x:c r="AC60" s="233"/>
      <x:c r="AD60" s="233"/>
      <x:c r="AE60" s="233"/>
      <x:c r="AF60" s="233"/>
      <x:c r="AG60" s="233"/>
      <x:c r="AH60" s="233"/>
      <x:c r="AI60" s="233"/>
      <x:c r="AJ60" s="233"/>
      <x:c r="AK60" s="233"/>
      <x:c r="AL60" s="233"/>
      <x:c r="AM60" s="233"/>
      <x:c r="AN60" s="233"/>
      <x:c r="AO60" s="233"/>
      <x:c r="AP60" s="233"/>
      <x:c r="AQ60" s="233" t="n">
        <x:v>0.5</x:v>
      </x:c>
      <x:c r="AR60" s="233"/>
      <x:c r="AS60" s="233"/>
      <x:c r="AT60" s="233"/>
      <x:c r="AU60" s="233"/>
      <x:c r="AV60" s="233"/>
      <x:c r="AW60" s="233"/>
      <x:c r="AX60" s="233" t="str">
        <x:v>Độ dày thống nhất, đọc rõ khi in</x:v>
      </x:c>
      <x:c r="AY60" s="233" t="str">
        <x:v>Độ dày 0,5 pt chỉ khi bảng có khung; đây là profile, không phải tiêu chuẩn pháp lý quốc gia. | Chưa xác minh là yêu cầu bắt buộc riêng của NĐ30/HD05; chỉ là profile nội bộ.</x:v>
      </x:c>
      <x:c r="AZ60" s="233" t="str">
        <x:v>Người dùng chốt trong trao đổi 29/10/2026; PROFILE NỘI BỘ; chưa có văn bản phê duyệt doanh nghiệp</x:v>
      </x:c>
    </x:row>
    <x:row r="61" ht="31" customHeight="1">
      <x:c r="A61" s="233" t="n">
        <x:v>55</x:v>
      </x:c>
      <x:c r="B61" s="233" t="str">
        <x:v>HD05.N.BANG.GOP_O.NGANG</x:v>
      </x:c>
      <x:c r="C61" s="233" t="str">
        <x:v>HD05.N.BANG.GOP_O</x:v>
      </x:c>
      <x:c r="D61" s="233" t="str">
        <x:v>Gộp ngang ô</x:v>
      </x:c>
      <x:c r="E61" s="233" t="str">
        <x:v>CELL</x:v>
      </x:c>
      <x:c r="F61" s="233" t="str">
        <x:v>h_merge</x:v>
      </x:c>
      <x:c r="G61" s="233" t="str">
        <x:v>PRESERVE</x:v>
      </x:c>
      <x:c r="H61" s="233"/>
      <x:c r="I61" s="233" t="str">
        <x:v>Khi có ô gộp theo hàng; giữ nguyên số cột và các vùng gộp.</x:v>
      </x:c>
      <x:c r="J61" s="233" t="str">
        <x:v>PRESERVE_ONLY</x:v>
      </x:c>
      <x:c r="K61" s="233" t="str">
        <x:v>Chưa có điều khoản riêng đã xác minh cho thuộc tính này</x:v>
      </x:c>
      <x:c r="L61" s="233" t="str">
        <x:v>NOT_VERIFIED_AT_ATTRIBUTE_LEVEL</x:v>
      </x:c>
      <x:c r="M61" s="233" t="str">
        <x:v>PROTECTED</x:v>
      </x:c>
      <x:c r="N61" s="233" t="str">
        <x:v>6</x:v>
      </x:c>
      <x:c r="O61" s="233" t="str">
        <x:v>w:tcPr/w:gridSpan</x:v>
      </x:c>
      <x:c r="P61" s="233"/>
      <x:c r="Q61" s="233"/>
      <x:c r="R61" s="233"/>
      <x:c r="S61" s="233"/>
      <x:c r="T61" s="233"/>
      <x:c r="U61" s="233"/>
      <x:c r="V61" s="233"/>
      <x:c r="W61" s="233"/>
      <x:c r="X61" s="233"/>
      <x:c r="Y61" s="233"/>
      <x:c r="Z61" s="233"/>
      <x:c r="AA61" s="233"/>
      <x:c r="AB61" s="233"/>
      <x:c r="AC61" s="233"/>
      <x:c r="AD61" s="233"/>
      <x:c r="AE61" s="233"/>
      <x:c r="AF61" s="233"/>
      <x:c r="AG61" s="233"/>
      <x:c r="AH61" s="233"/>
      <x:c r="AI61" s="233"/>
      <x:c r="AJ61" s="233"/>
      <x:c r="AK61" s="233"/>
      <x:c r="AL61" s="233"/>
      <x:c r="AM61" s="233"/>
      <x:c r="AN61" s="233"/>
      <x:c r="AO61" s="233"/>
      <x:c r="AP61" s="233"/>
      <x:c r="AQ61" s="233"/>
      <x:c r="AR61" s="233"/>
      <x:c r="AS61" s="233"/>
      <x:c r="AT61" s="233" t="str">
        <x:v>PRESERVE</x:v>
      </x:c>
      <x:c r="AU61" s="233"/>
      <x:c r="AV61" s="233"/>
      <x:c r="AW61" s="233"/>
      <x:c r="AX61" s="233" t="str">
        <x:v>Không làm thay đổi gridSpan</x:v>
      </x:c>
      <x:c r="AY61" s="233" t="str">
        <x:v>Kiểm tra phần tử đích trước khi diễn giải rule; không tự sửa.</x:v>
      </x:c>
      <x:c r="AZ61" s="233" t="str">
        <x:v>https://tulieuvankien.dangcongsan.vn/upload/2006988/20260529/HD_05_VPTW_e1550.pdf</x:v>
      </x:c>
    </x:row>
    <x:row r="62" ht="31" customHeight="1">
      <x:c r="A62" s="233" t="n">
        <x:v>56</x:v>
      </x:c>
      <x:c r="B62" s="233" t="str">
        <x:v>HD05.N.BANG.GOP_O.DOC</x:v>
      </x:c>
      <x:c r="C62" s="233" t="str">
        <x:v>HD05.N.BANG.GOP_O</x:v>
      </x:c>
      <x:c r="D62" s="233" t="str">
        <x:v>Gộp dọc ô</x:v>
      </x:c>
      <x:c r="E62" s="233" t="str">
        <x:v>CELL</x:v>
      </x:c>
      <x:c r="F62" s="233" t="str">
        <x:v>v_merge</x:v>
      </x:c>
      <x:c r="G62" s="233" t="str">
        <x:v>PRESERVE</x:v>
      </x:c>
      <x:c r="H62" s="233"/>
      <x:c r="I62" s="233" t="str">
        <x:v>Khi có ô gộp theo cột; giữ nguyên quan hệ dữ liệu và chiều cao hàng.</x:v>
      </x:c>
      <x:c r="J62" s="233" t="str">
        <x:v>PRESERVE_ONLY</x:v>
      </x:c>
      <x:c r="K62" s="233" t="str">
        <x:v>Chưa có điều khoản riêng đã xác minh cho thuộc tính này</x:v>
      </x:c>
      <x:c r="L62" s="233" t="str">
        <x:v>NOT_VERIFIED_AT_ATTRIBUTE_LEVEL</x:v>
      </x:c>
      <x:c r="M62" s="233" t="str">
        <x:v>PROTECTED</x:v>
      </x:c>
      <x:c r="N62" s="233" t="str">
        <x:v>6</x:v>
      </x:c>
      <x:c r="O62" s="233" t="str">
        <x:v>w:tcPr/w:vMerge</x:v>
      </x:c>
      <x:c r="P62" s="233"/>
      <x:c r="Q62" s="233"/>
      <x:c r="R62" s="233"/>
      <x:c r="S62" s="233"/>
      <x:c r="T62" s="233"/>
      <x:c r="U62" s="233"/>
      <x:c r="V62" s="233"/>
      <x:c r="W62" s="233"/>
      <x:c r="X62" s="233"/>
      <x:c r="Y62" s="233"/>
      <x:c r="Z62" s="233"/>
      <x:c r="AA62" s="233"/>
      <x:c r="AB62" s="233"/>
      <x:c r="AC62" s="233"/>
      <x:c r="AD62" s="233"/>
      <x:c r="AE62" s="233"/>
      <x:c r="AF62" s="233"/>
      <x:c r="AG62" s="233"/>
      <x:c r="AH62" s="233"/>
      <x:c r="AI62" s="233"/>
      <x:c r="AJ62" s="233"/>
      <x:c r="AK62" s="233"/>
      <x:c r="AL62" s="233"/>
      <x:c r="AM62" s="233"/>
      <x:c r="AN62" s="233"/>
      <x:c r="AO62" s="233"/>
      <x:c r="AP62" s="233"/>
      <x:c r="AQ62" s="233"/>
      <x:c r="AR62" s="233"/>
      <x:c r="AS62" s="233"/>
      <x:c r="AT62" s="233"/>
      <x:c r="AU62" s="233" t="str">
        <x:v>PRESERVE</x:v>
      </x:c>
      <x:c r="AV62" s="233"/>
      <x:c r="AW62" s="233"/>
      <x:c r="AX62" s="233" t="str">
        <x:v>Không làm thay đổi vMerge</x:v>
      </x:c>
      <x:c r="AY62" s="233" t="str">
        <x:v>Kiểm tra phần tử đích trước khi diễn giải rule; không tự sửa.</x:v>
      </x:c>
      <x:c r="AZ62" s="233" t="str">
        <x:v>https://tulieuvankien.dangcongsan.vn/upload/2006988/20260529/HD_05_VPTW_e1550.pdf</x:v>
      </x:c>
    </x:row>
    <x:row r="63" ht="31" customHeight="1">
      <x:c r="A63" s="233" t="n">
        <x:v>57</x:v>
      </x:c>
      <x:c r="B63" s="233" t="str">
        <x:v>HD05.N.BANG.GOP_O.TINH_TOAN</x:v>
      </x:c>
      <x:c r="C63" s="233" t="str">
        <x:v>HD05.N.BANG.GOP_O</x:v>
      </x:c>
      <x:c r="D63" s="233" t="str">
        <x:v>Giữ dữ liệu khi ô gộp</x:v>
      </x:c>
      <x:c r="E63" s="233" t="str">
        <x:v>CELL</x:v>
      </x:c>
      <x:c r="F63" s="233" t="str">
        <x:v>merge_preserve</x:v>
      </x:c>
      <x:c r="G63" s="233" t="str">
        <x:v>PRESERVE</x:v>
      </x:c>
      <x:c r="H63" s="233"/>
      <x:c r="I63" s="233" t="str">
        <x:v>Khi tồn tại ô gộp; không làm mất dữ liệu trong bất kỳ ô liên quan.</x:v>
      </x:c>
      <x:c r="J63" s="233" t="str">
        <x:v>PRESERVE_ONLY</x:v>
      </x:c>
      <x:c r="K63" s="233" t="str">
        <x:v>Chưa có điều khoản riêng đã xác minh cho thuộc tính này</x:v>
      </x:c>
      <x:c r="L63" s="233" t="str">
        <x:v>NOT_VERIFIED_AT_ATTRIBUTE_LEVEL</x:v>
      </x:c>
      <x:c r="M63" s="233" t="str">
        <x:v>PROTECTED</x:v>
      </x:c>
      <x:c r="N63" s="233" t="str">
        <x:v>6</x:v>
      </x:c>
      <x:c r="O63" s="233"/>
      <x:c r="P63" s="233"/>
      <x:c r="Q63" s="233"/>
      <x:c r="R63" s="233"/>
      <x:c r="S63" s="233"/>
      <x:c r="T63" s="233"/>
      <x:c r="U63" s="233"/>
      <x:c r="V63" s="233"/>
      <x:c r="W63" s="233"/>
      <x:c r="X63" s="233"/>
      <x:c r="Y63" s="233"/>
      <x:c r="Z63" s="233"/>
      <x:c r="AA63" s="233"/>
      <x:c r="AB63" s="233"/>
      <x:c r="AC63" s="233"/>
      <x:c r="AD63" s="233"/>
      <x:c r="AE63" s="233"/>
      <x:c r="AF63" s="233"/>
      <x:c r="AG63" s="233"/>
      <x:c r="AH63" s="233"/>
      <x:c r="AI63" s="233"/>
      <x:c r="AJ63" s="233"/>
      <x:c r="AK63" s="233"/>
      <x:c r="AL63" s="233"/>
      <x:c r="AM63" s="233"/>
      <x:c r="AN63" s="233"/>
      <x:c r="AO63" s="233"/>
      <x:c r="AP63" s="233"/>
      <x:c r="AQ63" s="233"/>
      <x:c r="AR63" s="233"/>
      <x:c r="AS63" s="233"/>
      <x:c r="AT63" s="233"/>
      <x:c r="AU63" s="233"/>
      <x:c r="AV63" s="233"/>
      <x:c r="AW63" s="233"/>
      <x:c r="AX63" s="233" t="str">
        <x:v>Không mất giá trị các ô trước/sau gộp</x:v>
      </x:c>
      <x:c r="AY63" s="233" t="str">
        <x:v>Kiểm tra phần tử đích trước khi diễn giải rule; không tự sửa.</x:v>
      </x:c>
      <x:c r="AZ63" s="233" t="str">
        <x:v>https://tulieuvankien.dangcongsan.vn/upload/2006988/20260529/HD_05_VPTW_e1550.pdf</x:v>
      </x:c>
    </x:row>
    <x:row r="64" ht="31" customHeight="1">
      <x:c r="A64" s="233" t="n">
        <x:v>58</x:v>
      </x:c>
      <x:c r="B64" s="233" t="str">
        <x:v>HD05.N.BANG.NGAT_TRANG.GIU_DAU_BANG</x:v>
      </x:c>
      <x:c r="C64" s="233" t="str">
        <x:v>HD05.N.BANG.NGAT_TRANG</x:v>
      </x:c>
      <x:c r="D64" s="233" t="str">
        <x:v>Giữ hàng đầu bảng khi sang trang</x:v>
      </x:c>
      <x:c r="E64" s="233" t="str">
        <x:v>TABLE</x:v>
      </x:c>
      <x:c r="F64" s="233" t="str">
        <x:v>keep_table_header</x:v>
      </x:c>
      <x:c r="G64" s="233" t="str">
        <x:v>YES_IF_MULTIPAGE</x:v>
      </x:c>
      <x:c r="H64" s="233"/>
      <x:c r="I64" s="233" t="str">
        <x:v>MÃ THAM CHIẾU. Áp dụng cùng quyết định với HD05.N.BANG.DAU_BANG.LAP_LAI. Khi bảng nội dung chính chiếm từ 2 trang trở lên VÀ xác định được nhóm hàng tiêu đề liên tiếp từ hàng đầu: BẮT BUỘC lặp đầy đủ nhóm hàng tiêu đề trên mỗi trang sau. Không lặp hàng nhóm, hàng dữ liệu hoặc tiêu đề ngoài bảng. Nếu chưa xác định header, đánh dấu CẦN XÁC NHẬN; không tự bịa nhãn.</x:v>
      </x:c>
      <x:c r="J64" s="233" t="str">
        <x:v>PROFILE_DA_XAC_NHAN</x:v>
      </x:c>
      <x:c r="K64" s="233" t="str">
        <x:v>Chưa có điều khoản riêng đã xác minh cho thuộc tính này</x:v>
      </x:c>
      <x:c r="L64" s="233" t="str">
        <x:v>NOT_VERIFIED_AT_ATTRIBUTE_LEVEL</x:v>
      </x:c>
      <x:c r="M64" s="233" t="str">
        <x:v>CHECK_ONLY</x:v>
      </x:c>
      <x:c r="N64" s="233" t="str">
        <x:v>6</x:v>
      </x:c>
      <x:c r="O64" s="233" t="str">
        <x:v>w:trPr/w:tblHeader</x:v>
      </x:c>
      <x:c r="P64" s="233"/>
      <x:c r="Q64" s="233"/>
      <x:c r="R64" s="233"/>
      <x:c r="S64" s="233"/>
      <x:c r="T64" s="233"/>
      <x:c r="U64" s="233"/>
      <x:c r="V64" s="233"/>
      <x:c r="W64" s="233"/>
      <x:c r="X64" s="233"/>
      <x:c r="Y64" s="233"/>
      <x:c r="Z64" s="233"/>
      <x:c r="AA64" s="233"/>
      <x:c r="AB64" s="233"/>
      <x:c r="AC64" s="233"/>
      <x:c r="AD64" s="233"/>
      <x:c r="AE64" s="233"/>
      <x:c r="AF64" s="233"/>
      <x:c r="AG64" s="233" t="str">
        <x:v>CONDITIONAL</x:v>
      </x:c>
      <x:c r="AH64" s="233"/>
      <x:c r="AI64" s="233"/>
      <x:c r="AJ64" s="233"/>
      <x:c r="AK64" s="233"/>
      <x:c r="AL64" s="233"/>
      <x:c r="AM64" s="233"/>
      <x:c r="AN64" s="233"/>
      <x:c r="AO64" s="233"/>
      <x:c r="AP64" s="233"/>
      <x:c r="AQ64" s="233"/>
      <x:c r="AR64" s="233"/>
      <x:c r="AS64" s="233"/>
      <x:c r="AT64" s="233"/>
      <x:c r="AU64" s="233"/>
      <x:c r="AV64" s="233"/>
      <x:c r="AW64" s="233"/>
      <x:c r="AX64" s="233" t="str">
        <x:v>ĐỒNG BỘ MÃ CHÍNH: HD05.N.BANG.DAU_BANG.LAP_LAI; không tạo rule thứ hai.</x:v>
      </x:c>
      <x:c r="AY64" s="233" t="str">
        <x:v>ALIAS/CHỈ DẪN, không duyệt riêng. Đã duyệt theo yêu cầu người dùng 29/10/2026: lặp hàng tiêu đề là BẮT BUỘC THEO PROFILE nếu bảng qua nhiều trang; không khẳng định NĐ30/HD05 bắt buộc.</x:v>
      </x:c>
      <x:c r="AZ64" s="233" t="str">
        <x:v>QUYET_DINH_PROFILE_NGUOI_DUNG_2026-10-29</x:v>
      </x:c>
    </x:row>
    <x:row r="65" ht="31" customHeight="1">
      <x:c r="A65" s="233" t="n">
        <x:v>59</x:v>
      </x:c>
      <x:c r="B65" s="233" t="str">
        <x:v>HD05.N.BANG.NGAT_TRANG.BANG_DAI</x:v>
      </x:c>
      <x:c r="C65" s="233" t="str">
        <x:v>HD05.N.BANG.NGAT_TRANG</x:v>
      </x:c>
      <x:c r="D65" s="233" t="str">
        <x:v>Cắt trang cho bảng dài</x:v>
      </x:c>
      <x:c r="E65" s="233" t="str">
        <x:v>TABLE</x:v>
      </x:c>
      <x:c r="F65" s="233" t="str">
        <x:v>table_page_break</x:v>
      </x:c>
      <x:c r="G65" s="233" t="str">
        <x:v>AUTO_BREAK_BETWEEN_ROWS</x:v>
      </x:c>
      <x:c r="H65" s="233"/>
      <x:c r="I65" s="233" t="str">
        <x:v>Bảng nhiều trang ngắt giữa các hàng, không ép cả bảng ở một trang; phải lặp đầy đủ hàng tiêu đề.</x:v>
      </x:c>
      <x:c r="J65" s="233" t="str">
        <x:v>PROFILE_DA_XAC_NHAN</x:v>
      </x:c>
      <x:c r="K65" s="233" t="str">
        <x:v>Chưa có điều khoản riêng đã xác minh cho thuộc tính này</x:v>
      </x:c>
      <x:c r="L65" s="233" t="str">
        <x:v>NOT_VERIFIED_AT_ATTRIBUTE_LEVEL</x:v>
      </x:c>
      <x:c r="M65" s="233" t="str">
        <x:v>CHECK_ONLY</x:v>
      </x:c>
      <x:c r="N65" s="233" t="str">
        <x:v>6</x:v>
      </x:c>
      <x:c r="O65" s="233" t="str">
        <x:v>w:trPr/w:cantSplit</x:v>
      </x:c>
      <x:c r="P65" s="233"/>
      <x:c r="Q65" s="233"/>
      <x:c r="R65" s="233"/>
      <x:c r="S65" s="233"/>
      <x:c r="T65" s="233"/>
      <x:c r="U65" s="233"/>
      <x:c r="V65" s="233"/>
      <x:c r="W65" s="233"/>
      <x:c r="X65" s="233"/>
      <x:c r="Y65" s="233"/>
      <x:c r="Z65" s="233"/>
      <x:c r="AA65" s="233"/>
      <x:c r="AB65" s="233"/>
      <x:c r="AC65" s="233"/>
      <x:c r="AD65" s="233"/>
      <x:c r="AE65" s="233"/>
      <x:c r="AF65" s="233"/>
      <x:c r="AG65" s="233"/>
      <x:c r="AH65" s="233"/>
      <x:c r="AI65" s="233"/>
      <x:c r="AJ65" s="233"/>
      <x:c r="AK65" s="233"/>
      <x:c r="AL65" s="233"/>
      <x:c r="AM65" s="233"/>
      <x:c r="AN65" s="233"/>
      <x:c r="AO65" s="233"/>
      <x:c r="AP65" s="233"/>
      <x:c r="AQ65" s="233"/>
      <x:c r="AR65" s="233"/>
      <x:c r="AS65" s="233"/>
      <x:c r="AT65" s="233"/>
      <x:c r="AU65" s="233"/>
      <x:c r="AV65" s="233"/>
      <x:c r="AW65" s="233"/>
      <x:c r="AX65" s="233" t="str">
        <x:v>Không tạo trang trắng và bảng không tràn lề</x:v>
      </x:c>
      <x:c r="AY65" s="233" t="str">
        <x:v>Bảng nhiều trang ngắt giữa các hàng, không ép cả bảng ở một trang; phải lặp đầy đủ hàng tiêu đề. | Chưa xác minh là yêu cầu bắt buộc riêng của NĐ30/HD05; chỉ là profile nội bộ.</x:v>
      </x:c>
      <x:c r="AZ65" s="233" t="str">
        <x:v>Người dùng chốt trong trao đổi 29/10/2026; PROFILE NỘI BỘ; chưa có văn bản phê duyệt doanh nghiệp</x:v>
      </x:c>
    </x:row>
    <x:row r="66" ht="31" customHeight="1">
      <x:c r="A66" s="233" t="n">
        <x:v>60</x:v>
      </x:c>
      <x:c r="B66" s="233" t="str">
        <x:v>HD05.N.BANG.NGAT_TRANG.KHONG_HANG_MO_COI</x:v>
      </x:c>
      <x:c r="C66" s="233" t="str">
        <x:v>HD05.N.BANG.NGAT_TRANG</x:v>
      </x:c>
      <x:c r="D66" s="233" t="str">
        <x:v>Kiểm soát hàng cuối/trang đầu</x:v>
      </x:c>
      <x:c r="E66" s="233" t="str">
        <x:v>TABLE</x:v>
      </x:c>
      <x:c r="F66" s="233" t="str">
        <x:v>table_widow_control</x:v>
      </x:c>
      <x:c r="G66" s="233" t="str">
        <x:v>REVIEW</x:v>
      </x:c>
      <x:c r="H66" s="233"/>
      <x:c r="I66" s="233" t="str">
        <x:v>Chỉ bảng nhiều trang có một hàng lẻ cuối/đầu trang; ưu tiên dễ đọc, không đảo thứ tự.</x:v>
      </x:c>
      <x:c r="J66" s="233" t="str">
        <x:v>TECHNICAL</x:v>
      </x:c>
      <x:c r="K66" s="233" t="str">
        <x:v>Chưa có điều khoản riêng đã xác minh cho thuộc tính này</x:v>
      </x:c>
      <x:c r="L66" s="233" t="str">
        <x:v>NOT_VERIFIED_AT_ATTRIBUTE_LEVEL</x:v>
      </x:c>
      <x:c r="M66" s="233" t="str">
        <x:v>CHECK_ONLY</x:v>
      </x:c>
      <x:c r="N66" s="233" t="str">
        <x:v>6</x:v>
      </x:c>
      <x:c r="O66" s="233"/>
      <x:c r="P66" s="233"/>
      <x:c r="Q66" s="233"/>
      <x:c r="R66" s="233"/>
      <x:c r="S66" s="233"/>
      <x:c r="T66" s="233"/>
      <x:c r="U66" s="233"/>
      <x:c r="V66" s="233"/>
      <x:c r="W66" s="233"/>
      <x:c r="X66" s="233"/>
      <x:c r="Y66" s="233"/>
      <x:c r="Z66" s="233"/>
      <x:c r="AA66" s="233"/>
      <x:c r="AB66" s="233"/>
      <x:c r="AC66" s="233"/>
      <x:c r="AD66" s="233"/>
      <x:c r="AE66" s="233"/>
      <x:c r="AF66" s="233"/>
      <x:c r="AG66" s="233"/>
      <x:c r="AH66" s="233"/>
      <x:c r="AI66" s="233"/>
      <x:c r="AJ66" s="233"/>
      <x:c r="AK66" s="233"/>
      <x:c r="AL66" s="233"/>
      <x:c r="AM66" s="233"/>
      <x:c r="AN66" s="233"/>
      <x:c r="AO66" s="233"/>
      <x:c r="AP66" s="233"/>
      <x:c r="AQ66" s="233"/>
      <x:c r="AR66" s="233"/>
      <x:c r="AS66" s="233"/>
      <x:c r="AT66" s="233"/>
      <x:c r="AU66" s="233"/>
      <x:c r="AV66" s="233"/>
      <x:c r="AW66" s="233"/>
      <x:c r="AX66" s="233" t="str">
        <x:v>Tránh bảng chỉ còn một hàng lẻ gây mất cân đối</x:v>
      </x:c>
      <x:c r="AY66" s="233" t="str">
        <x:v>Nhóm cha mới, chưa nhập registry 165 mã</x:v>
      </x:c>
      <x:c r="AZ66" s="233" t="str">
        <x:v>PROFILE_HTHHMB_v1.5_DRAFT</x:v>
      </x:c>
    </x:row>
    <x:row r="67" ht="31" customHeight="1">
      <x:c r="A67" s="233" t="n">
        <x:v>61</x:v>
      </x:c>
      <x:c r="B67" s="233" t="str">
        <x:v>HD05.N.BANG.GHI_CHU.DON_VI</x:v>
      </x:c>
      <x:c r="C67" s="233" t="str">
        <x:v>HD05.N.BANG.GHI_CHU</x:v>
      </x:c>
      <x:c r="D67" s="233" t="str">
        <x:v>Dòng đơn vị tính</x:v>
      </x:c>
      <x:c r="E67" s="233" t="str">
        <x:v>PARAGRAPH</x:v>
      </x:c>
      <x:c r="F67" s="233" t="str">
        <x:v>table_unit</x:v>
      </x:c>
      <x:c r="G67" s="233" t="str">
        <x:v>PRESERVE</x:v>
      </x:c>
      <x:c r="H67" s="233"/>
      <x:c r="I67" s="233" t="str">
        <x:v>Khi có dòng đơn vị tính liên hệ với bảng; xác định dòng ở ngoài hay trong ô trước khi chọn font.</x:v>
      </x:c>
      <x:c r="J67" s="233" t="str">
        <x:v>PRESERVE_ONLY</x:v>
      </x:c>
      <x:c r="K67" s="233" t="str">
        <x:v>Chưa có điều khoản riêng đã xác minh cho thuộc tính này</x:v>
      </x:c>
      <x:c r="L67" s="233" t="str">
        <x:v>NOT_VERIFIED_AT_ATTRIBUTE_LEVEL</x:v>
      </x:c>
      <x:c r="M67" s="233" t="str">
        <x:v>PROTECTED</x:v>
      </x:c>
      <x:c r="N67" s="233" t="str">
        <x:v>6</x:v>
      </x:c>
      <x:c r="O67" s="233"/>
      <x:c r="P67" s="233"/>
      <x:c r="Q67" s="233"/>
      <x:c r="R67" s="233"/>
      <x:c r="S67" s="233"/>
      <x:c r="T67" s="233"/>
      <x:c r="U67" s="233"/>
      <x:c r="V67" s="233"/>
      <x:c r="W67" s="233"/>
      <x:c r="X67" s="233"/>
      <x:c r="Y67" s="233"/>
      <x:c r="Z67" s="233"/>
      <x:c r="AA67" s="233"/>
      <x:c r="AB67" s="233"/>
      <x:c r="AC67" s="233"/>
      <x:c r="AD67" s="233"/>
      <x:c r="AE67" s="233"/>
      <x:c r="AF67" s="233"/>
      <x:c r="AG67" s="233"/>
      <x:c r="AH67" s="233"/>
      <x:c r="AI67" s="233"/>
      <x:c r="AJ67" s="233"/>
      <x:c r="AK67" s="233"/>
      <x:c r="AL67" s="233"/>
      <x:c r="AM67" s="233"/>
      <x:c r="AN67" s="233"/>
      <x:c r="AO67" s="233"/>
      <x:c r="AP67" s="233"/>
      <x:c r="AQ67" s="233"/>
      <x:c r="AR67" s="233"/>
      <x:c r="AS67" s="233"/>
      <x:c r="AT67" s="233"/>
      <x:c r="AU67" s="233"/>
      <x:c r="AV67" s="233"/>
      <x:c r="AW67" s="233"/>
      <x:c r="AX67" s="233" t="str">
        <x:v>Đơn vị vẫn gắn đúng bảng</x:v>
      </x:c>
      <x:c r="AY67" s="233" t="str">
        <x:v>Nhóm cha mới, chưa nhập registry 165 mã</x:v>
      </x:c>
      <x:c r="AZ67" s="233" t="str">
        <x:v>https://tulieuvankien.dangcongsan.vn/upload/2006988/20260529/HD_05_VPTW_e1550.pdf</x:v>
      </x:c>
    </x:row>
    <x:row r="68" ht="31" customHeight="1">
      <x:c r="A68" s="233" t="n">
        <x:v>62</x:v>
      </x:c>
      <x:c r="B68" s="233" t="str">
        <x:v>HD05.N.BANG.GHI_CHU.NGUON</x:v>
      </x:c>
      <x:c r="C68" s="233" t="str">
        <x:v>HD05.N.BANG.GHI_CHU</x:v>
      </x:c>
      <x:c r="D68" s="233" t="str">
        <x:v>Dòng nguồn dữ liệu</x:v>
      </x:c>
      <x:c r="E68" s="233" t="str">
        <x:v>PARAGRAPH</x:v>
      </x:c>
      <x:c r="F68" s="233" t="str">
        <x:v>table_source_note</x:v>
      </x:c>
      <x:c r="G68" s="233" t="str">
        <x:v>PRESERVE</x:v>
      </x:c>
      <x:c r="H68" s="233"/>
      <x:c r="I68" s="233" t="str">
        <x:v>Khi có dòng nguồn dữ liệu liên hệ với bảng; bảo toàn nội dung nguồn gốc.</x:v>
      </x:c>
      <x:c r="J68" s="233" t="str">
        <x:v>PRESERVE_ONLY</x:v>
      </x:c>
      <x:c r="K68" s="233" t="str">
        <x:v>Chưa có điều khoản riêng đã xác minh cho thuộc tính này</x:v>
      </x:c>
      <x:c r="L68" s="233" t="str">
        <x:v>NOT_VERIFIED_AT_ATTRIBUTE_LEVEL</x:v>
      </x:c>
      <x:c r="M68" s="233" t="str">
        <x:v>PROTECTED</x:v>
      </x:c>
      <x:c r="N68" s="233" t="str">
        <x:v>6</x:v>
      </x:c>
      <x:c r="O68" s="233"/>
      <x:c r="P68" s="233"/>
      <x:c r="Q68" s="233"/>
      <x:c r="R68" s="233"/>
      <x:c r="S68" s="233"/>
      <x:c r="T68" s="233"/>
      <x:c r="U68" s="233"/>
      <x:c r="V68" s="233"/>
      <x:c r="W68" s="233"/>
      <x:c r="X68" s="233"/>
      <x:c r="Y68" s="233"/>
      <x:c r="Z68" s="233"/>
      <x:c r="AA68" s="233"/>
      <x:c r="AB68" s="233"/>
      <x:c r="AC68" s="233"/>
      <x:c r="AD68" s="233"/>
      <x:c r="AE68" s="233"/>
      <x:c r="AF68" s="233"/>
      <x:c r="AG68" s="233"/>
      <x:c r="AH68" s="233"/>
      <x:c r="AI68" s="233"/>
      <x:c r="AJ68" s="233"/>
      <x:c r="AK68" s="233"/>
      <x:c r="AL68" s="233"/>
      <x:c r="AM68" s="233"/>
      <x:c r="AN68" s="233"/>
      <x:c r="AO68" s="233"/>
      <x:c r="AP68" s="233"/>
      <x:c r="AQ68" s="233"/>
      <x:c r="AR68" s="233"/>
      <x:c r="AS68" s="233"/>
      <x:c r="AT68" s="233"/>
      <x:c r="AU68" s="233"/>
      <x:c r="AV68" s="233"/>
      <x:c r="AW68" s="233"/>
      <x:c r="AX68" s="233" t="str">
        <x:v>Không sửa tên nguồn/citation</x:v>
      </x:c>
      <x:c r="AY68" s="233" t="str">
        <x:v>Nhóm cha mới, chưa nhập registry 165 mã</x:v>
      </x:c>
      <x:c r="AZ68" s="233" t="str">
        <x:v>https://tulieuvankien.dangcongsan.vn/upload/2006988/20260529/HD_05_VPTW_e1550.pdf</x:v>
      </x:c>
    </x:row>
    <x:row r="69" ht="31" customHeight="1">
      <x:c r="A69" s="233" t="n">
        <x:v>63</x:v>
      </x:c>
      <x:c r="B69" s="233" t="str">
        <x:v>HD05.N.BANG.GHI_CHU.CHU_THICH</x:v>
      </x:c>
      <x:c r="C69" s="233" t="str">
        <x:v>HD05.N.BANG.GHI_CHU</x:v>
      </x:c>
      <x:c r="D69" s="233" t="str">
        <x:v>Chú thích dưới bảng</x:v>
      </x:c>
      <x:c r="E69" s="233" t="str">
        <x:v>PARAGRAPH</x:v>
      </x:c>
      <x:c r="F69" s="233" t="str">
        <x:v>table_footnote</x:v>
      </x:c>
      <x:c r="G69" s="233" t="str">
        <x:v>PRESERVE</x:v>
      </x:c>
      <x:c r="H69" s="233"/>
      <x:c r="I69" s="233" t="str">
        <x:v>Khi có chú thích dưới bảng; nếu ở ngoài bảng không tự áp cỡ chữ ô 13.</x:v>
      </x:c>
      <x:c r="J69" s="233" t="str">
        <x:v>PRESERVE_ONLY</x:v>
      </x:c>
      <x:c r="K69" s="233" t="str">
        <x:v>Chưa có điều khoản riêng đã xác minh cho thuộc tính này</x:v>
      </x:c>
      <x:c r="L69" s="233" t="str">
        <x:v>NOT_VERIFIED_AT_ATTRIBUTE_LEVEL</x:v>
      </x:c>
      <x:c r="M69" s="233" t="str">
        <x:v>PROTECTED</x:v>
      </x:c>
      <x:c r="N69" s="233" t="str">
        <x:v>6</x:v>
      </x:c>
      <x:c r="O69" s="233"/>
      <x:c r="P69" s="233"/>
      <x:c r="Q69" s="233"/>
      <x:c r="R69" s="233"/>
      <x:c r="S69" s="233"/>
      <x:c r="T69" s="233"/>
      <x:c r="U69" s="233"/>
      <x:c r="V69" s="233"/>
      <x:c r="W69" s="233"/>
      <x:c r="X69" s="233"/>
      <x:c r="Y69" s="233"/>
      <x:c r="Z69" s="233"/>
      <x:c r="AA69" s="233"/>
      <x:c r="AB69" s="233"/>
      <x:c r="AC69" s="233"/>
      <x:c r="AD69" s="233"/>
      <x:c r="AE69" s="233"/>
      <x:c r="AF69" s="233"/>
      <x:c r="AG69" s="233"/>
      <x:c r="AH69" s="233"/>
      <x:c r="AI69" s="233"/>
      <x:c r="AJ69" s="233"/>
      <x:c r="AK69" s="233"/>
      <x:c r="AL69" s="233"/>
      <x:c r="AM69" s="233"/>
      <x:c r="AN69" s="233"/>
      <x:c r="AO69" s="233"/>
      <x:c r="AP69" s="233"/>
      <x:c r="AQ69" s="233"/>
      <x:c r="AR69" s="233"/>
      <x:c r="AS69" s="233"/>
      <x:c r="AT69" s="233"/>
      <x:c r="AU69" s="233"/>
      <x:c r="AV69" s="233"/>
      <x:c r="AW69" s="233"/>
      <x:c r="AX69" s="233" t="str">
        <x:v>Không cắt hoặc làm sai tham chiếu ký hiệu</x:v>
      </x:c>
      <x:c r="AY69" s="233" t="str">
        <x:v>Nhóm cha mới, chưa nhập registry 165 mã</x:v>
      </x:c>
      <x:c r="AZ69" s="233" t="str">
        <x:v>https://tulieuvankien.dangcongsan.vn/upload/2006988/20260529/HD_05_VPTW_e1550.pdf</x:v>
      </x:c>
    </x:row>
    <x:row r="70" ht="31" customHeight="1">
      <x:c r="A70" s="233" t="n">
        <x:v>64</x:v>
      </x:c>
      <x:c r="B70" s="233" t="str">
        <x:v>HD05.N.BANG.GHI_CHU.CACH_BANG</x:v>
      </x:c>
      <x:c r="C70" s="233" t="str">
        <x:v>HD05.N.BANG.GHI_CHU</x:v>
      </x:c>
      <x:c r="D70" s="233" t="str">
        <x:v>Khoảng cách chú thích với bảng</x:v>
      </x:c>
      <x:c r="E70" s="233" t="str">
        <x:v>PARAGRAPH</x:v>
      </x:c>
      <x:c r="F70" s="233" t="str">
        <x:v>table_note_spacing</x:v>
      </x:c>
      <x:c r="G70" s="233" t="n">
        <x:v>6</x:v>
      </x:c>
      <x:c r="H70" s="233" t="str">
        <x:v>pt</x:v>
      </x:c>
      <x:c r="I70" s="233" t="str">
        <x:v>Giữa mép dưới bảng và chú thích/nguồn NGOÀI bảng: 6 pt; không cộng BO_CUC.KHOANG_SAU; chú thích trong ô không áp.</x:v>
      </x:c>
      <x:c r="J70" s="233" t="str">
        <x:v>PROFILE_DA_XAC_NHAN</x:v>
      </x:c>
      <x:c r="K70" s="233" t="str">
        <x:v>Chưa có điều khoản riêng đã xác minh cho thuộc tính này</x:v>
      </x:c>
      <x:c r="L70" s="233" t="str">
        <x:v>NOT_VERIFIED_AT_ATTRIBUTE_LEVEL</x:v>
      </x:c>
      <x:c r="M70" s="233" t="str">
        <x:v>CHECK_ONLY</x:v>
      </x:c>
      <x:c r="N70" s="233" t="str">
        <x:v>6</x:v>
      </x:c>
      <x:c r="O70" s="233"/>
      <x:c r="P70" s="233"/>
      <x:c r="Q70" s="233"/>
      <x:c r="R70" s="233"/>
      <x:c r="S70" s="233"/>
      <x:c r="T70" s="233"/>
      <x:c r="U70" s="233"/>
      <x:c r="V70" s="233"/>
      <x:c r="W70" s="233"/>
      <x:c r="X70" s="233"/>
      <x:c r="Y70" s="233"/>
      <x:c r="Z70" s="233"/>
      <x:c r="AA70" s="233"/>
      <x:c r="AB70" s="233"/>
      <x:c r="AC70" s="233"/>
      <x:c r="AD70" s="233"/>
      <x:c r="AE70" s="233"/>
      <x:c r="AF70" s="233"/>
      <x:c r="AG70" s="233"/>
      <x:c r="AH70" s="233"/>
      <x:c r="AI70" s="233"/>
      <x:c r="AJ70" s="233"/>
      <x:c r="AK70" s="233"/>
      <x:c r="AL70" s="233"/>
      <x:c r="AM70" s="233"/>
      <x:c r="AN70" s="233"/>
      <x:c r="AO70" s="233"/>
      <x:c r="AP70" s="233"/>
      <x:c r="AQ70" s="233"/>
      <x:c r="AR70" s="233"/>
      <x:c r="AS70" s="233"/>
      <x:c r="AT70" s="233"/>
      <x:c r="AU70" s="233"/>
      <x:c r="AV70" s="233"/>
      <x:c r="AW70" s="233"/>
      <x:c r="AX70" s="233" t="str">
        <x:v>Không phá vị trí chú thích</x:v>
      </x:c>
      <x:c r="AY70" s="233" t="str">
        <x:v>Giữa mép dưới bảng và chú thích/nguồn NGOÀI bảng: 6 pt; không cộng BO_CUC.KHOANG_SAU; chú thích trong ô không áp. | Chưa xác minh là yêu cầu bắt buộc riêng của NĐ30/HD05; chỉ là profile nội bộ.</x:v>
      </x:c>
      <x:c r="AZ70" s="233" t="str">
        <x:v>Người dùng chốt trong trao đổi 29/10/2026; PROFILE NỘI BỘ; chưa có văn bản phê duyệt doanh nghiệp</x:v>
      </x:c>
    </x:row>
    <x:row r="71" ht="31" customHeight="1">
      <x:c r="A71" s="233" t="n">
        <x:v>65</x:v>
      </x:c>
      <x:c r="B71" s="233" t="str">
        <x:v>HD05.N.BANG.BANG_LONG.NHAN_DIEN</x:v>
      </x:c>
      <x:c r="C71" s="233" t="str">
        <x:v>HD05.N.BANG.BANG_LONG</x:v>
      </x:c>
      <x:c r="D71" s="233" t="str">
        <x:v>Bảng lồng trong ô</x:v>
      </x:c>
      <x:c r="E71" s="233" t="str">
        <x:v>TABLE</x:v>
      </x:c>
      <x:c r="F71" s="233" t="str">
        <x:v>nested_table_detect</x:v>
      </x:c>
      <x:c r="G71" s="233" t="str">
        <x:v>DETECT_ONLY</x:v>
      </x:c>
      <x:c r="H71" s="233"/>
      <x:c r="I71" s="233" t="str">
        <x:v>Chỉ khi một ô chứa bảng con; không coi bảng con là một hàng của bảng cha.</x:v>
      </x:c>
      <x:c r="J71" s="233" t="str">
        <x:v>TECHNICAL</x:v>
      </x:c>
      <x:c r="K71" s="233" t="str">
        <x:v>Chưa có điều khoản riêng đã xác minh cho thuộc tính này</x:v>
      </x:c>
      <x:c r="L71" s="233" t="str">
        <x:v>NOT_VERIFIED_AT_ATTRIBUTE_LEVEL</x:v>
      </x:c>
      <x:c r="M71" s="233" t="str">
        <x:v>CHECK_ONLY</x:v>
      </x:c>
      <x:c r="N71" s="233" t="str">
        <x:v>6</x:v>
      </x:c>
      <x:c r="O71" s="233"/>
      <x:c r="P71" s="233"/>
      <x:c r="Q71" s="233"/>
      <x:c r="R71" s="233"/>
      <x:c r="S71" s="233"/>
      <x:c r="T71" s="233"/>
      <x:c r="U71" s="233"/>
      <x:c r="V71" s="233"/>
      <x:c r="W71" s="233"/>
      <x:c r="X71" s="233"/>
      <x:c r="Y71" s="233"/>
      <x:c r="Z71" s="233"/>
      <x:c r="AA71" s="233"/>
      <x:c r="AB71" s="233"/>
      <x:c r="AC71" s="233"/>
      <x:c r="AD71" s="233"/>
      <x:c r="AE71" s="233"/>
      <x:c r="AF71" s="233"/>
      <x:c r="AG71" s="233"/>
      <x:c r="AH71" s="233"/>
      <x:c r="AI71" s="233"/>
      <x:c r="AJ71" s="233"/>
      <x:c r="AK71" s="233"/>
      <x:c r="AL71" s="233"/>
      <x:c r="AM71" s="233"/>
      <x:c r="AN71" s="233"/>
      <x:c r="AO71" s="233"/>
      <x:c r="AP71" s="233"/>
      <x:c r="AQ71" s="233"/>
      <x:c r="AR71" s="233"/>
      <x:c r="AS71" s="233"/>
      <x:c r="AT71" s="233"/>
      <x:c r="AU71" s="233"/>
      <x:c r="AV71" s="233"/>
      <x:c r="AW71" s="233"/>
      <x:c r="AX71" s="233" t="str">
        <x:v>Không nhầm bảng lồng với bảng độc lập</x:v>
      </x:c>
      <x:c r="AY71" s="233" t="str">
        <x:v>Nhóm cha mới, chưa nhập registry 165 mã</x:v>
      </x:c>
      <x:c r="AZ71" s="233" t="str">
        <x:v>PROFILE_HTHHMB_v1.5_DRAFT</x:v>
      </x:c>
    </x:row>
    <x:row r="72" ht="31" customHeight="1">
      <x:c r="A72" s="233" t="n">
        <x:v>66</x:v>
      </x:c>
      <x:c r="B72" s="233" t="str">
        <x:v>HD05.N.BANG.BANG_LONG.BAO_TOAN</x:v>
      </x:c>
      <x:c r="C72" s="233" t="str">
        <x:v>HD05.N.BANG.BANG_LONG</x:v>
      </x:c>
      <x:c r="D72" s="233" t="str">
        <x:v>Bảo toàn cấu trúc bảng lồng</x:v>
      </x:c>
      <x:c r="E72" s="233" t="str">
        <x:v>TABLE</x:v>
      </x:c>
      <x:c r="F72" s="233" t="str">
        <x:v>nested_table_preserve</x:v>
      </x:c>
      <x:c r="G72" s="233" t="str">
        <x:v>PRESERVE</x:v>
      </x:c>
      <x:c r="H72" s="233"/>
      <x:c r="I72" s="233" t="str">
        <x:v>Khi tồn tại bảng lồng; giữ nguyên số ô, cấu trúc và nội dung bảng con.</x:v>
      </x:c>
      <x:c r="J72" s="233" t="str">
        <x:v>PRESERVE_ONLY</x:v>
      </x:c>
      <x:c r="K72" s="233" t="str">
        <x:v>Chưa có điều khoản riêng đã xác minh cho thuộc tính này</x:v>
      </x:c>
      <x:c r="L72" s="233" t="str">
        <x:v>NOT_VERIFIED_AT_ATTRIBUTE_LEVEL</x:v>
      </x:c>
      <x:c r="M72" s="233" t="str">
        <x:v>PROTECTED</x:v>
      </x:c>
      <x:c r="N72" s="233" t="str">
        <x:v>6</x:v>
      </x:c>
      <x:c r="O72" s="233"/>
      <x:c r="P72" s="233"/>
      <x:c r="Q72" s="233"/>
      <x:c r="R72" s="233"/>
      <x:c r="S72" s="233"/>
      <x:c r="T72" s="233"/>
      <x:c r="U72" s="233"/>
      <x:c r="V72" s="233"/>
      <x:c r="W72" s="233"/>
      <x:c r="X72" s="233"/>
      <x:c r="Y72" s="233"/>
      <x:c r="Z72" s="233"/>
      <x:c r="AA72" s="233"/>
      <x:c r="AB72" s="233"/>
      <x:c r="AC72" s="233"/>
      <x:c r="AD72" s="233"/>
      <x:c r="AE72" s="233"/>
      <x:c r="AF72" s="233"/>
      <x:c r="AG72" s="233"/>
      <x:c r="AH72" s="233"/>
      <x:c r="AI72" s="233"/>
      <x:c r="AJ72" s="233"/>
      <x:c r="AK72" s="233"/>
      <x:c r="AL72" s="233"/>
      <x:c r="AM72" s="233"/>
      <x:c r="AN72" s="233"/>
      <x:c r="AO72" s="233"/>
      <x:c r="AP72" s="233"/>
      <x:c r="AQ72" s="233"/>
      <x:c r="AR72" s="233"/>
      <x:c r="AS72" s="233"/>
      <x:c r="AT72" s="233"/>
      <x:c r="AU72" s="233"/>
      <x:c r="AV72" s="233"/>
      <x:c r="AW72" s="233"/>
      <x:c r="AX72" s="233" t="str">
        <x:v>Không xóa hoặc đẩy bảng lồng ra ngoài</x:v>
      </x:c>
      <x:c r="AY72" s="233" t="str">
        <x:v>Nhóm cha mới, chưa nhập registry 165 mã</x:v>
      </x:c>
      <x:c r="AZ72" s="233" t="str">
        <x:v>https://tulieuvankien.dangcongsan.vn/upload/2006988/20260529/HD_05_VPTW_e1550.pdf</x:v>
      </x:c>
    </x:row>
  </x:sheetData>
  <x:mergeCells>
    <x:mergeCell ref="A1:J1"/>
    <x:mergeCell ref="A2:J2"/>
  </x:mergeCells>
  <x:dataValidations count="2">
    <x:dataValidation type="list" sqref="M7:M72">
      <x:formula1>"CHECK_ONLY,PROTECTED"</x:formula1>
    </x:dataValidation>
    <x:dataValidation type="list" sqref="J7:J72">
      <x:formula1>"PROFILE_DRAFT,TECHNICAL,PRESERVE_ONLY,LEGAL_CONDITIONAL"</x:formula1>
    </x:dataValidation>
  </x:dataValidations>
  <x:pageMargins left="0.7" right="0.7" top="0.75" bottom="0.75" header="0.3" footer="0.3"/>
  <x:tableParts count="1">
    <x:tablePart xmlns:r="http://schemas.openxmlformats.org/officeDocument/2006/relationships" r:id="Rd197361285fc4798"/>
  </x:tableParts>
</x:worksheet>
</file>

<file path=xl/worksheets/sheet13.xml><?xml version="1.0" encoding="utf-8"?>
<x:worksheet xmlns:x="http://schemas.openxmlformats.org/spreadsheetml/2006/main">
  <x:sheetViews>
    <x:sheetView workbookViewId="0">
      <x:pane ySplit="9" topLeftCell="A10" activePane="bottomLeft" state="frozen"/>
    </x:sheetView>
  </x:sheetViews>
  <x:sheetFormatPr defaultRowHeight="15"/>
  <x:cols>
    <x:col min="1" max="1" width="11" hidden="0" customWidth="1"/>
    <x:col min="2" max="2" width="43" hidden="0" customWidth="1"/>
    <x:col min="3" max="3" width="35" hidden="0" customWidth="1"/>
    <x:col min="4" max="4" width="13" hidden="0" customWidth="1"/>
    <x:col min="5" max="5" width="35" hidden="0" customWidth="1"/>
    <x:col min="6" max="6" width="17" hidden="0" customWidth="1"/>
    <x:col min="7" max="7" width="22" hidden="0" customWidth="1"/>
  </x:cols>
  <x:sheetData>
    <x:row r="1" ht="35" customHeight="1">
      <x:c r="A1" s="235" t="str">
        <x:v>KIỂM TRA DANH MỤC TRƯỜNG CON — BẢNG TRONG NỘI DUNG</x:v>
      </x:c>
      <x:c r="B1" s="235"/>
      <x:c r="C1" s="235"/>
      <x:c r="D1" s="235"/>
      <x:c r="E1" s="235"/>
      <x:c r="F1" s="235"/>
      <x:c r="G1" s="235"/>
      <x:c r="H1" s="235"/>
      <x:c r="I1" s="235"/>
      <x:c r="J1" s="235"/>
    </x:row>
    <x:row r="2" ht="25" customHeight="1">
      <x:c r="A2" s="236" t="str">
        <x:v>Đếm mã, kiểm tra trùng mã, đúng namespace và ghi nhận nhóm cha mới. Chưa kiểm thử tự sửa DOCX.</x:v>
      </x:c>
      <x:c r="B2" s="236"/>
      <x:c r="C2" s="236"/>
      <x:c r="D2" s="236"/>
      <x:c r="E2" s="236"/>
      <x:c r="F2" s="236"/>
      <x:c r="G2" s="236"/>
      <x:c r="H2" s="236"/>
      <x:c r="I2" s="236"/>
      <x:c r="J2" s="236"/>
    </x:row>
    <x:row r="4">
      <x:c r="A4" s="237" t="str">
        <x:v>Chỉ tiêu</x:v>
      </x:c>
      <x:c r="B4" s="237" t="str">
        <x:v>ND30</x:v>
      </x:c>
      <x:c r="C4" s="237" t="str">
        <x:v>HD05</x:v>
      </x:c>
    </x:row>
    <x:row r="5">
      <x:c r="A5" t="str">
        <x:v>Tổng mã trường con</x:v>
      </x:c>
      <x:c r="B5" t="n">
        <x:f>COUNTA(BANG_ND30!B7:B1000)</x:f>
        <x:v>66</x:v>
      </x:c>
      <x:c r="C5" t="n">
        <x:f>COUNTA(BANG_HD05!B7:B1000)</x:f>
        <x:v>66</x:v>
      </x:c>
    </x:row>
    <x:row r="6">
      <x:c r="A6" t="str">
        <x:v>Trùng mã (trong hệ)</x:v>
      </x:c>
      <x:c r="B6" t="n">
        <x:f>SUMPRODUCT((BANG_ND30!B7:B72&lt;&gt;"")*(COUNTIF(BANG_ND30!B7:B72,BANG_ND30!B7:B72)&gt;1))</x:f>
        <x:v>0</x:v>
      </x:c>
      <x:c r="C6" t="n">
        <x:f>SUMPRODUCT((BANG_HD05!B7:B72&lt;&gt;"")*(COUNTIF(BANG_HD05!B7:B72,BANG_HD05!B7:B72)&gt;1))</x:f>
        <x:v>0</x:v>
      </x:c>
    </x:row>
    <x:row r="7">
      <x:c r="A7" t="str">
        <x:v>Mã sai tiền tố</x:v>
      </x:c>
      <x:c r="B7" t="n">
        <x:f>SUMPRODUCT(--(LEFT(BANG_ND30!B7:B72,5)&lt;&gt;"ND30."))</x:f>
        <x:v>0</x:v>
      </x:c>
      <x:c r="C7" t="n">
        <x:f>SUMPRODUCT(--(LEFT(BANG_HD05!B7:B72,5)&lt;&gt;"HD05."))</x:f>
        <x:v>0</x:v>
      </x:c>
    </x:row>
    <x:row r="9" ht="30" customHeight="1">
      <x:c r="A9" s="237" t="str">
        <x:v>STT</x:v>
      </x:c>
      <x:c r="B9" s="237" t="str">
        <x:v>Mã con (liên kết dữ liệu)</x:v>
      </x:c>
      <x:c r="C9" s="237" t="str">
        <x:v>Mã cha</x:v>
      </x:c>
      <x:c r="D9" s="237" t="str">
        <x:v>Hệ</x:v>
      </x:c>
      <x:c r="E9" s="237" t="str">
        <x:v>Cha đã có trong 165 mã</x:v>
      </x:c>
      <x:c r="F9" s="237" t="str">
        <x:v>Kiểm tra mã lặp</x:v>
      </x:c>
      <x:c r="G9" s="237" t="str">
        <x:v>Loại quy tắc</x:v>
      </x:c>
    </x:row>
    <x:row r="10">
      <x:c r="A10" t="n">
        <x:v>1</x:v>
      </x:c>
      <x:c r="B10" t="str">
        <x:f>BANG_ND30!B7</x:f>
        <x:v>ND30.N.BANG.BO_CUC.NHAN_DIEN</x:v>
      </x:c>
      <x:c r="C10" t="str">
        <x:f>BANG_ND30!C7</x:f>
        <x:v>ND30.N.BANG.BO_CUC</x:v>
      </x:c>
      <x:c r="D10" t="str">
        <x:v>ND30</x:v>
      </x:c>
      <x:c r="E10" t="str">
        <x:v>NHÓM MỚI (CHƯA NHẬP REGISTRY)</x:v>
      </x:c>
      <x:c r="F10" t="str">
        <x:f>IF(B10="","THIẾU",IF(COUNTIF($B$10:$B$141,B10)&gt;1,"TRÙNG","OK"))</x:f>
        <x:v>OK</x:v>
      </x:c>
      <x:c r="G10" t="str">
        <x:v>TECHNICAL</x:v>
      </x:c>
    </x:row>
    <x:row r="11">
      <x:c r="A11" t="n">
        <x:v>2</x:v>
      </x:c>
      <x:c r="B11" t="str">
        <x:f>BANG_ND30!B8</x:f>
        <x:v>ND30.N.BANG.BO_CUC.VAI_TRO</x:v>
      </x:c>
      <x:c r="C11" t="str">
        <x:f>BANG_ND30!C8</x:f>
        <x:v>ND30.N.BANG.BO_CUC</x:v>
      </x:c>
      <x:c r="D11" t="str">
        <x:v>ND30</x:v>
      </x:c>
      <x:c r="E11" t="str">
        <x:v>NHÓM MỚI (CHƯA NHẬP REGISTRY)</x:v>
      </x:c>
      <x:c r="F11" t="str">
        <x:f>IF(B11="","THIẾU",IF(COUNTIF($B$10:$B$141,B11)&gt;1,"TRÙNG","OK"))</x:f>
        <x:v>OK</x:v>
      </x:c>
      <x:c r="G11" t="str">
        <x:v>TECHNICAL</x:v>
      </x:c>
    </x:row>
    <x:row r="12">
      <x:c r="A12" t="n">
        <x:v>3</x:v>
      </x:c>
      <x:c r="B12" t="str">
        <x:f>BANG_ND30!B9</x:f>
        <x:v>ND30.N.BANG.BO_CUC.CAN_BANG</x:v>
      </x:c>
      <x:c r="C12" t="str">
        <x:f>BANG_ND30!C9</x:f>
        <x:v>ND30.N.BANG.BO_CUC</x:v>
      </x:c>
      <x:c r="D12" t="str">
        <x:v>ND30</x:v>
      </x:c>
      <x:c r="E12" t="str">
        <x:v>NHÓM MỚI (CHƯA NHẬP REGISTRY)</x:v>
      </x:c>
      <x:c r="F12" t="str">
        <x:f>IF(B12="","THIẾU",IF(COUNTIF($B$10:$B$141,B12)&gt;1,"TRÙNG","OK"))</x:f>
        <x:v>OK</x:v>
      </x:c>
      <x:c r="G12" t="str">
        <x:v>PROFILE_DRAFT</x:v>
      </x:c>
    </x:row>
    <x:row r="13">
      <x:c r="A13" t="n">
        <x:v>4</x:v>
      </x:c>
      <x:c r="B13" t="str">
        <x:f>BANG_ND30!B10</x:f>
        <x:v>ND30.N.BANG.BO_CUC.CHIEU_RONG</x:v>
      </x:c>
      <x:c r="C13" t="str">
        <x:f>BANG_ND30!C10</x:f>
        <x:v>ND30.N.BANG.BO_CUC</x:v>
      </x:c>
      <x:c r="D13" t="str">
        <x:v>ND30</x:v>
      </x:c>
      <x:c r="E13" t="str">
        <x:v>NHÓM MỚI (CHƯA NHẬP REGISTRY)</x:v>
      </x:c>
      <x:c r="F13" t="str">
        <x:f>IF(B13="","THIẾU",IF(COUNTIF($B$10:$B$141,B13)&gt;1,"TRÙNG","OK"))</x:f>
        <x:v>OK</x:v>
      </x:c>
      <x:c r="G13" t="str">
        <x:v>PROFILE_DRAFT</x:v>
      </x:c>
    </x:row>
    <x:row r="14">
      <x:c r="A14" t="n">
        <x:v>5</x:v>
      </x:c>
      <x:c r="B14" t="str">
        <x:f>BANG_ND30!B11</x:f>
        <x:v>ND30.N.BANG.BO_CUC.AUTOFIT</x:v>
      </x:c>
      <x:c r="C14" t="str">
        <x:f>BANG_ND30!C11</x:f>
        <x:v>ND30.N.BANG.BO_CUC</x:v>
      </x:c>
      <x:c r="D14" t="str">
        <x:v>ND30</x:v>
      </x:c>
      <x:c r="E14" t="str">
        <x:v>NHÓM MỚI (CHƯA NHẬP REGISTRY)</x:v>
      </x:c>
      <x:c r="F14" t="str">
        <x:f>IF(B14="","THIẾU",IF(COUNTIF($B$10:$B$141,B14)&gt;1,"TRÙNG","OK"))</x:f>
        <x:v>OK</x:v>
      </x:c>
      <x:c r="G14" t="str">
        <x:v>PROFILE_DRAFT</x:v>
      </x:c>
    </x:row>
    <x:row r="15">
      <x:c r="A15" t="n">
        <x:v>6</x:v>
      </x:c>
      <x:c r="B15" t="str">
        <x:f>BANG_ND30!B12</x:f>
        <x:v>ND30.N.BANG.BO_CUC.KHOANG_THUT</x:v>
      </x:c>
      <x:c r="C15" t="str">
        <x:f>BANG_ND30!C12</x:f>
        <x:v>ND30.N.BANG.BO_CUC</x:v>
      </x:c>
      <x:c r="D15" t="str">
        <x:v>ND30</x:v>
      </x:c>
      <x:c r="E15" t="str">
        <x:v>NHÓM MỚI (CHƯA NHẬP REGISTRY)</x:v>
      </x:c>
      <x:c r="F15" t="str">
        <x:f>IF(B15="","THIẾU",IF(COUNTIF($B$10:$B$141,B15)&gt;1,"TRÙNG","OK"))</x:f>
        <x:v>OK</x:v>
      </x:c>
      <x:c r="G15" t="str">
        <x:v>PROFILE_DRAFT</x:v>
      </x:c>
    </x:row>
    <x:row r="16">
      <x:c r="A16" t="n">
        <x:v>7</x:v>
      </x:c>
      <x:c r="B16" t="str">
        <x:f>BANG_ND30!B13</x:f>
        <x:v>ND30.N.BANG.BO_CUC.CHIEU_TRANG</x:v>
      </x:c>
      <x:c r="C16" t="str">
        <x:f>BANG_ND30!C13</x:f>
        <x:v>ND30.N.BANG.BO_CUC</x:v>
      </x:c>
      <x:c r="D16" t="str">
        <x:v>ND30</x:v>
      </x:c>
      <x:c r="E16" t="str">
        <x:v>NHÓM MỚI (CHƯA NHẬP REGISTRY)</x:v>
      </x:c>
      <x:c r="F16" t="str">
        <x:f>IF(B16="","THIẾU",IF(COUNTIF($B$10:$B$141,B16)&gt;1,"TRÙNG","OK"))</x:f>
        <x:v>OK</x:v>
      </x:c>
      <x:c r="G16" t="str">
        <x:v>LEGAL_CONDITIONAL</x:v>
      </x:c>
    </x:row>
    <x:row r="17">
      <x:c r="A17" t="n">
        <x:v>8</x:v>
      </x:c>
      <x:c r="B17" t="str">
        <x:f>BANG_ND30!B14</x:f>
        <x:v>ND30.N.BANG.BO_CUC.TACH_SECTION</x:v>
      </x:c>
      <x:c r="C17" t="str">
        <x:f>BANG_ND30!C14</x:f>
        <x:v>ND30.N.BANG.BO_CUC</x:v>
      </x:c>
      <x:c r="D17" t="str">
        <x:v>ND30</x:v>
      </x:c>
      <x:c r="E17" t="str">
        <x:v>NHÓM MỚI (CHƯA NHẬP REGISTRY)</x:v>
      </x:c>
      <x:c r="F17" t="str">
        <x:f>IF(B17="","THIẾU",IF(COUNTIF($B$10:$B$141,B17)&gt;1,"TRÙNG","OK"))</x:f>
        <x:v>OK</x:v>
      </x:c>
      <x:c r="G17" t="str">
        <x:v>TECHNICAL</x:v>
      </x:c>
    </x:row>
    <x:row r="18">
      <x:c r="A18" t="n">
        <x:v>9</x:v>
      </x:c>
      <x:c r="B18" t="str">
        <x:f>BANG_ND30!B15</x:f>
        <x:v>ND30.N.BANG.BO_CUC.KHOANG_TRUOC</x:v>
      </x:c>
      <x:c r="C18" t="str">
        <x:f>BANG_ND30!C15</x:f>
        <x:v>ND30.N.BANG.BO_CUC</x:v>
      </x:c>
      <x:c r="D18" t="str">
        <x:v>ND30</x:v>
      </x:c>
      <x:c r="E18" t="str">
        <x:v>NHÓM MỚI (CHƯA NHẬP REGISTRY)</x:v>
      </x:c>
      <x:c r="F18" t="str">
        <x:f>IF(B18="","THIẾU",IF(COUNTIF($B$10:$B$141,B18)&gt;1,"TRÙNG","OK"))</x:f>
        <x:v>OK</x:v>
      </x:c>
      <x:c r="G18" t="str">
        <x:v>PROFILE_DRAFT</x:v>
      </x:c>
    </x:row>
    <x:row r="19">
      <x:c r="A19" t="n">
        <x:v>10</x:v>
      </x:c>
      <x:c r="B19" t="str">
        <x:f>BANG_ND30!B16</x:f>
        <x:v>ND30.N.BANG.BO_CUC.KHOANG_SAU</x:v>
      </x:c>
      <x:c r="C19" t="str">
        <x:f>BANG_ND30!C16</x:f>
        <x:v>ND30.N.BANG.BO_CUC</x:v>
      </x:c>
      <x:c r="D19" t="str">
        <x:v>ND30</x:v>
      </x:c>
      <x:c r="E19" t="str">
        <x:v>NHÓM MỚI (CHƯA NHẬP REGISTRY)</x:v>
      </x:c>
      <x:c r="F19" t="str">
        <x:f>IF(B19="","THIẾU",IF(COUNTIF($B$10:$B$141,B19)&gt;1,"TRÙNG","OK"))</x:f>
        <x:v>OK</x:v>
      </x:c>
      <x:c r="G19" t="str">
        <x:v>PROFILE_DRAFT</x:v>
      </x:c>
    </x:row>
    <x:row r="20">
      <x:c r="A20" t="n">
        <x:v>11</x:v>
      </x:c>
      <x:c r="B20" t="str">
        <x:f>BANG_ND30!B17</x:f>
        <x:v>ND30.N.BANG.BO_CUC.PHAN_BIET_HEADER</x:v>
      </x:c>
      <x:c r="C20" t="str">
        <x:f>BANG_ND30!C17</x:f>
        <x:v>ND30.N.BANG.BO_CUC</x:v>
      </x:c>
      <x:c r="D20" t="str">
        <x:v>ND30</x:v>
      </x:c>
      <x:c r="E20" t="str">
        <x:v>NHÓM MỚI (CHƯA NHẬP REGISTRY)</x:v>
      </x:c>
      <x:c r="F20" t="str">
        <x:f>IF(B20="","THIẾU",IF(COUNTIF($B$10:$B$141,B20)&gt;1,"TRÙNG","OK"))</x:f>
        <x:v>OK</x:v>
      </x:c>
      <x:c r="G20" t="str">
        <x:v>TECHNICAL</x:v>
      </x:c>
    </x:row>
    <x:row r="21">
      <x:c r="A21" t="n">
        <x:v>12</x:v>
      </x:c>
      <x:c r="B21" t="str">
        <x:f>BANG_ND30!B18</x:f>
        <x:v>ND30.N.BANG.TIEU_DE.NOI_DUNG</x:v>
      </x:c>
      <x:c r="C21" t="str">
        <x:f>BANG_ND30!C18</x:f>
        <x:v>ND30.N.BANG.TIEU_DE</x:v>
      </x:c>
      <x:c r="D21" t="str">
        <x:v>ND30</x:v>
      </x:c>
      <x:c r="E21" t="str">
        <x:v>GỐC</x:v>
      </x:c>
      <x:c r="F21" t="str">
        <x:f>IF(B21="","THIẾU",IF(COUNTIF($B$10:$B$141,B21)&gt;1,"TRÙNG","OK"))</x:f>
        <x:v>OK</x:v>
      </x:c>
      <x:c r="G21" t="str">
        <x:v>PRESERVE_ONLY</x:v>
      </x:c>
    </x:row>
    <x:row r="22">
      <x:c r="A22" t="n">
        <x:v>13</x:v>
      </x:c>
      <x:c r="B22" t="str">
        <x:f>BANG_ND30!B19</x:f>
        <x:v>ND30.N.BANG.TIEU_DE.KIEU_CHU</x:v>
      </x:c>
      <x:c r="C22" t="str">
        <x:f>BANG_ND30!C19</x:f>
        <x:v>ND30.N.BANG.TIEU_DE</x:v>
      </x:c>
      <x:c r="D22" t="str">
        <x:v>ND30</x:v>
      </x:c>
      <x:c r="E22" t="str">
        <x:v>GỐC</x:v>
      </x:c>
      <x:c r="F22" t="str">
        <x:f>IF(B22="","THIẾU",IF(COUNTIF($B$10:$B$141,B22)&gt;1,"TRÙNG","OK"))</x:f>
        <x:v>OK</x:v>
      </x:c>
      <x:c r="G22" t="str">
        <x:v>PROFILE_DRAFT</x:v>
      </x:c>
    </x:row>
    <x:row r="23">
      <x:c r="A23" t="n">
        <x:v>14</x:v>
      </x:c>
      <x:c r="B23" t="str">
        <x:f>BANG_ND30!B20</x:f>
        <x:v>ND30.N.BANG.TIEU_DE.CAN_NGANG</x:v>
      </x:c>
      <x:c r="C23" t="str">
        <x:f>BANG_ND30!C20</x:f>
        <x:v>ND30.N.BANG.TIEU_DE</x:v>
      </x:c>
      <x:c r="D23" t="str">
        <x:v>ND30</x:v>
      </x:c>
      <x:c r="E23" t="str">
        <x:v>GỐC</x:v>
      </x:c>
      <x:c r="F23" t="str">
        <x:f>IF(B23="","THIẾU",IF(COUNTIF($B$10:$B$141,B23)&gt;1,"TRÙNG","OK"))</x:f>
        <x:v>OK</x:v>
      </x:c>
      <x:c r="G23" t="str">
        <x:v>PROFILE_DRAFT</x:v>
      </x:c>
    </x:row>
    <x:row r="24">
      <x:c r="A24" t="n">
        <x:v>15</x:v>
      </x:c>
      <x:c r="B24" t="str">
        <x:f>BANG_ND30!B21</x:f>
        <x:v>ND30.N.BANG.TIEU_DE.GIU_CUNG_BANG</x:v>
      </x:c>
      <x:c r="C24" t="str">
        <x:f>BANG_ND30!C21</x:f>
        <x:v>ND30.N.BANG.TIEU_DE</x:v>
      </x:c>
      <x:c r="D24" t="str">
        <x:v>ND30</x:v>
      </x:c>
      <x:c r="E24" t="str">
        <x:v>GỐC</x:v>
      </x:c>
      <x:c r="F24" t="str">
        <x:f>IF(B24="","THIẾU",IF(COUNTIF($B$10:$B$141,B24)&gt;1,"TRÙNG","OK"))</x:f>
        <x:v>OK</x:v>
      </x:c>
      <x:c r="G24" t="str">
        <x:v>PROFILE_DRAFT</x:v>
      </x:c>
    </x:row>
    <x:row r="25">
      <x:c r="A25" t="n">
        <x:v>16</x:v>
      </x:c>
      <x:c r="B25" t="str">
        <x:f>BANG_ND30!B22</x:f>
        <x:v>ND30.N.BANG.TIEU_DE.KHOANG_CACH</x:v>
      </x:c>
      <x:c r="C25" t="str">
        <x:f>BANG_ND30!C22</x:f>
        <x:v>ND30.N.BANG.TIEU_DE</x:v>
      </x:c>
      <x:c r="D25" t="str">
        <x:v>ND30</x:v>
      </x:c>
      <x:c r="E25" t="str">
        <x:v>GỐC</x:v>
      </x:c>
      <x:c r="F25" t="str">
        <x:f>IF(B25="","THIẾU",IF(COUNTIF($B$10:$B$141,B25)&gt;1,"TRÙNG","OK"))</x:f>
        <x:v>OK</x:v>
      </x:c>
      <x:c r="G25" t="str">
        <x:v>PROFILE_DRAFT</x:v>
      </x:c>
    </x:row>
    <x:row r="26">
      <x:c r="A26" t="n">
        <x:v>17</x:v>
      </x:c>
      <x:c r="B26" t="str">
        <x:f>BANG_ND30!B23</x:f>
        <x:v>ND30.N.BANG.DAU_BANG.NHAN_DIEN</x:v>
      </x:c>
      <x:c r="C26" t="str">
        <x:f>BANG_ND30!C23</x:f>
        <x:v>ND30.N.BANG.DAU_BANG</x:v>
      </x:c>
      <x:c r="D26" t="str">
        <x:v>ND30</x:v>
      </x:c>
      <x:c r="E26" t="str">
        <x:v>GỐC</x:v>
      </x:c>
      <x:c r="F26" t="str">
        <x:f>IF(B26="","THIẾU",IF(COUNTIF($B$10:$B$141,B26)&gt;1,"TRÙNG","OK"))</x:f>
        <x:v>OK</x:v>
      </x:c>
      <x:c r="G26" t="str">
        <x:v>TECHNICAL</x:v>
      </x:c>
    </x:row>
    <x:row r="27">
      <x:c r="A27" t="n">
        <x:v>18</x:v>
      </x:c>
      <x:c r="B27" t="str">
        <x:f>BANG_ND30!B24</x:f>
        <x:v>ND30.N.BANG.DAU_BANG.VAN_BAN</x:v>
      </x:c>
      <x:c r="C27" t="str">
        <x:f>BANG_ND30!C24</x:f>
        <x:v>ND30.N.BANG.DAU_BANG</x:v>
      </x:c>
      <x:c r="D27" t="str">
        <x:v>ND30</x:v>
      </x:c>
      <x:c r="E27" t="str">
        <x:v>GỐC</x:v>
      </x:c>
      <x:c r="F27" t="str">
        <x:f>IF(B27="","THIẾU",IF(COUNTIF($B$10:$B$141,B27)&gt;1,"TRÙNG","OK"))</x:f>
        <x:v>OK</x:v>
      </x:c>
      <x:c r="G27" t="str">
        <x:v>PRESERVE_ONLY</x:v>
      </x:c>
    </x:row>
    <x:row r="28">
      <x:c r="A28" t="n">
        <x:v>19</x:v>
      </x:c>
      <x:c r="B28" t="str">
        <x:f>BANG_ND30!B25</x:f>
        <x:v>ND30.N.BANG.DAU_BANG.CO_CHU</x:v>
      </x:c>
      <x:c r="C28" t="str">
        <x:f>BANG_ND30!C25</x:f>
        <x:v>ND30.N.BANG.DAU_BANG</x:v>
      </x:c>
      <x:c r="D28" t="str">
        <x:v>ND30</x:v>
      </x:c>
      <x:c r="E28" t="str">
        <x:v>GỐC</x:v>
      </x:c>
      <x:c r="F28" t="str">
        <x:f>IF(B28="","THIẾU",IF(COUNTIF($B$10:$B$141,B28)&gt;1,"TRÙNG","OK"))</x:f>
        <x:v>OK</x:v>
      </x:c>
      <x:c r="G28" t="str">
        <x:v>PROFILE_DRAFT</x:v>
      </x:c>
    </x:row>
    <x:row r="29">
      <x:c r="A29" t="n">
        <x:v>20</x:v>
      </x:c>
      <x:c r="B29" t="str">
        <x:f>BANG_ND30!B26</x:f>
        <x:v>ND30.N.BANG.DAU_BANG.CHU_DAM</x:v>
      </x:c>
      <x:c r="C29" t="str">
        <x:f>BANG_ND30!C26</x:f>
        <x:v>ND30.N.BANG.DAU_BANG</x:v>
      </x:c>
      <x:c r="D29" t="str">
        <x:v>ND30</x:v>
      </x:c>
      <x:c r="E29" t="str">
        <x:v>GỐC</x:v>
      </x:c>
      <x:c r="F29" t="str">
        <x:f>IF(B29="","THIẾU",IF(COUNTIF($B$10:$B$141,B29)&gt;1,"TRÙNG","OK"))</x:f>
        <x:v>OK</x:v>
      </x:c>
      <x:c r="G29" t="str">
        <x:v>PROFILE_DRAFT</x:v>
      </x:c>
    </x:row>
    <x:row r="30">
      <x:c r="A30" t="n">
        <x:v>21</x:v>
      </x:c>
      <x:c r="B30" t="str">
        <x:f>BANG_ND30!B27</x:f>
        <x:v>ND30.N.BANG.DAU_BANG.CAN_NGANG</x:v>
      </x:c>
      <x:c r="C30" t="str">
        <x:f>BANG_ND30!C27</x:f>
        <x:v>ND30.N.BANG.DAU_BANG</x:v>
      </x:c>
      <x:c r="D30" t="str">
        <x:v>ND30</x:v>
      </x:c>
      <x:c r="E30" t="str">
        <x:v>GỐC</x:v>
      </x:c>
      <x:c r="F30" t="str">
        <x:f>IF(B30="","THIẾU",IF(COUNTIF($B$10:$B$141,B30)&gt;1,"TRÙNG","OK"))</x:f>
        <x:v>OK</x:v>
      </x:c>
      <x:c r="G30" t="str">
        <x:v>PROFILE_DRAFT</x:v>
      </x:c>
    </x:row>
    <x:row r="31">
      <x:c r="A31" t="n">
        <x:v>22</x:v>
      </x:c>
      <x:c r="B31" t="str">
        <x:f>BANG_ND30!B28</x:f>
        <x:v>ND30.N.BANG.DAU_BANG.LAP_LAI</x:v>
      </x:c>
      <x:c r="C31" t="str">
        <x:f>BANG_ND30!C28</x:f>
        <x:v>ND30.N.BANG.DAU_BANG</x:v>
      </x:c>
      <x:c r="D31" t="str">
        <x:v>ND30</x:v>
      </x:c>
      <x:c r="E31" t="str">
        <x:v>GỐC</x:v>
      </x:c>
      <x:c r="F31" t="str">
        <x:f>IF(B31="","THIẾU",IF(COUNTIF($B$10:$B$141,B31)&gt;1,"TRÙNG","OK"))</x:f>
        <x:v>OK</x:v>
      </x:c>
      <x:c r="G31" t="str">
        <x:v>PROFILE_DRAFT</x:v>
      </x:c>
    </x:row>
    <x:row r="32">
      <x:c r="A32" t="n">
        <x:v>23</x:v>
      </x:c>
      <x:c r="B32" t="str">
        <x:f>BANG_ND30!B29</x:f>
        <x:v>ND30.N.BANG.DAU_BANG.NHIEU_CAP</x:v>
      </x:c>
      <x:c r="C32" t="str">
        <x:f>BANG_ND30!C29</x:f>
        <x:v>ND30.N.BANG.DAU_BANG</x:v>
      </x:c>
      <x:c r="D32" t="str">
        <x:v>ND30</x:v>
      </x:c>
      <x:c r="E32" t="str">
        <x:v>GỐC</x:v>
      </x:c>
      <x:c r="F32" t="str">
        <x:f>IF(B32="","THIẾU",IF(COUNTIF($B$10:$B$141,B32)&gt;1,"TRÙNG","OK"))</x:f>
        <x:v>OK</x:v>
      </x:c>
      <x:c r="G32" t="str">
        <x:v>PRESERVE_ONLY</x:v>
      </x:c>
    </x:row>
    <x:row r="33">
      <x:c r="A33" t="n">
        <x:v>24</x:v>
      </x:c>
      <x:c r="B33" t="str">
        <x:f>BANG_ND30!B30</x:f>
        <x:v>ND30.N.BANG.DAU_BANG.TO_NEN</x:v>
      </x:c>
      <x:c r="C33" t="str">
        <x:f>BANG_ND30!C30</x:f>
        <x:v>ND30.N.BANG.DAU_BANG</x:v>
      </x:c>
      <x:c r="D33" t="str">
        <x:v>ND30</x:v>
      </x:c>
      <x:c r="E33" t="str">
        <x:v>GỐC</x:v>
      </x:c>
      <x:c r="F33" t="str">
        <x:f>IF(B33="","THIẾU",IF(COUNTIF($B$10:$B$141,B33)&gt;1,"TRÙNG","OK"))</x:f>
        <x:v>OK</x:v>
      </x:c>
      <x:c r="G33" t="str">
        <x:v>PROFILE_DRAFT</x:v>
      </x:c>
    </x:row>
    <x:row r="34">
      <x:c r="A34" t="n">
        <x:v>25</x:v>
      </x:c>
      <x:c r="B34" t="str">
        <x:f>BANG_ND30!B31</x:f>
        <x:v>ND30.N.BANG.COT.SO_LUONG</x:v>
      </x:c>
      <x:c r="C34" t="str">
        <x:f>BANG_ND30!C31</x:f>
        <x:v>ND30.N.BANG.COT</x:v>
      </x:c>
      <x:c r="D34" t="str">
        <x:v>ND30</x:v>
      </x:c>
      <x:c r="E34" t="str">
        <x:v>NHÓM MỚI (CHƯA NHẬP REGISTRY)</x:v>
      </x:c>
      <x:c r="F34" t="str">
        <x:f>IF(B34="","THIẾU",IF(COUNTIF($B$10:$B$141,B34)&gt;1,"TRÙNG","OK"))</x:f>
        <x:v>OK</x:v>
      </x:c>
      <x:c r="G34" t="str">
        <x:v>PRESERVE_ONLY</x:v>
      </x:c>
    </x:row>
    <x:row r="35">
      <x:c r="A35" t="n">
        <x:v>26</x:v>
      </x:c>
      <x:c r="B35" t="str">
        <x:f>BANG_ND30!B32</x:f>
        <x:v>ND30.N.BANG.COT.DO_RONG</x:v>
      </x:c>
      <x:c r="C35" t="str">
        <x:f>BANG_ND30!C32</x:f>
        <x:v>ND30.N.BANG.COT</x:v>
      </x:c>
      <x:c r="D35" t="str">
        <x:v>ND30</x:v>
      </x:c>
      <x:c r="E35" t="str">
        <x:v>NHÓM MỚI (CHƯA NHẬP REGISTRY)</x:v>
      </x:c>
      <x:c r="F35" t="str">
        <x:f>IF(B35="","THIẾU",IF(COUNTIF($B$10:$B$141,B35)&gt;1,"TRÙNG","OK"))</x:f>
        <x:v>OK</x:v>
      </x:c>
      <x:c r="G35" t="str">
        <x:v>PROFILE_DRAFT</x:v>
      </x:c>
    </x:row>
    <x:row r="36">
      <x:c r="A36" t="n">
        <x:v>27</x:v>
      </x:c>
      <x:c r="B36" t="str">
        <x:f>BANG_ND30!B33</x:f>
        <x:v>ND30.N.BANG.COT.PHAN_BO</x:v>
      </x:c>
      <x:c r="C36" t="str">
        <x:f>BANG_ND30!C33</x:f>
        <x:v>ND30.N.BANG.COT</x:v>
      </x:c>
      <x:c r="D36" t="str">
        <x:v>ND30</x:v>
      </x:c>
      <x:c r="E36" t="str">
        <x:v>NHÓM MỚI (CHƯA NHẬP REGISTRY)</x:v>
      </x:c>
      <x:c r="F36" t="str">
        <x:f>IF(B36="","THIẾU",IF(COUNTIF($B$10:$B$141,B36)&gt;1,"TRÙNG","OK"))</x:f>
        <x:v>OK</x:v>
      </x:c>
      <x:c r="G36" t="str">
        <x:v>PRESERVE_ONLY</x:v>
      </x:c>
    </x:row>
    <x:row r="37">
      <x:c r="A37" t="n">
        <x:v>28</x:v>
      </x:c>
      <x:c r="B37" t="str">
        <x:f>BANG_ND30!B34</x:f>
        <x:v>ND30.N.BANG.COT.CAN_CHU</x:v>
      </x:c>
      <x:c r="C37" t="str">
        <x:f>BANG_ND30!C34</x:f>
        <x:v>ND30.N.BANG.COT</x:v>
      </x:c>
      <x:c r="D37" t="str">
        <x:v>ND30</x:v>
      </x:c>
      <x:c r="E37" t="str">
        <x:v>NHÓM MỚI (CHƯA NHẬP REGISTRY)</x:v>
      </x:c>
      <x:c r="F37" t="str">
        <x:f>IF(B37="","THIẾU",IF(COUNTIF($B$10:$B$141,B37)&gt;1,"TRÙNG","OK"))</x:f>
        <x:v>OK</x:v>
      </x:c>
      <x:c r="G37" t="str">
        <x:v>PROFILE_DRAFT</x:v>
      </x:c>
    </x:row>
    <x:row r="38">
      <x:c r="A38" t="n">
        <x:v>29</x:v>
      </x:c>
      <x:c r="B38" t="str">
        <x:f>BANG_ND30!B35</x:f>
        <x:v>ND30.N.BANG.COT.CAN_SO</x:v>
      </x:c>
      <x:c r="C38" t="str">
        <x:f>BANG_ND30!C35</x:f>
        <x:v>ND30.N.BANG.COT</x:v>
      </x:c>
      <x:c r="D38" t="str">
        <x:v>ND30</x:v>
      </x:c>
      <x:c r="E38" t="str">
        <x:v>NHÓM MỚI (CHƯA NHẬP REGISTRY)</x:v>
      </x:c>
      <x:c r="F38" t="str">
        <x:f>IF(B38="","THIẾU",IF(COUNTIF($B$10:$B$141,B38)&gt;1,"TRÙNG","OK"))</x:f>
        <x:v>OK</x:v>
      </x:c>
      <x:c r="G38" t="str">
        <x:v>PROFILE_DRAFT</x:v>
      </x:c>
    </x:row>
    <x:row r="39">
      <x:c r="A39" t="n">
        <x:v>30</x:v>
      </x:c>
      <x:c r="B39" t="str">
        <x:f>BANG_ND30!B36</x:f>
        <x:v>ND30.N.BANG.HANG.CHIEU_CAO</x:v>
      </x:c>
      <x:c r="C39" t="str">
        <x:f>BANG_ND30!C36</x:f>
        <x:v>ND30.N.BANG.HANG</x:v>
      </x:c>
      <x:c r="D39" t="str">
        <x:v>ND30</x:v>
      </x:c>
      <x:c r="E39" t="str">
        <x:v>GỐC</x:v>
      </x:c>
      <x:c r="F39" t="str">
        <x:f>IF(B39="","THIẾU",IF(COUNTIF($B$10:$B$141,B39)&gt;1,"TRÙNG","OK"))</x:f>
        <x:v>OK</x:v>
      </x:c>
      <x:c r="G39" t="str">
        <x:v>PROFILE_DRAFT</x:v>
      </x:c>
    </x:row>
    <x:row r="40">
      <x:c r="A40" t="n">
        <x:v>31</x:v>
      </x:c>
      <x:c r="B40" t="str">
        <x:f>BANG_ND30!B37</x:f>
        <x:v>ND30.N.BANG.HANG.KIEU_CAO</x:v>
      </x:c>
      <x:c r="C40" t="str">
        <x:f>BANG_ND30!C37</x:f>
        <x:v>ND30.N.BANG.HANG</x:v>
      </x:c>
      <x:c r="D40" t="str">
        <x:v>ND30</x:v>
      </x:c>
      <x:c r="E40" t="str">
        <x:v>GỐC</x:v>
      </x:c>
      <x:c r="F40" t="str">
        <x:f>IF(B40="","THIẾU",IF(COUNTIF($B$10:$B$141,B40)&gt;1,"TRÙNG","OK"))</x:f>
        <x:v>OK</x:v>
      </x:c>
      <x:c r="G40" t="str">
        <x:v>PROFILE_DRAFT</x:v>
      </x:c>
    </x:row>
    <x:row r="41">
      <x:c r="A41" t="n">
        <x:v>32</x:v>
      </x:c>
      <x:c r="B41" t="str">
        <x:f>BANG_ND30!B38</x:f>
        <x:v>ND30.N.BANG.HANG.CHONG_CHIA_TRANG</x:v>
      </x:c>
      <x:c r="C41" t="str">
        <x:f>BANG_ND30!C38</x:f>
        <x:v>ND30.N.BANG.HANG</x:v>
      </x:c>
      <x:c r="D41" t="str">
        <x:v>ND30</x:v>
      </x:c>
      <x:c r="E41" t="str">
        <x:v>GỐC</x:v>
      </x:c>
      <x:c r="F41" t="str">
        <x:f>IF(B41="","THIẾU",IF(COUNTIF($B$10:$B$141,B41)&gt;1,"TRÙNG","OK"))</x:f>
        <x:v>OK</x:v>
      </x:c>
      <x:c r="G41" t="str">
        <x:v>PROFILE_DRAFT</x:v>
      </x:c>
    </x:row>
    <x:row r="42">
      <x:c r="A42" t="n">
        <x:v>33</x:v>
      </x:c>
      <x:c r="B42" t="str">
        <x:f>BANG_ND30!B39</x:f>
        <x:v>ND30.N.BANG.HANG.KHOANG_CACH</x:v>
      </x:c>
      <x:c r="C42" t="str">
        <x:f>BANG_ND30!C39</x:f>
        <x:v>ND30.N.BANG.HANG</x:v>
      </x:c>
      <x:c r="D42" t="str">
        <x:v>ND30</x:v>
      </x:c>
      <x:c r="E42" t="str">
        <x:v>GỐC</x:v>
      </x:c>
      <x:c r="F42" t="str">
        <x:f>IF(B42="","THIẾU",IF(COUNTIF($B$10:$B$141,B42)&gt;1,"TRÙNG","OK"))</x:f>
        <x:v>OK</x:v>
      </x:c>
      <x:c r="G42" t="str">
        <x:v>PROFILE_DRAFT</x:v>
      </x:c>
    </x:row>
    <x:row r="43">
      <x:c r="A43" t="n">
        <x:v>34</x:v>
      </x:c>
      <x:c r="B43" t="str">
        <x:f>BANG_ND30!B40</x:f>
        <x:v>ND30.N.BANG.HANG.THU_TU</x:v>
      </x:c>
      <x:c r="C43" t="str">
        <x:f>BANG_ND30!C40</x:f>
        <x:v>ND30.N.BANG.HANG</x:v>
      </x:c>
      <x:c r="D43" t="str">
        <x:v>ND30</x:v>
      </x:c>
      <x:c r="E43" t="str">
        <x:v>GỐC</x:v>
      </x:c>
      <x:c r="F43" t="str">
        <x:f>IF(B43="","THIẾU",IF(COUNTIF($B$10:$B$141,B43)&gt;1,"TRÙNG","OK"))</x:f>
        <x:v>OK</x:v>
      </x:c>
      <x:c r="G43" t="str">
        <x:v>PRESERVE_ONLY</x:v>
      </x:c>
    </x:row>
    <x:row r="44">
      <x:c r="A44" t="n">
        <x:v>35</x:v>
      </x:c>
      <x:c r="B44" t="str">
        <x:f>BANG_ND30!B41</x:f>
        <x:v>ND30.N.BANG.HANG.DONG_TONG</x:v>
      </x:c>
      <x:c r="C44" t="str">
        <x:f>BANG_ND30!C41</x:f>
        <x:v>ND30.N.BANG.HANG</x:v>
      </x:c>
      <x:c r="D44" t="str">
        <x:v>ND30</x:v>
      </x:c>
      <x:c r="E44" t="str">
        <x:v>GỐC</x:v>
      </x:c>
      <x:c r="F44" t="str">
        <x:f>IF(B44="","THIẾU",IF(COUNTIF($B$10:$B$141,B44)&gt;1,"TRÙNG","OK"))</x:f>
        <x:v>OK</x:v>
      </x:c>
      <x:c r="G44" t="str">
        <x:v>PRESERVE_ONLY</x:v>
      </x:c>
    </x:row>
    <x:row r="45">
      <x:c r="A45" t="n">
        <x:v>36</x:v>
      </x:c>
      <x:c r="B45" t="str">
        <x:f>BANG_ND30!B42</x:f>
        <x:v>ND30.N.BANG.HANG.DONG_NHOM</x:v>
      </x:c>
      <x:c r="C45" t="str">
        <x:f>BANG_ND30!C42</x:f>
        <x:v>ND30.N.BANG.HANG</x:v>
      </x:c>
      <x:c r="D45" t="str">
        <x:v>ND30</x:v>
      </x:c>
      <x:c r="E45" t="str">
        <x:v>GỐC</x:v>
      </x:c>
      <x:c r="F45" t="str">
        <x:f>IF(B45="","THIẾU",IF(COUNTIF($B$10:$B$141,B45)&gt;1,"TRÙNG","OK"))</x:f>
        <x:v>OK</x:v>
      </x:c>
      <x:c r="G45" t="str">
        <x:v>PRESERVE_ONLY</x:v>
      </x:c>
    </x:row>
    <x:row r="46">
      <x:c r="A46" t="n">
        <x:v>37</x:v>
      </x:c>
      <x:c r="B46" t="str">
        <x:f>BANG_ND30!B43</x:f>
        <x:v>ND30.N.BANG.O.VAN_BAN</x:v>
      </x:c>
      <x:c r="C46" t="str">
        <x:f>BANG_ND30!C43</x:f>
        <x:v>ND30.N.BANG.O</x:v>
      </x:c>
      <x:c r="D46" t="str">
        <x:v>ND30</x:v>
      </x:c>
      <x:c r="E46" t="str">
        <x:v>GỐC</x:v>
      </x:c>
      <x:c r="F46" t="str">
        <x:f>IF(B46="","THIẾU",IF(COUNTIF($B$10:$B$141,B46)&gt;1,"TRÙNG","OK"))</x:f>
        <x:v>OK</x:v>
      </x:c>
      <x:c r="G46" t="str">
        <x:v>PRESERVE_ONLY</x:v>
      </x:c>
    </x:row>
    <x:row r="47">
      <x:c r="A47" t="n">
        <x:v>38</x:v>
      </x:c>
      <x:c r="B47" t="str">
        <x:f>BANG_ND30!B44</x:f>
        <x:v>ND30.N.BANG.O.FONT</x:v>
      </x:c>
      <x:c r="C47" t="str">
        <x:f>BANG_ND30!C44</x:f>
        <x:v>ND30.N.BANG.O</x:v>
      </x:c>
      <x:c r="D47" t="str">
        <x:v>ND30</x:v>
      </x:c>
      <x:c r="E47" t="str">
        <x:v>GỐC</x:v>
      </x:c>
      <x:c r="F47" t="str">
        <x:f>IF(B47="","THIẾU",IF(COUNTIF($B$10:$B$141,B47)&gt;1,"TRÙNG","OK"))</x:f>
        <x:v>OK</x:v>
      </x:c>
      <x:c r="G47" t="str">
        <x:v>PROFILE_DRAFT</x:v>
      </x:c>
    </x:row>
    <x:row r="48">
      <x:c r="A48" t="n">
        <x:v>39</x:v>
      </x:c>
      <x:c r="B48" t="str">
        <x:f>BANG_ND30!B45</x:f>
        <x:v>ND30.N.BANG.O.CO_CHU</x:v>
      </x:c>
      <x:c r="C48" t="str">
        <x:f>BANG_ND30!C45</x:f>
        <x:v>ND30.N.BANG.O</x:v>
      </x:c>
      <x:c r="D48" t="str">
        <x:v>ND30</x:v>
      </x:c>
      <x:c r="E48" t="str">
        <x:v>GỐC</x:v>
      </x:c>
      <x:c r="F48" t="str">
        <x:f>IF(B48="","THIẾU",IF(COUNTIF($B$10:$B$141,B48)&gt;1,"TRÙNG","OK"))</x:f>
        <x:v>OK</x:v>
      </x:c>
      <x:c r="G48" t="str">
        <x:v>PROFILE_DRAFT</x:v>
      </x:c>
    </x:row>
    <x:row r="49">
      <x:c r="A49" t="n">
        <x:v>40</x:v>
      </x:c>
      <x:c r="B49" t="str">
        <x:f>BANG_ND30!B46</x:f>
        <x:v>ND30.N.BANG.O.DAM</x:v>
      </x:c>
      <x:c r="C49" t="str">
        <x:f>BANG_ND30!C46</x:f>
        <x:v>ND30.N.BANG.O</x:v>
      </x:c>
      <x:c r="D49" t="str">
        <x:v>ND30</x:v>
      </x:c>
      <x:c r="E49" t="str">
        <x:v>GỐC</x:v>
      </x:c>
      <x:c r="F49" t="str">
        <x:f>IF(B49="","THIẾU",IF(COUNTIF($B$10:$B$141,B49)&gt;1,"TRÙNG","OK"))</x:f>
        <x:v>OK</x:v>
      </x:c>
      <x:c r="G49" t="str">
        <x:v>PRESERVE_ONLY</x:v>
      </x:c>
    </x:row>
    <x:row r="50">
      <x:c r="A50" t="n">
        <x:v>41</x:v>
      </x:c>
      <x:c r="B50" t="str">
        <x:f>BANG_ND30!B47</x:f>
        <x:v>ND30.N.BANG.O.NGHIENG</x:v>
      </x:c>
      <x:c r="C50" t="str">
        <x:f>BANG_ND30!C47</x:f>
        <x:v>ND30.N.BANG.O</x:v>
      </x:c>
      <x:c r="D50" t="str">
        <x:v>ND30</x:v>
      </x:c>
      <x:c r="E50" t="str">
        <x:v>GỐC</x:v>
      </x:c>
      <x:c r="F50" t="str">
        <x:f>IF(B50="","THIẾU",IF(COUNTIF($B$10:$B$141,B50)&gt;1,"TRÙNG","OK"))</x:f>
        <x:v>OK</x:v>
      </x:c>
      <x:c r="G50" t="str">
        <x:v>PRESERVE_ONLY</x:v>
      </x:c>
    </x:row>
    <x:row r="51">
      <x:c r="A51" t="n">
        <x:v>42</x:v>
      </x:c>
      <x:c r="B51" t="str">
        <x:f>BANG_ND30!B48</x:f>
        <x:v>ND30.N.BANG.O.CAN_NGANG</x:v>
      </x:c>
      <x:c r="C51" t="str">
        <x:f>BANG_ND30!C48</x:f>
        <x:v>ND30.N.BANG.O</x:v>
      </x:c>
      <x:c r="D51" t="str">
        <x:v>ND30</x:v>
      </x:c>
      <x:c r="E51" t="str">
        <x:v>GỐC</x:v>
      </x:c>
      <x:c r="F51" t="str">
        <x:f>IF(B51="","THIẾU",IF(COUNTIF($B$10:$B$141,B51)&gt;1,"TRÙNG","OK"))</x:f>
        <x:v>OK</x:v>
      </x:c>
      <x:c r="G51" t="str">
        <x:v>PROFILE_DRAFT</x:v>
      </x:c>
    </x:row>
    <x:row r="52">
      <x:c r="A52" t="n">
        <x:v>43</x:v>
      </x:c>
      <x:c r="B52" t="str">
        <x:f>BANG_ND30!B49</x:f>
        <x:v>ND30.N.BANG.O.CAN_DOC</x:v>
      </x:c>
      <x:c r="C52" t="str">
        <x:f>BANG_ND30!C49</x:f>
        <x:v>ND30.N.BANG.O</x:v>
      </x:c>
      <x:c r="D52" t="str">
        <x:v>ND30</x:v>
      </x:c>
      <x:c r="E52" t="str">
        <x:v>GỐC</x:v>
      </x:c>
      <x:c r="F52" t="str">
        <x:f>IF(B52="","THIẾU",IF(COUNTIF($B$10:$B$141,B52)&gt;1,"TRÙNG","OK"))</x:f>
        <x:v>OK</x:v>
      </x:c>
      <x:c r="G52" t="str">
        <x:v>PROFILE_DRAFT</x:v>
      </x:c>
    </x:row>
    <x:row r="53">
      <x:c r="A53" t="n">
        <x:v>44</x:v>
      </x:c>
      <x:c r="B53" t="str">
        <x:f>BANG_ND30!B50</x:f>
        <x:v>ND30.N.BANG.O.GIAN_DONG</x:v>
      </x:c>
      <x:c r="C53" t="str">
        <x:f>BANG_ND30!C50</x:f>
        <x:v>ND30.N.BANG.O</x:v>
      </x:c>
      <x:c r="D53" t="str">
        <x:v>ND30</x:v>
      </x:c>
      <x:c r="E53" t="str">
        <x:v>GỐC</x:v>
      </x:c>
      <x:c r="F53" t="str">
        <x:f>IF(B53="","THIẾU",IF(COUNTIF($B$10:$B$141,B53)&gt;1,"TRÙNG","OK"))</x:f>
        <x:v>OK</x:v>
      </x:c>
      <x:c r="G53" t="str">
        <x:v>PROFILE_DRAFT</x:v>
      </x:c>
    </x:row>
    <x:row r="54">
      <x:c r="A54" t="n">
        <x:v>45</x:v>
      </x:c>
      <x:c r="B54" t="str">
        <x:f>BANG_ND30!B51</x:f>
        <x:v>ND30.N.BANG.O.CACH_DOAN</x:v>
      </x:c>
      <x:c r="C54" t="str">
        <x:f>BANG_ND30!C51</x:f>
        <x:v>ND30.N.BANG.O</x:v>
      </x:c>
      <x:c r="D54" t="str">
        <x:v>ND30</x:v>
      </x:c>
      <x:c r="E54" t="str">
        <x:v>GỐC</x:v>
      </x:c>
      <x:c r="F54" t="str">
        <x:f>IF(B54="","THIẾU",IF(COUNTIF($B$10:$B$141,B54)&gt;1,"TRÙNG","OK"))</x:f>
        <x:v>OK</x:v>
      </x:c>
      <x:c r="G54" t="str">
        <x:v>PROFILE_DRAFT</x:v>
      </x:c>
    </x:row>
    <x:row r="55">
      <x:c r="A55" t="n">
        <x:v>46</x:v>
      </x:c>
      <x:c r="B55" t="str">
        <x:f>BANG_ND30!B52</x:f>
        <x:v>ND30.N.BANG.O.LE_TRONG</x:v>
      </x:c>
      <x:c r="C55" t="str">
        <x:f>BANG_ND30!C52</x:f>
        <x:v>ND30.N.BANG.O</x:v>
      </x:c>
      <x:c r="D55" t="str">
        <x:v>ND30</x:v>
      </x:c>
      <x:c r="E55" t="str">
        <x:v>GỐC</x:v>
      </x:c>
      <x:c r="F55" t="str">
        <x:f>IF(B55="","THIẾU",IF(COUNTIF($B$10:$B$141,B55)&gt;1,"TRÙNG","OK"))</x:f>
        <x:v>OK</x:v>
      </x:c>
      <x:c r="G55" t="str">
        <x:v>PROFILE_DRAFT</x:v>
      </x:c>
    </x:row>
    <x:row r="56">
      <x:c r="A56" t="n">
        <x:v>47</x:v>
      </x:c>
      <x:c r="B56" t="str">
        <x:f>BANG_ND30!B53</x:f>
        <x:v>ND30.N.BANG.O.XUONG_DONG</x:v>
      </x:c>
      <x:c r="C56" t="str">
        <x:f>BANG_ND30!C53</x:f>
        <x:v>ND30.N.BANG.O</x:v>
      </x:c>
      <x:c r="D56" t="str">
        <x:v>ND30</x:v>
      </x:c>
      <x:c r="E56" t="str">
        <x:v>GỐC</x:v>
      </x:c>
      <x:c r="F56" t="str">
        <x:f>IF(B56="","THIẾU",IF(COUNTIF($B$10:$B$141,B56)&gt;1,"TRÙNG","OK"))</x:f>
        <x:v>OK</x:v>
      </x:c>
      <x:c r="G56" t="str">
        <x:v>PROFILE_DRAFT</x:v>
      </x:c>
    </x:row>
    <x:row r="57">
      <x:c r="A57" t="n">
        <x:v>48</x:v>
      </x:c>
      <x:c r="B57" t="str">
        <x:f>BANG_ND30!B54</x:f>
        <x:v>ND30.N.BANG.O.TO_NEN</x:v>
      </x:c>
      <x:c r="C57" t="str">
        <x:f>BANG_ND30!C54</x:f>
        <x:v>ND30.N.BANG.O</x:v>
      </x:c>
      <x:c r="D57" t="str">
        <x:v>ND30</x:v>
      </x:c>
      <x:c r="E57" t="str">
        <x:v>GỐC</x:v>
      </x:c>
      <x:c r="F57" t="str">
        <x:f>IF(B57="","THIẾU",IF(COUNTIF($B$10:$B$141,B57)&gt;1,"TRÙNG","OK"))</x:f>
        <x:v>OK</x:v>
      </x:c>
      <x:c r="G57" t="str">
        <x:v>PROFILE_DRAFT</x:v>
      </x:c>
    </x:row>
    <x:row r="58">
      <x:c r="A58" t="n">
        <x:v>49</x:v>
      </x:c>
      <x:c r="B58" t="str">
        <x:f>BANG_ND30!B55</x:f>
        <x:v>ND30.N.BANG.O.DINH_DANG_SO</x:v>
      </x:c>
      <x:c r="C58" t="str">
        <x:f>BANG_ND30!C55</x:f>
        <x:v>ND30.N.BANG.O</x:v>
      </x:c>
      <x:c r="D58" t="str">
        <x:v>ND30</x:v>
      </x:c>
      <x:c r="E58" t="str">
        <x:v>GỐC</x:v>
      </x:c>
      <x:c r="F58" t="str">
        <x:f>IF(B58="","THIẾU",IF(COUNTIF($B$10:$B$141,B58)&gt;1,"TRÙNG","OK"))</x:f>
        <x:v>OK</x:v>
      </x:c>
      <x:c r="G58" t="str">
        <x:v>PRESERVE_ONLY</x:v>
      </x:c>
    </x:row>
    <x:row r="59">
      <x:c r="A59" t="n">
        <x:v>50</x:v>
      </x:c>
      <x:c r="B59" t="str">
        <x:f>BANG_ND30!B56</x:f>
        <x:v>ND30.N.BANG.O.DU_LIEU</x:v>
      </x:c>
      <x:c r="C59" t="str">
        <x:f>BANG_ND30!C56</x:f>
        <x:v>ND30.N.BANG.O</x:v>
      </x:c>
      <x:c r="D59" t="str">
        <x:v>ND30</x:v>
      </x:c>
      <x:c r="E59" t="str">
        <x:v>GỐC</x:v>
      </x:c>
      <x:c r="F59" t="str">
        <x:f>IF(B59="","THIẾU",IF(COUNTIF($B$10:$B$141,B59)&gt;1,"TRÙNG","OK"))</x:f>
        <x:v>OK</x:v>
      </x:c>
      <x:c r="G59" t="str">
        <x:v>PRESERVE_ONLY</x:v>
      </x:c>
    </x:row>
    <x:row r="60">
      <x:c r="A60" t="n">
        <x:v>51</x:v>
      </x:c>
      <x:c r="B60" t="str">
        <x:f>BANG_ND30!B57</x:f>
        <x:v>ND30.N.BANG.VIEN.NGOAI</x:v>
      </x:c>
      <x:c r="C60" t="str">
        <x:f>BANG_ND30!C57</x:f>
        <x:v>ND30.N.BANG.VIEN</x:v>
      </x:c>
      <x:c r="D60" t="str">
        <x:v>ND30</x:v>
      </x:c>
      <x:c r="E60" t="str">
        <x:v>NHÓM MỚI (CHƯA NHẬP REGISTRY)</x:v>
      </x:c>
      <x:c r="F60" t="str">
        <x:f>IF(B60="","THIẾU",IF(COUNTIF($B$10:$B$141,B60)&gt;1,"TRÙNG","OK"))</x:f>
        <x:v>OK</x:v>
      </x:c>
      <x:c r="G60" t="str">
        <x:v>PROFILE_DRAFT</x:v>
      </x:c>
    </x:row>
    <x:row r="61">
      <x:c r="A61" t="n">
        <x:v>52</x:v>
      </x:c>
      <x:c r="B61" t="str">
        <x:f>BANG_ND30!B58</x:f>
        <x:v>ND30.N.BANG.VIEN.NGANG</x:v>
      </x:c>
      <x:c r="C61" t="str">
        <x:f>BANG_ND30!C58</x:f>
        <x:v>ND30.N.BANG.VIEN</x:v>
      </x:c>
      <x:c r="D61" t="str">
        <x:v>ND30</x:v>
      </x:c>
      <x:c r="E61" t="str">
        <x:v>NHÓM MỚI (CHƯA NHẬP REGISTRY)</x:v>
      </x:c>
      <x:c r="F61" t="str">
        <x:f>IF(B61="","THIẾU",IF(COUNTIF($B$10:$B$141,B61)&gt;1,"TRÙNG","OK"))</x:f>
        <x:v>OK</x:v>
      </x:c>
      <x:c r="G61" t="str">
        <x:v>PROFILE_DRAFT</x:v>
      </x:c>
    </x:row>
    <x:row r="62">
      <x:c r="A62" t="n">
        <x:v>53</x:v>
      </x:c>
      <x:c r="B62" t="str">
        <x:f>BANG_ND30!B59</x:f>
        <x:v>ND30.N.BANG.VIEN.DOC</x:v>
      </x:c>
      <x:c r="C62" t="str">
        <x:f>BANG_ND30!C59</x:f>
        <x:v>ND30.N.BANG.VIEN</x:v>
      </x:c>
      <x:c r="D62" t="str">
        <x:v>ND30</x:v>
      </x:c>
      <x:c r="E62" t="str">
        <x:v>NHÓM MỚI (CHƯA NHẬP REGISTRY)</x:v>
      </x:c>
      <x:c r="F62" t="str">
        <x:f>IF(B62="","THIẾU",IF(COUNTIF($B$10:$B$141,B62)&gt;1,"TRÙNG","OK"))</x:f>
        <x:v>OK</x:v>
      </x:c>
      <x:c r="G62" t="str">
        <x:v>PROFILE_DRAFT</x:v>
      </x:c>
    </x:row>
    <x:row r="63">
      <x:c r="A63" t="n">
        <x:v>54</x:v>
      </x:c>
      <x:c r="B63" t="str">
        <x:f>BANG_ND30!B60</x:f>
        <x:v>ND30.N.BANG.VIEN.DO_DAY</x:v>
      </x:c>
      <x:c r="C63" t="str">
        <x:f>BANG_ND30!C60</x:f>
        <x:v>ND30.N.BANG.VIEN</x:v>
      </x:c>
      <x:c r="D63" t="str">
        <x:v>ND30</x:v>
      </x:c>
      <x:c r="E63" t="str">
        <x:v>NHÓM MỚI (CHƯA NHẬP REGISTRY)</x:v>
      </x:c>
      <x:c r="F63" t="str">
        <x:f>IF(B63="","THIẾU",IF(COUNTIF($B$10:$B$141,B63)&gt;1,"TRÙNG","OK"))</x:f>
        <x:v>OK</x:v>
      </x:c>
      <x:c r="G63" t="str">
        <x:v>PROFILE_DRAFT</x:v>
      </x:c>
    </x:row>
    <x:row r="64">
      <x:c r="A64" t="n">
        <x:v>55</x:v>
      </x:c>
      <x:c r="B64" t="str">
        <x:f>BANG_ND30!B61</x:f>
        <x:v>ND30.N.BANG.GOP_O.NGANG</x:v>
      </x:c>
      <x:c r="C64" t="str">
        <x:f>BANG_ND30!C61</x:f>
        <x:v>ND30.N.BANG.GOP_O</x:v>
      </x:c>
      <x:c r="D64" t="str">
        <x:v>ND30</x:v>
      </x:c>
      <x:c r="E64" t="str">
        <x:v>GỐC</x:v>
      </x:c>
      <x:c r="F64" t="str">
        <x:f>IF(B64="","THIẾU",IF(COUNTIF($B$10:$B$141,B64)&gt;1,"TRÙNG","OK"))</x:f>
        <x:v>OK</x:v>
      </x:c>
      <x:c r="G64" t="str">
        <x:v>PRESERVE_ONLY</x:v>
      </x:c>
    </x:row>
    <x:row r="65">
      <x:c r="A65" t="n">
        <x:v>56</x:v>
      </x:c>
      <x:c r="B65" t="str">
        <x:f>BANG_ND30!B62</x:f>
        <x:v>ND30.N.BANG.GOP_O.DOC</x:v>
      </x:c>
      <x:c r="C65" t="str">
        <x:f>BANG_ND30!C62</x:f>
        <x:v>ND30.N.BANG.GOP_O</x:v>
      </x:c>
      <x:c r="D65" t="str">
        <x:v>ND30</x:v>
      </x:c>
      <x:c r="E65" t="str">
        <x:v>GỐC</x:v>
      </x:c>
      <x:c r="F65" t="str">
        <x:f>IF(B65="","THIẾU",IF(COUNTIF($B$10:$B$141,B65)&gt;1,"TRÙNG","OK"))</x:f>
        <x:v>OK</x:v>
      </x:c>
      <x:c r="G65" t="str">
        <x:v>PRESERVE_ONLY</x:v>
      </x:c>
    </x:row>
    <x:row r="66">
      <x:c r="A66" t="n">
        <x:v>57</x:v>
      </x:c>
      <x:c r="B66" t="str">
        <x:f>BANG_ND30!B63</x:f>
        <x:v>ND30.N.BANG.GOP_O.TINH_TOAN</x:v>
      </x:c>
      <x:c r="C66" t="str">
        <x:f>BANG_ND30!C63</x:f>
        <x:v>ND30.N.BANG.GOP_O</x:v>
      </x:c>
      <x:c r="D66" t="str">
        <x:v>ND30</x:v>
      </x:c>
      <x:c r="E66" t="str">
        <x:v>GỐC</x:v>
      </x:c>
      <x:c r="F66" t="str">
        <x:f>IF(B66="","THIẾU",IF(COUNTIF($B$10:$B$141,B66)&gt;1,"TRÙNG","OK"))</x:f>
        <x:v>OK</x:v>
      </x:c>
      <x:c r="G66" t="str">
        <x:v>PRESERVE_ONLY</x:v>
      </x:c>
    </x:row>
    <x:row r="67">
      <x:c r="A67" t="n">
        <x:v>58</x:v>
      </x:c>
      <x:c r="B67" t="str">
        <x:f>BANG_ND30!B64</x:f>
        <x:v>ND30.N.BANG.NGAT_TRANG.GIU_DAU_BANG</x:v>
      </x:c>
      <x:c r="C67" t="str">
        <x:f>BANG_ND30!C64</x:f>
        <x:v>ND30.N.BANG.NGAT_TRANG</x:v>
      </x:c>
      <x:c r="D67" t="str">
        <x:v>ND30</x:v>
      </x:c>
      <x:c r="E67" t="str">
        <x:v>NHÓM MỚI (CHƯA NHẬP REGISTRY)</x:v>
      </x:c>
      <x:c r="F67" t="str">
        <x:f>IF(B67="","THIẾU",IF(COUNTIF($B$10:$B$141,B67)&gt;1,"TRÙNG","OK"))</x:f>
        <x:v>OK</x:v>
      </x:c>
      <x:c r="G67" t="str">
        <x:v>PROFILE_DRAFT</x:v>
      </x:c>
    </x:row>
    <x:row r="68">
      <x:c r="A68" t="n">
        <x:v>59</x:v>
      </x:c>
      <x:c r="B68" t="str">
        <x:f>BANG_ND30!B65</x:f>
        <x:v>ND30.N.BANG.NGAT_TRANG.BANG_DAI</x:v>
      </x:c>
      <x:c r="C68" t="str">
        <x:f>BANG_ND30!C65</x:f>
        <x:v>ND30.N.BANG.NGAT_TRANG</x:v>
      </x:c>
      <x:c r="D68" t="str">
        <x:v>ND30</x:v>
      </x:c>
      <x:c r="E68" t="str">
        <x:v>NHÓM MỚI (CHƯA NHẬP REGISTRY)</x:v>
      </x:c>
      <x:c r="F68" t="str">
        <x:f>IF(B68="","THIẾU",IF(COUNTIF($B$10:$B$141,B68)&gt;1,"TRÙNG","OK"))</x:f>
        <x:v>OK</x:v>
      </x:c>
      <x:c r="G68" t="str">
        <x:v>PROFILE_DRAFT</x:v>
      </x:c>
    </x:row>
    <x:row r="69">
      <x:c r="A69" t="n">
        <x:v>60</x:v>
      </x:c>
      <x:c r="B69" t="str">
        <x:f>BANG_ND30!B66</x:f>
        <x:v>ND30.N.BANG.NGAT_TRANG.KHONG_HANG_MO_COI</x:v>
      </x:c>
      <x:c r="C69" t="str">
        <x:f>BANG_ND30!C66</x:f>
        <x:v>ND30.N.BANG.NGAT_TRANG</x:v>
      </x:c>
      <x:c r="D69" t="str">
        <x:v>ND30</x:v>
      </x:c>
      <x:c r="E69" t="str">
        <x:v>NHÓM MỚI (CHƯA NHẬP REGISTRY)</x:v>
      </x:c>
      <x:c r="F69" t="str">
        <x:f>IF(B69="","THIẾU",IF(COUNTIF($B$10:$B$141,B69)&gt;1,"TRÙNG","OK"))</x:f>
        <x:v>OK</x:v>
      </x:c>
      <x:c r="G69" t="str">
        <x:v>TECHNICAL</x:v>
      </x:c>
    </x:row>
    <x:row r="70">
      <x:c r="A70" t="n">
        <x:v>61</x:v>
      </x:c>
      <x:c r="B70" t="str">
        <x:f>BANG_ND30!B67</x:f>
        <x:v>ND30.N.BANG.GHI_CHU.DON_VI</x:v>
      </x:c>
      <x:c r="C70" t="str">
        <x:f>BANG_ND30!C67</x:f>
        <x:v>ND30.N.BANG.GHI_CHU</x:v>
      </x:c>
      <x:c r="D70" t="str">
        <x:v>ND30</x:v>
      </x:c>
      <x:c r="E70" t="str">
        <x:v>NHÓM MỚI (CHƯA NHẬP REGISTRY)</x:v>
      </x:c>
      <x:c r="F70" t="str">
        <x:f>IF(B70="","THIẾU",IF(COUNTIF($B$10:$B$141,B70)&gt;1,"TRÙNG","OK"))</x:f>
        <x:v>OK</x:v>
      </x:c>
      <x:c r="G70" t="str">
        <x:v>PRESERVE_ONLY</x:v>
      </x:c>
    </x:row>
    <x:row r="71">
      <x:c r="A71" t="n">
        <x:v>62</x:v>
      </x:c>
      <x:c r="B71" t="str">
        <x:f>BANG_ND30!B68</x:f>
        <x:v>ND30.N.BANG.GHI_CHU.NGUON</x:v>
      </x:c>
      <x:c r="C71" t="str">
        <x:f>BANG_ND30!C68</x:f>
        <x:v>ND30.N.BANG.GHI_CHU</x:v>
      </x:c>
      <x:c r="D71" t="str">
        <x:v>ND30</x:v>
      </x:c>
      <x:c r="E71" t="str">
        <x:v>NHÓM MỚI (CHƯA NHẬP REGISTRY)</x:v>
      </x:c>
      <x:c r="F71" t="str">
        <x:f>IF(B71="","THIẾU",IF(COUNTIF($B$10:$B$141,B71)&gt;1,"TRÙNG","OK"))</x:f>
        <x:v>OK</x:v>
      </x:c>
      <x:c r="G71" t="str">
        <x:v>PRESERVE_ONLY</x:v>
      </x:c>
    </x:row>
    <x:row r="72">
      <x:c r="A72" t="n">
        <x:v>63</x:v>
      </x:c>
      <x:c r="B72" t="str">
        <x:f>BANG_ND30!B69</x:f>
        <x:v>ND30.N.BANG.GHI_CHU.CHU_THICH</x:v>
      </x:c>
      <x:c r="C72" t="str">
        <x:f>BANG_ND30!C69</x:f>
        <x:v>ND30.N.BANG.GHI_CHU</x:v>
      </x:c>
      <x:c r="D72" t="str">
        <x:v>ND30</x:v>
      </x:c>
      <x:c r="E72" t="str">
        <x:v>NHÓM MỚI (CHƯA NHẬP REGISTRY)</x:v>
      </x:c>
      <x:c r="F72" t="str">
        <x:f>IF(B72="","THIẾU",IF(COUNTIF($B$10:$B$141,B72)&gt;1,"TRÙNG","OK"))</x:f>
        <x:v>OK</x:v>
      </x:c>
      <x:c r="G72" t="str">
        <x:v>PRESERVE_ONLY</x:v>
      </x:c>
    </x:row>
    <x:row r="73">
      <x:c r="A73" t="n">
        <x:v>64</x:v>
      </x:c>
      <x:c r="B73" t="str">
        <x:f>BANG_ND30!B70</x:f>
        <x:v>ND30.N.BANG.GHI_CHU.CACH_BANG</x:v>
      </x:c>
      <x:c r="C73" t="str">
        <x:f>BANG_ND30!C70</x:f>
        <x:v>ND30.N.BANG.GHI_CHU</x:v>
      </x:c>
      <x:c r="D73" t="str">
        <x:v>ND30</x:v>
      </x:c>
      <x:c r="E73" t="str">
        <x:v>NHÓM MỚI (CHƯA NHẬP REGISTRY)</x:v>
      </x:c>
      <x:c r="F73" t="str">
        <x:f>IF(B73="","THIẾU",IF(COUNTIF($B$10:$B$141,B73)&gt;1,"TRÙNG","OK"))</x:f>
        <x:v>OK</x:v>
      </x:c>
      <x:c r="G73" t="str">
        <x:v>PROFILE_DRAFT</x:v>
      </x:c>
    </x:row>
    <x:row r="74">
      <x:c r="A74" t="n">
        <x:v>65</x:v>
      </x:c>
      <x:c r="B74" t="str">
        <x:f>BANG_ND30!B71</x:f>
        <x:v>ND30.N.BANG.BANG_LONG.NHAN_DIEN</x:v>
      </x:c>
      <x:c r="C74" t="str">
        <x:f>BANG_ND30!C71</x:f>
        <x:v>ND30.N.BANG.BANG_LONG</x:v>
      </x:c>
      <x:c r="D74" t="str">
        <x:v>ND30</x:v>
      </x:c>
      <x:c r="E74" t="str">
        <x:v>NHÓM MỚI (CHƯA NHẬP REGISTRY)</x:v>
      </x:c>
      <x:c r="F74" t="str">
        <x:f>IF(B74="","THIẾU",IF(COUNTIF($B$10:$B$141,B74)&gt;1,"TRÙNG","OK"))</x:f>
        <x:v>OK</x:v>
      </x:c>
      <x:c r="G74" t="str">
        <x:v>TECHNICAL</x:v>
      </x:c>
    </x:row>
    <x:row r="75">
      <x:c r="A75" t="n">
        <x:v>66</x:v>
      </x:c>
      <x:c r="B75" t="str">
        <x:f>BANG_ND30!B72</x:f>
        <x:v>ND30.N.BANG.BANG_LONG.BAO_TOAN</x:v>
      </x:c>
      <x:c r="C75" t="str">
        <x:f>BANG_ND30!C72</x:f>
        <x:v>ND30.N.BANG.BANG_LONG</x:v>
      </x:c>
      <x:c r="D75" t="str">
        <x:v>ND30</x:v>
      </x:c>
      <x:c r="E75" t="str">
        <x:v>NHÓM MỚI (CHƯA NHẬP REGISTRY)</x:v>
      </x:c>
      <x:c r="F75" t="str">
        <x:f>IF(B75="","THIẾU",IF(COUNTIF($B$10:$B$141,B75)&gt;1,"TRÙNG","OK"))</x:f>
        <x:v>OK</x:v>
      </x:c>
      <x:c r="G75" t="str">
        <x:v>PRESERVE_ONLY</x:v>
      </x:c>
    </x:row>
    <x:row r="76">
      <x:c r="A76" t="n">
        <x:v>67</x:v>
      </x:c>
      <x:c r="B76" t="str">
        <x:f>BANG_HD05!B7</x:f>
        <x:v>HD05.N.BANG.BO_CUC.NHAN_DIEN</x:v>
      </x:c>
      <x:c r="C76" t="str">
        <x:f>BANG_HD05!C7</x:f>
        <x:v>HD05.N.BANG.BO_CUC</x:v>
      </x:c>
      <x:c r="D76" t="str">
        <x:v>HD05</x:v>
      </x:c>
      <x:c r="E76" t="str">
        <x:v>NHÓM MỚI (CHƯA NHẬP REGISTRY)</x:v>
      </x:c>
      <x:c r="F76" t="str">
        <x:f>IF(B76="","THIẾU",IF(COUNTIF($B$10:$B$141,B76)&gt;1,"TRÙNG","OK"))</x:f>
        <x:v>OK</x:v>
      </x:c>
      <x:c r="G76" t="str">
        <x:v>TECHNICAL</x:v>
      </x:c>
    </x:row>
    <x:row r="77">
      <x:c r="A77" t="n">
        <x:v>68</x:v>
      </x:c>
      <x:c r="B77" t="str">
        <x:f>BANG_HD05!B8</x:f>
        <x:v>HD05.N.BANG.BO_CUC.VAI_TRO</x:v>
      </x:c>
      <x:c r="C77" t="str">
        <x:f>BANG_HD05!C8</x:f>
        <x:v>HD05.N.BANG.BO_CUC</x:v>
      </x:c>
      <x:c r="D77" t="str">
        <x:v>HD05</x:v>
      </x:c>
      <x:c r="E77" t="str">
        <x:v>NHÓM MỚI (CHƯA NHẬP REGISTRY)</x:v>
      </x:c>
      <x:c r="F77" t="str">
        <x:f>IF(B77="","THIẾU",IF(COUNTIF($B$10:$B$141,B77)&gt;1,"TRÙNG","OK"))</x:f>
        <x:v>OK</x:v>
      </x:c>
      <x:c r="G77" t="str">
        <x:v>TECHNICAL</x:v>
      </x:c>
    </x:row>
    <x:row r="78">
      <x:c r="A78" t="n">
        <x:v>69</x:v>
      </x:c>
      <x:c r="B78" t="str">
        <x:f>BANG_HD05!B9</x:f>
        <x:v>HD05.N.BANG.BO_CUC.CAN_BANG</x:v>
      </x:c>
      <x:c r="C78" t="str">
        <x:f>BANG_HD05!C9</x:f>
        <x:v>HD05.N.BANG.BO_CUC</x:v>
      </x:c>
      <x:c r="D78" t="str">
        <x:v>HD05</x:v>
      </x:c>
      <x:c r="E78" t="str">
        <x:v>NHÓM MỚI (CHƯA NHẬP REGISTRY)</x:v>
      </x:c>
      <x:c r="F78" t="str">
        <x:f>IF(B78="","THIẾU",IF(COUNTIF($B$10:$B$141,B78)&gt;1,"TRÙNG","OK"))</x:f>
        <x:v>OK</x:v>
      </x:c>
      <x:c r="G78" t="str">
        <x:v>PROFILE_DRAFT</x:v>
      </x:c>
    </x:row>
    <x:row r="79">
      <x:c r="A79" t="n">
        <x:v>70</x:v>
      </x:c>
      <x:c r="B79" t="str">
        <x:f>BANG_HD05!B10</x:f>
        <x:v>HD05.N.BANG.BO_CUC.CHIEU_RONG</x:v>
      </x:c>
      <x:c r="C79" t="str">
        <x:f>BANG_HD05!C10</x:f>
        <x:v>HD05.N.BANG.BO_CUC</x:v>
      </x:c>
      <x:c r="D79" t="str">
        <x:v>HD05</x:v>
      </x:c>
      <x:c r="E79" t="str">
        <x:v>NHÓM MỚI (CHƯA NHẬP REGISTRY)</x:v>
      </x:c>
      <x:c r="F79" t="str">
        <x:f>IF(B79="","THIẾU",IF(COUNTIF($B$10:$B$141,B79)&gt;1,"TRÙNG","OK"))</x:f>
        <x:v>OK</x:v>
      </x:c>
      <x:c r="G79" t="str">
        <x:v>PROFILE_DRAFT</x:v>
      </x:c>
    </x:row>
    <x:row r="80">
      <x:c r="A80" t="n">
        <x:v>71</x:v>
      </x:c>
      <x:c r="B80" t="str">
        <x:f>BANG_HD05!B11</x:f>
        <x:v>HD05.N.BANG.BO_CUC.AUTOFIT</x:v>
      </x:c>
      <x:c r="C80" t="str">
        <x:f>BANG_HD05!C11</x:f>
        <x:v>HD05.N.BANG.BO_CUC</x:v>
      </x:c>
      <x:c r="D80" t="str">
        <x:v>HD05</x:v>
      </x:c>
      <x:c r="E80" t="str">
        <x:v>NHÓM MỚI (CHƯA NHẬP REGISTRY)</x:v>
      </x:c>
      <x:c r="F80" t="str">
        <x:f>IF(B80="","THIẾU",IF(COUNTIF($B$10:$B$141,B80)&gt;1,"TRÙNG","OK"))</x:f>
        <x:v>OK</x:v>
      </x:c>
      <x:c r="G80" t="str">
        <x:v>PROFILE_DRAFT</x:v>
      </x:c>
    </x:row>
    <x:row r="81">
      <x:c r="A81" t="n">
        <x:v>72</x:v>
      </x:c>
      <x:c r="B81" t="str">
        <x:f>BANG_HD05!B12</x:f>
        <x:v>HD05.N.BANG.BO_CUC.KHOANG_THUT</x:v>
      </x:c>
      <x:c r="C81" t="str">
        <x:f>BANG_HD05!C12</x:f>
        <x:v>HD05.N.BANG.BO_CUC</x:v>
      </x:c>
      <x:c r="D81" t="str">
        <x:v>HD05</x:v>
      </x:c>
      <x:c r="E81" t="str">
        <x:v>NHÓM MỚI (CHƯA NHẬP REGISTRY)</x:v>
      </x:c>
      <x:c r="F81" t="str">
        <x:f>IF(B81="","THIẾU",IF(COUNTIF($B$10:$B$141,B81)&gt;1,"TRÙNG","OK"))</x:f>
        <x:v>OK</x:v>
      </x:c>
      <x:c r="G81" t="str">
        <x:v>PROFILE_DRAFT</x:v>
      </x:c>
    </x:row>
    <x:row r="82">
      <x:c r="A82" t="n">
        <x:v>73</x:v>
      </x:c>
      <x:c r="B82" t="str">
        <x:f>BANG_HD05!B13</x:f>
        <x:v>HD05.N.BANG.BO_CUC.CHIEU_TRANG</x:v>
      </x:c>
      <x:c r="C82" t="str">
        <x:f>BANG_HD05!C13</x:f>
        <x:v>HD05.N.BANG.BO_CUC</x:v>
      </x:c>
      <x:c r="D82" t="str">
        <x:v>HD05</x:v>
      </x:c>
      <x:c r="E82" t="str">
        <x:v>NHÓM MỚI (CHƯA NHẬP REGISTRY)</x:v>
      </x:c>
      <x:c r="F82" t="str">
        <x:f>IF(B82="","THIẾU",IF(COUNTIF($B$10:$B$141,B82)&gt;1,"TRÙNG","OK"))</x:f>
        <x:v>OK</x:v>
      </x:c>
      <x:c r="G82" t="str">
        <x:v>LEGAL_CONDITIONAL</x:v>
      </x:c>
    </x:row>
    <x:row r="83">
      <x:c r="A83" t="n">
        <x:v>74</x:v>
      </x:c>
      <x:c r="B83" t="str">
        <x:f>BANG_HD05!B14</x:f>
        <x:v>HD05.N.BANG.BO_CUC.TACH_SECTION</x:v>
      </x:c>
      <x:c r="C83" t="str">
        <x:f>BANG_HD05!C14</x:f>
        <x:v>HD05.N.BANG.BO_CUC</x:v>
      </x:c>
      <x:c r="D83" t="str">
        <x:v>HD05</x:v>
      </x:c>
      <x:c r="E83" t="str">
        <x:v>NHÓM MỚI (CHƯA NHẬP REGISTRY)</x:v>
      </x:c>
      <x:c r="F83" t="str">
        <x:f>IF(B83="","THIẾU",IF(COUNTIF($B$10:$B$141,B83)&gt;1,"TRÙNG","OK"))</x:f>
        <x:v>OK</x:v>
      </x:c>
      <x:c r="G83" t="str">
        <x:v>TECHNICAL</x:v>
      </x:c>
    </x:row>
    <x:row r="84">
      <x:c r="A84" t="n">
        <x:v>75</x:v>
      </x:c>
      <x:c r="B84" t="str">
        <x:f>BANG_HD05!B15</x:f>
        <x:v>HD05.N.BANG.BO_CUC.KHOANG_TRUOC</x:v>
      </x:c>
      <x:c r="C84" t="str">
        <x:f>BANG_HD05!C15</x:f>
        <x:v>HD05.N.BANG.BO_CUC</x:v>
      </x:c>
      <x:c r="D84" t="str">
        <x:v>HD05</x:v>
      </x:c>
      <x:c r="E84" t="str">
        <x:v>NHÓM MỚI (CHƯA NHẬP REGISTRY)</x:v>
      </x:c>
      <x:c r="F84" t="str">
        <x:f>IF(B84="","THIẾU",IF(COUNTIF($B$10:$B$141,B84)&gt;1,"TRÙNG","OK"))</x:f>
        <x:v>OK</x:v>
      </x:c>
      <x:c r="G84" t="str">
        <x:v>PROFILE_DRAFT</x:v>
      </x:c>
    </x:row>
    <x:row r="85">
      <x:c r="A85" t="n">
        <x:v>76</x:v>
      </x:c>
      <x:c r="B85" t="str">
        <x:f>BANG_HD05!B16</x:f>
        <x:v>HD05.N.BANG.BO_CUC.KHOANG_SAU</x:v>
      </x:c>
      <x:c r="C85" t="str">
        <x:f>BANG_HD05!C16</x:f>
        <x:v>HD05.N.BANG.BO_CUC</x:v>
      </x:c>
      <x:c r="D85" t="str">
        <x:v>HD05</x:v>
      </x:c>
      <x:c r="E85" t="str">
        <x:v>NHÓM MỚI (CHƯA NHẬP REGISTRY)</x:v>
      </x:c>
      <x:c r="F85" t="str">
        <x:f>IF(B85="","THIẾU",IF(COUNTIF($B$10:$B$141,B85)&gt;1,"TRÙNG","OK"))</x:f>
        <x:v>OK</x:v>
      </x:c>
      <x:c r="G85" t="str">
        <x:v>PROFILE_DRAFT</x:v>
      </x:c>
    </x:row>
    <x:row r="86">
      <x:c r="A86" t="n">
        <x:v>77</x:v>
      </x:c>
      <x:c r="B86" t="str">
        <x:f>BANG_HD05!B17</x:f>
        <x:v>HD05.N.BANG.BO_CUC.PHAN_BIET_HEADER</x:v>
      </x:c>
      <x:c r="C86" t="str">
        <x:f>BANG_HD05!C17</x:f>
        <x:v>HD05.N.BANG.BO_CUC</x:v>
      </x:c>
      <x:c r="D86" t="str">
        <x:v>HD05</x:v>
      </x:c>
      <x:c r="E86" t="str">
        <x:v>NHÓM MỚI (CHƯA NHẬP REGISTRY)</x:v>
      </x:c>
      <x:c r="F86" t="str">
        <x:f>IF(B86="","THIẾU",IF(COUNTIF($B$10:$B$141,B86)&gt;1,"TRÙNG","OK"))</x:f>
        <x:v>OK</x:v>
      </x:c>
      <x:c r="G86" t="str">
        <x:v>TECHNICAL</x:v>
      </x:c>
    </x:row>
    <x:row r="87">
      <x:c r="A87" t="n">
        <x:v>78</x:v>
      </x:c>
      <x:c r="B87" t="str">
        <x:f>BANG_HD05!B18</x:f>
        <x:v>HD05.N.BANG.TIEU_DE.NOI_DUNG</x:v>
      </x:c>
      <x:c r="C87" t="str">
        <x:f>BANG_HD05!C18</x:f>
        <x:v>HD05.N.BANG.TIEU_DE</x:v>
      </x:c>
      <x:c r="D87" t="str">
        <x:v>HD05</x:v>
      </x:c>
      <x:c r="E87" t="str">
        <x:v>GỐC</x:v>
      </x:c>
      <x:c r="F87" t="str">
        <x:f>IF(B87="","THIẾU",IF(COUNTIF($B$10:$B$141,B87)&gt;1,"TRÙNG","OK"))</x:f>
        <x:v>OK</x:v>
      </x:c>
      <x:c r="G87" t="str">
        <x:v>PRESERVE_ONLY</x:v>
      </x:c>
    </x:row>
    <x:row r="88">
      <x:c r="A88" t="n">
        <x:v>79</x:v>
      </x:c>
      <x:c r="B88" t="str">
        <x:f>BANG_HD05!B19</x:f>
        <x:v>HD05.N.BANG.TIEU_DE.KIEU_CHU</x:v>
      </x:c>
      <x:c r="C88" t="str">
        <x:f>BANG_HD05!C19</x:f>
        <x:v>HD05.N.BANG.TIEU_DE</x:v>
      </x:c>
      <x:c r="D88" t="str">
        <x:v>HD05</x:v>
      </x:c>
      <x:c r="E88" t="str">
        <x:v>GỐC</x:v>
      </x:c>
      <x:c r="F88" t="str">
        <x:f>IF(B88="","THIẾU",IF(COUNTIF($B$10:$B$141,B88)&gt;1,"TRÙNG","OK"))</x:f>
        <x:v>OK</x:v>
      </x:c>
      <x:c r="G88" t="str">
        <x:v>PROFILE_DRAFT</x:v>
      </x:c>
    </x:row>
    <x:row r="89">
      <x:c r="A89" t="n">
        <x:v>80</x:v>
      </x:c>
      <x:c r="B89" t="str">
        <x:f>BANG_HD05!B20</x:f>
        <x:v>HD05.N.BANG.TIEU_DE.CAN_NGANG</x:v>
      </x:c>
      <x:c r="C89" t="str">
        <x:f>BANG_HD05!C20</x:f>
        <x:v>HD05.N.BANG.TIEU_DE</x:v>
      </x:c>
      <x:c r="D89" t="str">
        <x:v>HD05</x:v>
      </x:c>
      <x:c r="E89" t="str">
        <x:v>GỐC</x:v>
      </x:c>
      <x:c r="F89" t="str">
        <x:f>IF(B89="","THIẾU",IF(COUNTIF($B$10:$B$141,B89)&gt;1,"TRÙNG","OK"))</x:f>
        <x:v>OK</x:v>
      </x:c>
      <x:c r="G89" t="str">
        <x:v>PROFILE_DRAFT</x:v>
      </x:c>
    </x:row>
    <x:row r="90">
      <x:c r="A90" t="n">
        <x:v>81</x:v>
      </x:c>
      <x:c r="B90" t="str">
        <x:f>BANG_HD05!B21</x:f>
        <x:v>HD05.N.BANG.TIEU_DE.GIU_CUNG_BANG</x:v>
      </x:c>
      <x:c r="C90" t="str">
        <x:f>BANG_HD05!C21</x:f>
        <x:v>HD05.N.BANG.TIEU_DE</x:v>
      </x:c>
      <x:c r="D90" t="str">
        <x:v>HD05</x:v>
      </x:c>
      <x:c r="E90" t="str">
        <x:v>GỐC</x:v>
      </x:c>
      <x:c r="F90" t="str">
        <x:f>IF(B90="","THIẾU",IF(COUNTIF($B$10:$B$141,B90)&gt;1,"TRÙNG","OK"))</x:f>
        <x:v>OK</x:v>
      </x:c>
      <x:c r="G90" t="str">
        <x:v>PROFILE_DRAFT</x:v>
      </x:c>
    </x:row>
    <x:row r="91">
      <x:c r="A91" t="n">
        <x:v>82</x:v>
      </x:c>
      <x:c r="B91" t="str">
        <x:f>BANG_HD05!B22</x:f>
        <x:v>HD05.N.BANG.TIEU_DE.KHOANG_CACH</x:v>
      </x:c>
      <x:c r="C91" t="str">
        <x:f>BANG_HD05!C22</x:f>
        <x:v>HD05.N.BANG.TIEU_DE</x:v>
      </x:c>
      <x:c r="D91" t="str">
        <x:v>HD05</x:v>
      </x:c>
      <x:c r="E91" t="str">
        <x:v>GỐC</x:v>
      </x:c>
      <x:c r="F91" t="str">
        <x:f>IF(B91="","THIẾU",IF(COUNTIF($B$10:$B$141,B91)&gt;1,"TRÙNG","OK"))</x:f>
        <x:v>OK</x:v>
      </x:c>
      <x:c r="G91" t="str">
        <x:v>PROFILE_DRAFT</x:v>
      </x:c>
    </x:row>
    <x:row r="92">
      <x:c r="A92" t="n">
        <x:v>83</x:v>
      </x:c>
      <x:c r="B92" t="str">
        <x:f>BANG_HD05!B23</x:f>
        <x:v>HD05.N.BANG.DAU_BANG.NHAN_DIEN</x:v>
      </x:c>
      <x:c r="C92" t="str">
        <x:f>BANG_HD05!C23</x:f>
        <x:v>HD05.N.BANG.DAU_BANG</x:v>
      </x:c>
      <x:c r="D92" t="str">
        <x:v>HD05</x:v>
      </x:c>
      <x:c r="E92" t="str">
        <x:v>GỐC</x:v>
      </x:c>
      <x:c r="F92" t="str">
        <x:f>IF(B92="","THIẾU",IF(COUNTIF($B$10:$B$141,B92)&gt;1,"TRÙNG","OK"))</x:f>
        <x:v>OK</x:v>
      </x:c>
      <x:c r="G92" t="str">
        <x:v>TECHNICAL</x:v>
      </x:c>
    </x:row>
    <x:row r="93">
      <x:c r="A93" t="n">
        <x:v>84</x:v>
      </x:c>
      <x:c r="B93" t="str">
        <x:f>BANG_HD05!B24</x:f>
        <x:v>HD05.N.BANG.DAU_BANG.VAN_BAN</x:v>
      </x:c>
      <x:c r="C93" t="str">
        <x:f>BANG_HD05!C24</x:f>
        <x:v>HD05.N.BANG.DAU_BANG</x:v>
      </x:c>
      <x:c r="D93" t="str">
        <x:v>HD05</x:v>
      </x:c>
      <x:c r="E93" t="str">
        <x:v>GỐC</x:v>
      </x:c>
      <x:c r="F93" t="str">
        <x:f>IF(B93="","THIẾU",IF(COUNTIF($B$10:$B$141,B93)&gt;1,"TRÙNG","OK"))</x:f>
        <x:v>OK</x:v>
      </x:c>
      <x:c r="G93" t="str">
        <x:v>PRESERVE_ONLY</x:v>
      </x:c>
    </x:row>
    <x:row r="94">
      <x:c r="A94" t="n">
        <x:v>85</x:v>
      </x:c>
      <x:c r="B94" t="str">
        <x:f>BANG_HD05!B25</x:f>
        <x:v>HD05.N.BANG.DAU_BANG.CO_CHU</x:v>
      </x:c>
      <x:c r="C94" t="str">
        <x:f>BANG_HD05!C25</x:f>
        <x:v>HD05.N.BANG.DAU_BANG</x:v>
      </x:c>
      <x:c r="D94" t="str">
        <x:v>HD05</x:v>
      </x:c>
      <x:c r="E94" t="str">
        <x:v>GỐC</x:v>
      </x:c>
      <x:c r="F94" t="str">
        <x:f>IF(B94="","THIẾU",IF(COUNTIF($B$10:$B$141,B94)&gt;1,"TRÙNG","OK"))</x:f>
        <x:v>OK</x:v>
      </x:c>
      <x:c r="G94" t="str">
        <x:v>PROFILE_DRAFT</x:v>
      </x:c>
    </x:row>
    <x:row r="95">
      <x:c r="A95" t="n">
        <x:v>86</x:v>
      </x:c>
      <x:c r="B95" t="str">
        <x:f>BANG_HD05!B26</x:f>
        <x:v>HD05.N.BANG.DAU_BANG.CHU_DAM</x:v>
      </x:c>
      <x:c r="C95" t="str">
        <x:f>BANG_HD05!C26</x:f>
        <x:v>HD05.N.BANG.DAU_BANG</x:v>
      </x:c>
      <x:c r="D95" t="str">
        <x:v>HD05</x:v>
      </x:c>
      <x:c r="E95" t="str">
        <x:v>GỐC</x:v>
      </x:c>
      <x:c r="F95" t="str">
        <x:f>IF(B95="","THIẾU",IF(COUNTIF($B$10:$B$141,B95)&gt;1,"TRÙNG","OK"))</x:f>
        <x:v>OK</x:v>
      </x:c>
      <x:c r="G95" t="str">
        <x:v>PROFILE_DRAFT</x:v>
      </x:c>
    </x:row>
    <x:row r="96">
      <x:c r="A96" t="n">
        <x:v>87</x:v>
      </x:c>
      <x:c r="B96" t="str">
        <x:f>BANG_HD05!B27</x:f>
        <x:v>HD05.N.BANG.DAU_BANG.CAN_NGANG</x:v>
      </x:c>
      <x:c r="C96" t="str">
        <x:f>BANG_HD05!C27</x:f>
        <x:v>HD05.N.BANG.DAU_BANG</x:v>
      </x:c>
      <x:c r="D96" t="str">
        <x:v>HD05</x:v>
      </x:c>
      <x:c r="E96" t="str">
        <x:v>GỐC</x:v>
      </x:c>
      <x:c r="F96" t="str">
        <x:f>IF(B96="","THIẾU",IF(COUNTIF($B$10:$B$141,B96)&gt;1,"TRÙNG","OK"))</x:f>
        <x:v>OK</x:v>
      </x:c>
      <x:c r="G96" t="str">
        <x:v>PROFILE_DRAFT</x:v>
      </x:c>
    </x:row>
    <x:row r="97">
      <x:c r="A97" t="n">
        <x:v>88</x:v>
      </x:c>
      <x:c r="B97" t="str">
        <x:f>BANG_HD05!B28</x:f>
        <x:v>HD05.N.BANG.DAU_BANG.LAP_LAI</x:v>
      </x:c>
      <x:c r="C97" t="str">
        <x:f>BANG_HD05!C28</x:f>
        <x:v>HD05.N.BANG.DAU_BANG</x:v>
      </x:c>
      <x:c r="D97" t="str">
        <x:v>HD05</x:v>
      </x:c>
      <x:c r="E97" t="str">
        <x:v>GỐC</x:v>
      </x:c>
      <x:c r="F97" t="str">
        <x:f>IF(B97="","THIẾU",IF(COUNTIF($B$10:$B$141,B97)&gt;1,"TRÙNG","OK"))</x:f>
        <x:v>OK</x:v>
      </x:c>
      <x:c r="G97" t="str">
        <x:v>PROFILE_DRAFT</x:v>
      </x:c>
    </x:row>
    <x:row r="98">
      <x:c r="A98" t="n">
        <x:v>89</x:v>
      </x:c>
      <x:c r="B98" t="str">
        <x:f>BANG_HD05!B29</x:f>
        <x:v>HD05.N.BANG.DAU_BANG.NHIEU_CAP</x:v>
      </x:c>
      <x:c r="C98" t="str">
        <x:f>BANG_HD05!C29</x:f>
        <x:v>HD05.N.BANG.DAU_BANG</x:v>
      </x:c>
      <x:c r="D98" t="str">
        <x:v>HD05</x:v>
      </x:c>
      <x:c r="E98" t="str">
        <x:v>GỐC</x:v>
      </x:c>
      <x:c r="F98" t="str">
        <x:f>IF(B98="","THIẾU",IF(COUNTIF($B$10:$B$141,B98)&gt;1,"TRÙNG","OK"))</x:f>
        <x:v>OK</x:v>
      </x:c>
      <x:c r="G98" t="str">
        <x:v>PRESERVE_ONLY</x:v>
      </x:c>
    </x:row>
    <x:row r="99">
      <x:c r="A99" t="n">
        <x:v>90</x:v>
      </x:c>
      <x:c r="B99" t="str">
        <x:f>BANG_HD05!B30</x:f>
        <x:v>HD05.N.BANG.DAU_BANG.TO_NEN</x:v>
      </x:c>
      <x:c r="C99" t="str">
        <x:f>BANG_HD05!C30</x:f>
        <x:v>HD05.N.BANG.DAU_BANG</x:v>
      </x:c>
      <x:c r="D99" t="str">
        <x:v>HD05</x:v>
      </x:c>
      <x:c r="E99" t="str">
        <x:v>GỐC</x:v>
      </x:c>
      <x:c r="F99" t="str">
        <x:f>IF(B99="","THIẾU",IF(COUNTIF($B$10:$B$141,B99)&gt;1,"TRÙNG","OK"))</x:f>
        <x:v>OK</x:v>
      </x:c>
      <x:c r="G99" t="str">
        <x:v>PROFILE_DRAFT</x:v>
      </x:c>
    </x:row>
    <x:row r="100">
      <x:c r="A100" t="n">
        <x:v>91</x:v>
      </x:c>
      <x:c r="B100" t="str">
        <x:f>BANG_HD05!B31</x:f>
        <x:v>HD05.N.BANG.COT.SO_LUONG</x:v>
      </x:c>
      <x:c r="C100" t="str">
        <x:f>BANG_HD05!C31</x:f>
        <x:v>HD05.N.BANG.COT</x:v>
      </x:c>
      <x:c r="D100" t="str">
        <x:v>HD05</x:v>
      </x:c>
      <x:c r="E100" t="str">
        <x:v>NHÓM MỚI (CHƯA NHẬP REGISTRY)</x:v>
      </x:c>
      <x:c r="F100" t="str">
        <x:f>IF(B100="","THIẾU",IF(COUNTIF($B$10:$B$141,B100)&gt;1,"TRÙNG","OK"))</x:f>
        <x:v>OK</x:v>
      </x:c>
      <x:c r="G100" t="str">
        <x:v>PRESERVE_ONLY</x:v>
      </x:c>
    </x:row>
    <x:row r="101">
      <x:c r="A101" t="n">
        <x:v>92</x:v>
      </x:c>
      <x:c r="B101" t="str">
        <x:f>BANG_HD05!B32</x:f>
        <x:v>HD05.N.BANG.COT.DO_RONG</x:v>
      </x:c>
      <x:c r="C101" t="str">
        <x:f>BANG_HD05!C32</x:f>
        <x:v>HD05.N.BANG.COT</x:v>
      </x:c>
      <x:c r="D101" t="str">
        <x:v>HD05</x:v>
      </x:c>
      <x:c r="E101" t="str">
        <x:v>NHÓM MỚI (CHƯA NHẬP REGISTRY)</x:v>
      </x:c>
      <x:c r="F101" t="str">
        <x:f>IF(B101="","THIẾU",IF(COUNTIF($B$10:$B$141,B101)&gt;1,"TRÙNG","OK"))</x:f>
        <x:v>OK</x:v>
      </x:c>
      <x:c r="G101" t="str">
        <x:v>PROFILE_DRAFT</x:v>
      </x:c>
    </x:row>
    <x:row r="102">
      <x:c r="A102" t="n">
        <x:v>93</x:v>
      </x:c>
      <x:c r="B102" t="str">
        <x:f>BANG_HD05!B33</x:f>
        <x:v>HD05.N.BANG.COT.PHAN_BO</x:v>
      </x:c>
      <x:c r="C102" t="str">
        <x:f>BANG_HD05!C33</x:f>
        <x:v>HD05.N.BANG.COT</x:v>
      </x:c>
      <x:c r="D102" t="str">
        <x:v>HD05</x:v>
      </x:c>
      <x:c r="E102" t="str">
        <x:v>NHÓM MỚI (CHƯA NHẬP REGISTRY)</x:v>
      </x:c>
      <x:c r="F102" t="str">
        <x:f>IF(B102="","THIẾU",IF(COUNTIF($B$10:$B$141,B102)&gt;1,"TRÙNG","OK"))</x:f>
        <x:v>OK</x:v>
      </x:c>
      <x:c r="G102" t="str">
        <x:v>PRESERVE_ONLY</x:v>
      </x:c>
    </x:row>
    <x:row r="103">
      <x:c r="A103" t="n">
        <x:v>94</x:v>
      </x:c>
      <x:c r="B103" t="str">
        <x:f>BANG_HD05!B34</x:f>
        <x:v>HD05.N.BANG.COT.CAN_CHU</x:v>
      </x:c>
      <x:c r="C103" t="str">
        <x:f>BANG_HD05!C34</x:f>
        <x:v>HD05.N.BANG.COT</x:v>
      </x:c>
      <x:c r="D103" t="str">
        <x:v>HD05</x:v>
      </x:c>
      <x:c r="E103" t="str">
        <x:v>NHÓM MỚI (CHƯA NHẬP REGISTRY)</x:v>
      </x:c>
      <x:c r="F103" t="str">
        <x:f>IF(B103="","THIẾU",IF(COUNTIF($B$10:$B$141,B103)&gt;1,"TRÙNG","OK"))</x:f>
        <x:v>OK</x:v>
      </x:c>
      <x:c r="G103" t="str">
        <x:v>PROFILE_DRAFT</x:v>
      </x:c>
    </x:row>
    <x:row r="104">
      <x:c r="A104" t="n">
        <x:v>95</x:v>
      </x:c>
      <x:c r="B104" t="str">
        <x:f>BANG_HD05!B35</x:f>
        <x:v>HD05.N.BANG.COT.CAN_SO</x:v>
      </x:c>
      <x:c r="C104" t="str">
        <x:f>BANG_HD05!C35</x:f>
        <x:v>HD05.N.BANG.COT</x:v>
      </x:c>
      <x:c r="D104" t="str">
        <x:v>HD05</x:v>
      </x:c>
      <x:c r="E104" t="str">
        <x:v>NHÓM MỚI (CHƯA NHẬP REGISTRY)</x:v>
      </x:c>
      <x:c r="F104" t="str">
        <x:f>IF(B104="","THIẾU",IF(COUNTIF($B$10:$B$141,B104)&gt;1,"TRÙNG","OK"))</x:f>
        <x:v>OK</x:v>
      </x:c>
      <x:c r="G104" t="str">
        <x:v>PROFILE_DRAFT</x:v>
      </x:c>
    </x:row>
    <x:row r="105">
      <x:c r="A105" t="n">
        <x:v>96</x:v>
      </x:c>
      <x:c r="B105" t="str">
        <x:f>BANG_HD05!B36</x:f>
        <x:v>HD05.N.BANG.HANG.CHIEU_CAO</x:v>
      </x:c>
      <x:c r="C105" t="str">
        <x:f>BANG_HD05!C36</x:f>
        <x:v>HD05.N.BANG.HANG</x:v>
      </x:c>
      <x:c r="D105" t="str">
        <x:v>HD05</x:v>
      </x:c>
      <x:c r="E105" t="str">
        <x:v>GỐC</x:v>
      </x:c>
      <x:c r="F105" t="str">
        <x:f>IF(B105="","THIẾU",IF(COUNTIF($B$10:$B$141,B105)&gt;1,"TRÙNG","OK"))</x:f>
        <x:v>OK</x:v>
      </x:c>
      <x:c r="G105" t="str">
        <x:v>PROFILE_DRAFT</x:v>
      </x:c>
    </x:row>
    <x:row r="106">
      <x:c r="A106" t="n">
        <x:v>97</x:v>
      </x:c>
      <x:c r="B106" t="str">
        <x:f>BANG_HD05!B37</x:f>
        <x:v>HD05.N.BANG.HANG.KIEU_CAO</x:v>
      </x:c>
      <x:c r="C106" t="str">
        <x:f>BANG_HD05!C37</x:f>
        <x:v>HD05.N.BANG.HANG</x:v>
      </x:c>
      <x:c r="D106" t="str">
        <x:v>HD05</x:v>
      </x:c>
      <x:c r="E106" t="str">
        <x:v>GỐC</x:v>
      </x:c>
      <x:c r="F106" t="str">
        <x:f>IF(B106="","THIẾU",IF(COUNTIF($B$10:$B$141,B106)&gt;1,"TRÙNG","OK"))</x:f>
        <x:v>OK</x:v>
      </x:c>
      <x:c r="G106" t="str">
        <x:v>PROFILE_DRAFT</x:v>
      </x:c>
    </x:row>
    <x:row r="107">
      <x:c r="A107" t="n">
        <x:v>98</x:v>
      </x:c>
      <x:c r="B107" t="str">
        <x:f>BANG_HD05!B38</x:f>
        <x:v>HD05.N.BANG.HANG.CHONG_CHIA_TRANG</x:v>
      </x:c>
      <x:c r="C107" t="str">
        <x:f>BANG_HD05!C38</x:f>
        <x:v>HD05.N.BANG.HANG</x:v>
      </x:c>
      <x:c r="D107" t="str">
        <x:v>HD05</x:v>
      </x:c>
      <x:c r="E107" t="str">
        <x:v>GỐC</x:v>
      </x:c>
      <x:c r="F107" t="str">
        <x:f>IF(B107="","THIẾU",IF(COUNTIF($B$10:$B$141,B107)&gt;1,"TRÙNG","OK"))</x:f>
        <x:v>OK</x:v>
      </x:c>
      <x:c r="G107" t="str">
        <x:v>PROFILE_DRAFT</x:v>
      </x:c>
    </x:row>
    <x:row r="108">
      <x:c r="A108" t="n">
        <x:v>99</x:v>
      </x:c>
      <x:c r="B108" t="str">
        <x:f>BANG_HD05!B39</x:f>
        <x:v>HD05.N.BANG.HANG.KHOANG_CACH</x:v>
      </x:c>
      <x:c r="C108" t="str">
        <x:f>BANG_HD05!C39</x:f>
        <x:v>HD05.N.BANG.HANG</x:v>
      </x:c>
      <x:c r="D108" t="str">
        <x:v>HD05</x:v>
      </x:c>
      <x:c r="E108" t="str">
        <x:v>GỐC</x:v>
      </x:c>
      <x:c r="F108" t="str">
        <x:f>IF(B108="","THIẾU",IF(COUNTIF($B$10:$B$141,B108)&gt;1,"TRÙNG","OK"))</x:f>
        <x:v>OK</x:v>
      </x:c>
      <x:c r="G108" t="str">
        <x:v>PROFILE_DRAFT</x:v>
      </x:c>
    </x:row>
    <x:row r="109">
      <x:c r="A109" t="n">
        <x:v>100</x:v>
      </x:c>
      <x:c r="B109" t="str">
        <x:f>BANG_HD05!B40</x:f>
        <x:v>HD05.N.BANG.HANG.THU_TU</x:v>
      </x:c>
      <x:c r="C109" t="str">
        <x:f>BANG_HD05!C40</x:f>
        <x:v>HD05.N.BANG.HANG</x:v>
      </x:c>
      <x:c r="D109" t="str">
        <x:v>HD05</x:v>
      </x:c>
      <x:c r="E109" t="str">
        <x:v>GỐC</x:v>
      </x:c>
      <x:c r="F109" t="str">
        <x:f>IF(B109="","THIẾU",IF(COUNTIF($B$10:$B$141,B109)&gt;1,"TRÙNG","OK"))</x:f>
        <x:v>OK</x:v>
      </x:c>
      <x:c r="G109" t="str">
        <x:v>PRESERVE_ONLY</x:v>
      </x:c>
    </x:row>
    <x:row r="110">
      <x:c r="A110" t="n">
        <x:v>101</x:v>
      </x:c>
      <x:c r="B110" t="str">
        <x:f>BANG_HD05!B41</x:f>
        <x:v>HD05.N.BANG.HANG.DONG_TONG</x:v>
      </x:c>
      <x:c r="C110" t="str">
        <x:f>BANG_HD05!C41</x:f>
        <x:v>HD05.N.BANG.HANG</x:v>
      </x:c>
      <x:c r="D110" t="str">
        <x:v>HD05</x:v>
      </x:c>
      <x:c r="E110" t="str">
        <x:v>GỐC</x:v>
      </x:c>
      <x:c r="F110" t="str">
        <x:f>IF(B110="","THIẾU",IF(COUNTIF($B$10:$B$141,B110)&gt;1,"TRÙNG","OK"))</x:f>
        <x:v>OK</x:v>
      </x:c>
      <x:c r="G110" t="str">
        <x:v>PRESERVE_ONLY</x:v>
      </x:c>
    </x:row>
    <x:row r="111">
      <x:c r="A111" t="n">
        <x:v>102</x:v>
      </x:c>
      <x:c r="B111" t="str">
        <x:f>BANG_HD05!B42</x:f>
        <x:v>HD05.N.BANG.HANG.DONG_NHOM</x:v>
      </x:c>
      <x:c r="C111" t="str">
        <x:f>BANG_HD05!C42</x:f>
        <x:v>HD05.N.BANG.HANG</x:v>
      </x:c>
      <x:c r="D111" t="str">
        <x:v>HD05</x:v>
      </x:c>
      <x:c r="E111" t="str">
        <x:v>GỐC</x:v>
      </x:c>
      <x:c r="F111" t="str">
        <x:f>IF(B111="","THIẾU",IF(COUNTIF($B$10:$B$141,B111)&gt;1,"TRÙNG","OK"))</x:f>
        <x:v>OK</x:v>
      </x:c>
      <x:c r="G111" t="str">
        <x:v>PRESERVE_ONLY</x:v>
      </x:c>
    </x:row>
    <x:row r="112">
      <x:c r="A112" t="n">
        <x:v>103</x:v>
      </x:c>
      <x:c r="B112" t="str">
        <x:f>BANG_HD05!B43</x:f>
        <x:v>HD05.N.BANG.O.VAN_BAN</x:v>
      </x:c>
      <x:c r="C112" t="str">
        <x:f>BANG_HD05!C43</x:f>
        <x:v>HD05.N.BANG.O</x:v>
      </x:c>
      <x:c r="D112" t="str">
        <x:v>HD05</x:v>
      </x:c>
      <x:c r="E112" t="str">
        <x:v>GỐC</x:v>
      </x:c>
      <x:c r="F112" t="str">
        <x:f>IF(B112="","THIẾU",IF(COUNTIF($B$10:$B$141,B112)&gt;1,"TRÙNG","OK"))</x:f>
        <x:v>OK</x:v>
      </x:c>
      <x:c r="G112" t="str">
        <x:v>PRESERVE_ONLY</x:v>
      </x:c>
    </x:row>
    <x:row r="113">
      <x:c r="A113" t="n">
        <x:v>104</x:v>
      </x:c>
      <x:c r="B113" t="str">
        <x:f>BANG_HD05!B44</x:f>
        <x:v>HD05.N.BANG.O.FONT</x:v>
      </x:c>
      <x:c r="C113" t="str">
        <x:f>BANG_HD05!C44</x:f>
        <x:v>HD05.N.BANG.O</x:v>
      </x:c>
      <x:c r="D113" t="str">
        <x:v>HD05</x:v>
      </x:c>
      <x:c r="E113" t="str">
        <x:v>GỐC</x:v>
      </x:c>
      <x:c r="F113" t="str">
        <x:f>IF(B113="","THIẾU",IF(COUNTIF($B$10:$B$141,B113)&gt;1,"TRÙNG","OK"))</x:f>
        <x:v>OK</x:v>
      </x:c>
      <x:c r="G113" t="str">
        <x:v>PROFILE_DRAFT</x:v>
      </x:c>
    </x:row>
    <x:row r="114">
      <x:c r="A114" t="n">
        <x:v>105</x:v>
      </x:c>
      <x:c r="B114" t="str">
        <x:f>BANG_HD05!B45</x:f>
        <x:v>HD05.N.BANG.O.CO_CHU</x:v>
      </x:c>
      <x:c r="C114" t="str">
        <x:f>BANG_HD05!C45</x:f>
        <x:v>HD05.N.BANG.O</x:v>
      </x:c>
      <x:c r="D114" t="str">
        <x:v>HD05</x:v>
      </x:c>
      <x:c r="E114" t="str">
        <x:v>GỐC</x:v>
      </x:c>
      <x:c r="F114" t="str">
        <x:f>IF(B114="","THIẾU",IF(COUNTIF($B$10:$B$141,B114)&gt;1,"TRÙNG","OK"))</x:f>
        <x:v>OK</x:v>
      </x:c>
      <x:c r="G114" t="str">
        <x:v>PROFILE_DRAFT</x:v>
      </x:c>
    </x:row>
    <x:row r="115">
      <x:c r="A115" t="n">
        <x:v>106</x:v>
      </x:c>
      <x:c r="B115" t="str">
        <x:f>BANG_HD05!B46</x:f>
        <x:v>HD05.N.BANG.O.DAM</x:v>
      </x:c>
      <x:c r="C115" t="str">
        <x:f>BANG_HD05!C46</x:f>
        <x:v>HD05.N.BANG.O</x:v>
      </x:c>
      <x:c r="D115" t="str">
        <x:v>HD05</x:v>
      </x:c>
      <x:c r="E115" t="str">
        <x:v>GỐC</x:v>
      </x:c>
      <x:c r="F115" t="str">
        <x:f>IF(B115="","THIẾU",IF(COUNTIF($B$10:$B$141,B115)&gt;1,"TRÙNG","OK"))</x:f>
        <x:v>OK</x:v>
      </x:c>
      <x:c r="G115" t="str">
        <x:v>PRESERVE_ONLY</x:v>
      </x:c>
    </x:row>
    <x:row r="116">
      <x:c r="A116" t="n">
        <x:v>107</x:v>
      </x:c>
      <x:c r="B116" t="str">
        <x:f>BANG_HD05!B47</x:f>
        <x:v>HD05.N.BANG.O.NGHIENG</x:v>
      </x:c>
      <x:c r="C116" t="str">
        <x:f>BANG_HD05!C47</x:f>
        <x:v>HD05.N.BANG.O</x:v>
      </x:c>
      <x:c r="D116" t="str">
        <x:v>HD05</x:v>
      </x:c>
      <x:c r="E116" t="str">
        <x:v>GỐC</x:v>
      </x:c>
      <x:c r="F116" t="str">
        <x:f>IF(B116="","THIẾU",IF(COUNTIF($B$10:$B$141,B116)&gt;1,"TRÙNG","OK"))</x:f>
        <x:v>OK</x:v>
      </x:c>
      <x:c r="G116" t="str">
        <x:v>PRESERVE_ONLY</x:v>
      </x:c>
    </x:row>
    <x:row r="117">
      <x:c r="A117" t="n">
        <x:v>108</x:v>
      </x:c>
      <x:c r="B117" t="str">
        <x:f>BANG_HD05!B48</x:f>
        <x:v>HD05.N.BANG.O.CAN_NGANG</x:v>
      </x:c>
      <x:c r="C117" t="str">
        <x:f>BANG_HD05!C48</x:f>
        <x:v>HD05.N.BANG.O</x:v>
      </x:c>
      <x:c r="D117" t="str">
        <x:v>HD05</x:v>
      </x:c>
      <x:c r="E117" t="str">
        <x:v>GỐC</x:v>
      </x:c>
      <x:c r="F117" t="str">
        <x:f>IF(B117="","THIẾU",IF(COUNTIF($B$10:$B$141,B117)&gt;1,"TRÙNG","OK"))</x:f>
        <x:v>OK</x:v>
      </x:c>
      <x:c r="G117" t="str">
        <x:v>PROFILE_DRAFT</x:v>
      </x:c>
    </x:row>
    <x:row r="118">
      <x:c r="A118" t="n">
        <x:v>109</x:v>
      </x:c>
      <x:c r="B118" t="str">
        <x:f>BANG_HD05!B49</x:f>
        <x:v>HD05.N.BANG.O.CAN_DOC</x:v>
      </x:c>
      <x:c r="C118" t="str">
        <x:f>BANG_HD05!C49</x:f>
        <x:v>HD05.N.BANG.O</x:v>
      </x:c>
      <x:c r="D118" t="str">
        <x:v>HD05</x:v>
      </x:c>
      <x:c r="E118" t="str">
        <x:v>GỐC</x:v>
      </x:c>
      <x:c r="F118" t="str">
        <x:f>IF(B118="","THIẾU",IF(COUNTIF($B$10:$B$141,B118)&gt;1,"TRÙNG","OK"))</x:f>
        <x:v>OK</x:v>
      </x:c>
      <x:c r="G118" t="str">
        <x:v>PROFILE_DRAFT</x:v>
      </x:c>
    </x:row>
    <x:row r="119">
      <x:c r="A119" t="n">
        <x:v>110</x:v>
      </x:c>
      <x:c r="B119" t="str">
        <x:f>BANG_HD05!B50</x:f>
        <x:v>HD05.N.BANG.O.GIAN_DONG</x:v>
      </x:c>
      <x:c r="C119" t="str">
        <x:f>BANG_HD05!C50</x:f>
        <x:v>HD05.N.BANG.O</x:v>
      </x:c>
      <x:c r="D119" t="str">
        <x:v>HD05</x:v>
      </x:c>
      <x:c r="E119" t="str">
        <x:v>GỐC</x:v>
      </x:c>
      <x:c r="F119" t="str">
        <x:f>IF(B119="","THIẾU",IF(COUNTIF($B$10:$B$141,B119)&gt;1,"TRÙNG","OK"))</x:f>
        <x:v>OK</x:v>
      </x:c>
      <x:c r="G119" t="str">
        <x:v>PROFILE_DRAFT</x:v>
      </x:c>
    </x:row>
    <x:row r="120">
      <x:c r="A120" t="n">
        <x:v>111</x:v>
      </x:c>
      <x:c r="B120" t="str">
        <x:f>BANG_HD05!B51</x:f>
        <x:v>HD05.N.BANG.O.CACH_DOAN</x:v>
      </x:c>
      <x:c r="C120" t="str">
        <x:f>BANG_HD05!C51</x:f>
        <x:v>HD05.N.BANG.O</x:v>
      </x:c>
      <x:c r="D120" t="str">
        <x:v>HD05</x:v>
      </x:c>
      <x:c r="E120" t="str">
        <x:v>GỐC</x:v>
      </x:c>
      <x:c r="F120" t="str">
        <x:f>IF(B120="","THIẾU",IF(COUNTIF($B$10:$B$141,B120)&gt;1,"TRÙNG","OK"))</x:f>
        <x:v>OK</x:v>
      </x:c>
      <x:c r="G120" t="str">
        <x:v>PROFILE_DRAFT</x:v>
      </x:c>
    </x:row>
    <x:row r="121">
      <x:c r="A121" t="n">
        <x:v>112</x:v>
      </x:c>
      <x:c r="B121" t="str">
        <x:f>BANG_HD05!B52</x:f>
        <x:v>HD05.N.BANG.O.LE_TRONG</x:v>
      </x:c>
      <x:c r="C121" t="str">
        <x:f>BANG_HD05!C52</x:f>
        <x:v>HD05.N.BANG.O</x:v>
      </x:c>
      <x:c r="D121" t="str">
        <x:v>HD05</x:v>
      </x:c>
      <x:c r="E121" t="str">
        <x:v>GỐC</x:v>
      </x:c>
      <x:c r="F121" t="str">
        <x:f>IF(B121="","THIẾU",IF(COUNTIF($B$10:$B$141,B121)&gt;1,"TRÙNG","OK"))</x:f>
        <x:v>OK</x:v>
      </x:c>
      <x:c r="G121" t="str">
        <x:v>PROFILE_DRAFT</x:v>
      </x:c>
    </x:row>
    <x:row r="122">
      <x:c r="A122" t="n">
        <x:v>113</x:v>
      </x:c>
      <x:c r="B122" t="str">
        <x:f>BANG_HD05!B53</x:f>
        <x:v>HD05.N.BANG.O.XUONG_DONG</x:v>
      </x:c>
      <x:c r="C122" t="str">
        <x:f>BANG_HD05!C53</x:f>
        <x:v>HD05.N.BANG.O</x:v>
      </x:c>
      <x:c r="D122" t="str">
        <x:v>HD05</x:v>
      </x:c>
      <x:c r="E122" t="str">
        <x:v>GỐC</x:v>
      </x:c>
      <x:c r="F122" t="str">
        <x:f>IF(B122="","THIẾU",IF(COUNTIF($B$10:$B$141,B122)&gt;1,"TRÙNG","OK"))</x:f>
        <x:v>OK</x:v>
      </x:c>
      <x:c r="G122" t="str">
        <x:v>PROFILE_DRAFT</x:v>
      </x:c>
    </x:row>
    <x:row r="123">
      <x:c r="A123" t="n">
        <x:v>114</x:v>
      </x:c>
      <x:c r="B123" t="str">
        <x:f>BANG_HD05!B54</x:f>
        <x:v>HD05.N.BANG.O.TO_NEN</x:v>
      </x:c>
      <x:c r="C123" t="str">
        <x:f>BANG_HD05!C54</x:f>
        <x:v>HD05.N.BANG.O</x:v>
      </x:c>
      <x:c r="D123" t="str">
        <x:v>HD05</x:v>
      </x:c>
      <x:c r="E123" t="str">
        <x:v>GỐC</x:v>
      </x:c>
      <x:c r="F123" t="str">
        <x:f>IF(B123="","THIẾU",IF(COUNTIF($B$10:$B$141,B123)&gt;1,"TRÙNG","OK"))</x:f>
        <x:v>OK</x:v>
      </x:c>
      <x:c r="G123" t="str">
        <x:v>PROFILE_DRAFT</x:v>
      </x:c>
    </x:row>
    <x:row r="124">
      <x:c r="A124" t="n">
        <x:v>115</x:v>
      </x:c>
      <x:c r="B124" t="str">
        <x:f>BANG_HD05!B55</x:f>
        <x:v>HD05.N.BANG.O.DINH_DANG_SO</x:v>
      </x:c>
      <x:c r="C124" t="str">
        <x:f>BANG_HD05!C55</x:f>
        <x:v>HD05.N.BANG.O</x:v>
      </x:c>
      <x:c r="D124" t="str">
        <x:v>HD05</x:v>
      </x:c>
      <x:c r="E124" t="str">
        <x:v>GỐC</x:v>
      </x:c>
      <x:c r="F124" t="str">
        <x:f>IF(B124="","THIẾU",IF(COUNTIF($B$10:$B$141,B124)&gt;1,"TRÙNG","OK"))</x:f>
        <x:v>OK</x:v>
      </x:c>
      <x:c r="G124" t="str">
        <x:v>PRESERVE_ONLY</x:v>
      </x:c>
    </x:row>
    <x:row r="125">
      <x:c r="A125" t="n">
        <x:v>116</x:v>
      </x:c>
      <x:c r="B125" t="str">
        <x:f>BANG_HD05!B56</x:f>
        <x:v>HD05.N.BANG.O.DU_LIEU</x:v>
      </x:c>
      <x:c r="C125" t="str">
        <x:f>BANG_HD05!C56</x:f>
        <x:v>HD05.N.BANG.O</x:v>
      </x:c>
      <x:c r="D125" t="str">
        <x:v>HD05</x:v>
      </x:c>
      <x:c r="E125" t="str">
        <x:v>GỐC</x:v>
      </x:c>
      <x:c r="F125" t="str">
        <x:f>IF(B125="","THIẾU",IF(COUNTIF($B$10:$B$141,B125)&gt;1,"TRÙNG","OK"))</x:f>
        <x:v>OK</x:v>
      </x:c>
      <x:c r="G125" t="str">
        <x:v>PRESERVE_ONLY</x:v>
      </x:c>
    </x:row>
    <x:row r="126">
      <x:c r="A126" t="n">
        <x:v>117</x:v>
      </x:c>
      <x:c r="B126" t="str">
        <x:f>BANG_HD05!B57</x:f>
        <x:v>HD05.N.BANG.VIEN.NGOAI</x:v>
      </x:c>
      <x:c r="C126" t="str">
        <x:f>BANG_HD05!C57</x:f>
        <x:v>HD05.N.BANG.VIEN</x:v>
      </x:c>
      <x:c r="D126" t="str">
        <x:v>HD05</x:v>
      </x:c>
      <x:c r="E126" t="str">
        <x:v>NHÓM MỚI (CHƯA NHẬP REGISTRY)</x:v>
      </x:c>
      <x:c r="F126" t="str">
        <x:f>IF(B126="","THIẾU",IF(COUNTIF($B$10:$B$141,B126)&gt;1,"TRÙNG","OK"))</x:f>
        <x:v>OK</x:v>
      </x:c>
      <x:c r="G126" t="str">
        <x:v>PROFILE_DRAFT</x:v>
      </x:c>
    </x:row>
    <x:row r="127">
      <x:c r="A127" t="n">
        <x:v>118</x:v>
      </x:c>
      <x:c r="B127" t="str">
        <x:f>BANG_HD05!B58</x:f>
        <x:v>HD05.N.BANG.VIEN.NGANG</x:v>
      </x:c>
      <x:c r="C127" t="str">
        <x:f>BANG_HD05!C58</x:f>
        <x:v>HD05.N.BANG.VIEN</x:v>
      </x:c>
      <x:c r="D127" t="str">
        <x:v>HD05</x:v>
      </x:c>
      <x:c r="E127" t="str">
        <x:v>NHÓM MỚI (CHƯA NHẬP REGISTRY)</x:v>
      </x:c>
      <x:c r="F127" t="str">
        <x:f>IF(B127="","THIẾU",IF(COUNTIF($B$10:$B$141,B127)&gt;1,"TRÙNG","OK"))</x:f>
        <x:v>OK</x:v>
      </x:c>
      <x:c r="G127" t="str">
        <x:v>PROFILE_DRAFT</x:v>
      </x:c>
    </x:row>
    <x:row r="128">
      <x:c r="A128" t="n">
        <x:v>119</x:v>
      </x:c>
      <x:c r="B128" t="str">
        <x:f>BANG_HD05!B59</x:f>
        <x:v>HD05.N.BANG.VIEN.DOC</x:v>
      </x:c>
      <x:c r="C128" t="str">
        <x:f>BANG_HD05!C59</x:f>
        <x:v>HD05.N.BANG.VIEN</x:v>
      </x:c>
      <x:c r="D128" t="str">
        <x:v>HD05</x:v>
      </x:c>
      <x:c r="E128" t="str">
        <x:v>NHÓM MỚI (CHƯA NHẬP REGISTRY)</x:v>
      </x:c>
      <x:c r="F128" t="str">
        <x:f>IF(B128="","THIẾU",IF(COUNTIF($B$10:$B$141,B128)&gt;1,"TRÙNG","OK"))</x:f>
        <x:v>OK</x:v>
      </x:c>
      <x:c r="G128" t="str">
        <x:v>PROFILE_DRAFT</x:v>
      </x:c>
    </x:row>
    <x:row r="129">
      <x:c r="A129" t="n">
        <x:v>120</x:v>
      </x:c>
      <x:c r="B129" t="str">
        <x:f>BANG_HD05!B60</x:f>
        <x:v>HD05.N.BANG.VIEN.DO_DAY</x:v>
      </x:c>
      <x:c r="C129" t="str">
        <x:f>BANG_HD05!C60</x:f>
        <x:v>HD05.N.BANG.VIEN</x:v>
      </x:c>
      <x:c r="D129" t="str">
        <x:v>HD05</x:v>
      </x:c>
      <x:c r="E129" t="str">
        <x:v>NHÓM MỚI (CHƯA NHẬP REGISTRY)</x:v>
      </x:c>
      <x:c r="F129" t="str">
        <x:f>IF(B129="","THIẾU",IF(COUNTIF($B$10:$B$141,B129)&gt;1,"TRÙNG","OK"))</x:f>
        <x:v>OK</x:v>
      </x:c>
      <x:c r="G129" t="str">
        <x:v>PROFILE_DRAFT</x:v>
      </x:c>
    </x:row>
    <x:row r="130">
      <x:c r="A130" t="n">
        <x:v>121</x:v>
      </x:c>
      <x:c r="B130" t="str">
        <x:f>BANG_HD05!B61</x:f>
        <x:v>HD05.N.BANG.GOP_O.NGANG</x:v>
      </x:c>
      <x:c r="C130" t="str">
        <x:f>BANG_HD05!C61</x:f>
        <x:v>HD05.N.BANG.GOP_O</x:v>
      </x:c>
      <x:c r="D130" t="str">
        <x:v>HD05</x:v>
      </x:c>
      <x:c r="E130" t="str">
        <x:v>GỐC</x:v>
      </x:c>
      <x:c r="F130" t="str">
        <x:f>IF(B130="","THIẾU",IF(COUNTIF($B$10:$B$141,B130)&gt;1,"TRÙNG","OK"))</x:f>
        <x:v>OK</x:v>
      </x:c>
      <x:c r="G130" t="str">
        <x:v>PRESERVE_ONLY</x:v>
      </x:c>
    </x:row>
    <x:row r="131">
      <x:c r="A131" t="n">
        <x:v>122</x:v>
      </x:c>
      <x:c r="B131" t="str">
        <x:f>BANG_HD05!B62</x:f>
        <x:v>HD05.N.BANG.GOP_O.DOC</x:v>
      </x:c>
      <x:c r="C131" t="str">
        <x:f>BANG_HD05!C62</x:f>
        <x:v>HD05.N.BANG.GOP_O</x:v>
      </x:c>
      <x:c r="D131" t="str">
        <x:v>HD05</x:v>
      </x:c>
      <x:c r="E131" t="str">
        <x:v>GỐC</x:v>
      </x:c>
      <x:c r="F131" t="str">
        <x:f>IF(B131="","THIẾU",IF(COUNTIF($B$10:$B$141,B131)&gt;1,"TRÙNG","OK"))</x:f>
        <x:v>OK</x:v>
      </x:c>
      <x:c r="G131" t="str">
        <x:v>PRESERVE_ONLY</x:v>
      </x:c>
    </x:row>
    <x:row r="132">
      <x:c r="A132" t="n">
        <x:v>123</x:v>
      </x:c>
      <x:c r="B132" t="str">
        <x:f>BANG_HD05!B63</x:f>
        <x:v>HD05.N.BANG.GOP_O.TINH_TOAN</x:v>
      </x:c>
      <x:c r="C132" t="str">
        <x:f>BANG_HD05!C63</x:f>
        <x:v>HD05.N.BANG.GOP_O</x:v>
      </x:c>
      <x:c r="D132" t="str">
        <x:v>HD05</x:v>
      </x:c>
      <x:c r="E132" t="str">
        <x:v>GỐC</x:v>
      </x:c>
      <x:c r="F132" t="str">
        <x:f>IF(B132="","THIẾU",IF(COUNTIF($B$10:$B$141,B132)&gt;1,"TRÙNG","OK"))</x:f>
        <x:v>OK</x:v>
      </x:c>
      <x:c r="G132" t="str">
        <x:v>PRESERVE_ONLY</x:v>
      </x:c>
    </x:row>
    <x:row r="133">
      <x:c r="A133" t="n">
        <x:v>124</x:v>
      </x:c>
      <x:c r="B133" t="str">
        <x:f>BANG_HD05!B64</x:f>
        <x:v>HD05.N.BANG.NGAT_TRANG.GIU_DAU_BANG</x:v>
      </x:c>
      <x:c r="C133" t="str">
        <x:f>BANG_HD05!C64</x:f>
        <x:v>HD05.N.BANG.NGAT_TRANG</x:v>
      </x:c>
      <x:c r="D133" t="str">
        <x:v>HD05</x:v>
      </x:c>
      <x:c r="E133" t="str">
        <x:v>NHÓM MỚI (CHƯA NHẬP REGISTRY)</x:v>
      </x:c>
      <x:c r="F133" t="str">
        <x:f>IF(B133="","THIẾU",IF(COUNTIF($B$10:$B$141,B133)&gt;1,"TRÙNG","OK"))</x:f>
        <x:v>OK</x:v>
      </x:c>
      <x:c r="G133" t="str">
        <x:v>PROFILE_DRAFT</x:v>
      </x:c>
    </x:row>
    <x:row r="134">
      <x:c r="A134" t="n">
        <x:v>125</x:v>
      </x:c>
      <x:c r="B134" t="str">
        <x:f>BANG_HD05!B65</x:f>
        <x:v>HD05.N.BANG.NGAT_TRANG.BANG_DAI</x:v>
      </x:c>
      <x:c r="C134" t="str">
        <x:f>BANG_HD05!C65</x:f>
        <x:v>HD05.N.BANG.NGAT_TRANG</x:v>
      </x:c>
      <x:c r="D134" t="str">
        <x:v>HD05</x:v>
      </x:c>
      <x:c r="E134" t="str">
        <x:v>NHÓM MỚI (CHƯA NHẬP REGISTRY)</x:v>
      </x:c>
      <x:c r="F134" t="str">
        <x:f>IF(B134="","THIẾU",IF(COUNTIF($B$10:$B$141,B134)&gt;1,"TRÙNG","OK"))</x:f>
        <x:v>OK</x:v>
      </x:c>
      <x:c r="G134" t="str">
        <x:v>PROFILE_DRAFT</x:v>
      </x:c>
    </x:row>
    <x:row r="135">
      <x:c r="A135" t="n">
        <x:v>126</x:v>
      </x:c>
      <x:c r="B135" t="str">
        <x:f>BANG_HD05!B66</x:f>
        <x:v>HD05.N.BANG.NGAT_TRANG.KHONG_HANG_MO_COI</x:v>
      </x:c>
      <x:c r="C135" t="str">
        <x:f>BANG_HD05!C66</x:f>
        <x:v>HD05.N.BANG.NGAT_TRANG</x:v>
      </x:c>
      <x:c r="D135" t="str">
        <x:v>HD05</x:v>
      </x:c>
      <x:c r="E135" t="str">
        <x:v>NHÓM MỚI (CHƯA NHẬP REGISTRY)</x:v>
      </x:c>
      <x:c r="F135" t="str">
        <x:f>IF(B135="","THIẾU",IF(COUNTIF($B$10:$B$141,B135)&gt;1,"TRÙNG","OK"))</x:f>
        <x:v>OK</x:v>
      </x:c>
      <x:c r="G135" t="str">
        <x:v>TECHNICAL</x:v>
      </x:c>
    </x:row>
    <x:row r="136">
      <x:c r="A136" t="n">
        <x:v>127</x:v>
      </x:c>
      <x:c r="B136" t="str">
        <x:f>BANG_HD05!B67</x:f>
        <x:v>HD05.N.BANG.GHI_CHU.DON_VI</x:v>
      </x:c>
      <x:c r="C136" t="str">
        <x:f>BANG_HD05!C67</x:f>
        <x:v>HD05.N.BANG.GHI_CHU</x:v>
      </x:c>
      <x:c r="D136" t="str">
        <x:v>HD05</x:v>
      </x:c>
      <x:c r="E136" t="str">
        <x:v>NHÓM MỚI (CHƯA NHẬP REGISTRY)</x:v>
      </x:c>
      <x:c r="F136" t="str">
        <x:f>IF(B136="","THIẾU",IF(COUNTIF($B$10:$B$141,B136)&gt;1,"TRÙNG","OK"))</x:f>
        <x:v>OK</x:v>
      </x:c>
      <x:c r="G136" t="str">
        <x:v>PRESERVE_ONLY</x:v>
      </x:c>
    </x:row>
    <x:row r="137">
      <x:c r="A137" t="n">
        <x:v>128</x:v>
      </x:c>
      <x:c r="B137" t="str">
        <x:f>BANG_HD05!B68</x:f>
        <x:v>HD05.N.BANG.GHI_CHU.NGUON</x:v>
      </x:c>
      <x:c r="C137" t="str">
        <x:f>BANG_HD05!C68</x:f>
        <x:v>HD05.N.BANG.GHI_CHU</x:v>
      </x:c>
      <x:c r="D137" t="str">
        <x:v>HD05</x:v>
      </x:c>
      <x:c r="E137" t="str">
        <x:v>NHÓM MỚI (CHƯA NHẬP REGISTRY)</x:v>
      </x:c>
      <x:c r="F137" t="str">
        <x:f>IF(B137="","THIẾU",IF(COUNTIF($B$10:$B$141,B137)&gt;1,"TRÙNG","OK"))</x:f>
        <x:v>OK</x:v>
      </x:c>
      <x:c r="G137" t="str">
        <x:v>PRESERVE_ONLY</x:v>
      </x:c>
    </x:row>
    <x:row r="138">
      <x:c r="A138" t="n">
        <x:v>129</x:v>
      </x:c>
      <x:c r="B138" t="str">
        <x:f>BANG_HD05!B69</x:f>
        <x:v>HD05.N.BANG.GHI_CHU.CHU_THICH</x:v>
      </x:c>
      <x:c r="C138" t="str">
        <x:f>BANG_HD05!C69</x:f>
        <x:v>HD05.N.BANG.GHI_CHU</x:v>
      </x:c>
      <x:c r="D138" t="str">
        <x:v>HD05</x:v>
      </x:c>
      <x:c r="E138" t="str">
        <x:v>NHÓM MỚI (CHƯA NHẬP REGISTRY)</x:v>
      </x:c>
      <x:c r="F138" t="str">
        <x:f>IF(B138="","THIẾU",IF(COUNTIF($B$10:$B$141,B138)&gt;1,"TRÙNG","OK"))</x:f>
        <x:v>OK</x:v>
      </x:c>
      <x:c r="G138" t="str">
        <x:v>PRESERVE_ONLY</x:v>
      </x:c>
    </x:row>
    <x:row r="139">
      <x:c r="A139" t="n">
        <x:v>130</x:v>
      </x:c>
      <x:c r="B139" t="str">
        <x:f>BANG_HD05!B70</x:f>
        <x:v>HD05.N.BANG.GHI_CHU.CACH_BANG</x:v>
      </x:c>
      <x:c r="C139" t="str">
        <x:f>BANG_HD05!C70</x:f>
        <x:v>HD05.N.BANG.GHI_CHU</x:v>
      </x:c>
      <x:c r="D139" t="str">
        <x:v>HD05</x:v>
      </x:c>
      <x:c r="E139" t="str">
        <x:v>NHÓM MỚI (CHƯA NHẬP REGISTRY)</x:v>
      </x:c>
      <x:c r="F139" t="str">
        <x:f>IF(B139="","THIẾU",IF(COUNTIF($B$10:$B$141,B139)&gt;1,"TRÙNG","OK"))</x:f>
        <x:v>OK</x:v>
      </x:c>
      <x:c r="G139" t="str">
        <x:v>PROFILE_DRAFT</x:v>
      </x:c>
    </x:row>
    <x:row r="140">
      <x:c r="A140" t="n">
        <x:v>131</x:v>
      </x:c>
      <x:c r="B140" t="str">
        <x:f>BANG_HD05!B71</x:f>
        <x:v>HD05.N.BANG.BANG_LONG.NHAN_DIEN</x:v>
      </x:c>
      <x:c r="C140" t="str">
        <x:f>BANG_HD05!C71</x:f>
        <x:v>HD05.N.BANG.BANG_LONG</x:v>
      </x:c>
      <x:c r="D140" t="str">
        <x:v>HD05</x:v>
      </x:c>
      <x:c r="E140" t="str">
        <x:v>NHÓM MỚI (CHƯA NHẬP REGISTRY)</x:v>
      </x:c>
      <x:c r="F140" t="str">
        <x:f>IF(B140="","THIẾU",IF(COUNTIF($B$10:$B$141,B140)&gt;1,"TRÙNG","OK"))</x:f>
        <x:v>OK</x:v>
      </x:c>
      <x:c r="G140" t="str">
        <x:v>TECHNICAL</x:v>
      </x:c>
    </x:row>
    <x:row r="141">
      <x:c r="A141" t="n">
        <x:v>132</x:v>
      </x:c>
      <x:c r="B141" t="str">
        <x:f>BANG_HD05!B72</x:f>
        <x:v>HD05.N.BANG.BANG_LONG.BAO_TOAN</x:v>
      </x:c>
      <x:c r="C141" t="str">
        <x:f>BANG_HD05!C72</x:f>
        <x:v>HD05.N.BANG.BANG_LONG</x:v>
      </x:c>
      <x:c r="D141" t="str">
        <x:v>HD05</x:v>
      </x:c>
      <x:c r="E141" t="str">
        <x:v>NHÓM MỚI (CHƯA NHẬP REGISTRY)</x:v>
      </x:c>
      <x:c r="F141" t="str">
        <x:f>IF(B141="","THIẾU",IF(COUNTIF($B$10:$B$141,B141)&gt;1,"TRÙNG","OK"))</x:f>
        <x:v>OK</x:v>
      </x:c>
      <x:c r="G141" t="str">
        <x:v>PRESERVE_ONLY</x:v>
      </x:c>
    </x:row>
  </x:sheetData>
  <x:mergeCells>
    <x:mergeCell ref="A1:J1"/>
    <x:mergeCell ref="A2:J2"/>
  </x:mergeCells>
  <x:pageMargins left="0.7" right="0.7" top="0.75" bottom="0.75" header="0.3" footer="0.3"/>
  <x:tableParts count="1">
    <x:tablePart xmlns:r="http://schemas.openxmlformats.org/officeDocument/2006/relationships" r:id="Rd75c54bba0144470"/>
  </x:tableParts>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37" hidden="0" customWidth="1"/>
    <x:col min="3" max="3" width="28" hidden="0" customWidth="1"/>
    <x:col min="4" max="4" width="29" hidden="0" customWidth="1"/>
    <x:col min="5" max="5" width="15" hidden="0" customWidth="1"/>
    <x:col min="6" max="6" width="39" hidden="0" customWidth="1"/>
    <x:col min="7" max="7" width="58" hidden="0" customWidth="1"/>
  </x:cols>
  <x:sheetData>
    <x:row r="1" ht="34" customHeight="1">
      <x:c r="A1" s="241" t="str">
        <x:v>HỆ</x:v>
      </x:c>
      <x:c r="B1" s="241" t="str">
        <x:v>MÃ NHÓM</x:v>
      </x:c>
      <x:c r="C1" s="241" t="str">
        <x:v>TÊN NHÓM</x:v>
      </x:c>
      <x:c r="D1" s="241" t="str">
        <x:v>TRẠNG THÁI</x:v>
      </x:c>
      <x:c r="E1" s="241" t="str">
        <x:v>SỐ TRƯỜNG CON</x:v>
      </x:c>
      <x:c r="F1" s="241" t="str">
        <x:v>VAI TRÒ</x:v>
      </x:c>
      <x:c r="G1" s="241" t="str">
        <x:v>GHI CHÚ</x:v>
      </x:c>
    </x:row>
    <x:row r="2" ht="39" customHeight="1">
      <x:c r="A2" s="103" t="str">
        <x:v>ND30</x:v>
      </x:c>
      <x:c r="B2" s="103" t="str">
        <x:v>ND30.N.BANG.BO_CUC</x:v>
      </x:c>
      <x:c r="C2" s="103" t="str">
        <x:v>Bố cục bảng</x:v>
      </x:c>
      <x:c r="D2" s="103" t="str">
        <x:v>NHÓM PHÂN LOẠI BỔ SUNG</x:v>
      </x:c>
      <x:c r="E2" s="103" t="n">
        <x:v>11</x:v>
      </x:c>
      <x:c r="F2" s="103" t="str">
        <x:v>Phân nhóm trường bảng trong nội dung chính</x:v>
      </x:c>
      <x:c r="G2" s="103" t="str">
        <x:v>Không thêm mã thành phần chính mới; nhóm chỉ phục vụ tra cứu và chỉ dẫn ChatGPT.</x:v>
      </x:c>
    </x:row>
    <x:row r="3" ht="39" customHeight="1">
      <x:c r="A3" s="103" t="str">
        <x:v>ND30</x:v>
      </x:c>
      <x:c r="B3" s="103" t="str">
        <x:v>ND30.N.BANG.TIEU_DE</x:v>
      </x:c>
      <x:c r="C3" s="103" t="str">
        <x:v>Tiêu đề bảng</x:v>
      </x:c>
      <x:c r="D3" s="103" t="str">
        <x:v>CÓ MÃ CHA TRONG 165</x:v>
      </x:c>
      <x:c r="E3" s="103" t="n">
        <x:v>5</x:v>
      </x:c>
      <x:c r="F3" s="103" t="str">
        <x:v>Phân nhóm trường bảng trong nội dung chính</x:v>
      </x:c>
      <x:c r="G3" s="103" t="str">
        <x:v>Không thêm mã thành phần chính mới; nhóm chỉ phục vụ tra cứu và chỉ dẫn ChatGPT.</x:v>
      </x:c>
    </x:row>
    <x:row r="4" ht="39" customHeight="1">
      <x:c r="A4" s="103" t="str">
        <x:v>ND30</x:v>
      </x:c>
      <x:c r="B4" s="103" t="str">
        <x:v>ND30.N.BANG.DAU_BANG</x:v>
      </x:c>
      <x:c r="C4" s="103" t="str">
        <x:v>Hàng tiêu đề</x:v>
      </x:c>
      <x:c r="D4" s="103" t="str">
        <x:v>CÓ MÃ CHA TRONG 165</x:v>
      </x:c>
      <x:c r="E4" s="103" t="n">
        <x:v>8</x:v>
      </x:c>
      <x:c r="F4" s="103" t="str">
        <x:v>Phân nhóm trường bảng trong nội dung chính</x:v>
      </x:c>
      <x:c r="G4" s="103" t="str">
        <x:v>Không thêm mã thành phần chính mới; nhóm chỉ phục vụ tra cứu và chỉ dẫn ChatGPT.</x:v>
      </x:c>
    </x:row>
    <x:row r="5" ht="39" customHeight="1">
      <x:c r="A5" s="103" t="str">
        <x:v>ND30</x:v>
      </x:c>
      <x:c r="B5" s="103" t="str">
        <x:v>ND30.N.BANG.COT</x:v>
      </x:c>
      <x:c r="C5" s="103" t="str">
        <x:v>Cột</x:v>
      </x:c>
      <x:c r="D5" s="103" t="str">
        <x:v>NHÓM PHÂN LOẠI BỔ SUNG</x:v>
      </x:c>
      <x:c r="E5" s="103" t="n">
        <x:v>5</x:v>
      </x:c>
      <x:c r="F5" s="103" t="str">
        <x:v>Phân nhóm trường bảng trong nội dung chính</x:v>
      </x:c>
      <x:c r="G5" s="103" t="str">
        <x:v>Không thêm mã thành phần chính mới; nhóm chỉ phục vụ tra cứu và chỉ dẫn ChatGPT.</x:v>
      </x:c>
    </x:row>
    <x:row r="6" ht="39" customHeight="1">
      <x:c r="A6" s="103" t="str">
        <x:v>ND30</x:v>
      </x:c>
      <x:c r="B6" s="103" t="str">
        <x:v>ND30.N.BANG.HANG</x:v>
      </x:c>
      <x:c r="C6" s="103" t="str">
        <x:v>Hàng</x:v>
      </x:c>
      <x:c r="D6" s="103" t="str">
        <x:v>CÓ MÃ CHA TRONG 165</x:v>
      </x:c>
      <x:c r="E6" s="103" t="n">
        <x:v>7</x:v>
      </x:c>
      <x:c r="F6" s="103" t="str">
        <x:v>Phân nhóm trường bảng trong nội dung chính</x:v>
      </x:c>
      <x:c r="G6" s="103" t="str">
        <x:v>Không thêm mã thành phần chính mới; nhóm chỉ phục vụ tra cứu và chỉ dẫn ChatGPT.</x:v>
      </x:c>
    </x:row>
    <x:row r="7" ht="39" customHeight="1">
      <x:c r="A7" s="103" t="str">
        <x:v>ND30</x:v>
      </x:c>
      <x:c r="B7" s="103" t="str">
        <x:v>ND30.N.BANG.O</x:v>
      </x:c>
      <x:c r="C7" s="103" t="str">
        <x:v>Ô và nội dung ô</x:v>
      </x:c>
      <x:c r="D7" s="103" t="str">
        <x:v>CÓ MÃ CHA TRONG 165</x:v>
      </x:c>
      <x:c r="E7" s="103" t="n">
        <x:v>14</x:v>
      </x:c>
      <x:c r="F7" s="103" t="str">
        <x:v>Phân nhóm trường bảng trong nội dung chính</x:v>
      </x:c>
      <x:c r="G7" s="103" t="str">
        <x:v>Không thêm mã thành phần chính mới; nhóm chỉ phục vụ tra cứu và chỉ dẫn ChatGPT.</x:v>
      </x:c>
    </x:row>
    <x:row r="8" ht="39" customHeight="1">
      <x:c r="A8" s="103" t="str">
        <x:v>ND30</x:v>
      </x:c>
      <x:c r="B8" s="103" t="str">
        <x:v>ND30.N.BANG.VIEN</x:v>
      </x:c>
      <x:c r="C8" s="103" t="str">
        <x:v>Đường viền</x:v>
      </x:c>
      <x:c r="D8" s="103" t="str">
        <x:v>NHÓM PHÂN LOẠI BỔ SUNG</x:v>
      </x:c>
      <x:c r="E8" s="103" t="n">
        <x:v>4</x:v>
      </x:c>
      <x:c r="F8" s="103" t="str">
        <x:v>Phân nhóm trường bảng trong nội dung chính</x:v>
      </x:c>
      <x:c r="G8" s="103" t="str">
        <x:v>Không thêm mã thành phần chính mới; nhóm chỉ phục vụ tra cứu và chỉ dẫn ChatGPT.</x:v>
      </x:c>
    </x:row>
    <x:row r="9" ht="39" customHeight="1">
      <x:c r="A9" s="103" t="str">
        <x:v>ND30</x:v>
      </x:c>
      <x:c r="B9" s="103" t="str">
        <x:v>ND30.N.BANG.GOP_O</x:v>
      </x:c>
      <x:c r="C9" s="103" t="str">
        <x:v>Ô gộp</x:v>
      </x:c>
      <x:c r="D9" s="103" t="str">
        <x:v>CÓ MÃ CHA TRONG 165</x:v>
      </x:c>
      <x:c r="E9" s="103" t="n">
        <x:v>3</x:v>
      </x:c>
      <x:c r="F9" s="103" t="str">
        <x:v>Phân nhóm trường bảng trong nội dung chính</x:v>
      </x:c>
      <x:c r="G9" s="103" t="str">
        <x:v>Không thêm mã thành phần chính mới; nhóm chỉ phục vụ tra cứu và chỉ dẫn ChatGPT.</x:v>
      </x:c>
    </x:row>
    <x:row r="10" ht="39" customHeight="1">
      <x:c r="A10" s="103" t="str">
        <x:v>ND30</x:v>
      </x:c>
      <x:c r="B10" s="103" t="str">
        <x:v>ND30.N.BANG.NGAT_TRANG</x:v>
      </x:c>
      <x:c r="C10" s="103" t="str">
        <x:v>Phân trang bảng</x:v>
      </x:c>
      <x:c r="D10" s="103" t="str">
        <x:v>NHÓM PHÂN LOẠI BỔ SUNG</x:v>
      </x:c>
      <x:c r="E10" s="103" t="n">
        <x:v>3</x:v>
      </x:c>
      <x:c r="F10" s="103" t="str">
        <x:v>Phân nhóm trường bảng trong nội dung chính</x:v>
      </x:c>
      <x:c r="G10" s="103" t="str">
        <x:v>Không thêm mã thành phần chính mới; nhóm chỉ phục vụ tra cứu và chỉ dẫn ChatGPT.</x:v>
      </x:c>
    </x:row>
    <x:row r="11" ht="39" customHeight="1">
      <x:c r="A11" s="103" t="str">
        <x:v>ND30</x:v>
      </x:c>
      <x:c r="B11" s="103" t="str">
        <x:v>ND30.N.BANG.GHI_CHU</x:v>
      </x:c>
      <x:c r="C11" s="103" t="str">
        <x:v>Nguồn, chú thích, đơn vị</x:v>
      </x:c>
      <x:c r="D11" s="103" t="str">
        <x:v>NHÓM PHÂN LOẠI BỔ SUNG</x:v>
      </x:c>
      <x:c r="E11" s="103" t="n">
        <x:v>4</x:v>
      </x:c>
      <x:c r="F11" s="103" t="str">
        <x:v>Phân nhóm trường bảng trong nội dung chính</x:v>
      </x:c>
      <x:c r="G11" s="103" t="str">
        <x:v>Không thêm mã thành phần chính mới; nhóm chỉ phục vụ tra cứu và chỉ dẫn ChatGPT.</x:v>
      </x:c>
    </x:row>
    <x:row r="12" ht="39" customHeight="1">
      <x:c r="A12" s="103" t="str">
        <x:v>ND30</x:v>
      </x:c>
      <x:c r="B12" s="103" t="str">
        <x:v>ND30.N.BANG.BANG_LONG</x:v>
      </x:c>
      <x:c r="C12" s="103" t="str">
        <x:v>Bảng lồng</x:v>
      </x:c>
      <x:c r="D12" s="103" t="str">
        <x:v>NHÓM PHÂN LOẠI BỔ SUNG</x:v>
      </x:c>
      <x:c r="E12" s="103" t="n">
        <x:v>2</x:v>
      </x:c>
      <x:c r="F12" s="103" t="str">
        <x:v>Phân nhóm trường bảng trong nội dung chính</x:v>
      </x:c>
      <x:c r="G12" s="103" t="str">
        <x:v>Không thêm mã thành phần chính mới; nhóm chỉ phục vụ tra cứu và chỉ dẫn ChatGPT.</x:v>
      </x:c>
    </x:row>
    <x:row r="13" ht="39" customHeight="1">
      <x:c r="A13" s="103" t="str">
        <x:v>HD05</x:v>
      </x:c>
      <x:c r="B13" s="103" t="str">
        <x:v>HD05.N.BANG.BO_CUC</x:v>
      </x:c>
      <x:c r="C13" s="103" t="str">
        <x:v>Bố cục bảng</x:v>
      </x:c>
      <x:c r="D13" s="103" t="str">
        <x:v>NHÓM PHÂN LOẠI BỔ SUNG</x:v>
      </x:c>
      <x:c r="E13" s="103" t="n">
        <x:v>11</x:v>
      </x:c>
      <x:c r="F13" s="103" t="str">
        <x:v>Phân nhóm trường bảng trong nội dung chính</x:v>
      </x:c>
      <x:c r="G13" s="103" t="str">
        <x:v>Không thêm mã thành phần chính mới; nhóm chỉ phục vụ tra cứu và chỉ dẫn ChatGPT.</x:v>
      </x:c>
    </x:row>
    <x:row r="14" ht="39" customHeight="1">
      <x:c r="A14" s="103" t="str">
        <x:v>HD05</x:v>
      </x:c>
      <x:c r="B14" s="103" t="str">
        <x:v>HD05.N.BANG.TIEU_DE</x:v>
      </x:c>
      <x:c r="C14" s="103" t="str">
        <x:v>Tiêu đề bảng</x:v>
      </x:c>
      <x:c r="D14" s="103" t="str">
        <x:v>CÓ MÃ CHA TRONG 165</x:v>
      </x:c>
      <x:c r="E14" s="103" t="n">
        <x:v>5</x:v>
      </x:c>
      <x:c r="F14" s="103" t="str">
        <x:v>Phân nhóm trường bảng trong nội dung chính</x:v>
      </x:c>
      <x:c r="G14" s="103" t="str">
        <x:v>Không thêm mã thành phần chính mới; nhóm chỉ phục vụ tra cứu và chỉ dẫn ChatGPT.</x:v>
      </x:c>
    </x:row>
    <x:row r="15" ht="39" customHeight="1">
      <x:c r="A15" s="103" t="str">
        <x:v>HD05</x:v>
      </x:c>
      <x:c r="B15" s="103" t="str">
        <x:v>HD05.N.BANG.DAU_BANG</x:v>
      </x:c>
      <x:c r="C15" s="103" t="str">
        <x:v>Hàng tiêu đề</x:v>
      </x:c>
      <x:c r="D15" s="103" t="str">
        <x:v>CÓ MÃ CHA TRONG 165</x:v>
      </x:c>
      <x:c r="E15" s="103" t="n">
        <x:v>8</x:v>
      </x:c>
      <x:c r="F15" s="103" t="str">
        <x:v>Phân nhóm trường bảng trong nội dung chính</x:v>
      </x:c>
      <x:c r="G15" s="103" t="str">
        <x:v>Không thêm mã thành phần chính mới; nhóm chỉ phục vụ tra cứu và chỉ dẫn ChatGPT.</x:v>
      </x:c>
    </x:row>
    <x:row r="16" ht="39" customHeight="1">
      <x:c r="A16" s="103" t="str">
        <x:v>HD05</x:v>
      </x:c>
      <x:c r="B16" s="103" t="str">
        <x:v>HD05.N.BANG.COT</x:v>
      </x:c>
      <x:c r="C16" s="103" t="str">
        <x:v>Cột</x:v>
      </x:c>
      <x:c r="D16" s="103" t="str">
        <x:v>NHÓM PHÂN LOẠI BỔ SUNG</x:v>
      </x:c>
      <x:c r="E16" s="103" t="n">
        <x:v>5</x:v>
      </x:c>
      <x:c r="F16" s="103" t="str">
        <x:v>Phân nhóm trường bảng trong nội dung chính</x:v>
      </x:c>
      <x:c r="G16" s="103" t="str">
        <x:v>Không thêm mã thành phần chính mới; nhóm chỉ phục vụ tra cứu và chỉ dẫn ChatGPT.</x:v>
      </x:c>
    </x:row>
    <x:row r="17" ht="39" customHeight="1">
      <x:c r="A17" s="103" t="str">
        <x:v>HD05</x:v>
      </x:c>
      <x:c r="B17" s="103" t="str">
        <x:v>HD05.N.BANG.HANG</x:v>
      </x:c>
      <x:c r="C17" s="103" t="str">
        <x:v>Hàng</x:v>
      </x:c>
      <x:c r="D17" s="103" t="str">
        <x:v>CÓ MÃ CHA TRONG 165</x:v>
      </x:c>
      <x:c r="E17" s="103" t="n">
        <x:v>7</x:v>
      </x:c>
      <x:c r="F17" s="103" t="str">
        <x:v>Phân nhóm trường bảng trong nội dung chính</x:v>
      </x:c>
      <x:c r="G17" s="103" t="str">
        <x:v>Không thêm mã thành phần chính mới; nhóm chỉ phục vụ tra cứu và chỉ dẫn ChatGPT.</x:v>
      </x:c>
    </x:row>
    <x:row r="18" ht="39" customHeight="1">
      <x:c r="A18" s="103" t="str">
        <x:v>HD05</x:v>
      </x:c>
      <x:c r="B18" s="103" t="str">
        <x:v>HD05.N.BANG.O</x:v>
      </x:c>
      <x:c r="C18" s="103" t="str">
        <x:v>Ô và nội dung ô</x:v>
      </x:c>
      <x:c r="D18" s="103" t="str">
        <x:v>CÓ MÃ CHA TRONG 165</x:v>
      </x:c>
      <x:c r="E18" s="103" t="n">
        <x:v>14</x:v>
      </x:c>
      <x:c r="F18" s="103" t="str">
        <x:v>Phân nhóm trường bảng trong nội dung chính</x:v>
      </x:c>
      <x:c r="G18" s="103" t="str">
        <x:v>Không thêm mã thành phần chính mới; nhóm chỉ phục vụ tra cứu và chỉ dẫn ChatGPT.</x:v>
      </x:c>
    </x:row>
    <x:row r="19" ht="39" customHeight="1">
      <x:c r="A19" s="103" t="str">
        <x:v>HD05</x:v>
      </x:c>
      <x:c r="B19" s="103" t="str">
        <x:v>HD05.N.BANG.VIEN</x:v>
      </x:c>
      <x:c r="C19" s="103" t="str">
        <x:v>Đường viền</x:v>
      </x:c>
      <x:c r="D19" s="103" t="str">
        <x:v>NHÓM PHÂN LOẠI BỔ SUNG</x:v>
      </x:c>
      <x:c r="E19" s="103" t="n">
        <x:v>4</x:v>
      </x:c>
      <x:c r="F19" s="103" t="str">
        <x:v>Phân nhóm trường bảng trong nội dung chính</x:v>
      </x:c>
      <x:c r="G19" s="103" t="str">
        <x:v>Không thêm mã thành phần chính mới; nhóm chỉ phục vụ tra cứu và chỉ dẫn ChatGPT.</x:v>
      </x:c>
    </x:row>
    <x:row r="20" ht="39" customHeight="1">
      <x:c r="A20" s="103" t="str">
        <x:v>HD05</x:v>
      </x:c>
      <x:c r="B20" s="103" t="str">
        <x:v>HD05.N.BANG.GOP_O</x:v>
      </x:c>
      <x:c r="C20" s="103" t="str">
        <x:v>Ô gộp</x:v>
      </x:c>
      <x:c r="D20" s="103" t="str">
        <x:v>CÓ MÃ CHA TRONG 165</x:v>
      </x:c>
      <x:c r="E20" s="103" t="n">
        <x:v>3</x:v>
      </x:c>
      <x:c r="F20" s="103" t="str">
        <x:v>Phân nhóm trường bảng trong nội dung chính</x:v>
      </x:c>
      <x:c r="G20" s="103" t="str">
        <x:v>Không thêm mã thành phần chính mới; nhóm chỉ phục vụ tra cứu và chỉ dẫn ChatGPT.</x:v>
      </x:c>
    </x:row>
    <x:row r="21" ht="39" customHeight="1">
      <x:c r="A21" s="103" t="str">
        <x:v>HD05</x:v>
      </x:c>
      <x:c r="B21" s="103" t="str">
        <x:v>HD05.N.BANG.NGAT_TRANG</x:v>
      </x:c>
      <x:c r="C21" s="103" t="str">
        <x:v>Phân trang bảng</x:v>
      </x:c>
      <x:c r="D21" s="103" t="str">
        <x:v>NHÓM PHÂN LOẠI BỔ SUNG</x:v>
      </x:c>
      <x:c r="E21" s="103" t="n">
        <x:v>3</x:v>
      </x:c>
      <x:c r="F21" s="103" t="str">
        <x:v>Phân nhóm trường bảng trong nội dung chính</x:v>
      </x:c>
      <x:c r="G21" s="103" t="str">
        <x:v>Không thêm mã thành phần chính mới; nhóm chỉ phục vụ tra cứu và chỉ dẫn ChatGPT.</x:v>
      </x:c>
    </x:row>
    <x:row r="22" ht="39" customHeight="1">
      <x:c r="A22" s="103" t="str">
        <x:v>HD05</x:v>
      </x:c>
      <x:c r="B22" s="103" t="str">
        <x:v>HD05.N.BANG.GHI_CHU</x:v>
      </x:c>
      <x:c r="C22" s="103" t="str">
        <x:v>Nguồn, chú thích, đơn vị</x:v>
      </x:c>
      <x:c r="D22" s="103" t="str">
        <x:v>NHÓM PHÂN LOẠI BỔ SUNG</x:v>
      </x:c>
      <x:c r="E22" s="103" t="n">
        <x:v>4</x:v>
      </x:c>
      <x:c r="F22" s="103" t="str">
        <x:v>Phân nhóm trường bảng trong nội dung chính</x:v>
      </x:c>
      <x:c r="G22" s="103" t="str">
        <x:v>Không thêm mã thành phần chính mới; nhóm chỉ phục vụ tra cứu và chỉ dẫn ChatGPT.</x:v>
      </x:c>
    </x:row>
    <x:row r="23" ht="39" customHeight="1">
      <x:c r="A23" s="103" t="str">
        <x:v>HD05</x:v>
      </x:c>
      <x:c r="B23" s="103" t="str">
        <x:v>HD05.N.BANG.BANG_LONG</x:v>
      </x:c>
      <x:c r="C23" s="103" t="str">
        <x:v>Bảng lồng</x:v>
      </x:c>
      <x:c r="D23" s="103" t="str">
        <x:v>NHÓM PHÂN LOẠI BỔ SUNG</x:v>
      </x:c>
      <x:c r="E23" s="103" t="n">
        <x:v>2</x:v>
      </x:c>
      <x:c r="F23" s="103" t="str">
        <x:v>Phân nhóm trường bảng trong nội dung chính</x:v>
      </x:c>
      <x:c r="G23" s="103" t="str">
        <x:v>Không thêm mã thành phần chính mới; nhóm chỉ phục vụ tra cứu và chỉ dẫn ChatGPT.</x:v>
      </x:c>
    </x:row>
  </x:sheetData>
  <x:pageMargins left="0.7" right="0.7" top="0.75" bottom="0.75" header="0.3" footer="0.3"/>
</x:worksheet>
</file>

<file path=xl/worksheets/sheet1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4" hidden="0" customWidth="1"/>
    <x:col min="2" max="2" width="125" hidden="0" customWidth="1"/>
  </x:cols>
  <x:sheetData>
    <x:row r="1" ht="34" customHeight="1">
      <x:c r="A1" s="241" t="str">
        <x:v>BỘ DỮ LIỆU OFFLINE — QUY TẮC BẢNG TRONG NỘI DUNG (v1.7)</x:v>
      </x:c>
      <x:c r="B1" s="241" t="str"/>
    </x:row>
    <x:row r="2" ht="39" customHeight="1">
      <x:c r="A2" s="103" t="str">
        <x:v>Mục tiêu</x:v>
      </x:c>
      <x:c r="B2" s="103" t="str">
        <x:v>ChatGPT đọc, tra cứu và thực hiện thủ công theo từng trường; KHÔNG phải engine tự động/OOXML rule pack.</x:v>
      </x:c>
    </x:row>
    <x:row r="3" ht="39" customHeight="1">
      <x:c r="A3" s="103" t="str">
        <x:v>Nguồn gốc</x:v>
      </x:c>
      <x:c r="B3" s="103" t="str">
        <x:v>Kế thừa 13 sheet v1.6, 165 trường gốc và 132 trường con bảng; nội dung bảng nằm trong thân văn bản.</x:v>
      </x:c>
    </x:row>
    <x:row r="4" ht="39" customHeight="1">
      <x:c r="A4" s="103" t="str">
        <x:v>Quyết định profile</x:v>
      </x:c>
      <x:c r="B4" s="103" t="str">
        <x:v>Người dùng xác nhận chọn cỡ chữ 13 pt (Times New Roman) cho mọi ô bảng trong profile Công ty Hoa tiêu Hàng hải miền Bắc; chưa phải phê duyệt nội bộ bằng văn bản.</x:v>
      </x:c>
    </x:row>
    <x:row r="5" ht="39" customHeight="1">
      <x:c r="A5" s="103" t="str">
        <x:v>Phạm vi cỡ 13</x:v>
      </x:c>
      <x:c r="B5" s="103" t="str">
        <x:v>Áp dụng chữ trong ô nhãn cột, hàng dữ liệu, hàng nhóm và hàng tổng; giữ nguyên đậm/nghiêng theo vai trò.</x:v>
      </x:c>
    </x:row>
    <x:row r="6" ht="39" customHeight="1">
      <x:c r="A6" s="103" t="str">
        <x:v>Không tự suy rộng</x:v>
      </x:c>
      <x:c r="B6" s="103" t="str">
        <x:v>Tiêu đề, nguồn và chú thích ở NGOÀI bảng không tự kế thừa quy tắc cỡ chữ trong ô.</x:v>
      </x:c>
    </x:row>
    <x:row r="7" ht="39" customHeight="1">
      <x:c r="A7" s="103" t="str">
        <x:v>NĐ30</x:v>
      </x:c>
      <x:c r="B7" s="103" t="str">
        <x:v>13 pt là lựa chọn nội bộ, phải phân biệt với tập giá trị cỡ chữ hợp lệ theo quy định.</x:v>
      </x:c>
    </x:row>
    <x:row r="8" ht="39" customHeight="1">
      <x:c r="A8" s="242" t="str">
        <x:v>HD05 — cảnh báo quan trọng</x:v>
      </x:c>
      <x:c r="B8" s="242" t="str">
        <x:v>Phụ lục 2 quy định lời văn chính 14–15 pt; chưa có nguồn xác minh ngoại lệ 13 pt cho mọi ô bảng. LƯU Ý XUNG ĐỘT/CẦN XÁC MINH, nhưng KHÔNG tự đổi 13 pt người dùng đã chốt.</x:v>
      </x:c>
    </x:row>
    <x:row r="9" ht="39" customHeight="1">
      <x:c r="A9" s="103" t="str">
        <x:v>Giãn dòng trong bảng NĐ30</x:v>
      </x:c>
      <x:c r="B9" s="103" t="str">
        <x:v>Giữ profile dự thảo Single (1 line) ở trường N.BANG.O.GIAN_DONG; không bắt buộc cho mọi trường hợp.</x:v>
      </x:c>
    </x:row>
    <x:row r="10" ht="39" customHeight="1">
      <x:c r="A10" s="103" t="str">
        <x:v>Giãn dòng trong bảng HD05</x:v>
      </x:c>
      <x:c r="B10" s="103" t="str">
        <x:v>Chọn Exactly 19 pt để thống nhất với preset HD05 đã có và khoảng 18–22 pt của lời văn; vẫn kiểm tra tình huống bảng.</x:v>
      </x:c>
    </x:row>
    <x:row r="11" ht="39" customHeight="1">
      <x:c r="A11" s="103" t="str">
        <x:v>Nguyên tắc ưu tiên</x:v>
      </x:c>
      <x:c r="B11" s="103" t="str">
        <x:v>Quy định gốc đã xác minh &gt; điều kiện áp dụng &gt; preset nội bộ &gt; hướng dẫn trình bày. Nếu có mâu thuẫn: báo rõ, không tự điều chỉnh nguồn.</x:v>
      </x:c>
    </x:row>
    <x:row r="12" ht="39" customHeight="1">
      <x:c r="A12" s="103" t="str">
        <x:v>Trạng thái nguồn</x:v>
      </x:c>
      <x:c r="B12" s="103" t="str">
        <x:v>PROFILE_DA_XAC_NHAN là xác nhận CHỌN CẤU HÌNH; NOT_VERIFIED_AT_ATTRIBUTE_LEVEL là CHƯA XÁC MINH PHÁP LÝ ở cấp thuộc tính. Không đồng nhất hai ý này.</x:v>
      </x:c>
    </x:row>
    <x:row r="13" ht="39" customHeight="1">
      <x:c r="A13" s="103" t="str">
        <x:v>Giá trị trống</x:v>
      </x:c>
      <x:c r="B13" s="103" t="str">
        <x:v>CHUA_CHOT nghĩa là chưa có số profile; không tự mặc định 0 pt hoặc 0 mm.</x:v>
      </x:c>
    </x:row>
    <x:row r="14" ht="39" customHeight="1">
      <x:c r="A14" s="103" t="str">
        <x:v>Phân biệt phân trang</x:v>
      </x:c>
      <x:c r="B14" s="103" t="str">
        <x:v>DAU_BANG.LAP_LAI là nguồn chỉ dẫn chính, NGAT_TRANG.GIU_DAU_BANG là tham chiếu; HANG.CHONG_CHIA_TRANG khác NGAT_TRANG.BANG_DAI.</x:v>
      </x:c>
    </x:row>
    <x:row r="15" ht="39" customHeight="1">
      <x:c r="A15" s="103" t="str">
        <x:v>Bảng trong nội dung chính</x:v>
      </x:c>
      <x:c r="B15" s="103" t="str">
        <x:v>Không áp cho bảng căn bố cục đầu/cuối, phụ lục độc lập, Header/Footer hoặc bảng lồng chưa xác định đúng vai trò.</x:v>
      </x:c>
    </x:row>
    <x:row r="16" ht="39" customHeight="1">
      <x:c r="A16" s="103" t="str">
        <x:v>Không sửa nội dung</x:v>
      </x:c>
      <x:c r="B16" s="103" t="str">
        <x:v>Không tự thay chữ, số liệu, tổng số, cột/hàng, ô gộp, chú thích, nguồn, số văn bản, chữ ký.</x:v>
      </x:c>
    </x:row>
    <x:row r="17" ht="39" customHeight="1">
      <x:c r="A17" s="103" t="str">
        <x:v>Cách ChatGPT dùng dữ liệu</x:v>
      </x:c>
      <x:c r="B17" s="103" t="str">
        <x:v>1) Xác định ND30/HD05 và vai trò bảng; 2) Tra mã; 3) Đọc điều kiện cột I; 4) Đọc preset G và thuộc tính cột P–AW; 5) Kiểm tra nguồn/trạng thái K–L và ghi chú AY; 6) Thực hiện/đề xuất khi phù hợp.</x:v>
      </x:c>
    </x:row>
    <x:row r="18" ht="39" customHeight="1">
      <x:c r="A18" s="103" t="str">
        <x:v>Hạn chế giai đoạn</x:v>
      </x:c>
      <x:c r="B18" s="103" t="str">
        <x:v>Chưa thiết lập chi tiết theo từng loại văn bản; không dùng làm chứng nhận tuân thủ mọi thuộc tính HD05.</x:v>
      </x:c>
    </x:row>
    <x:row r="19" ht="39" customHeight="1">
      <x:c r="A19" s="103" t="str">
        <x:v>Nguồn chính thức HD05</x:v>
      </x:c>
      <x:c r="B19" s="103" t="str">
        <x:v>https://tulieuvankien.dangcongsan.vn/upload/2006988/20260529/HD_05_VPTW_e1550.pdf</x:v>
      </x:c>
    </x:row>
    <x:row r="20" ht="39" customHeight="1">
      <x:c r="A20" s="103" t="str">
        <x:v>Nguồn NĐ30</x:v>
      </x:c>
      <x:c r="B20" s="103" t="str">
        <x:v>https://vbpl.moj.gov.vn/bonoivu/Pages/vbpq-toanvan.aspx?ItemID=141142&amp;dvid=320</x:v>
      </x:c>
    </x:row>
    <x:row r="21" ht="39" customHeight="1">
      <x:c r="A21" s="103" t="str">
        <x:v>Truy vết thay đổi</x:v>
      </x:c>
      <x:c r="B21" s="103" t="str">
        <x:v>Xem sheet BANG_THAY_DOI; gốc v1.6 được giữ ở file đầu vào, không ghi đè.</x:v>
      </x:c>
    </x:row>
  </x:sheetData>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53" hidden="0" customWidth="1"/>
    <x:col min="3" max="3" width="25" hidden="0" customWidth="1"/>
    <x:col min="4" max="4" width="59" hidden="0" customWidth="1"/>
    <x:col min="5" max="5" width="79" hidden="0" customWidth="1"/>
  </x:cols>
  <x:sheetData>
    <x:row r="1" ht="34" customHeight="1">
      <x:c r="A1" s="241" t="str">
        <x:v>HỆ</x:v>
      </x:c>
      <x:c r="B1" s="241" t="str">
        <x:v>MÃ TRƯỜNG</x:v>
      </x:c>
      <x:c r="C1" s="241" t="str">
        <x:v>THUỘC TÍNH</x:v>
      </x:c>
      <x:c r="D1" s="241" t="str">
        <x:v>GIÁ TRỊ / QUYẾT ĐỊNH</x:v>
      </x:c>
      <x:c r="E1" s="241" t="str">
        <x:v>CĂN CỨ / PHẠM VI</x:v>
      </x:c>
    </x:row>
    <x:row r="2" ht="39" customHeight="1">
      <x:c r="A2" s="243" t="str">
        <x:v>ND30</x:v>
      </x:c>
      <x:c r="B2" s="243" t="str">
        <x:v>ND30.N.BANG.DAU_BANG.CO_CHU</x:v>
      </x:c>
      <x:c r="C2" s="243" t="str">
        <x:v>PROFILE_FONT_SIZE</x:v>
      </x:c>
      <x:c r="D2" s="243" t="str">
        <x:v>13 pt</x:v>
      </x:c>
      <x:c r="E2" s="243" t="str">
        <x:v>Đã chốt theo người dùng; pháp lý tách riêng</x:v>
      </x:c>
    </x:row>
    <x:row r="3" ht="39" customHeight="1">
      <x:c r="A3" s="243" t="str">
        <x:v>ND30</x:v>
      </x:c>
      <x:c r="B3" s="243" t="str">
        <x:v>ND30.N.BANG.O.CO_CHU</x:v>
      </x:c>
      <x:c r="C3" s="243" t="str">
        <x:v>PROFILE_FONT_SIZE</x:v>
      </x:c>
      <x:c r="D3" s="243" t="str">
        <x:v>13 pt</x:v>
      </x:c>
      <x:c r="E3" s="243" t="str">
        <x:v>Đã chốt theo người dùng; pháp lý tách riêng</x:v>
      </x:c>
    </x:row>
    <x:row r="4" ht="39" customHeight="1">
      <x:c r="A4" s="103" t="str">
        <x:v>HD05</x:v>
      </x:c>
      <x:c r="B4" s="103" t="str">
        <x:v>HD05.N.BANG.DAU_BANG.CO_CHU</x:v>
      </x:c>
      <x:c r="C4" s="103" t="str">
        <x:v>PROFILE_FONT_SIZE</x:v>
      </x:c>
      <x:c r="D4" s="103" t="str">
        <x:v>13 pt</x:v>
      </x:c>
      <x:c r="E4" s="103" t="str">
        <x:v>Đã chốt theo người dùng; pháp lý tách riêng</x:v>
      </x:c>
    </x:row>
    <x:row r="5" ht="39" customHeight="1">
      <x:c r="A5" s="103" t="str">
        <x:v>HD05</x:v>
      </x:c>
      <x:c r="B5" s="103" t="str">
        <x:v>HD05.N.BANG.O.CO_CHU</x:v>
      </x:c>
      <x:c r="C5" s="103" t="str">
        <x:v>PROFILE_FONT_SIZE</x:v>
      </x:c>
      <x:c r="D5" s="103" t="str">
        <x:v>13 pt</x:v>
      </x:c>
      <x:c r="E5" s="103" t="str">
        <x:v>Đã chốt theo người dùng; pháp lý tách riêng</x:v>
      </x:c>
    </x:row>
    <x:row r="6" ht="39" customHeight="1">
      <x:c r="A6" s="103" t="str">
        <x:v>HD05</x:v>
      </x:c>
      <x:c r="B6" s="103" t="str">
        <x:v>HD05.N.BANG.O.GIAN_DONG</x:v>
      </x:c>
      <x:c r="C6" s="103" t="str">
        <x:v>CELL_LINE_SPACING</x:v>
      </x:c>
      <x:c r="D6" s="103" t="str">
        <x:v>Exactly 19 pt</x:v>
      </x:c>
      <x:c r="E6" s="103" t="str">
        <x:v>Căn chỉnh với profile HD05 đã có</x:v>
      </x:c>
    </x:row>
    <x:row r="7" ht="39" customHeight="1">
      <x:c r="A7" s="103" t="str">
        <x:v>ND30+HD05</x:v>
      </x:c>
      <x:c r="B7" s="103" t="str">
        <x:v>BANG_NHOM</x:v>
      </x:c>
      <x:c r="C7" s="103" t="str">
        <x:v>Khóa nhóm</x:v>
      </x:c>
      <x:c r="D7" s="103" t="str">
        <x:v>11 nhóm / mỗi hệ; 5 nhóm gốc + 6 nhóm phân loại</x:v>
      </x:c>
      <x:c r="E7" s="103" t="str">
        <x:v>Không thêm mã trường cấp 4 vào registry gốc</x:v>
      </x:c>
    </x:row>
    <x:row r="8" ht="39" customHeight="1">
      <x:c r="A8" s="103" t="str">
        <x:v>ND30+HD05</x:v>
      </x:c>
      <x:c r="B8" s="103" t="str">
        <x:v>BANG_*</x:v>
      </x:c>
      <x:c r="C8" s="103" t="str">
        <x:v>Điều kiện</x:v>
      </x:c>
      <x:c r="D8" s="103" t="str">
        <x:v>Điều kiện riêng theo vai trò cho 132 mã con</x:v>
      </x:c>
      <x:c r="E8" s="103" t="str">
        <x:v>Không định tuyến theo loại văn bản</x:v>
      </x:c>
    </x:row>
    <x:row r="9" ht="39" customHeight="1">
      <x:c r="A9" s="103" t="str">
        <x:v>ND30+HD05</x:v>
      </x:c>
      <x:c r="B9" s="103" t="str">
        <x:v>BANG_*</x:v>
      </x:c>
      <x:c r="C9" s="103" t="str">
        <x:v>Thiếu preset</x:v>
      </x:c>
      <x:c r="D9" s="103" t="str">
        <x:v>CHUA_CHOT tại bốn trường khoảng cách/hệ</x:v>
      </x:c>
      <x:c r="E9" s="103" t="str">
        <x:v>Không suy đoán số pt</x:v>
      </x:c>
    </x:row>
    <x:row r="10" ht="39" customHeight="1">
      <x:c r="A10" s="103" t="str">
        <x:v>ND30+HD05</x:v>
      </x:c>
      <x:c r="B10" s="103" t="str">
        <x:v>BANG_*</x:v>
      </x:c>
      <x:c r="C10" s="103" t="str">
        <x:v>Quy tắc trùng chức năng</x:v>
      </x:c>
      <x:c r="D10" s="103" t="str">
        <x:v>Lặp hàng đầu / chống chia hàng / phân trang bảng tách rõ</x:v>
      </x:c>
      <x:c r="E10" s="103" t="str">
        <x:v>Dùng ghi chú tham chiếu, không xóa mã</x:v>
      </x:c>
    </x:row>
    <x:row r="11" ht="39" customHeight="1">
      <x:c r="A11" s="103" t="str">
        <x:v>HD05</x:v>
      </x:c>
      <x:c r="B11" s="103" t="str">
        <x:v>HD05.N.BANG.O.CO_CHU</x:v>
      </x:c>
      <x:c r="C11" s="103" t="str">
        <x:v>Độ phù hợp pháp lý</x:v>
      </x:c>
      <x:c r="D11" s="103" t="str">
        <x:v>CHƯA XÁC MINH NGOẠI LỆ 13 PT</x:v>
      </x:c>
      <x:c r="E11" s="103" t="str">
        <x:v>Cỡ chữ lời văn HD05 PL2 = 14–15 pt</x:v>
      </x:c>
    </x:row>
    <x:row r="12" ht="39" customHeight="1">
      <x:c r="A12" s="103" t="str">
        <x:v>ND30+HD05</x:v>
      </x:c>
      <x:c r="B12" s="103" t="str">
        <x:v>*.N.BANG.TIEU_DE.*</x:v>
      </x:c>
      <x:c r="C12" s="103" t="str">
        <x:v>Phạm vi 13pt</x:v>
      </x:c>
      <x:c r="D12" s="103" t="str">
        <x:v>Không suy từ ô sang caption ngoài bảng</x:v>
      </x:c>
      <x:c r="E12" s="103" t="str">
        <x:v>Giữ preset caption đã có để đối chiếu</x:v>
      </x:c>
    </x:row>
  </x:sheetData>
  <x:pageMargins left="0.7" right="0.7" top="0.75" bottom="0.75" header="0.3" footer="0.3"/>
</x:worksheet>
</file>

<file path=xl/worksheets/sheet1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44" hidden="0" customWidth="1"/>
    <x:col min="3" max="3" width="23" hidden="0" customWidth="1"/>
    <x:col min="4" max="4" width="17" hidden="0" customWidth="1"/>
    <x:col min="5" max="5" width="13" hidden="0" customWidth="1"/>
    <x:col min="6" max="6" width="10" hidden="0" customWidth="1"/>
    <x:col min="7" max="7" width="25" hidden="0" customWidth="1"/>
    <x:col min="8" max="8" width="54" hidden="0" customWidth="1"/>
    <x:col min="9" max="9" width="48" hidden="0" customWidth="1"/>
  </x:cols>
  <x:sheetData>
    <x:row r="1" ht="30" customHeight="1">
      <x:c r="A1" s="245" t="str">
        <x:v>BỘ QUY TẮC BẢNG — ĐỀ XUẤT CHỜ DUYỆT · v1.7.1</x:v>
      </x:c>
      <x:c r="B1" s="245"/>
      <x:c r="C1" s="245"/>
      <x:c r="D1" s="245"/>
      <x:c r="E1" s="245"/>
      <x:c r="F1" s="245"/>
      <x:c r="G1" s="245"/>
      <x:c r="H1" s="245"/>
      <x:c r="I1" s="245"/>
    </x:row>
    <x:row r="2" ht="24" customHeight="1">
      <x:c r="A2" s="248" t="str">
        <x:v>Bốn khoảng cách × hai hệ: 6 pt là đề xuất CHƯA DUYỆT; mỗi ranh giới chỉ dùng 1 rule, không cộng thêm 6 pt vào khoảng đã có.</x:v>
      </x:c>
      <x:c r="B2" s="248"/>
      <x:c r="C2" s="248"/>
      <x:c r="D2" s="248"/>
      <x:c r="E2" s="248"/>
      <x:c r="F2" s="248"/>
      <x:c r="G2" s="248"/>
      <x:c r="H2" s="248"/>
      <x:c r="I2" s="248"/>
    </x:row>
    <x:row r="4" ht="33" customHeight="1">
      <x:c r="A4" s="251" t="str">
        <x:v>Sheet nguồn</x:v>
      </x:c>
      <x:c r="B4" s="251" t="str">
        <x:v>Mã rule</x:v>
      </x:c>
      <x:c r="C4" s="251" t="str">
        <x:v>Khoảng cách</x:v>
      </x:c>
      <x:c r="D4" s="251" t="str">
        <x:v>Giá trị hiện tại</x:v>
      </x:c>
      <x:c r="E4" s="251" t="str">
        <x:v>Đề xuất</x:v>
      </x:c>
      <x:c r="F4" s="251" t="str">
        <x:v>Đơn vị</x:v>
      </x:c>
      <x:c r="G4" s="251" t="str">
        <x:v>Trạng thái</x:v>
      </x:c>
      <x:c r="H4" s="251" t="str">
        <x:v>Chỉ áp khi</x:v>
      </x:c>
      <x:c r="I4" s="251" t="str">
        <x:v>Ngoại lệ / thứ tự ưu tiên</x:v>
      </x:c>
    </x:row>
    <x:row r="5" ht="52" customHeight="1">
      <x:c r="A5" s="103" t="str">
        <x:v>BANG_ND30</x:v>
      </x:c>
      <x:c r="B5" s="103" t="str">
        <x:v>ND30.N.BANG.BO_CUC.KHOANG_TRUOC</x:v>
      </x:c>
      <x:c r="C5" s="103" t="str">
        <x:v>Trước bảng</x:v>
      </x:c>
      <x:c r="D5" s="103" t="str">
        <x:v>CHUA_CHOT</x:v>
      </x:c>
      <x:c r="E5" s="253" t="n">
        <x:v>6</x:v>
      </x:c>
      <x:c r="F5" s="103" t="str">
        <x:v>pt</x:v>
      </x:c>
      <x:c r="G5" s="103" t="str">
        <x:v>ĐỀ XUẤT — CHƯA DUYỆT</x:v>
      </x:c>
      <x:c r="H5" s="103" t="str">
        <x:v>Áp khi trước bảng là đoạn văn thông thường; không có tiêu đề ngoài bảng sát liền</x:v>
      </x:c>
      <x:c r="I5" s="103" t="str">
        <x:v>Không cộng dồn; không thêm đoạn trắng; giữ bố cục đặc thù đã duyệt</x:v>
      </x:c>
    </x:row>
    <x:row r="6" ht="52" customHeight="1">
      <x:c r="A6" s="103" t="str">
        <x:v>BANG_ND30</x:v>
      </x:c>
      <x:c r="B6" s="103" t="str">
        <x:v>ND30.N.BANG.BO_CUC.KHOANG_SAU</x:v>
      </x:c>
      <x:c r="C6" s="103" t="str">
        <x:v>Sau bảng</x:v>
      </x:c>
      <x:c r="D6" s="103" t="str">
        <x:v>CHUA_CHOT</x:v>
      </x:c>
      <x:c r="E6" s="253" t="n">
        <x:v>6</x:v>
      </x:c>
      <x:c r="F6" s="103" t="str">
        <x:v>pt</x:v>
      </x:c>
      <x:c r="G6" s="103" t="str">
        <x:v>ĐỀ XUẤT — CHƯA DUYỆT</x:v>
      </x:c>
      <x:c r="H6" s="103" t="str">
        <x:v>Áp khi sau bảng là đoạn văn thông thường; không có chú thích/nguồn ngoài bảng sát liền</x:v>
      </x:c>
      <x:c r="I6" s="103" t="str">
        <x:v>Không cộng dồn; không thêm đoạn trắng; giữ bố cục đặc thù đã duyệt</x:v>
      </x:c>
    </x:row>
    <x:row r="7" ht="52" customHeight="1">
      <x:c r="A7" s="103" t="str">
        <x:v>BANG_ND30</x:v>
      </x:c>
      <x:c r="B7" s="103" t="str">
        <x:v>ND30.N.BANG.TIEU_DE.KHOANG_CACH</x:v>
      </x:c>
      <x:c r="C7" s="103" t="str">
        <x:v>Tiêu đề ngoài bảng → bảng</x:v>
      </x:c>
      <x:c r="D7" s="103" t="str">
        <x:v>CHUA_CHOT</x:v>
      </x:c>
      <x:c r="E7" s="253" t="n">
        <x:v>6</x:v>
      </x:c>
      <x:c r="F7" s="103" t="str">
        <x:v>pt</x:v>
      </x:c>
      <x:c r="G7" s="103" t="str">
        <x:v>ĐỀ XUẤT — CHƯA DUYỆT</x:v>
      </x:c>
      <x:c r="H7" s="103" t="str">
        <x:v>Chỉ áp khi tiêu đề là đoạn ngoài bảng ngay trước bảng; thay thế khoảng trước bảng</x:v>
      </x:c>
      <x:c r="I7" s="103" t="str">
        <x:v>Không cộng dồn; không thêm đoạn trắng; giữ bố cục đặc thù đã duyệt</x:v>
      </x:c>
    </x:row>
    <x:row r="8" ht="52" customHeight="1">
      <x:c r="A8" s="103" t="str">
        <x:v>BANG_ND30</x:v>
      </x:c>
      <x:c r="B8" s="103" t="str">
        <x:v>ND30.N.BANG.GHI_CHU.CACH_BANG</x:v>
      </x:c>
      <x:c r="C8" s="103" t="str">
        <x:v>Bảng → chú thích/nguồn</x:v>
      </x:c>
      <x:c r="D8" s="103" t="str">
        <x:v>CHUA_CHOT</x:v>
      </x:c>
      <x:c r="E8" s="253" t="n">
        <x:v>6</x:v>
      </x:c>
      <x:c r="F8" s="103" t="str">
        <x:v>pt</x:v>
      </x:c>
      <x:c r="G8" s="103" t="str">
        <x:v>ĐỀ XUẤT — CHƯA DUYỆT</x:v>
      </x:c>
      <x:c r="H8" s="103" t="str">
        <x:v>Chỉ áp khi chú thích/nguồn là đoạn ngoài bảng ngay sau bảng; thay thế khoảng sau bảng</x:v>
      </x:c>
      <x:c r="I8" s="103" t="str">
        <x:v>Không cộng dồn; không thêm đoạn trắng; giữ bố cục đặc thù đã duyệt</x:v>
      </x:c>
    </x:row>
    <x:row r="9" ht="52" customHeight="1">
      <x:c r="A9" s="103" t="str">
        <x:v>BANG_HD05</x:v>
      </x:c>
      <x:c r="B9" s="103" t="str">
        <x:v>HD05.N.BANG.BO_CUC.KHOANG_TRUOC</x:v>
      </x:c>
      <x:c r="C9" s="103" t="str">
        <x:v>Trước bảng</x:v>
      </x:c>
      <x:c r="D9" s="103" t="str">
        <x:v>CHUA_CHOT</x:v>
      </x:c>
      <x:c r="E9" s="253" t="n">
        <x:v>6</x:v>
      </x:c>
      <x:c r="F9" s="103" t="str">
        <x:v>pt</x:v>
      </x:c>
      <x:c r="G9" s="103" t="str">
        <x:v>ĐỀ XUẤT — CHƯA DUYỆT</x:v>
      </x:c>
      <x:c r="H9" s="103" t="str">
        <x:v>Áp khi trước bảng là đoạn văn thông thường; không có tiêu đề ngoài bảng sát liền</x:v>
      </x:c>
      <x:c r="I9" s="103" t="str">
        <x:v>Không cộng dồn; không thêm đoạn trắng; giữ bố cục đặc thù đã duyệt</x:v>
      </x:c>
    </x:row>
    <x:row r="10" ht="52" customHeight="1">
      <x:c r="A10" s="103" t="str">
        <x:v>BANG_HD05</x:v>
      </x:c>
      <x:c r="B10" s="103" t="str">
        <x:v>HD05.N.BANG.BO_CUC.KHOANG_SAU</x:v>
      </x:c>
      <x:c r="C10" s="103" t="str">
        <x:v>Sau bảng</x:v>
      </x:c>
      <x:c r="D10" s="103" t="str">
        <x:v>CHUA_CHOT</x:v>
      </x:c>
      <x:c r="E10" s="253" t="n">
        <x:v>6</x:v>
      </x:c>
      <x:c r="F10" s="103" t="str">
        <x:v>pt</x:v>
      </x:c>
      <x:c r="G10" s="103" t="str">
        <x:v>ĐỀ XUẤT — CHƯA DUYỆT</x:v>
      </x:c>
      <x:c r="H10" s="103" t="str">
        <x:v>Áp khi sau bảng là đoạn văn thông thường; không có chú thích/nguồn ngoài bảng sát liền</x:v>
      </x:c>
      <x:c r="I10" s="103" t="str">
        <x:v>Không cộng dồn; không thêm đoạn trắng; giữ bố cục đặc thù đã duyệt</x:v>
      </x:c>
    </x:row>
    <x:row r="11" ht="52" customHeight="1">
      <x:c r="A11" s="103" t="str">
        <x:v>BANG_HD05</x:v>
      </x:c>
      <x:c r="B11" s="103" t="str">
        <x:v>HD05.N.BANG.TIEU_DE.KHOANG_CACH</x:v>
      </x:c>
      <x:c r="C11" s="103" t="str">
        <x:v>Tiêu đề ngoài bảng → bảng</x:v>
      </x:c>
      <x:c r="D11" s="103" t="str">
        <x:v>CHUA_CHOT</x:v>
      </x:c>
      <x:c r="E11" s="253" t="n">
        <x:v>6</x:v>
      </x:c>
      <x:c r="F11" s="103" t="str">
        <x:v>pt</x:v>
      </x:c>
      <x:c r="G11" s="103" t="str">
        <x:v>ĐỀ XUẤT — CHƯA DUYỆT</x:v>
      </x:c>
      <x:c r="H11" s="103" t="str">
        <x:v>Chỉ áp khi tiêu đề là đoạn ngoài bảng ngay trước bảng; thay thế khoảng trước bảng</x:v>
      </x:c>
      <x:c r="I11" s="103" t="str">
        <x:v>Không cộng dồn; không thêm đoạn trắng; giữ bố cục đặc thù đã duyệt</x:v>
      </x:c>
    </x:row>
    <x:row r="12" ht="52" customHeight="1">
      <x:c r="A12" s="103" t="str">
        <x:v>BANG_HD05</x:v>
      </x:c>
      <x:c r="B12" s="103" t="str">
        <x:v>HD05.N.BANG.GHI_CHU.CACH_BANG</x:v>
      </x:c>
      <x:c r="C12" s="103" t="str">
        <x:v>Bảng → chú thích/nguồn</x:v>
      </x:c>
      <x:c r="D12" s="103" t="str">
        <x:v>CHUA_CHOT</x:v>
      </x:c>
      <x:c r="E12" s="253" t="n">
        <x:v>6</x:v>
      </x:c>
      <x:c r="F12" s="103" t="str">
        <x:v>pt</x:v>
      </x:c>
      <x:c r="G12" s="103" t="str">
        <x:v>ĐỀ XUẤT — CHƯA DUYỆT</x:v>
      </x:c>
      <x:c r="H12" s="103" t="str">
        <x:v>Chỉ áp khi chú thích/nguồn là đoạn ngoài bảng ngay sau bảng; thay thế khoảng sau bảng</x:v>
      </x:c>
      <x:c r="I12" s="103" t="str">
        <x:v>Không cộng dồn; không thêm đoạn trắng; giữ bố cục đặc thù đã duyệt</x:v>
      </x:c>
    </x:row>
    <x:row r="15" ht="26" customHeight="1">
      <x:c r="A15" s="255" t="str">
        <x:v>QUY TẮC ƯU TIÊN KHOẢNG CÁCH (để ChatGPT đọc và áp dụng khi được duyệt)</x:v>
      </x:c>
      <x:c r="B15" s="255"/>
      <x:c r="C15" s="255"/>
      <x:c r="D15" s="255"/>
      <x:c r="E15" s="255"/>
      <x:c r="F15" s="255"/>
      <x:c r="G15" s="255"/>
      <x:c r="H15" s="255"/>
      <x:c r="I15" s="255"/>
    </x:row>
    <x:row r="17" ht="27" customHeight="1">
      <x:c r="A17" s="103" t="str">
        <x:v>1. Tiêu đề ngoài bảng nằm ngay trước bảng: chọn rule tiêu đề–bảng, KHÔNG cộng khoảng trước bảng.</x:v>
      </x:c>
      <x:c r="B17" s="103"/>
      <x:c r="C17" s="103"/>
      <x:c r="D17" s="103"/>
      <x:c r="E17" s="103"/>
      <x:c r="F17" s="103"/>
      <x:c r="G17" s="103"/>
      <x:c r="H17" s="103"/>
      <x:c r="I17" s="103"/>
    </x:row>
    <x:row r="18" ht="27" customHeight="1">
      <x:c r="A18" s="103" t="str">
        <x:v>2. Chú thích/nguồn ngoài bảng nằm ngay sau bảng: chọn rule bảng–chú thích, KHÔNG cộng khoảng sau bảng.</x:v>
      </x:c>
      <x:c r="B18" s="103"/>
      <x:c r="C18" s="103"/>
      <x:c r="D18" s="103"/>
      <x:c r="E18" s="103"/>
      <x:c r="F18" s="103"/>
      <x:c r="G18" s="103"/>
      <x:c r="H18" s="103"/>
      <x:c r="I18" s="103"/>
    </x:row>
    <x:row r="19" ht="27" customHeight="1">
      <x:c r="A19" s="103" t="str">
        <x:v>3. Tiêu đề/chú thích nằm trong ô: KHÔNG áp khoảng cách ngoài bảng.</x:v>
      </x:c>
      <x:c r="B19" s="103"/>
      <x:c r="C19" s="103"/>
      <x:c r="D19" s="103"/>
      <x:c r="E19" s="103"/>
      <x:c r="F19" s="103"/>
      <x:c r="G19" s="103"/>
      <x:c r="H19" s="103"/>
      <x:c r="I19" s="103"/>
    </x:row>
    <x:row r="20" ht="27" customHeight="1">
      <x:c r="A20" s="103" t="str">
        <x:v>4. Giữ nguyên bố cục đặc thù đã được phê duyệt; không tạo đoạn văn rỗng để tạo khoảng trắng.</x:v>
      </x:c>
      <x:c r="B20" s="103"/>
      <x:c r="C20" s="103"/>
      <x:c r="D20" s="103"/>
      <x:c r="E20" s="103"/>
      <x:c r="F20" s="103"/>
      <x:c r="G20" s="103"/>
      <x:c r="H20" s="103"/>
      <x:c r="I20" s="103"/>
    </x:row>
    <x:row r="21" ht="27" customHeight="1">
      <x:c r="A21" s="103" t="str">
        <x:v>5. Không tự thay CHUA_CHOT bằng 6 pt khi chưa được xác nhận; nếu gặp tài liệu thực tế, báo cần xác nhận hoặc giữ cách trình bày hiện hữu.</x:v>
      </x:c>
      <x:c r="B21" s="103"/>
      <x:c r="C21" s="103"/>
      <x:c r="D21" s="103"/>
      <x:c r="E21" s="103"/>
      <x:c r="F21" s="103"/>
      <x:c r="G21" s="103"/>
      <x:c r="H21" s="103"/>
      <x:c r="I21" s="103"/>
    </x:row>
    <x:row r="22" ht="27" customHeight="1">
      <x:c r="A22" s="103" t="str">
        <x:v>6. 13 pt trong ô bảng: đã được người dùng xác nhận; HD05 vẫn chưa chứng minh được ngoại lệ chung so với cỡ chữ nội dung 14–15 pt.</x:v>
      </x:c>
      <x:c r="B22" s="103"/>
      <x:c r="C22" s="103"/>
      <x:c r="D22" s="103"/>
      <x:c r="E22" s="103"/>
      <x:c r="F22" s="103"/>
      <x:c r="G22" s="103"/>
      <x:c r="H22" s="103"/>
      <x:c r="I22" s="103"/>
    </x:row>
    <x:row r="23" ht="27" customHeight="1">
      <x:c r="A23" s="103" t="str">
        <x:v>7. Hai ô khoảng thụt bảng và cách đoạn trong ô có giá trị 0 ở mỗi hệ; đây là số 0 hợp lệ, không coi là trống.</x:v>
      </x:c>
      <x:c r="B23" s="103"/>
      <x:c r="C23" s="103"/>
      <x:c r="D23" s="103"/>
      <x:c r="E23" s="103"/>
      <x:c r="F23" s="103"/>
      <x:c r="G23" s="103"/>
      <x:c r="H23" s="103"/>
      <x:c r="I23" s="103"/>
    </x:row>
    <x:row r="24" ht="27" customHeight="1">
      <x:c r="A24" s="103" t="str">
        <x:v>8. HD05: ẩn số trang đầu = CÓ, theo Phần II mục IV.5.1 của Hướng dẫn 05-HD/VPTW.</x:v>
      </x:c>
      <x:c r="B24" s="103"/>
      <x:c r="C24" s="103"/>
      <x:c r="D24" s="103"/>
      <x:c r="E24" s="103"/>
      <x:c r="F24" s="103"/>
      <x:c r="G24" s="103"/>
      <x:c r="H24" s="103"/>
      <x:c r="I24" s="103"/>
    </x:row>
    <x:row r="27" ht="27" customHeight="1">
      <x:c r="A27" s="257" t="str">
        <x:v>Nguồn kiểm chứng HD05: https://dangcongsan.vn/upload/2006988/20260529/HD_05_VPTW_e1550.pdf — Phần II, mục IV.5.1; Phụ lục 2 mục 6</x:v>
      </x:c>
      <x:c r="B27" s="257"/>
      <x:c r="C27" s="257"/>
      <x:c r="D27" s="257"/>
      <x:c r="E27" s="257"/>
      <x:c r="F27" s="257"/>
      <x:c r="G27" s="257"/>
      <x:c r="H27" s="257"/>
      <x:c r="I27" s="257"/>
    </x:row>
    <x:row r="29" ht="54" customHeight="1">
      <x:c r="A29" s="270" t="str">
        <x:v>LƯU Ý: 72 PROFILE_DRAFT = 8 khoảng cách CHUA_CHOT + 64 preset khác. 13 pt đã chốt cho ô và ô hàng tiêu đề; 0 mm/0 pt đã có giá trị nhưng chờ duyệt preset.</x:v>
      </x:c>
      <x:c r="B29" s="270"/>
      <x:c r="C29" s="270"/>
      <x:c r="D29" s="270"/>
      <x:c r="E29" s="270"/>
      <x:c r="F29" s="270"/>
      <x:c r="G29" s="270"/>
      <x:c r="H29" s="270"/>
      <x:c r="I29" s="270"/>
    </x:row>
  </x:sheetData>
  <x:mergeCells>
    <x:mergeCell ref="A1:I1"/>
    <x:mergeCell ref="A2:I2"/>
    <x:mergeCell ref="A15:I15"/>
    <x:mergeCell ref="A17:I17"/>
    <x:mergeCell ref="A18:I18"/>
    <x:mergeCell ref="A19:I19"/>
    <x:mergeCell ref="A20:I20"/>
    <x:mergeCell ref="A21:I21"/>
    <x:mergeCell ref="A22:I22"/>
    <x:mergeCell ref="A23:I23"/>
    <x:mergeCell ref="A24:I24"/>
    <x:mergeCell ref="A27:I27"/>
    <x:mergeCell ref="A29:I29"/>
  </x:mergeCells>
  <x:pageMargins left="0.7" right="0.7" top="0.75" bottom="0.75" header="0.3" footer="0.3"/>
</x:worksheet>
</file>

<file path=xl/worksheets/sheet1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43" hidden="0" customWidth="1"/>
    <x:col min="3" max="3" width="21" hidden="0" customWidth="1"/>
    <x:col min="4" max="4" width="35" hidden="0" customWidth="1"/>
    <x:col min="5" max="5" width="25" hidden="0" customWidth="1"/>
    <x:col min="6" max="6" width="18" hidden="0" customWidth="1"/>
    <x:col min="7" max="7" width="33" hidden="0" customWidth="1"/>
    <x:col min="8" max="8" width="65" hidden="0" customWidth="1"/>
    <x:col min="9" max="9" width="22" hidden="0" customWidth="1"/>
    <x:col min="10" max="10" width="53" hidden="0" customWidth="1"/>
    <x:col min="11" max="11" width="22" hidden="0" customWidth="1"/>
  </x:cols>
  <x:sheetData>
    <x:row r="1" ht="31" customHeight="1">
      <x:c r="A1" s="259" t="str">
        <x:v>DUYỆT PRESET BẢNG THEO 8 NHÓM · v1.7.2 (OFFLINE)</x:v>
      </x:c>
      <x:c r="B1" s="259"/>
      <x:c r="C1" s="259"/>
      <x:c r="D1" s="259"/>
      <x:c r="E1" s="259"/>
      <x:c r="F1" s="259"/>
      <x:c r="G1" s="259"/>
      <x:c r="H1" s="259"/>
      <x:c r="I1" s="259"/>
      <x:c r="J1" s="259"/>
      <x:c r="K1" s="259"/>
    </x:row>
    <x:row r="2" ht="36" customHeight="1">
      <x:c r="A2" s="262" t="str">
        <x:v>64 rule có preset nhưng CHƯA DUYỆT (32 NĐ30 + 32 HD05). 8 khoảng cách CHUA_CHOT được quản lý RIÊNG tại DU_THAO_CHO_DUYET.</x:v>
      </x:c>
      <x:c r="B2" s="262"/>
      <x:c r="C2" s="262"/>
      <x:c r="D2" s="262"/>
      <x:c r="E2" s="262"/>
      <x:c r="F2" s="262"/>
      <x:c r="G2" s="262"/>
      <x:c r="H2" s="262"/>
      <x:c r="I2" s="262"/>
      <x:c r="J2" s="262"/>
      <x:c r="K2" s="262"/>
    </x:row>
    <x:row r="4" ht="32" customHeight="1">
      <x:c r="A4" s="265" t="str">
        <x:v>Mã nhóm</x:v>
      </x:c>
      <x:c r="B4" s="265" t="str">
        <x:v>Nhóm chủ quản</x:v>
      </x:c>
      <x:c r="C4" s="265" t="str">
        <x:v>Số rule (2 hệ)</x:v>
      </x:c>
      <x:c r="D4" s="265" t="str">
        <x:v>Phạm vi duyệt</x:v>
      </x:c>
      <x:c r="E4" s="265" t="str">
        <x:v>Quy tắc ưu tiên</x:v>
      </x:c>
      <x:c r="F4" s="265" t="str">
        <x:v>Trạng thái</x:v>
      </x:c>
    </x:row>
    <x:row r="5" ht="67" customHeight="1">
      <x:c r="A5" s="103" t="str">
        <x:v>N01</x:v>
      </x:c>
      <x:c r="B5" s="103" t="str">
        <x:v>Bố cục bảng</x:v>
      </x:c>
      <x:c r="C5" s="103" t="n">
        <x:v>8</x:v>
      </x:c>
      <x:c r="D5" s="103" t="str">
        <x:v>Căn bảng, chiều rộng, thụt bảng và AutoFit</x:v>
      </x:c>
      <x:c r="E5" s="103" t="str">
        <x:v>Giữ bố cục hợp lệ hiện có trước; 100% chỉ là mục tiêu tham khảo cho bảng nhiều cột; không ép rộng hay tràn lề.</x:v>
      </x:c>
      <x:c r="F5" s="103" t="str">
        <x:v>CHỜ DUYỆT</x:v>
      </x:c>
    </x:row>
    <x:row r="6" ht="67" customHeight="1">
      <x:c r="A6" s="103" t="str">
        <x:v>N02</x:v>
      </x:c>
      <x:c r="B6" s="103" t="str">
        <x:v>Tiêu đề ngoài bảng</x:v>
      </x:c>
      <x:c r="C6" s="103" t="n">
        <x:v>6</x:v>
      </x:c>
      <x:c r="D6" s="103" t="str">
        <x:v>Kiểu chữ, căn chỉnh, giữ với phần đầu bảng</x:v>
      </x:c>
      <x:c r="E6" s="103" t="str">
        <x:v>Tiêu đề NGOÀI bảng không được hưởng mặc định 13 pt chỉ vì chữ trong ô đã chốt 13 pt; chỉ giữ cùng các hàng đầu.</x:v>
      </x:c>
      <x:c r="F6" s="103" t="str">
        <x:v>CHỜ DUYỆT</x:v>
      </x:c>
    </x:row>
    <x:row r="7" ht="67" customHeight="1">
      <x:c r="A7" s="103" t="str">
        <x:v>N03</x:v>
      </x:c>
      <x:c r="B7" s="103" t="str">
        <x:v>Hàng tiêu đề</x:v>
      </x:c>
      <x:c r="C7" s="103" t="n">
        <x:v>10</x:v>
      </x:c>
      <x:c r="D7" s="103" t="str">
        <x:v>Đậm, căn ngang, màu nền và lặp hàng đầu</x:v>
      </x:c>
      <x:c r="E7" s="103" t="str">
        <x:v>Lặp header khi bảng nhiều trang ĐÃ CHỐT bắt buộc theo profile; các preset đậm, căn ngang, tô nền và nội dung khác VẪN CHỜ DUYỆT.</x:v>
      </x:c>
      <x:c r="F7" s="103" t="str">
        <x:v>CHỜ DUYỆT</x:v>
      </x:c>
    </x:row>
    <x:row r="8" ht="67" customHeight="1">
      <x:c r="A8" s="103" t="str">
        <x:v>N04</x:v>
      </x:c>
      <x:c r="B8" s="103" t="str">
        <x:v>Cột và căn dữ liệu</x:v>
      </x:c>
      <x:c r="C8" s="103" t="n">
        <x:v>10</x:v>
      </x:c>
      <x:c r="D8" s="103" t="str">
        <x:v>Độ rộng, ô chữ/số, căn ngang và căn dọc theo vai trò</x:v>
      </x:c>
      <x:c r="E8" s="103" t="str">
        <x:v>Số đại lượng căn phải; mã, số thứ tự, ngày, điện thoại là định danh, không mặc định căn phải; ô dài nhiều đoạn căn trên.</x:v>
      </x:c>
      <x:c r="F8" s="103" t="str">
        <x:v>CHỜ DUYỆT</x:v>
      </x:c>
    </x:row>
    <x:row r="9" ht="67" customHeight="1">
      <x:c r="A9" s="103" t="str">
        <x:v>N05</x:v>
      </x:c>
      <x:c r="B9" s="103" t="str">
        <x:v>Hàng và phân trang</x:v>
      </x:c>
      <x:c r="C9" s="103" t="n">
        <x:v>10</x:v>
      </x:c>
      <x:c r="D9" s="103" t="str">
        <x:v>Chiều cao, chia hàng, khoảng cách và bảng dài</x:v>
      </x:c>
      <x:c r="E9" s="103" t="str">
        <x:v>Tự giãn chiều cao theo nội dung; chỉ đặt mức tối thiểu khi cần; giữ hàng nếu vừa trang, hàng quá dài cần xét riêng.</x:v>
      </x:c>
      <x:c r="F9" s="103" t="str">
        <x:v>CHỜ DUYỆT</x:v>
      </x:c>
    </x:row>
    <x:row r="10" ht="67" customHeight="1">
      <x:c r="A10" s="103" t="str">
        <x:v>N06</x:v>
      </x:c>
      <x:c r="B10" s="103" t="str">
        <x:v>Chữ và đoạn trong ô</x:v>
      </x:c>
      <x:c r="C10" s="103" t="n">
        <x:v>6</x:v>
      </x:c>
      <x:c r="D10" s="103" t="str">
        <x:v>Font, giãn dòng, cách đoạn; giữ 13 pt đã chốt</x:v>
      </x:c>
      <x:c r="E10" s="103" t="str">
        <x:v>Cỡ chữ trong mọi ô kể cả hàng đầu = 13 pt đã chốt; O.CACH_DOAN=0 pt hiện chỉ là SAU đoạn, không suy ra TRƯỚC đoạn.</x:v>
      </x:c>
      <x:c r="F10" s="103" t="str">
        <x:v>CHỜ DUYỆT</x:v>
      </x:c>
    </x:row>
    <x:row r="11" ht="67" customHeight="1">
      <x:c r="A11" s="103" t="str">
        <x:v>N07</x:v>
      </x:c>
      <x:c r="B11" s="103" t="str">
        <x:v>Lề ô và xuống dòng</x:v>
      </x:c>
      <x:c r="C11" s="103" t="n">
        <x:v>4</x:v>
      </x:c>
      <x:c r="D11" s="103" t="str">
        <x:v>Lề trong ô, tự xuống dòng</x:v>
      </x:c>
      <x:c r="E11" s="103" t="str">
        <x:v>Lề 1,5 mm là preset chờ duyệt; cho xuống dòng để bảo toàn chữ, không thay dữ liệu ô.</x:v>
      </x:c>
      <x:c r="F11" s="103" t="str">
        <x:v>CHỜ DUYỆT</x:v>
      </x:c>
    </x:row>
    <x:row r="12" ht="67" customHeight="1">
      <x:c r="A12" s="103" t="str">
        <x:v>N08</x:v>
      </x:c>
      <x:c r="B12" s="103" t="str">
        <x:v>Viền và nền</x:v>
      </x:c>
      <x:c r="C12" s="103" t="n">
        <x:v>10</x:v>
      </x:c>
      <x:c r="D12" s="103" t="str">
        <x:v>Viền ngoài/ngang/dọc, độ dày và nền nội dung ô</x:v>
      </x:c>
      <x:c r="E12" s="103" t="str">
        <x:v>0,5 pt chỉ cho bảng có viền đã chọn; không tự thêm viền cho bảng không khung; không xóa nền mang ý nghĩa.</x:v>
      </x:c>
      <x:c r="F12" s="103" t="str">
        <x:v>CHỜ DUYỆT</x:v>
      </x:c>
    </x:row>
    <x:row r="15" ht="30" customHeight="1">
      <x:c r="A15" s="267" t="str">
        <x:v>DANH SÁCH 64 RULE DỰ THẢO (một quyết định chủ quản/rule; không áp dụng tự động)</x:v>
      </x:c>
      <x:c r="B15" s="267"/>
      <x:c r="C15" s="267"/>
      <x:c r="D15" s="267"/>
      <x:c r="E15" s="267"/>
      <x:c r="F15" s="267"/>
      <x:c r="G15" s="267"/>
      <x:c r="H15" s="267"/>
      <x:c r="I15" s="267"/>
      <x:c r="J15" s="267"/>
      <x:c r="K15" s="267"/>
    </x:row>
    <x:row r="17" ht="32" customHeight="1">
      <x:c r="A17" s="265" t="str">
        <x:v>Sheet nguồn</x:v>
      </x:c>
      <x:c r="B17" s="265" t="str">
        <x:v>Mã trường</x:v>
      </x:c>
      <x:c r="C17" s="265" t="str">
        <x:v>Nhóm</x:v>
      </x:c>
      <x:c r="D17" s="265" t="str">
        <x:v>Trường cần duyệt</x:v>
      </x:c>
      <x:c r="E17" s="265" t="str">
        <x:v>Giá trị hiện có</x:v>
      </x:c>
      <x:c r="F17" s="265" t="str">
        <x:v>Đơn vị</x:v>
      </x:c>
      <x:c r="G17" s="265" t="str">
        <x:v>Nghĩa giá trị</x:v>
      </x:c>
      <x:c r="H17" s="265" t="str">
        <x:v>Ưu tiên / điều kiện chọn nhánh</x:v>
      </x:c>
      <x:c r="I17" s="265" t="str">
        <x:v>Trạng thái</x:v>
      </x:c>
      <x:c r="J17" s="265" t="str">
        <x:v>Mã quyết định chủ quản</x:v>
      </x:c>
      <x:c r="K17" s="265" t="str">
        <x:v>Vị trí nguồn</x:v>
      </x:c>
    </x:row>
    <x:row r="18" ht="61" customHeight="1">
      <x:c r="A18" s="103" t="str">
        <x:v>BANG_HD05</x:v>
      </x:c>
      <x:c r="B18" s="103" t="str">
        <x:v>HD05.N.BANG.BO_CUC.AUTOFIT</x:v>
      </x:c>
      <x:c r="C18" s="103" t="str">
        <x:v>N01</x:v>
      </x:c>
      <x:c r="D18" s="103" t="str">
        <x:v>Chế độ điều chỉnh độ rộng bảng</x:v>
      </x:c>
      <x:c r="E18" s="103" t="str">
        <x:v>PRESERVE_OR_REVIEW</x:v>
      </x:c>
      <x:c r="F18" s="103"/>
      <x:c r="G18" s="103" t="str">
        <x:v>PRESET / CHỈ DẪN — CHƯA DUYỆT</x:v>
      </x:c>
      <x:c r="H18" s="103" t="str">
        <x:v>Giữ nguyên nếu không tràn lề/mất chữ; nếu tràn, đề xuất điều chỉnh cột có kiểm tra thay vì chạy chuỗi Autofit cố định.</x:v>
      </x:c>
      <x:c r="I18" s="269" t="str">
        <x:v>CHỜ DUYỆT</x:v>
      </x:c>
      <x:c r="J18" s="103" t="str">
        <x:v>HD05.N.BANG.BO_CUC.AUTOFIT</x:v>
      </x:c>
      <x:c r="K18" s="103" t="str">
        <x:v>BANG_HD05!G11</x:v>
      </x:c>
    </x:row>
    <x:row r="19" ht="61" customHeight="1">
      <x:c r="A19" s="103" t="str">
        <x:v>BANG_HD05</x:v>
      </x:c>
      <x:c r="B19" s="103" t="str">
        <x:v>HD05.N.BANG.BO_CUC.CAN_BANG</x:v>
      </x:c>
      <x:c r="C19" s="103" t="str">
        <x:v>N01</x:v>
      </x:c>
      <x:c r="D19" s="103" t="str">
        <x:v>Căn ngang toàn bảng</x:v>
      </x:c>
      <x:c r="E19" s="103" t="str">
        <x:v>CENTER</x:v>
      </x:c>
      <x:c r="F19" s="103"/>
      <x:c r="G19" s="103" t="str">
        <x:v>PRESET / CHỈ DẪN — CHƯA DUYỆT</x:v>
      </x:c>
      <x:c r="H19" s="103" t="str">
        <x:v>Bảng hẹp hơn vùng nội dung: có thể căn giữa; bảng đầy vùng nội dung: không ép dịch chuyển chỉ để đạt CENTER.</x:v>
      </x:c>
      <x:c r="I19" s="269" t="str">
        <x:v>CHỜ DUYỆT</x:v>
      </x:c>
      <x:c r="J19" s="103" t="str">
        <x:v>HD05.N.BANG.BO_CUC.CAN_BANG</x:v>
      </x:c>
      <x:c r="K19" s="103" t="str">
        <x:v>BANG_HD05!G9</x:v>
      </x:c>
    </x:row>
    <x:row r="20" ht="61" customHeight="1">
      <x:c r="A20" s="103" t="str">
        <x:v>BANG_HD05</x:v>
      </x:c>
      <x:c r="B20" s="103" t="str">
        <x:v>HD05.N.BANG.BO_CUC.CHIEU_RONG</x:v>
      </x:c>
      <x:c r="C20" s="103" t="str">
        <x:v>N01</x:v>
      </x:c>
      <x:c r="D20" s="103" t="str">
        <x:v>Chiều rộng ưu tiên của bảng</x:v>
      </x:c>
      <x:c r="E20" s="103" t="n">
        <x:v>100</x:v>
      </x:c>
      <x:c r="F20" s="103" t="str">
        <x:v>%</x:v>
      </x:c>
      <x:c r="G20" s="103" t="str">
        <x:v>PRESET / CHỈ DẪN — CHƯA DUYỆT</x:v>
      </x:c>
      <x:c r="H20" s="103" t="str">
        <x:v>Giữ kích thước gốc nếu vừa trang và đọc được; 100% chỉ ưu tiên khi bảng nhiều cột cần tận dụng chiều ngang.</x:v>
      </x:c>
      <x:c r="I20" s="269" t="str">
        <x:v>CHỜ DUYỆT</x:v>
      </x:c>
      <x:c r="J20" s="103" t="str">
        <x:v>HD05.N.BANG.BO_CUC.CHIEU_RONG</x:v>
      </x:c>
      <x:c r="K20" s="103" t="str">
        <x:v>BANG_HD05!G10</x:v>
      </x:c>
    </x:row>
    <x:row r="21" ht="61" customHeight="1">
      <x:c r="A21" s="103" t="str">
        <x:v>BANG_HD05</x:v>
      </x:c>
      <x:c r="B21" s="103" t="str">
        <x:v>HD05.N.BANG.BO_CUC.KHOANG_THUT</x:v>
      </x:c>
      <x:c r="C21" s="103" t="str">
        <x:v>N01</x:v>
      </x:c>
      <x:c r="D21" s="103" t="str">
        <x:v>Thụt trái toàn bảng</x:v>
      </x:c>
      <x:c r="E21" s="103" t="n">
        <x:v>0</x:v>
      </x:c>
      <x:c r="F21" s="103" t="str">
        <x:v>mm</x:v>
      </x:c>
      <x:c r="G21" s="103" t="str">
        <x:v>PRESET / CHỈ DẪN — CHƯA DUYỆT</x:v>
      </x:c>
      <x:c r="H21" s="103" t="str">
        <x:v>0 mm là giá trị preset sẵn có, KHÔNG phải ô trống và CHƯA được phê duyệt.</x:v>
      </x:c>
      <x:c r="I21" s="269" t="str">
        <x:v>CHỜ DUYỆT</x:v>
      </x:c>
      <x:c r="J21" s="103" t="str">
        <x:v>HD05.N.BANG.BO_CUC.KHOANG_THUT</x:v>
      </x:c>
      <x:c r="K21" s="103" t="str">
        <x:v>BANG_HD05!G12</x:v>
      </x:c>
    </x:row>
    <x:row r="22" ht="61" customHeight="1">
      <x:c r="A22" s="103" t="str">
        <x:v>BANG_ND30</x:v>
      </x:c>
      <x:c r="B22" s="103" t="str">
        <x:v>ND30.N.BANG.BO_CUC.AUTOFIT</x:v>
      </x:c>
      <x:c r="C22" s="103" t="str">
        <x:v>N01</x:v>
      </x:c>
      <x:c r="D22" s="103" t="str">
        <x:v>Chế độ điều chỉnh độ rộng bảng</x:v>
      </x:c>
      <x:c r="E22" s="103" t="str">
        <x:v>PRESERVE_OR_REVIEW</x:v>
      </x:c>
      <x:c r="F22" s="103"/>
      <x:c r="G22" s="103" t="str">
        <x:v>PRESET / CHỈ DẪN — CHƯA DUYỆT</x:v>
      </x:c>
      <x:c r="H22" s="103" t="str">
        <x:v>Giữ nguyên nếu không tràn lề/mất chữ; nếu tràn, đề xuất điều chỉnh cột có kiểm tra thay vì chạy chuỗi Autofit cố định.</x:v>
      </x:c>
      <x:c r="I22" s="269" t="str">
        <x:v>CHỜ DUYỆT</x:v>
      </x:c>
      <x:c r="J22" s="103" t="str">
        <x:v>ND30.N.BANG.BO_CUC.AUTOFIT</x:v>
      </x:c>
      <x:c r="K22" s="103" t="str">
        <x:v>BANG_ND30!G11</x:v>
      </x:c>
    </x:row>
    <x:row r="23" ht="61" customHeight="1">
      <x:c r="A23" s="103" t="str">
        <x:v>BANG_ND30</x:v>
      </x:c>
      <x:c r="B23" s="103" t="str">
        <x:v>ND30.N.BANG.BO_CUC.CAN_BANG</x:v>
      </x:c>
      <x:c r="C23" s="103" t="str">
        <x:v>N01</x:v>
      </x:c>
      <x:c r="D23" s="103" t="str">
        <x:v>Căn ngang toàn bảng</x:v>
      </x:c>
      <x:c r="E23" s="103" t="str">
        <x:v>CENTER</x:v>
      </x:c>
      <x:c r="F23" s="103"/>
      <x:c r="G23" s="103" t="str">
        <x:v>PRESET / CHỈ DẪN — CHƯA DUYỆT</x:v>
      </x:c>
      <x:c r="H23" s="103" t="str">
        <x:v>Bảng hẹp hơn vùng nội dung: có thể căn giữa; bảng đầy vùng nội dung: không ép dịch chuyển chỉ để đạt CENTER.</x:v>
      </x:c>
      <x:c r="I23" s="269" t="str">
        <x:v>CHỜ DUYỆT</x:v>
      </x:c>
      <x:c r="J23" s="103" t="str">
        <x:v>ND30.N.BANG.BO_CUC.CAN_BANG</x:v>
      </x:c>
      <x:c r="K23" s="103" t="str">
        <x:v>BANG_ND30!G9</x:v>
      </x:c>
    </x:row>
    <x:row r="24" ht="61" customHeight="1">
      <x:c r="A24" s="103" t="str">
        <x:v>BANG_ND30</x:v>
      </x:c>
      <x:c r="B24" s="103" t="str">
        <x:v>ND30.N.BANG.BO_CUC.CHIEU_RONG</x:v>
      </x:c>
      <x:c r="C24" s="103" t="str">
        <x:v>N01</x:v>
      </x:c>
      <x:c r="D24" s="103" t="str">
        <x:v>Chiều rộng ưu tiên của bảng</x:v>
      </x:c>
      <x:c r="E24" s="103" t="n">
        <x:v>100</x:v>
      </x:c>
      <x:c r="F24" s="103" t="str">
        <x:v>%</x:v>
      </x:c>
      <x:c r="G24" s="103" t="str">
        <x:v>PRESET / CHỈ DẪN — CHƯA DUYỆT</x:v>
      </x:c>
      <x:c r="H24" s="103" t="str">
        <x:v>Giữ kích thước gốc nếu vừa trang và đọc được; 100% chỉ ưu tiên khi bảng nhiều cột cần tận dụng chiều ngang.</x:v>
      </x:c>
      <x:c r="I24" s="269" t="str">
        <x:v>CHỜ DUYỆT</x:v>
      </x:c>
      <x:c r="J24" s="103" t="str">
        <x:v>ND30.N.BANG.BO_CUC.CHIEU_RONG</x:v>
      </x:c>
      <x:c r="K24" s="103" t="str">
        <x:v>BANG_ND30!G10</x:v>
      </x:c>
    </x:row>
    <x:row r="25" ht="61" customHeight="1">
      <x:c r="A25" s="103" t="str">
        <x:v>BANG_ND30</x:v>
      </x:c>
      <x:c r="B25" s="103" t="str">
        <x:v>ND30.N.BANG.BO_CUC.KHOANG_THUT</x:v>
      </x:c>
      <x:c r="C25" s="103" t="str">
        <x:v>N01</x:v>
      </x:c>
      <x:c r="D25" s="103" t="str">
        <x:v>Thụt trái toàn bảng</x:v>
      </x:c>
      <x:c r="E25" s="103" t="n">
        <x:v>0</x:v>
      </x:c>
      <x:c r="F25" s="103" t="str">
        <x:v>mm</x:v>
      </x:c>
      <x:c r="G25" s="103" t="str">
        <x:v>PRESET / CHỈ DẪN — CHƯA DUYỆT</x:v>
      </x:c>
      <x:c r="H25" s="103" t="str">
        <x:v>0 mm là giá trị preset sẵn có, KHÔNG phải ô trống và CHƯA được phê duyệt.</x:v>
      </x:c>
      <x:c r="I25" s="269" t="str">
        <x:v>CHỜ DUYỆT</x:v>
      </x:c>
      <x:c r="J25" s="103" t="str">
        <x:v>ND30.N.BANG.BO_CUC.KHOANG_THUT</x:v>
      </x:c>
      <x:c r="K25" s="103" t="str">
        <x:v>BANG_ND30!G12</x:v>
      </x:c>
    </x:row>
    <x:row r="26" ht="61" customHeight="1">
      <x:c r="A26" s="103" t="str">
        <x:v>BANG_HD05</x:v>
      </x:c>
      <x:c r="B26" s="103" t="str">
        <x:v>HD05.N.BANG.TIEU_DE.CAN_NGANG</x:v>
      </x:c>
      <x:c r="C26" s="103" t="str">
        <x:v>N02</x:v>
      </x:c>
      <x:c r="D26" s="103" t="str">
        <x:v>Căn ngang tiêu đề bảng</x:v>
      </x:c>
      <x:c r="E26" s="103" t="str">
        <x:v>CENTER_DRAFT</x:v>
      </x:c>
      <x:c r="F26" s="103"/>
      <x:c r="G26" s="103" t="str">
        <x:v>PRESET / CHỈ DẪN — CHƯA DUYỆT</x:v>
      </x:c>
      <x:c r="H26" s="103" t="str">
        <x:v>Chỉ căn khi đúng thành phần tiêu đề ngoài bảng; không suy ra từ dữ liệu trong ô.</x:v>
      </x:c>
      <x:c r="I26" s="269" t="str">
        <x:v>CHỜ DUYỆT</x:v>
      </x:c>
      <x:c r="J26" s="103" t="str">
        <x:v>HD05.N.BANG.TIEU_DE.CAN_NGANG</x:v>
      </x:c>
      <x:c r="K26" s="103" t="str">
        <x:v>BANG_HD05!G20</x:v>
      </x:c>
    </x:row>
    <x:row r="27" ht="61" customHeight="1">
      <x:c r="A27" s="103" t="str">
        <x:v>BANG_HD05</x:v>
      </x:c>
      <x:c r="B27" s="103" t="str">
        <x:v>HD05.N.BANG.TIEU_DE.GIU_CUNG_BANG</x:v>
      </x:c>
      <x:c r="C27" s="103" t="str">
        <x:v>N02</x:v>
      </x:c>
      <x:c r="D27" s="103" t="str">
        <x:v>Giữ tiêu đề và bảng cùng trang</x:v>
      </x:c>
      <x:c r="E27" s="103" t="str">
        <x:v>TRUE_DRAFT</x:v>
      </x:c>
      <x:c r="F27" s="103"/>
      <x:c r="G27" s="103" t="str">
        <x:v>PRESET / CHỈ DẪN — CHƯA DUYỆT</x:v>
      </x:c>
      <x:c r="H27" s="103" t="str">
        <x:v>Giữ tiêu đề với phần đầu bảng (ít nhất hàng đầu), KHÔNG giữ toàn bảng nhiều trang trên một trang.</x:v>
      </x:c>
      <x:c r="I27" s="269" t="str">
        <x:v>CHỜ DUYỆT</x:v>
      </x:c>
      <x:c r="J27" s="103" t="str">
        <x:v>HD05.N.BANG.TIEU_DE.GIU_CUNG_BANG</x:v>
      </x:c>
      <x:c r="K27" s="103" t="str">
        <x:v>BANG_HD05!G21</x:v>
      </x:c>
    </x:row>
    <x:row r="28" ht="61" customHeight="1">
      <x:c r="A28" s="103" t="str">
        <x:v>BANG_HD05</x:v>
      </x:c>
      <x:c r="B28" s="103" t="str">
        <x:v>HD05.N.BANG.TIEU_DE.KIEU_CHU</x:v>
      </x:c>
      <x:c r="C28" s="103" t="str">
        <x:v>N02</x:v>
      </x:c>
      <x:c r="D28" s="103" t="str">
        <x:v>Kiểu chữ tiêu đề bảng</x:v>
      </x:c>
      <x:c r="E28" s="103" t="str">
        <x:v>TNR_13_BOLD_DRAFT</x:v>
      </x:c>
      <x:c r="F28" s="103"/>
      <x:c r="G28" s="103" t="str">
        <x:v>PRESET / CHỈ DẪN — CHƯA DUYỆT</x:v>
      </x:c>
      <x:c r="H28" s="103" t="str">
        <x:v>13 pt ở TIÊU ĐỀ NGOÀI bảng là dự thảo riêng, không nằm trong quyết định 13 pt đối với chữ trong ô.</x:v>
      </x:c>
      <x:c r="I28" s="269" t="str">
        <x:v>CHỜ DUYỆT</x:v>
      </x:c>
      <x:c r="J28" s="103" t="str">
        <x:v>HD05.N.BANG.TIEU_DE.KIEU_CHU</x:v>
      </x:c>
      <x:c r="K28" s="103" t="str">
        <x:v>BANG_HD05!G19</x:v>
      </x:c>
    </x:row>
    <x:row r="29" ht="61" customHeight="1">
      <x:c r="A29" s="103" t="str">
        <x:v>BANG_ND30</x:v>
      </x:c>
      <x:c r="B29" s="103" t="str">
        <x:v>ND30.N.BANG.TIEU_DE.CAN_NGANG</x:v>
      </x:c>
      <x:c r="C29" s="103" t="str">
        <x:v>N02</x:v>
      </x:c>
      <x:c r="D29" s="103" t="str">
        <x:v>Căn ngang tiêu đề bảng</x:v>
      </x:c>
      <x:c r="E29" s="103" t="str">
        <x:v>CENTER_DRAFT</x:v>
      </x:c>
      <x:c r="F29" s="103"/>
      <x:c r="G29" s="103" t="str">
        <x:v>PRESET / CHỈ DẪN — CHƯA DUYỆT</x:v>
      </x:c>
      <x:c r="H29" s="103" t="str">
        <x:v>Chỉ căn khi đúng thành phần tiêu đề ngoài bảng; không suy ra từ dữ liệu trong ô.</x:v>
      </x:c>
      <x:c r="I29" s="269" t="str">
        <x:v>CHỜ DUYỆT</x:v>
      </x:c>
      <x:c r="J29" s="103" t="str">
        <x:v>ND30.N.BANG.TIEU_DE.CAN_NGANG</x:v>
      </x:c>
      <x:c r="K29" s="103" t="str">
        <x:v>BANG_ND30!G20</x:v>
      </x:c>
    </x:row>
    <x:row r="30" ht="61" customHeight="1">
      <x:c r="A30" s="103" t="str">
        <x:v>BANG_ND30</x:v>
      </x:c>
      <x:c r="B30" s="103" t="str">
        <x:v>ND30.N.BANG.TIEU_DE.GIU_CUNG_BANG</x:v>
      </x:c>
      <x:c r="C30" s="103" t="str">
        <x:v>N02</x:v>
      </x:c>
      <x:c r="D30" s="103" t="str">
        <x:v>Giữ tiêu đề và bảng cùng trang</x:v>
      </x:c>
      <x:c r="E30" s="103" t="str">
        <x:v>TRUE_DRAFT</x:v>
      </x:c>
      <x:c r="F30" s="103"/>
      <x:c r="G30" s="103" t="str">
        <x:v>PRESET / CHỈ DẪN — CHƯA DUYỆT</x:v>
      </x:c>
      <x:c r="H30" s="103" t="str">
        <x:v>Giữ tiêu đề với phần đầu bảng (ít nhất hàng đầu), KHÔNG giữ toàn bảng nhiều trang trên một trang.</x:v>
      </x:c>
      <x:c r="I30" s="269" t="str">
        <x:v>CHỜ DUYỆT</x:v>
      </x:c>
      <x:c r="J30" s="103" t="str">
        <x:v>ND30.N.BANG.TIEU_DE.GIU_CUNG_BANG</x:v>
      </x:c>
      <x:c r="K30" s="103" t="str">
        <x:v>BANG_ND30!G21</x:v>
      </x:c>
    </x:row>
    <x:row r="31" ht="61" customHeight="1">
      <x:c r="A31" s="103" t="str">
        <x:v>BANG_ND30</x:v>
      </x:c>
      <x:c r="B31" s="103" t="str">
        <x:v>ND30.N.BANG.TIEU_DE.KIEU_CHU</x:v>
      </x:c>
      <x:c r="C31" s="103" t="str">
        <x:v>N02</x:v>
      </x:c>
      <x:c r="D31" s="103" t="str">
        <x:v>Kiểu chữ tiêu đề bảng</x:v>
      </x:c>
      <x:c r="E31" s="103" t="str">
        <x:v>TNR_13_BOLD_DRAFT</x:v>
      </x:c>
      <x:c r="F31" s="103"/>
      <x:c r="G31" s="103" t="str">
        <x:v>PRESET / CHỈ DẪN — CHƯA DUYỆT</x:v>
      </x:c>
      <x:c r="H31" s="103" t="str">
        <x:v>13 pt ở TIÊU ĐỀ NGOÀI bảng là dự thảo riêng, không nằm trong quyết định 13 pt đối với chữ trong ô.</x:v>
      </x:c>
      <x:c r="I31" s="269" t="str">
        <x:v>CHỜ DUYỆT</x:v>
      </x:c>
      <x:c r="J31" s="103" t="str">
        <x:v>ND30.N.BANG.TIEU_DE.KIEU_CHU</x:v>
      </x:c>
      <x:c r="K31" s="103" t="str">
        <x:v>BANG_ND30!G19</x:v>
      </x:c>
    </x:row>
    <x:row r="32" ht="61" customHeight="1">
      <x:c r="A32" s="103" t="str">
        <x:v>BANG_HD05</x:v>
      </x:c>
      <x:c r="B32" s="103" t="str">
        <x:v>HD05.N.BANG.DAU_BANG.CAN_NGANG</x:v>
      </x:c>
      <x:c r="C32" s="103" t="str">
        <x:v>N03</x:v>
      </x:c>
      <x:c r="D32" s="103" t="str">
        <x:v>Căn ngang hàng tiêu đề</x:v>
      </x:c>
      <x:c r="E32" s="103" t="str">
        <x:v>CENTER_DRAFT</x:v>
      </x:c>
      <x:c r="F32" s="103"/>
      <x:c r="G32" s="103" t="str">
        <x:v>PRESET / CHỈ DẪN — CHƯA DUYỆT</x:v>
      </x:c>
      <x:c r="H32" s="103" t="str">
        <x:v>Căn theo nội dung nhãn và chiều dài; không ép căn giữa một nhãn quá dài khi gây khó đọc.</x:v>
      </x:c>
      <x:c r="I32" s="269" t="str">
        <x:v>CHỜ DUYỆT</x:v>
      </x:c>
      <x:c r="J32" s="103" t="str">
        <x:v>HD05.N.BANG.DAU_BANG.CAN_NGANG</x:v>
      </x:c>
      <x:c r="K32" s="103" t="str">
        <x:v>BANG_HD05!G27</x:v>
      </x:c>
    </x:row>
    <x:row r="33" ht="61" customHeight="1">
      <x:c r="A33" s="103" t="str">
        <x:v>BANG_HD05</x:v>
      </x:c>
      <x:c r="B33" s="103" t="str">
        <x:v>HD05.N.BANG.DAU_BANG.CHU_DAM</x:v>
      </x:c>
      <x:c r="C33" s="103" t="str">
        <x:v>N03</x:v>
      </x:c>
      <x:c r="D33" s="103" t="str">
        <x:v>Chữ đậm hàng tiêu đề</x:v>
      </x:c>
      <x:c r="E33" s="103" t="str">
        <x:v>YES_DRAFT</x:v>
      </x:c>
      <x:c r="F33" s="103"/>
      <x:c r="G33" s="103" t="str">
        <x:v>PRESET / CHỈ DẪN — CHƯA DUYỆT</x:v>
      </x:c>
      <x:c r="H33" s="103" t="str">
        <x:v>Chỉ những ô là hàng tiêu đề thực; cỡ chữ của chữ trong các ô này đã chốt 13 pt.</x:v>
      </x:c>
      <x:c r="I33" s="269" t="str">
        <x:v>CHỜ DUYỆT</x:v>
      </x:c>
      <x:c r="J33" s="103" t="str">
        <x:v>HD05.N.BANG.DAU_BANG.CHU_DAM</x:v>
      </x:c>
      <x:c r="K33" s="103" t="str">
        <x:v>BANG_HD05!G26</x:v>
      </x:c>
    </x:row>
    <x:row r="34" ht="61" customHeight="1">
      <x:c r="A34" s="103" t="str">
        <x:v>BANG_HD05</x:v>
      </x:c>
      <x:c r="B34" s="103" t="str">
        <x:v>HD05.N.BANG.DAU_BANG.LAP_LAI</x:v>
      </x:c>
      <x:c r="C34" s="103" t="str">
        <x:v>N03</x:v>
      </x:c>
      <x:c r="D34" s="103" t="str">
        <x:v>Lặp hàng tiêu đề khi bảng qua trang</x:v>
      </x:c>
      <x:c r="E34" s="103" t="str">
        <x:v>YES_IF_MULTIPAGE</x:v>
      </x:c>
      <x:c r="F34" s="103"/>
      <x:c r="G34" s="103" t="str">
        <x:v>ĐÃ XÁC NHẬN RIÊNG THUỘC TÍNH LẶP HÀNG TIÊU ĐỀ; không mặc định các preset khác trong nhóm đã duyệt.</x:v>
      </x:c>
      <x:c r="H34" s="103" t="str">
        <x:v>MÃ CHỦ: lặp các hàng tiêu đề liên tiếp từ đầu bảng khi bảng nhiều trang; NGAT_TRANG.GIU_DAU_BANG chỉ tham chiếu.</x:v>
      </x:c>
      <x:c r="I34" s="269" t="str">
        <x:v>ĐÃ CHỐT THEO PROFILE — BẮT BUỘC KHI BẢNG QUA TRANG</x:v>
      </x:c>
      <x:c r="J34" s="103" t="str">
        <x:v>HD05.N.BANG.DAU_BANG.LAP_LAI</x:v>
      </x:c>
      <x:c r="K34" s="103" t="str">
        <x:v>BANG_HD05!G28</x:v>
      </x:c>
    </x:row>
    <x:row r="35" ht="61" customHeight="1">
      <x:c r="A35" s="103" t="str">
        <x:v>BANG_HD05</x:v>
      </x:c>
      <x:c r="B35" s="103" t="str">
        <x:v>HD05.N.BANG.DAU_BANG.TO_NEN</x:v>
      </x:c>
      <x:c r="C35" s="103" t="str">
        <x:v>N03</x:v>
      </x:c>
      <x:c r="D35" s="103" t="str">
        <x:v>Màu nền hàng tiêu đề</x:v>
      </x:c>
      <x:c r="E35" s="103" t="str">
        <x:v>NONE_BY_DEFAULT</x:v>
      </x:c>
      <x:c r="F35" s="103"/>
      <x:c r="G35" s="103" t="str">
        <x:v>PRESET / CHỈ DẪN — CHƯA DUYỆT</x:v>
      </x:c>
      <x:c r="H35" s="103" t="str">
        <x:v>Không thêm nền mới mặc định; bảo toàn màu nền hiện hữu nếu có chức năng phân loại.</x:v>
      </x:c>
      <x:c r="I35" s="269" t="str">
        <x:v>CHỜ DUYỆT</x:v>
      </x:c>
      <x:c r="J35" s="103" t="str">
        <x:v>HD05.N.BANG.DAU_BANG.TO_NEN</x:v>
      </x:c>
      <x:c r="K35" s="103" t="str">
        <x:v>BANG_HD05!G30</x:v>
      </x:c>
    </x:row>
    <x:row r="36" ht="61" customHeight="1">
      <x:c r="A36" s="103" t="str">
        <x:v>BANG_HD05</x:v>
      </x:c>
      <x:c r="B36" s="103" t="str">
        <x:v>HD05.N.BANG.NGAT_TRANG.GIU_DAU_BANG</x:v>
      </x:c>
      <x:c r="C36" s="103" t="str">
        <x:v>N03</x:v>
      </x:c>
      <x:c r="D36" s="103" t="str">
        <x:v>Giữ hàng đầu bảng khi sang trang</x:v>
      </x:c>
      <x:c r="E36" s="103" t="str">
        <x:v>YES_IF_MULTIPAGE</x:v>
      </x:c>
      <x:c r="F36" s="103"/>
      <x:c r="G36" s="103" t="str">
        <x:v>ĐÃ XÁC NHẬN RIÊNG THUỘC TÍNH LẶP HÀNG TIÊU ĐỀ; không mặc định các preset khác trong nhóm đã duyệt.</x:v>
      </x:c>
      <x:c r="H36" s="103" t="str">
        <x:v>MÃ THAM CHIẾU: dùng cùng quyết định DAU_BANG.LAP_LAI; KHÔNG tạo thêm một lần phê duyệt.</x:v>
      </x:c>
      <x:c r="I36" s="269" t="str">
        <x:v>ĐÃ CHỐT THEO PROFILE — BẮT BUỘC KHI BẢNG QUA TRANG</x:v>
      </x:c>
      <x:c r="J36" s="103" t="str">
        <x:v>HD05.N.BANG.DAU_BANG.LAP_LAI</x:v>
      </x:c>
      <x:c r="K36" s="103" t="str">
        <x:v>BANG_HD05!G64</x:v>
      </x:c>
    </x:row>
    <x:row r="37" ht="61" customHeight="1">
      <x:c r="A37" s="103" t="str">
        <x:v>BANG_ND30</x:v>
      </x:c>
      <x:c r="B37" s="103" t="str">
        <x:v>ND30.N.BANG.DAU_BANG.CAN_NGANG</x:v>
      </x:c>
      <x:c r="C37" s="103" t="str">
        <x:v>N03</x:v>
      </x:c>
      <x:c r="D37" s="103" t="str">
        <x:v>Căn ngang hàng tiêu đề</x:v>
      </x:c>
      <x:c r="E37" s="103" t="str">
        <x:v>CENTER_DRAFT</x:v>
      </x:c>
      <x:c r="F37" s="103"/>
      <x:c r="G37" s="103" t="str">
        <x:v>PRESET / CHỈ DẪN — CHƯA DUYỆT</x:v>
      </x:c>
      <x:c r="H37" s="103" t="str">
        <x:v>Căn theo nội dung nhãn và chiều dài; không ép căn giữa một nhãn quá dài khi gây khó đọc.</x:v>
      </x:c>
      <x:c r="I37" s="269" t="str">
        <x:v>CHỜ DUYỆT</x:v>
      </x:c>
      <x:c r="J37" s="103" t="str">
        <x:v>ND30.N.BANG.DAU_BANG.CAN_NGANG</x:v>
      </x:c>
      <x:c r="K37" s="103" t="str">
        <x:v>BANG_ND30!G27</x:v>
      </x:c>
    </x:row>
    <x:row r="38" ht="61" customHeight="1">
      <x:c r="A38" s="103" t="str">
        <x:v>BANG_ND30</x:v>
      </x:c>
      <x:c r="B38" s="103" t="str">
        <x:v>ND30.N.BANG.DAU_BANG.CHU_DAM</x:v>
      </x:c>
      <x:c r="C38" s="103" t="str">
        <x:v>N03</x:v>
      </x:c>
      <x:c r="D38" s="103" t="str">
        <x:v>Chữ đậm hàng tiêu đề</x:v>
      </x:c>
      <x:c r="E38" s="103" t="str">
        <x:v>YES_DRAFT</x:v>
      </x:c>
      <x:c r="F38" s="103"/>
      <x:c r="G38" s="103" t="str">
        <x:v>PRESET / CHỈ DẪN — CHƯA DUYỆT</x:v>
      </x:c>
      <x:c r="H38" s="103" t="str">
        <x:v>Chỉ những ô là hàng tiêu đề thực; cỡ chữ của chữ trong các ô này đã chốt 13 pt.</x:v>
      </x:c>
      <x:c r="I38" s="269" t="str">
        <x:v>CHỜ DUYỆT</x:v>
      </x:c>
      <x:c r="J38" s="103" t="str">
        <x:v>ND30.N.BANG.DAU_BANG.CHU_DAM</x:v>
      </x:c>
      <x:c r="K38" s="103" t="str">
        <x:v>BANG_ND30!G26</x:v>
      </x:c>
    </x:row>
    <x:row r="39" ht="61" customHeight="1">
      <x:c r="A39" s="103" t="str">
        <x:v>BANG_ND30</x:v>
      </x:c>
      <x:c r="B39" s="103" t="str">
        <x:v>ND30.N.BANG.DAU_BANG.LAP_LAI</x:v>
      </x:c>
      <x:c r="C39" s="103" t="str">
        <x:v>N03</x:v>
      </x:c>
      <x:c r="D39" s="103" t="str">
        <x:v>Lặp hàng tiêu đề khi bảng qua trang</x:v>
      </x:c>
      <x:c r="E39" s="103" t="str">
        <x:v>YES_IF_MULTIPAGE</x:v>
      </x:c>
      <x:c r="F39" s="103"/>
      <x:c r="G39" s="103" t="str">
        <x:v>ĐÃ XÁC NHẬN RIÊNG THUỘC TÍNH LẶP HÀNG TIÊU ĐỀ; không mặc định các preset khác trong nhóm đã duyệt.</x:v>
      </x:c>
      <x:c r="H39" s="103" t="str">
        <x:v>MÃ CHỦ: lặp các hàng tiêu đề liên tiếp từ đầu bảng khi bảng nhiều trang; NGAT_TRANG.GIU_DAU_BANG chỉ tham chiếu.</x:v>
      </x:c>
      <x:c r="I39" s="269" t="str">
        <x:v>ĐÃ CHỐT THEO PROFILE — BẮT BUỘC KHI BẢNG QUA TRANG</x:v>
      </x:c>
      <x:c r="J39" s="103" t="str">
        <x:v>ND30.N.BANG.DAU_BANG.LAP_LAI</x:v>
      </x:c>
      <x:c r="K39" s="103" t="str">
        <x:v>BANG_ND30!G28</x:v>
      </x:c>
    </x:row>
    <x:row r="40" ht="61" customHeight="1">
      <x:c r="A40" s="103" t="str">
        <x:v>BANG_ND30</x:v>
      </x:c>
      <x:c r="B40" s="103" t="str">
        <x:v>ND30.N.BANG.DAU_BANG.TO_NEN</x:v>
      </x:c>
      <x:c r="C40" s="103" t="str">
        <x:v>N03</x:v>
      </x:c>
      <x:c r="D40" s="103" t="str">
        <x:v>Màu nền hàng tiêu đề</x:v>
      </x:c>
      <x:c r="E40" s="103" t="str">
        <x:v>NONE_BY_DEFAULT</x:v>
      </x:c>
      <x:c r="F40" s="103"/>
      <x:c r="G40" s="103" t="str">
        <x:v>PRESET / CHỈ DẪN — CHƯA DUYỆT</x:v>
      </x:c>
      <x:c r="H40" s="103" t="str">
        <x:v>Không thêm nền mới mặc định; bảo toàn màu nền hiện hữu nếu có chức năng phân loại.</x:v>
      </x:c>
      <x:c r="I40" s="269" t="str">
        <x:v>CHỜ DUYỆT</x:v>
      </x:c>
      <x:c r="J40" s="103" t="str">
        <x:v>ND30.N.BANG.DAU_BANG.TO_NEN</x:v>
      </x:c>
      <x:c r="K40" s="103" t="str">
        <x:v>BANG_ND30!G30</x:v>
      </x:c>
    </x:row>
    <x:row r="41" ht="61" customHeight="1">
      <x:c r="A41" s="103" t="str">
        <x:v>BANG_ND30</x:v>
      </x:c>
      <x:c r="B41" s="103" t="str">
        <x:v>ND30.N.BANG.NGAT_TRANG.GIU_DAU_BANG</x:v>
      </x:c>
      <x:c r="C41" s="103" t="str">
        <x:v>N03</x:v>
      </x:c>
      <x:c r="D41" s="103" t="str">
        <x:v>Giữ hàng đầu bảng khi sang trang</x:v>
      </x:c>
      <x:c r="E41" s="103" t="str">
        <x:v>YES_IF_MULTIPAGE</x:v>
      </x:c>
      <x:c r="F41" s="103"/>
      <x:c r="G41" s="103" t="str">
        <x:v>ĐÃ XÁC NHẬN RIÊNG THUỘC TÍNH LẶP HÀNG TIÊU ĐỀ; không mặc định các preset khác trong nhóm đã duyệt.</x:v>
      </x:c>
      <x:c r="H41" s="103" t="str">
        <x:v>MÃ THAM CHIẾU: dùng cùng quyết định DAU_BANG.LAP_LAI; KHÔNG tạo thêm một lần phê duyệt.</x:v>
      </x:c>
      <x:c r="I41" s="269" t="str">
        <x:v>ĐÃ CHỐT THEO PROFILE — BẮT BUỘC KHI BẢNG QUA TRANG</x:v>
      </x:c>
      <x:c r="J41" s="103" t="str">
        <x:v>ND30.N.BANG.DAU_BANG.LAP_LAI</x:v>
      </x:c>
      <x:c r="K41" s="103" t="str">
        <x:v>BANG_ND30!G64</x:v>
      </x:c>
    </x:row>
    <x:row r="42" ht="61" customHeight="1">
      <x:c r="A42" s="103" t="str">
        <x:v>BANG_HD05</x:v>
      </x:c>
      <x:c r="B42" s="103" t="str">
        <x:v>HD05.N.BANG.COT.CAN_CHU</x:v>
      </x:c>
      <x:c r="C42" s="103" t="str">
        <x:v>N04</x:v>
      </x:c>
      <x:c r="D42" s="103" t="str">
        <x:v>Căn cột nội dung chữ</x:v>
      </x:c>
      <x:c r="E42" s="103" t="str">
        <x:v>LEFT_OR_ORIGINAL</x:v>
      </x:c>
      <x:c r="F42" s="103"/>
      <x:c r="G42" s="103" t="str">
        <x:v>PRESET / CHỈ DẪN — CHƯA DUYỆT</x:v>
      </x:c>
      <x:c r="H42" s="103" t="str">
        <x:v>Nội dung chữ thông thường căn trái; tôn trọng căn có chủ đích của bảng gốc.</x:v>
      </x:c>
      <x:c r="I42" s="269" t="str">
        <x:v>CHỜ DUYỆT</x:v>
      </x:c>
      <x:c r="J42" s="103" t="str">
        <x:v>HD05.N.BANG.COT.CAN_CHU</x:v>
      </x:c>
      <x:c r="K42" s="103" t="str">
        <x:v>BANG_HD05!G34</x:v>
      </x:c>
    </x:row>
    <x:row r="43" ht="61" customHeight="1">
      <x:c r="A43" s="103" t="str">
        <x:v>BANG_HD05</x:v>
      </x:c>
      <x:c r="B43" s="103" t="str">
        <x:v>HD05.N.BANG.COT.CAN_SO</x:v>
      </x:c>
      <x:c r="C43" s="103" t="str">
        <x:v>N04</x:v>
      </x:c>
      <x:c r="D43" s="103" t="str">
        <x:v>Căn cột số</x:v>
      </x:c>
      <x:c r="E43" s="103" t="str">
        <x:v>RIGHT_OR_ORIGINAL</x:v>
      </x:c>
      <x:c r="F43" s="103"/>
      <x:c r="G43" s="103" t="str">
        <x:v>PRESET / CHỈ DẪN — CHƯA DUYỆT</x:v>
      </x:c>
      <x:c r="H43" s="103" t="str">
        <x:v>Chỉ căn phải với số đo, số lượng, đơn giá hoặc giá trị định lượng; mã, STT, ngày, điện thoại theo vai trò.</x:v>
      </x:c>
      <x:c r="I43" s="269" t="str">
        <x:v>CHỜ DUYỆT</x:v>
      </x:c>
      <x:c r="J43" s="103" t="str">
        <x:v>HD05.N.BANG.COT.CAN_SO</x:v>
      </x:c>
      <x:c r="K43" s="103" t="str">
        <x:v>BANG_HD05!G35</x:v>
      </x:c>
    </x:row>
    <x:row r="44" ht="61" customHeight="1">
      <x:c r="A44" s="103" t="str">
        <x:v>BANG_HD05</x:v>
      </x:c>
      <x:c r="B44" s="103" t="str">
        <x:v>HD05.N.BANG.COT.DO_RONG</x:v>
      </x:c>
      <x:c r="C44" s="103" t="str">
        <x:v>N04</x:v>
      </x:c>
      <x:c r="D44" s="103" t="str">
        <x:v>Chiều rộng từng cột</x:v>
      </x:c>
      <x:c r="E44" s="103" t="str">
        <x:v>PRESERVE_OR_APPROVE</x:v>
      </x:c>
      <x:c r="F44" s="103"/>
      <x:c r="G44" s="103" t="str">
        <x:v>PRESET / CHỈ DẪN — CHƯA DUYỆT</x:v>
      </x:c>
      <x:c r="H44" s="103" t="str">
        <x:v>Ưu tiên giữ tỉ lệ cột đang đọc được, chỉ điều chỉnh khi gây cắt chữ, tràn lề hoặc nhầm lẫn.</x:v>
      </x:c>
      <x:c r="I44" s="269" t="str">
        <x:v>CHỜ DUYỆT</x:v>
      </x:c>
      <x:c r="J44" s="103" t="str">
        <x:v>HD05.N.BANG.COT.DO_RONG</x:v>
      </x:c>
      <x:c r="K44" s="103" t="str">
        <x:v>BANG_HD05!G32</x:v>
      </x:c>
    </x:row>
    <x:row r="45" ht="61" customHeight="1">
      <x:c r="A45" s="103" t="str">
        <x:v>BANG_HD05</x:v>
      </x:c>
      <x:c r="B45" s="103" t="str">
        <x:v>HD05.N.BANG.O.CAN_DOC</x:v>
      </x:c>
      <x:c r="C45" s="103" t="str">
        <x:v>N04</x:v>
      </x:c>
      <x:c r="D45" s="103" t="str">
        <x:v>Căn dọc nội dung ô</x:v>
      </x:c>
      <x:c r="E45" s="103" t="str">
        <x:v>CENTER_DRAFT</x:v>
      </x:c>
      <x:c r="F45" s="103"/>
      <x:c r="G45" s="103" t="str">
        <x:v>PRESET / CHỈ DẪN — CHƯA DUYỆT</x:v>
      </x:c>
      <x:c r="H45" s="103" t="str">
        <x:v>Hàng tiêu đề/ô ngắn có thể căn giữa; ô nhiều đoạn hoặc nội dung dài ưu tiên căn trên.</x:v>
      </x:c>
      <x:c r="I45" s="269" t="str">
        <x:v>CHỜ DUYỆT</x:v>
      </x:c>
      <x:c r="J45" s="103" t="str">
        <x:v>HD05.N.BANG.O.CAN_DOC</x:v>
      </x:c>
      <x:c r="K45" s="103" t="str">
        <x:v>BANG_HD05!G49</x:v>
      </x:c>
    </x:row>
    <x:row r="46" ht="61" customHeight="1">
      <x:c r="A46" s="103" t="str">
        <x:v>BANG_HD05</x:v>
      </x:c>
      <x:c r="B46" s="103" t="str">
        <x:v>HD05.N.BANG.O.CAN_NGANG</x:v>
      </x:c>
      <x:c r="C46" s="103" t="str">
        <x:v>N04</x:v>
      </x:c>
      <x:c r="D46" s="103" t="str">
        <x:v>Căn ngang nội dung ô</x:v>
      </x:c>
      <x:c r="E46" s="103" t="str">
        <x:v>BY_CELL_ROLE</x:v>
      </x:c>
      <x:c r="F46" s="103"/>
      <x:c r="G46" s="103" t="str">
        <x:v>PRESET / CHỈ DẪN — CHƯA DUYỆT</x:v>
      </x:c>
      <x:c r="H46" s="103" t="str">
        <x:v>Phân loại ô trước: chữ -&gt; trái, số đại lượng -&gt; phải, nhãn hoặc mã -&gt; theo ý nghĩa/thiết kế hiện có.</x:v>
      </x:c>
      <x:c r="I46" s="269" t="str">
        <x:v>CHỜ DUYỆT</x:v>
      </x:c>
      <x:c r="J46" s="103" t="str">
        <x:v>HD05.N.BANG.O.CAN_NGANG</x:v>
      </x:c>
      <x:c r="K46" s="103" t="str">
        <x:v>BANG_HD05!G48</x:v>
      </x:c>
    </x:row>
    <x:row r="47" ht="61" customHeight="1">
      <x:c r="A47" s="103" t="str">
        <x:v>BANG_ND30</x:v>
      </x:c>
      <x:c r="B47" s="103" t="str">
        <x:v>ND30.N.BANG.COT.CAN_CHU</x:v>
      </x:c>
      <x:c r="C47" s="103" t="str">
        <x:v>N04</x:v>
      </x:c>
      <x:c r="D47" s="103" t="str">
        <x:v>Căn cột nội dung chữ</x:v>
      </x:c>
      <x:c r="E47" s="103" t="str">
        <x:v>LEFT_OR_ORIGINAL</x:v>
      </x:c>
      <x:c r="F47" s="103"/>
      <x:c r="G47" s="103" t="str">
        <x:v>PRESET / CHỈ DẪN — CHƯA DUYỆT</x:v>
      </x:c>
      <x:c r="H47" s="103" t="str">
        <x:v>Nội dung chữ thông thường căn trái; tôn trọng căn có chủ đích của bảng gốc.</x:v>
      </x:c>
      <x:c r="I47" s="269" t="str">
        <x:v>CHỜ DUYỆT</x:v>
      </x:c>
      <x:c r="J47" s="103" t="str">
        <x:v>ND30.N.BANG.COT.CAN_CHU</x:v>
      </x:c>
      <x:c r="K47" s="103" t="str">
        <x:v>BANG_ND30!G34</x:v>
      </x:c>
    </x:row>
    <x:row r="48" ht="61" customHeight="1">
      <x:c r="A48" s="103" t="str">
        <x:v>BANG_ND30</x:v>
      </x:c>
      <x:c r="B48" s="103" t="str">
        <x:v>ND30.N.BANG.COT.CAN_SO</x:v>
      </x:c>
      <x:c r="C48" s="103" t="str">
        <x:v>N04</x:v>
      </x:c>
      <x:c r="D48" s="103" t="str">
        <x:v>Căn cột số</x:v>
      </x:c>
      <x:c r="E48" s="103" t="str">
        <x:v>RIGHT_OR_ORIGINAL</x:v>
      </x:c>
      <x:c r="F48" s="103"/>
      <x:c r="G48" s="103" t="str">
        <x:v>PRESET / CHỈ DẪN — CHƯA DUYỆT</x:v>
      </x:c>
      <x:c r="H48" s="103" t="str">
        <x:v>Chỉ căn phải với số đo, số lượng, đơn giá hoặc giá trị định lượng; mã, STT, ngày, điện thoại theo vai trò.</x:v>
      </x:c>
      <x:c r="I48" s="269" t="str">
        <x:v>CHỜ DUYỆT</x:v>
      </x:c>
      <x:c r="J48" s="103" t="str">
        <x:v>ND30.N.BANG.COT.CAN_SO</x:v>
      </x:c>
      <x:c r="K48" s="103" t="str">
        <x:v>BANG_ND30!G35</x:v>
      </x:c>
    </x:row>
    <x:row r="49" ht="61" customHeight="1">
      <x:c r="A49" s="103" t="str">
        <x:v>BANG_ND30</x:v>
      </x:c>
      <x:c r="B49" s="103" t="str">
        <x:v>ND30.N.BANG.COT.DO_RONG</x:v>
      </x:c>
      <x:c r="C49" s="103" t="str">
        <x:v>N04</x:v>
      </x:c>
      <x:c r="D49" s="103" t="str">
        <x:v>Chiều rộng từng cột</x:v>
      </x:c>
      <x:c r="E49" s="103" t="str">
        <x:v>PRESERVE_OR_APPROVE</x:v>
      </x:c>
      <x:c r="F49" s="103"/>
      <x:c r="G49" s="103" t="str">
        <x:v>PRESET / CHỈ DẪN — CHƯA DUYỆT</x:v>
      </x:c>
      <x:c r="H49" s="103" t="str">
        <x:v>Ưu tiên giữ tỉ lệ cột đang đọc được, chỉ điều chỉnh khi gây cắt chữ, tràn lề hoặc nhầm lẫn.</x:v>
      </x:c>
      <x:c r="I49" s="269" t="str">
        <x:v>CHỜ DUYỆT</x:v>
      </x:c>
      <x:c r="J49" s="103" t="str">
        <x:v>ND30.N.BANG.COT.DO_RONG</x:v>
      </x:c>
      <x:c r="K49" s="103" t="str">
        <x:v>BANG_ND30!G32</x:v>
      </x:c>
    </x:row>
    <x:row r="50" ht="61" customHeight="1">
      <x:c r="A50" s="103" t="str">
        <x:v>BANG_ND30</x:v>
      </x:c>
      <x:c r="B50" s="103" t="str">
        <x:v>ND30.N.BANG.O.CAN_DOC</x:v>
      </x:c>
      <x:c r="C50" s="103" t="str">
        <x:v>N04</x:v>
      </x:c>
      <x:c r="D50" s="103" t="str">
        <x:v>Căn dọc nội dung ô</x:v>
      </x:c>
      <x:c r="E50" s="103" t="str">
        <x:v>CENTER_DRAFT</x:v>
      </x:c>
      <x:c r="F50" s="103"/>
      <x:c r="G50" s="103" t="str">
        <x:v>PRESET / CHỈ DẪN — CHƯA DUYỆT</x:v>
      </x:c>
      <x:c r="H50" s="103" t="str">
        <x:v>Hàng tiêu đề/ô ngắn có thể căn giữa; ô nhiều đoạn hoặc nội dung dài ưu tiên căn trên.</x:v>
      </x:c>
      <x:c r="I50" s="269" t="str">
        <x:v>CHỜ DUYỆT</x:v>
      </x:c>
      <x:c r="J50" s="103" t="str">
        <x:v>ND30.N.BANG.O.CAN_DOC</x:v>
      </x:c>
      <x:c r="K50" s="103" t="str">
        <x:v>BANG_ND30!G49</x:v>
      </x:c>
    </x:row>
    <x:row r="51" ht="61" customHeight="1">
      <x:c r="A51" s="103" t="str">
        <x:v>BANG_ND30</x:v>
      </x:c>
      <x:c r="B51" s="103" t="str">
        <x:v>ND30.N.BANG.O.CAN_NGANG</x:v>
      </x:c>
      <x:c r="C51" s="103" t="str">
        <x:v>N04</x:v>
      </x:c>
      <x:c r="D51" s="103" t="str">
        <x:v>Căn ngang nội dung ô</x:v>
      </x:c>
      <x:c r="E51" s="103" t="str">
        <x:v>BY_CELL_ROLE</x:v>
      </x:c>
      <x:c r="F51" s="103"/>
      <x:c r="G51" s="103" t="str">
        <x:v>PRESET / CHỈ DẪN — CHƯA DUYỆT</x:v>
      </x:c>
      <x:c r="H51" s="103" t="str">
        <x:v>Phân loại ô trước: chữ -&gt; trái, số đại lượng -&gt; phải, nhãn hoặc mã -&gt; theo ý nghĩa/thiết kế hiện có.</x:v>
      </x:c>
      <x:c r="I51" s="269" t="str">
        <x:v>CHỜ DUYỆT</x:v>
      </x:c>
      <x:c r="J51" s="103" t="str">
        <x:v>ND30.N.BANG.O.CAN_NGANG</x:v>
      </x:c>
      <x:c r="K51" s="103" t="str">
        <x:v>BANG_ND30!G48</x:v>
      </x:c>
    </x:row>
    <x:row r="52" ht="61" customHeight="1">
      <x:c r="A52" s="103" t="str">
        <x:v>BANG_HD05</x:v>
      </x:c>
      <x:c r="B52" s="103" t="str">
        <x:v>HD05.N.BANG.HANG.CHIEU_CAO</x:v>
      </x:c>
      <x:c r="C52" s="103" t="str">
        <x:v>N05</x:v>
      </x:c>
      <x:c r="D52" s="103" t="str">
        <x:v>Chiều cao hàng</x:v>
      </x:c>
      <x:c r="E52" s="103" t="str">
        <x:v>AUTO</x:v>
      </x:c>
      <x:c r="F52" s="103"/>
      <x:c r="G52" s="103" t="str">
        <x:v>PRESET / CHỈ DẪN — CHƯA DUYỆT</x:v>
      </x:c>
      <x:c r="H52" s="103" t="str">
        <x:v>Chiều cao tự giãn theo nội dung; không khóa độ cao làm mất chữ.</x:v>
      </x:c>
      <x:c r="I52" s="269" t="str">
        <x:v>CHỜ DUYỆT</x:v>
      </x:c>
      <x:c r="J52" s="103" t="str">
        <x:v>HD05.N.BANG.HANG.CHIEU_CAO</x:v>
      </x:c>
      <x:c r="K52" s="103" t="str">
        <x:v>BANG_HD05!G36</x:v>
      </x:c>
    </x:row>
    <x:row r="53" ht="61" customHeight="1">
      <x:c r="A53" s="103" t="str">
        <x:v>BANG_HD05</x:v>
      </x:c>
      <x:c r="B53" s="103" t="str">
        <x:v>HD05.N.BANG.HANG.CHONG_CHIA_TRANG</x:v>
      </x:c>
      <x:c r="C53" s="103" t="str">
        <x:v>N05</x:v>
      </x:c>
      <x:c r="D53" s="103" t="str">
        <x:v>Không chia một hàng sang trang khác</x:v>
      </x:c>
      <x:c r="E53" s="103" t="str">
        <x:v>YES_IF_FITS</x:v>
      </x:c>
      <x:c r="F53" s="103"/>
      <x:c r="G53" s="103" t="str">
        <x:v>PRESET / CHỈ DẪN — CHƯA DUYỆT</x:v>
      </x:c>
      <x:c r="H53" s="103" t="str">
        <x:v>Không chia hàng khi hàng vừa một trang; hàng cao hơn vùng trang cần xử lý riêng.</x:v>
      </x:c>
      <x:c r="I53" s="269" t="str">
        <x:v>CHỜ DUYỆT</x:v>
      </x:c>
      <x:c r="J53" s="103" t="str">
        <x:v>HD05.N.BANG.HANG.CHONG_CHIA_TRANG</x:v>
      </x:c>
      <x:c r="K53" s="103" t="str">
        <x:v>BANG_HD05!G38</x:v>
      </x:c>
    </x:row>
    <x:row r="54" ht="61" customHeight="1">
      <x:c r="A54" s="103" t="str">
        <x:v>BANG_HD05</x:v>
      </x:c>
      <x:c r="B54" s="103" t="str">
        <x:v>HD05.N.BANG.HANG.KHOANG_CACH</x:v>
      </x:c>
      <x:c r="C54" s="103" t="str">
        <x:v>N05</x:v>
      </x:c>
      <x:c r="D54" s="103" t="str">
        <x:v>Khoảng cách giữa các hàng</x:v>
      </x:c>
      <x:c r="E54" s="103" t="str">
        <x:v>PRESERVE</x:v>
      </x:c>
      <x:c r="F54" s="103"/>
      <x:c r="G54" s="103" t="str">
        <x:v>PRESET / CHỈ DẪN — CHƯA DUYỆT</x:v>
      </x:c>
      <x:c r="H54" s="103" t="str">
        <x:v>Giữ khoảng cách hàng hiện hữu nếu có; không tự tạo đoạn trắng giữa hàng.</x:v>
      </x:c>
      <x:c r="I54" s="269" t="str">
        <x:v>CHỜ DUYỆT</x:v>
      </x:c>
      <x:c r="J54" s="103" t="str">
        <x:v>HD05.N.BANG.HANG.KHOANG_CACH</x:v>
      </x:c>
      <x:c r="K54" s="103" t="str">
        <x:v>BANG_HD05!G39</x:v>
      </x:c>
    </x:row>
    <x:row r="55" ht="61" customHeight="1">
      <x:c r="A55" s="103" t="str">
        <x:v>BANG_HD05</x:v>
      </x:c>
      <x:c r="B55" s="103" t="str">
        <x:v>HD05.N.BANG.HANG.KIEU_CAO</x:v>
      </x:c>
      <x:c r="C55" s="103" t="str">
        <x:v>N05</x:v>
      </x:c>
      <x:c r="D55" s="103" t="str">
        <x:v>Quy tắc chiều cao</x:v>
      </x:c>
      <x:c r="E55" s="103" t="str">
        <x:v>AT_LEAST_OR_AUTO</x:v>
      </x:c>
      <x:c r="F55" s="103"/>
      <x:c r="G55" s="103" t="str">
        <x:v>PRESET / CHỈ DẪN — CHƯA DUYỆT</x:v>
      </x:c>
      <x:c r="H55" s="103" t="str">
        <x:v>AUTO là mặc định; AT_LEAST chỉ khi có mức tối thiểu được chốt; tuyệt đối không dùng Exactly gây cắt nội dung.</x:v>
      </x:c>
      <x:c r="I55" s="269" t="str">
        <x:v>CHỜ DUYỆT</x:v>
      </x:c>
      <x:c r="J55" s="103" t="str">
        <x:v>HD05.N.BANG.HANG.KIEU_CAO</x:v>
      </x:c>
      <x:c r="K55" s="103" t="str">
        <x:v>BANG_HD05!G37</x:v>
      </x:c>
    </x:row>
    <x:row r="56" ht="61" customHeight="1">
      <x:c r="A56" s="103" t="str">
        <x:v>BANG_HD05</x:v>
      </x:c>
      <x:c r="B56" s="103" t="str">
        <x:v>HD05.N.BANG.NGAT_TRANG.BANG_DAI</x:v>
      </x:c>
      <x:c r="C56" s="103" t="str">
        <x:v>N05</x:v>
      </x:c>
      <x:c r="D56" s="103" t="str">
        <x:v>Cắt trang cho bảng dài</x:v>
      </x:c>
      <x:c r="E56" s="103" t="str">
        <x:v>PRESERVE_OR_APPROVE</x:v>
      </x:c>
      <x:c r="F56" s="103"/>
      <x:c r="G56" s="103" t="str">
        <x:v>PRESET / CHỈ DẪN — CHƯA DUYỆT</x:v>
      </x:c>
      <x:c r="H56" s="103" t="str">
        <x:v>Bảng nhiều trang được phép tiếp tục; không đồng nhất quy tắc với chống chia một hàng.</x:v>
      </x:c>
      <x:c r="I56" s="269" t="str">
        <x:v>CHỜ DUYỆT</x:v>
      </x:c>
      <x:c r="J56" s="103" t="str">
        <x:v>HD05.N.BANG.NGAT_TRANG.BANG_DAI</x:v>
      </x:c>
      <x:c r="K56" s="103" t="str">
        <x:v>BANG_HD05!G65</x:v>
      </x:c>
    </x:row>
    <x:row r="57" ht="61" customHeight="1">
      <x:c r="A57" s="103" t="str">
        <x:v>BANG_ND30</x:v>
      </x:c>
      <x:c r="B57" s="103" t="str">
        <x:v>ND30.N.BANG.HANG.CHIEU_CAO</x:v>
      </x:c>
      <x:c r="C57" s="103" t="str">
        <x:v>N05</x:v>
      </x:c>
      <x:c r="D57" s="103" t="str">
        <x:v>Chiều cao hàng</x:v>
      </x:c>
      <x:c r="E57" s="103" t="str">
        <x:v>AUTO</x:v>
      </x:c>
      <x:c r="F57" s="103"/>
      <x:c r="G57" s="103" t="str">
        <x:v>PRESET / CHỈ DẪN — CHƯA DUYỆT</x:v>
      </x:c>
      <x:c r="H57" s="103" t="str">
        <x:v>Chiều cao tự giãn theo nội dung; không khóa độ cao làm mất chữ.</x:v>
      </x:c>
      <x:c r="I57" s="269" t="str">
        <x:v>CHỜ DUYỆT</x:v>
      </x:c>
      <x:c r="J57" s="103" t="str">
        <x:v>ND30.N.BANG.HANG.CHIEU_CAO</x:v>
      </x:c>
      <x:c r="K57" s="103" t="str">
        <x:v>BANG_ND30!G36</x:v>
      </x:c>
    </x:row>
    <x:row r="58" ht="61" customHeight="1">
      <x:c r="A58" s="103" t="str">
        <x:v>BANG_ND30</x:v>
      </x:c>
      <x:c r="B58" s="103" t="str">
        <x:v>ND30.N.BANG.HANG.CHONG_CHIA_TRANG</x:v>
      </x:c>
      <x:c r="C58" s="103" t="str">
        <x:v>N05</x:v>
      </x:c>
      <x:c r="D58" s="103" t="str">
        <x:v>Không chia một hàng sang trang khác</x:v>
      </x:c>
      <x:c r="E58" s="103" t="str">
        <x:v>YES_IF_FITS</x:v>
      </x:c>
      <x:c r="F58" s="103"/>
      <x:c r="G58" s="103" t="str">
        <x:v>PRESET / CHỈ DẪN — CHƯA DUYỆT</x:v>
      </x:c>
      <x:c r="H58" s="103" t="str">
        <x:v>Không chia hàng khi hàng vừa một trang; hàng cao hơn vùng trang cần xử lý riêng.</x:v>
      </x:c>
      <x:c r="I58" s="269" t="str">
        <x:v>CHỜ DUYỆT</x:v>
      </x:c>
      <x:c r="J58" s="103" t="str">
        <x:v>ND30.N.BANG.HANG.CHONG_CHIA_TRANG</x:v>
      </x:c>
      <x:c r="K58" s="103" t="str">
        <x:v>BANG_ND30!G38</x:v>
      </x:c>
    </x:row>
    <x:row r="59" ht="61" customHeight="1">
      <x:c r="A59" s="103" t="str">
        <x:v>BANG_ND30</x:v>
      </x:c>
      <x:c r="B59" s="103" t="str">
        <x:v>ND30.N.BANG.HANG.KHOANG_CACH</x:v>
      </x:c>
      <x:c r="C59" s="103" t="str">
        <x:v>N05</x:v>
      </x:c>
      <x:c r="D59" s="103" t="str">
        <x:v>Khoảng cách giữa các hàng</x:v>
      </x:c>
      <x:c r="E59" s="103" t="str">
        <x:v>PRESERVE</x:v>
      </x:c>
      <x:c r="F59" s="103"/>
      <x:c r="G59" s="103" t="str">
        <x:v>PRESET / CHỈ DẪN — CHƯA DUYỆT</x:v>
      </x:c>
      <x:c r="H59" s="103" t="str">
        <x:v>Giữ khoảng cách hàng hiện hữu nếu có; không tự tạo đoạn trắng giữa hàng.</x:v>
      </x:c>
      <x:c r="I59" s="269" t="str">
        <x:v>CHỜ DUYỆT</x:v>
      </x:c>
      <x:c r="J59" s="103" t="str">
        <x:v>ND30.N.BANG.HANG.KHOANG_CACH</x:v>
      </x:c>
      <x:c r="K59" s="103" t="str">
        <x:v>BANG_ND30!G39</x:v>
      </x:c>
    </x:row>
    <x:row r="60" ht="61" customHeight="1">
      <x:c r="A60" s="103" t="str">
        <x:v>BANG_ND30</x:v>
      </x:c>
      <x:c r="B60" s="103" t="str">
        <x:v>ND30.N.BANG.HANG.KIEU_CAO</x:v>
      </x:c>
      <x:c r="C60" s="103" t="str">
        <x:v>N05</x:v>
      </x:c>
      <x:c r="D60" s="103" t="str">
        <x:v>Quy tắc chiều cao</x:v>
      </x:c>
      <x:c r="E60" s="103" t="str">
        <x:v>AT_LEAST_OR_AUTO</x:v>
      </x:c>
      <x:c r="F60" s="103"/>
      <x:c r="G60" s="103" t="str">
        <x:v>PRESET / CHỈ DẪN — CHƯA DUYỆT</x:v>
      </x:c>
      <x:c r="H60" s="103" t="str">
        <x:v>AUTO là mặc định; AT_LEAST chỉ khi có mức tối thiểu được chốt; tuyệt đối không dùng Exactly gây cắt nội dung.</x:v>
      </x:c>
      <x:c r="I60" s="269" t="str">
        <x:v>CHỜ DUYỆT</x:v>
      </x:c>
      <x:c r="J60" s="103" t="str">
        <x:v>ND30.N.BANG.HANG.KIEU_CAO</x:v>
      </x:c>
      <x:c r="K60" s="103" t="str">
        <x:v>BANG_ND30!G37</x:v>
      </x:c>
    </x:row>
    <x:row r="61" ht="61" customHeight="1">
      <x:c r="A61" s="103" t="str">
        <x:v>BANG_ND30</x:v>
      </x:c>
      <x:c r="B61" s="103" t="str">
        <x:v>ND30.N.BANG.NGAT_TRANG.BANG_DAI</x:v>
      </x:c>
      <x:c r="C61" s="103" t="str">
        <x:v>N05</x:v>
      </x:c>
      <x:c r="D61" s="103" t="str">
        <x:v>Cắt trang cho bảng dài</x:v>
      </x:c>
      <x:c r="E61" s="103" t="str">
        <x:v>PRESERVE_OR_APPROVE</x:v>
      </x:c>
      <x:c r="F61" s="103"/>
      <x:c r="G61" s="103" t="str">
        <x:v>PRESET / CHỈ DẪN — CHƯA DUYỆT</x:v>
      </x:c>
      <x:c r="H61" s="103" t="str">
        <x:v>Bảng nhiều trang được phép tiếp tục; không đồng nhất quy tắc với chống chia một hàng.</x:v>
      </x:c>
      <x:c r="I61" s="269" t="str">
        <x:v>CHỜ DUYỆT</x:v>
      </x:c>
      <x:c r="J61" s="103" t="str">
        <x:v>ND30.N.BANG.NGAT_TRANG.BANG_DAI</x:v>
      </x:c>
      <x:c r="K61" s="103" t="str">
        <x:v>BANG_ND30!G65</x:v>
      </x:c>
    </x:row>
    <x:row r="62" ht="61" customHeight="1">
      <x:c r="A62" s="103" t="str">
        <x:v>BANG_HD05</x:v>
      </x:c>
      <x:c r="B62" s="103" t="str">
        <x:v>HD05.N.BANG.O.CACH_DOAN</x:v>
      </x:c>
      <x:c r="C62" s="103" t="str">
        <x:v>N06</x:v>
      </x:c>
      <x:c r="D62" s="103" t="str">
        <x:v>Cách đoạn bên trong ô</x:v>
      </x:c>
      <x:c r="E62" s="103" t="n">
        <x:v>0</x:v>
      </x:c>
      <x:c r="F62" s="103" t="str">
        <x:v>pt</x:v>
      </x:c>
      <x:c r="G62" s="103" t="str">
        <x:v>PRESET / CHỈ DẪN — CHƯA DUYỆT</x:v>
      </x:c>
      <x:c r="H62" s="103" t="str">
        <x:v>0 pt = khoảng cách SAU đoạn trong ô; khoảng TRƯỚC chưa được xác định từ rule này.</x:v>
      </x:c>
      <x:c r="I62" s="269" t="str">
        <x:v>CHỜ DUYỆT</x:v>
      </x:c>
      <x:c r="J62" s="103" t="str">
        <x:v>HD05.N.BANG.O.CACH_DOAN</x:v>
      </x:c>
      <x:c r="K62" s="103" t="str">
        <x:v>BANG_HD05!G51</x:v>
      </x:c>
    </x:row>
    <x:row r="63" ht="61" customHeight="1">
      <x:c r="A63" s="103" t="str">
        <x:v>BANG_HD05</x:v>
      </x:c>
      <x:c r="B63" s="103" t="str">
        <x:v>HD05.N.BANG.O.FONT</x:v>
      </x:c>
      <x:c r="C63" s="103" t="str">
        <x:v>N06</x:v>
      </x:c>
      <x:c r="D63" s="103" t="str">
        <x:v>Phông chữ nội dung ô</x:v>
      </x:c>
      <x:c r="E63" s="103" t="str">
        <x:v>Times New Roman</x:v>
      </x:c>
      <x:c r="F63" s="103"/>
      <x:c r="G63" s="103" t="str">
        <x:v>PRESET / CHỈ DẪN — CHƯA DUYỆT</x:v>
      </x:c>
      <x:c r="H63" s="103" t="str">
        <x:v>Times New Roman là preset; chỉ thay font khi có căn cứ và tránh sửa nội dung.</x:v>
      </x:c>
      <x:c r="I63" s="269" t="str">
        <x:v>CHỜ DUYỆT</x:v>
      </x:c>
      <x:c r="J63" s="103" t="str">
        <x:v>HD05.N.BANG.O.FONT</x:v>
      </x:c>
      <x:c r="K63" s="103" t="str">
        <x:v>BANG_HD05!G44</x:v>
      </x:c>
    </x:row>
    <x:row r="64" ht="61" customHeight="1">
      <x:c r="A64" s="103" t="str">
        <x:v>BANG_HD05</x:v>
      </x:c>
      <x:c r="B64" s="103" t="str">
        <x:v>HD05.N.BANG.O.GIAN_DONG</x:v>
      </x:c>
      <x:c r="C64" s="103" t="str">
        <x:v>N06</x:v>
      </x:c>
      <x:c r="D64" s="103" t="str">
        <x:v>Giãn dòng trong ô</x:v>
      </x:c>
      <x:c r="E64" s="103" t="n">
        <x:v>19</x:v>
      </x:c>
      <x:c r="F64" s="103" t="str">
        <x:v>pt</x:v>
      </x:c>
      <x:c r="G64" s="103" t="str">
        <x:v>PRESET / CHỈ DẪN — CHƯA DUYỆT</x:v>
      </x:c>
      <x:c r="H64" s="103" t="str">
        <x:v>ND30 Single / HD05 Exactly 19 pt đều là preset cần duyệt riêng; không suy ra từ thân bài.</x:v>
      </x:c>
      <x:c r="I64" s="269" t="str">
        <x:v>CHỜ DUYỆT</x:v>
      </x:c>
      <x:c r="J64" s="103" t="str">
        <x:v>HD05.N.BANG.O.GIAN_DONG</x:v>
      </x:c>
      <x:c r="K64" s="103" t="str">
        <x:v>BANG_HD05!G50</x:v>
      </x:c>
    </x:row>
    <x:row r="65" ht="61" customHeight="1">
      <x:c r="A65" s="103" t="str">
        <x:v>BANG_ND30</x:v>
      </x:c>
      <x:c r="B65" s="103" t="str">
        <x:v>ND30.N.BANG.O.CACH_DOAN</x:v>
      </x:c>
      <x:c r="C65" s="103" t="str">
        <x:v>N06</x:v>
      </x:c>
      <x:c r="D65" s="103" t="str">
        <x:v>Cách đoạn bên trong ô</x:v>
      </x:c>
      <x:c r="E65" s="103" t="n">
        <x:v>0</x:v>
      </x:c>
      <x:c r="F65" s="103" t="str">
        <x:v>pt</x:v>
      </x:c>
      <x:c r="G65" s="103" t="str">
        <x:v>PRESET / CHỈ DẪN — CHƯA DUYỆT</x:v>
      </x:c>
      <x:c r="H65" s="103" t="str">
        <x:v>0 pt = khoảng cách SAU đoạn trong ô; khoảng TRƯỚC chưa được xác định từ rule này.</x:v>
      </x:c>
      <x:c r="I65" s="269" t="str">
        <x:v>CHỜ DUYỆT</x:v>
      </x:c>
      <x:c r="J65" s="103" t="str">
        <x:v>ND30.N.BANG.O.CACH_DOAN</x:v>
      </x:c>
      <x:c r="K65" s="103" t="str">
        <x:v>BANG_ND30!G51</x:v>
      </x:c>
    </x:row>
    <x:row r="66" ht="61" customHeight="1">
      <x:c r="A66" s="103" t="str">
        <x:v>BANG_ND30</x:v>
      </x:c>
      <x:c r="B66" s="103" t="str">
        <x:v>ND30.N.BANG.O.FONT</x:v>
      </x:c>
      <x:c r="C66" s="103" t="str">
        <x:v>N06</x:v>
      </x:c>
      <x:c r="D66" s="103" t="str">
        <x:v>Phông chữ nội dung ô</x:v>
      </x:c>
      <x:c r="E66" s="103" t="str">
        <x:v>Times New Roman</x:v>
      </x:c>
      <x:c r="F66" s="103"/>
      <x:c r="G66" s="103" t="str">
        <x:v>PRESET / CHỈ DẪN — CHƯA DUYỆT</x:v>
      </x:c>
      <x:c r="H66" s="103" t="str">
        <x:v>Times New Roman là preset; chỉ thay font khi có căn cứ và tránh sửa nội dung.</x:v>
      </x:c>
      <x:c r="I66" s="269" t="str">
        <x:v>CHỜ DUYỆT</x:v>
      </x:c>
      <x:c r="J66" s="103" t="str">
        <x:v>ND30.N.BANG.O.FONT</x:v>
      </x:c>
      <x:c r="K66" s="103" t="str">
        <x:v>BANG_ND30!G44</x:v>
      </x:c>
    </x:row>
    <x:row r="67" ht="61" customHeight="1">
      <x:c r="A67" s="103" t="str">
        <x:v>BANG_ND30</x:v>
      </x:c>
      <x:c r="B67" s="103" t="str">
        <x:v>ND30.N.BANG.O.GIAN_DONG</x:v>
      </x:c>
      <x:c r="C67" s="103" t="str">
        <x:v>N06</x:v>
      </x:c>
      <x:c r="D67" s="103" t="str">
        <x:v>Giãn dòng trong ô</x:v>
      </x:c>
      <x:c r="E67" s="103" t="n">
        <x:v>1</x:v>
      </x:c>
      <x:c r="F67" s="103" t="str">
        <x:v>lines</x:v>
      </x:c>
      <x:c r="G67" s="103" t="str">
        <x:v>PRESET / CHỈ DẪN — CHƯA DUYỆT</x:v>
      </x:c>
      <x:c r="H67" s="103" t="str">
        <x:v>ND30 Single / HD05 Exactly 19 pt đều là preset cần duyệt riêng; không suy ra từ thân bài.</x:v>
      </x:c>
      <x:c r="I67" s="269" t="str">
        <x:v>CHỜ DUYỆT</x:v>
      </x:c>
      <x:c r="J67" s="103" t="str">
        <x:v>ND30.N.BANG.O.GIAN_DONG</x:v>
      </x:c>
      <x:c r="K67" s="103" t="str">
        <x:v>BANG_ND30!G50</x:v>
      </x:c>
    </x:row>
    <x:row r="68" ht="61" customHeight="1">
      <x:c r="A68" s="103" t="str">
        <x:v>BANG_HD05</x:v>
      </x:c>
      <x:c r="B68" s="103" t="str">
        <x:v>HD05.N.BANG.O.LE_TRONG</x:v>
      </x:c>
      <x:c r="C68" s="103" t="str">
        <x:v>N07</x:v>
      </x:c>
      <x:c r="D68" s="103" t="str">
        <x:v>Lề trong ô</x:v>
      </x:c>
      <x:c r="E68" s="103" t="n">
        <x:v>1.5</x:v>
      </x:c>
      <x:c r="F68" s="103" t="str">
        <x:v>mm</x:v>
      </x:c>
      <x:c r="G68" s="103" t="str">
        <x:v>PRESET / CHỈ DẪN — CHƯA DUYỆT</x:v>
      </x:c>
      <x:c r="H68" s="103" t="str">
        <x:v>1,5 mm cho bốn phía là lựa chọn dự thảo; không tự ghi đè lề ô có ý nghĩa.</x:v>
      </x:c>
      <x:c r="I68" s="269" t="str">
        <x:v>CHỜ DUYỆT</x:v>
      </x:c>
      <x:c r="J68" s="103" t="str">
        <x:v>HD05.N.BANG.O.LE_TRONG</x:v>
      </x:c>
      <x:c r="K68" s="103" t="str">
        <x:v>BANG_HD05!G52</x:v>
      </x:c>
    </x:row>
    <x:row r="69" ht="61" customHeight="1">
      <x:c r="A69" s="103" t="str">
        <x:v>BANG_HD05</x:v>
      </x:c>
      <x:c r="B69" s="103" t="str">
        <x:v>HD05.N.BANG.O.XUONG_DONG</x:v>
      </x:c>
      <x:c r="C69" s="103" t="str">
        <x:v>N07</x:v>
      </x:c>
      <x:c r="D69" s="103" t="str">
        <x:v>Xuống dòng trong ô</x:v>
      </x:c>
      <x:c r="E69" s="103" t="str">
        <x:v>YES</x:v>
      </x:c>
      <x:c r="F69" s="103"/>
      <x:c r="G69" s="103" t="str">
        <x:v>PRESET / CHỈ DẪN — CHƯA DUYỆT</x:v>
      </x:c>
      <x:c r="H69" s="103" t="str">
        <x:v>Cho phép tự xuống dòng trong ô, tránh cắt chữ; không chèn xuống dòng thủ công tùy tiện.</x:v>
      </x:c>
      <x:c r="I69" s="269" t="str">
        <x:v>CHỜ DUYỆT</x:v>
      </x:c>
      <x:c r="J69" s="103" t="str">
        <x:v>HD05.N.BANG.O.XUONG_DONG</x:v>
      </x:c>
      <x:c r="K69" s="103" t="str">
        <x:v>BANG_HD05!G53</x:v>
      </x:c>
    </x:row>
    <x:row r="70" ht="61" customHeight="1">
      <x:c r="A70" s="103" t="str">
        <x:v>BANG_ND30</x:v>
      </x:c>
      <x:c r="B70" s="103" t="str">
        <x:v>ND30.N.BANG.O.LE_TRONG</x:v>
      </x:c>
      <x:c r="C70" s="103" t="str">
        <x:v>N07</x:v>
      </x:c>
      <x:c r="D70" s="103" t="str">
        <x:v>Lề trong ô</x:v>
      </x:c>
      <x:c r="E70" s="103" t="n">
        <x:v>1.5</x:v>
      </x:c>
      <x:c r="F70" s="103" t="str">
        <x:v>mm</x:v>
      </x:c>
      <x:c r="G70" s="103" t="str">
        <x:v>PRESET / CHỈ DẪN — CHƯA DUYỆT</x:v>
      </x:c>
      <x:c r="H70" s="103" t="str">
        <x:v>1,5 mm cho bốn phía là lựa chọn dự thảo; không tự ghi đè lề ô có ý nghĩa.</x:v>
      </x:c>
      <x:c r="I70" s="269" t="str">
        <x:v>CHỜ DUYỆT</x:v>
      </x:c>
      <x:c r="J70" s="103" t="str">
        <x:v>ND30.N.BANG.O.LE_TRONG</x:v>
      </x:c>
      <x:c r="K70" s="103" t="str">
        <x:v>BANG_ND30!G52</x:v>
      </x:c>
    </x:row>
    <x:row r="71" ht="61" customHeight="1">
      <x:c r="A71" s="103" t="str">
        <x:v>BANG_ND30</x:v>
      </x:c>
      <x:c r="B71" s="103" t="str">
        <x:v>ND30.N.BANG.O.XUONG_DONG</x:v>
      </x:c>
      <x:c r="C71" s="103" t="str">
        <x:v>N07</x:v>
      </x:c>
      <x:c r="D71" s="103" t="str">
        <x:v>Xuống dòng trong ô</x:v>
      </x:c>
      <x:c r="E71" s="103" t="str">
        <x:v>YES</x:v>
      </x:c>
      <x:c r="F71" s="103"/>
      <x:c r="G71" s="103" t="str">
        <x:v>PRESET / CHỈ DẪN — CHƯA DUYỆT</x:v>
      </x:c>
      <x:c r="H71" s="103" t="str">
        <x:v>Cho phép tự xuống dòng trong ô, tránh cắt chữ; không chèn xuống dòng thủ công tùy tiện.</x:v>
      </x:c>
      <x:c r="I71" s="269" t="str">
        <x:v>CHỜ DUYỆT</x:v>
      </x:c>
      <x:c r="J71" s="103" t="str">
        <x:v>ND30.N.BANG.O.XUONG_DONG</x:v>
      </x:c>
      <x:c r="K71" s="103" t="str">
        <x:v>BANG_ND30!G53</x:v>
      </x:c>
    </x:row>
    <x:row r="72" ht="61" customHeight="1">
      <x:c r="A72" s="103" t="str">
        <x:v>BANG_HD05</x:v>
      </x:c>
      <x:c r="B72" s="103" t="str">
        <x:v>HD05.N.BANG.O.TO_NEN</x:v>
      </x:c>
      <x:c r="C72" s="103" t="str">
        <x:v>N08</x:v>
      </x:c>
      <x:c r="D72" s="103" t="str">
        <x:v>Tô nền ô</x:v>
      </x:c>
      <x:c r="E72" s="103" t="str">
        <x:v>NONE_DEFAULT</x:v>
      </x:c>
      <x:c r="F72" s="103"/>
      <x:c r="G72" s="103" t="str">
        <x:v>PRESET / CHỈ DẪN — CHƯA DUYỆT</x:v>
      </x:c>
      <x:c r="H72" s="103" t="str">
        <x:v>Không thêm nền mặc định, không xóa nền có vai trò phân nhóm hay cảnh báo.</x:v>
      </x:c>
      <x:c r="I72" s="269" t="str">
        <x:v>CHỜ DUYỆT</x:v>
      </x:c>
      <x:c r="J72" s="103" t="str">
        <x:v>HD05.N.BANG.O.TO_NEN</x:v>
      </x:c>
      <x:c r="K72" s="103" t="str">
        <x:v>BANG_HD05!G54</x:v>
      </x:c>
    </x:row>
    <x:row r="73" ht="61" customHeight="1">
      <x:c r="A73" s="103" t="str">
        <x:v>BANG_HD05</x:v>
      </x:c>
      <x:c r="B73" s="103" t="str">
        <x:v>HD05.N.BANG.VIEN.DOC</x:v>
      </x:c>
      <x:c r="C73" s="103" t="str">
        <x:v>N08</x:v>
      </x:c>
      <x:c r="D73" s="103" t="str">
        <x:v>Đường kẻ nội bộ dọc</x:v>
      </x:c>
      <x:c r="E73" s="103" t="str">
        <x:v>THIN_DRAFT</x:v>
      </x:c>
      <x:c r="F73" s="103"/>
      <x:c r="G73" s="103" t="str">
        <x:v>PRESET / CHỈ DẪN — CHƯA DUYỆT</x:v>
      </x:c>
      <x:c r="H73" s="103" t="str">
        <x:v>Chỉ xử lý đường viền dọc đã có hoặc được duyệt; không tự kẻ thêm.</x:v>
      </x:c>
      <x:c r="I73" s="269" t="str">
        <x:v>CHỜ DUYỆT</x:v>
      </x:c>
      <x:c r="J73" s="103" t="str">
        <x:v>HD05.N.BANG.VIEN.DOC</x:v>
      </x:c>
      <x:c r="K73" s="103" t="str">
        <x:v>BANG_HD05!G59</x:v>
      </x:c>
    </x:row>
    <x:row r="74" ht="61" customHeight="1">
      <x:c r="A74" s="103" t="str">
        <x:v>BANG_HD05</x:v>
      </x:c>
      <x:c r="B74" s="103" t="str">
        <x:v>HD05.N.BANG.VIEN.DO_DAY</x:v>
      </x:c>
      <x:c r="C74" s="103" t="str">
        <x:v>N08</x:v>
      </x:c>
      <x:c r="D74" s="103" t="str">
        <x:v>Độ dày đường viền bảng</x:v>
      </x:c>
      <x:c r="E74" s="103" t="n">
        <x:v>0.5</x:v>
      </x:c>
      <x:c r="F74" s="103" t="str">
        <x:v>pt</x:v>
      </x:c>
      <x:c r="G74" s="103" t="str">
        <x:v>PRESET / CHỈ DẪN — CHƯA DUYỆT</x:v>
      </x:c>
      <x:c r="H74" s="103" t="str">
        <x:v>0,5 pt là lựa chọn cho viền có áp dụng, chưa duyệt; không coi là đường viền bắt buộc.</x:v>
      </x:c>
      <x:c r="I74" s="269" t="str">
        <x:v>CHỜ DUYỆT</x:v>
      </x:c>
      <x:c r="J74" s="103" t="str">
        <x:v>HD05.N.BANG.VIEN.DO_DAY</x:v>
      </x:c>
      <x:c r="K74" s="103" t="str">
        <x:v>BANG_HD05!G60</x:v>
      </x:c>
    </x:row>
    <x:row r="75" ht="61" customHeight="1">
      <x:c r="A75" s="103" t="str">
        <x:v>BANG_HD05</x:v>
      </x:c>
      <x:c r="B75" s="103" t="str">
        <x:v>HD05.N.BANG.VIEN.NGANG</x:v>
      </x:c>
      <x:c r="C75" s="103" t="str">
        <x:v>N08</x:v>
      </x:c>
      <x:c r="D75" s="103" t="str">
        <x:v>Đường kẻ nội bộ ngang</x:v>
      </x:c>
      <x:c r="E75" s="103" t="str">
        <x:v>THIN_DRAFT</x:v>
      </x:c>
      <x:c r="F75" s="103"/>
      <x:c r="G75" s="103" t="str">
        <x:v>PRESET / CHỈ DẪN — CHƯA DUYỆT</x:v>
      </x:c>
      <x:c r="H75" s="103" t="str">
        <x:v>Chỉ xử lý đường viền ngang đã có hoặc được duyệt; không tự kẻ thêm.</x:v>
      </x:c>
      <x:c r="I75" s="269" t="str">
        <x:v>CHỜ DUYỆT</x:v>
      </x:c>
      <x:c r="J75" s="103" t="str">
        <x:v>HD05.N.BANG.VIEN.NGANG</x:v>
      </x:c>
      <x:c r="K75" s="103" t="str">
        <x:v>BANG_HD05!G58</x:v>
      </x:c>
    </x:row>
    <x:row r="76" ht="61" customHeight="1">
      <x:c r="A76" s="103" t="str">
        <x:v>BANG_HD05</x:v>
      </x:c>
      <x:c r="B76" s="103" t="str">
        <x:v>HD05.N.BANG.VIEN.NGOAI</x:v>
      </x:c>
      <x:c r="C76" s="103" t="str">
        <x:v>N08</x:v>
      </x:c>
      <x:c r="D76" s="103" t="str">
        <x:v>Khung bao toàn bảng</x:v>
      </x:c>
      <x:c r="E76" s="103" t="str">
        <x:v>THIN_DRAFT</x:v>
      </x:c>
      <x:c r="F76" s="103"/>
      <x:c r="G76" s="103" t="str">
        <x:v>PRESET / CHỈ DẪN — CHƯA DUYỆT</x:v>
      </x:c>
      <x:c r="H76" s="103" t="str">
        <x:v>Chỉ xử lý bảng đã dùng khung; giữ bảng không có viền nếu đó là bố cục chủ ý.</x:v>
      </x:c>
      <x:c r="I76" s="269" t="str">
        <x:v>CHỜ DUYỆT</x:v>
      </x:c>
      <x:c r="J76" s="103" t="str">
        <x:v>HD05.N.BANG.VIEN.NGOAI</x:v>
      </x:c>
      <x:c r="K76" s="103" t="str">
        <x:v>BANG_HD05!G57</x:v>
      </x:c>
    </x:row>
    <x:row r="77" ht="61" customHeight="1">
      <x:c r="A77" s="103" t="str">
        <x:v>BANG_ND30</x:v>
      </x:c>
      <x:c r="B77" s="103" t="str">
        <x:v>ND30.N.BANG.O.TO_NEN</x:v>
      </x:c>
      <x:c r="C77" s="103" t="str">
        <x:v>N08</x:v>
      </x:c>
      <x:c r="D77" s="103" t="str">
        <x:v>Tô nền ô</x:v>
      </x:c>
      <x:c r="E77" s="103" t="str">
        <x:v>NONE_DEFAULT</x:v>
      </x:c>
      <x:c r="F77" s="103"/>
      <x:c r="G77" s="103" t="str">
        <x:v>PRESET / CHỈ DẪN — CHƯA DUYỆT</x:v>
      </x:c>
      <x:c r="H77" s="103" t="str">
        <x:v>Không thêm nền mặc định, không xóa nền có vai trò phân nhóm hay cảnh báo.</x:v>
      </x:c>
      <x:c r="I77" s="269" t="str">
        <x:v>CHỜ DUYỆT</x:v>
      </x:c>
      <x:c r="J77" s="103" t="str">
        <x:v>ND30.N.BANG.O.TO_NEN</x:v>
      </x:c>
      <x:c r="K77" s="103" t="str">
        <x:v>BANG_ND30!G54</x:v>
      </x:c>
    </x:row>
    <x:row r="78" ht="61" customHeight="1">
      <x:c r="A78" s="103" t="str">
        <x:v>BANG_ND30</x:v>
      </x:c>
      <x:c r="B78" s="103" t="str">
        <x:v>ND30.N.BANG.VIEN.DOC</x:v>
      </x:c>
      <x:c r="C78" s="103" t="str">
        <x:v>N08</x:v>
      </x:c>
      <x:c r="D78" s="103" t="str">
        <x:v>Đường kẻ nội bộ dọc</x:v>
      </x:c>
      <x:c r="E78" s="103" t="str">
        <x:v>THIN_DRAFT</x:v>
      </x:c>
      <x:c r="F78" s="103"/>
      <x:c r="G78" s="103" t="str">
        <x:v>PRESET / CHỈ DẪN — CHƯA DUYỆT</x:v>
      </x:c>
      <x:c r="H78" s="103" t="str">
        <x:v>Chỉ xử lý đường viền dọc đã có hoặc được duyệt; không tự kẻ thêm.</x:v>
      </x:c>
      <x:c r="I78" s="269" t="str">
        <x:v>CHỜ DUYỆT</x:v>
      </x:c>
      <x:c r="J78" s="103" t="str">
        <x:v>ND30.N.BANG.VIEN.DOC</x:v>
      </x:c>
      <x:c r="K78" s="103" t="str">
        <x:v>BANG_ND30!G59</x:v>
      </x:c>
    </x:row>
    <x:row r="79" ht="61" customHeight="1">
      <x:c r="A79" s="103" t="str">
        <x:v>BANG_ND30</x:v>
      </x:c>
      <x:c r="B79" s="103" t="str">
        <x:v>ND30.N.BANG.VIEN.DO_DAY</x:v>
      </x:c>
      <x:c r="C79" s="103" t="str">
        <x:v>N08</x:v>
      </x:c>
      <x:c r="D79" s="103" t="str">
        <x:v>Độ dày đường viền bảng</x:v>
      </x:c>
      <x:c r="E79" s="103" t="n">
        <x:v>0.5</x:v>
      </x:c>
      <x:c r="F79" s="103" t="str">
        <x:v>pt</x:v>
      </x:c>
      <x:c r="G79" s="103" t="str">
        <x:v>PRESET / CHỈ DẪN — CHƯA DUYỆT</x:v>
      </x:c>
      <x:c r="H79" s="103" t="str">
        <x:v>0,5 pt là lựa chọn cho viền có áp dụng, chưa duyệt; không coi là đường viền bắt buộc.</x:v>
      </x:c>
      <x:c r="I79" s="269" t="str">
        <x:v>CHỜ DUYỆT</x:v>
      </x:c>
      <x:c r="J79" s="103" t="str">
        <x:v>ND30.N.BANG.VIEN.DO_DAY</x:v>
      </x:c>
      <x:c r="K79" s="103" t="str">
        <x:v>BANG_ND30!G60</x:v>
      </x:c>
    </x:row>
    <x:row r="80" ht="61" customHeight="1">
      <x:c r="A80" s="103" t="str">
        <x:v>BANG_ND30</x:v>
      </x:c>
      <x:c r="B80" s="103" t="str">
        <x:v>ND30.N.BANG.VIEN.NGANG</x:v>
      </x:c>
      <x:c r="C80" s="103" t="str">
        <x:v>N08</x:v>
      </x:c>
      <x:c r="D80" s="103" t="str">
        <x:v>Đường kẻ nội bộ ngang</x:v>
      </x:c>
      <x:c r="E80" s="103" t="str">
        <x:v>THIN_DRAFT</x:v>
      </x:c>
      <x:c r="F80" s="103"/>
      <x:c r="G80" s="103" t="str">
        <x:v>PRESET / CHỈ DẪN — CHƯA DUYỆT</x:v>
      </x:c>
      <x:c r="H80" s="103" t="str">
        <x:v>Chỉ xử lý đường viền ngang đã có hoặc được duyệt; không tự kẻ thêm.</x:v>
      </x:c>
      <x:c r="I80" s="269" t="str">
        <x:v>CHỜ DUYỆT</x:v>
      </x:c>
      <x:c r="J80" s="103" t="str">
        <x:v>ND30.N.BANG.VIEN.NGANG</x:v>
      </x:c>
      <x:c r="K80" s="103" t="str">
        <x:v>BANG_ND30!G58</x:v>
      </x:c>
    </x:row>
    <x:row r="81" ht="61" customHeight="1">
      <x:c r="A81" s="103" t="str">
        <x:v>BANG_ND30</x:v>
      </x:c>
      <x:c r="B81" s="103" t="str">
        <x:v>ND30.N.BANG.VIEN.NGOAI</x:v>
      </x:c>
      <x:c r="C81" s="103" t="str">
        <x:v>N08</x:v>
      </x:c>
      <x:c r="D81" s="103" t="str">
        <x:v>Khung bao toàn bảng</x:v>
      </x:c>
      <x:c r="E81" s="103" t="str">
        <x:v>THIN_DRAFT</x:v>
      </x:c>
      <x:c r="F81" s="103"/>
      <x:c r="G81" s="103" t="str">
        <x:v>PRESET / CHỈ DẪN — CHƯA DUYỆT</x:v>
      </x:c>
      <x:c r="H81" s="103" t="str">
        <x:v>Chỉ xử lý bảng đã dùng khung; giữ bảng không có viền nếu đó là bố cục chủ ý.</x:v>
      </x:c>
      <x:c r="I81" s="269" t="str">
        <x:v>CHỜ DUYỆT</x:v>
      </x:c>
      <x:c r="J81" s="103" t="str">
        <x:v>ND30.N.BANG.VIEN.NGOAI</x:v>
      </x:c>
      <x:c r="K81" s="103" t="str">
        <x:v>BANG_ND30!G57</x:v>
      </x:c>
    </x:row>
  </x:sheetData>
  <x:mergeCells>
    <x:mergeCell ref="A1:K1"/>
    <x:mergeCell ref="A2:K2"/>
    <x:mergeCell ref="A15:K15"/>
  </x:mergeCells>
  <x:pageMargins left="0.7" right="0.7" top="0.75" bottom="0.75" header="0.3" footer="0.3"/>
</x:worksheet>
</file>

<file path=xl/worksheets/sheet1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7" hidden="0" customWidth="1"/>
    <x:col min="2" max="2" width="32" hidden="0" customWidth="1"/>
    <x:col min="3" max="3" width="48" hidden="0" customWidth="1"/>
    <x:col min="4" max="4" width="69" hidden="0" customWidth="1"/>
    <x:col min="5" max="5" width="50" hidden="0" customWidth="1"/>
  </x:cols>
  <x:sheetData>
    <x:row r="1" ht="31" customHeight="1">
      <x:c r="A1" s="259" t="str">
        <x:v>QUY TẮC ĐỌC PROFILE OFFLINE CHO CHATGPT · v1.7.2</x:v>
      </x:c>
      <x:c r="B1" s="259"/>
      <x:c r="C1" s="259"/>
      <x:c r="D1" s="259"/>
      <x:c r="E1" s="259"/>
      <x:c r="F1" s="259"/>
      <x:c r="G1" s="259"/>
      <x:c r="H1" s="259"/>
    </x:row>
    <x:row r="2" ht="36" customHeight="1">
      <x:c r="A2" s="262" t="str">
        <x:v>Chỉ dùng bộ dữ liệu để tham chiếu và thực hiện theo khi có tài liệu; KHÔNG suy diễn điều kiện hay phê duyệt bất kỳ preset dự thảo nào.</x:v>
      </x:c>
      <x:c r="B2" s="262"/>
      <x:c r="C2" s="262"/>
      <x:c r="D2" s="262"/>
      <x:c r="E2" s="262"/>
      <x:c r="F2" s="262"/>
      <x:c r="G2" s="262"/>
      <x:c r="H2" s="262"/>
    </x:row>
    <x:row r="4" ht="31" customHeight="1">
      <x:c r="A4" s="265" t="str">
        <x:v>Nhóm trạng thái</x:v>
      </x:c>
      <x:c r="B4" s="265" t="str">
        <x:v>Số lượng</x:v>
      </x:c>
      <x:c r="C4" s="265" t="str">
        <x:v>Ý nghĩa</x:v>
      </x:c>
      <x:c r="D4" s="265" t="str">
        <x:v>Quyết định hiện tại</x:v>
      </x:c>
      <x:c r="E4" s="265" t="str">
        <x:v>Hành động của ChatGPT</x:v>
      </x:c>
    </x:row>
    <x:row r="5" ht="61" customHeight="1">
      <x:c r="A5" s="103" t="str">
        <x:v>Toàn bộ trường kiểm kê</x:v>
      </x:c>
      <x:c r="B5" s="103" t="n">
        <x:v>297</x:v>
      </x:c>
      <x:c r="C5" s="103" t="str">
        <x:v>80 + 85 + 66 + 66, không trùng mã</x:v>
      </x:c>
      <x:c r="D5" s="103" t="str">
        <x:v>Đã kiểm kê</x:v>
      </x:c>
      <x:c r="E5" s="103" t="str">
        <x:v>Không coi là 297 rule đã nghiệm thu.</x:v>
      </x:c>
    </x:row>
    <x:row r="6" ht="61" customHeight="1">
      <x:c r="A6" s="103" t="str">
        <x:v>Rule bảng PROFILE_DRAFT</x:v>
      </x:c>
      <x:c r="B6" s="103" t="n">
        <x:v>72</x:v>
      </x:c>
      <x:c r="C6" s="103" t="str">
        <x:v>Bao gồm 8 khoảng cách CHUA_CHOT và 64 preset còn lại</x:v>
      </x:c>
      <x:c r="D6" s="103" t="str">
        <x:v>CHỜ DUYỆT</x:v>
      </x:c>
      <x:c r="E6" s="103" t="str">
        <x:v>Không được tự áp dụng vì có giá trị nguồn.</x:v>
      </x:c>
    </x:row>
    <x:row r="7" ht="61" customHeight="1">
      <x:c r="A7" s="103" t="str">
        <x:v>Khoảng cách ngoài bảng</x:v>
      </x:c>
      <x:c r="B7" s="103" t="n">
        <x:v>8</x:v>
      </x:c>
      <x:c r="C7" s="103" t="str">
        <x:v>4 mã × 2 hệ, G = CHUA_CHOT</x:v>
      </x:c>
      <x:c r="D7" s="103" t="str">
        <x:v>ĐỀ XUẤT 6 pt — CHƯA DUYỆT</x:v>
      </x:c>
      <x:c r="E7" s="103" t="str">
        <x:v>Không ghi 6 pt vào giá trị hiệu lực.</x:v>
      </x:c>
    </x:row>
    <x:row r="8" ht="61" customHeight="1">
      <x:c r="A8" s="103" t="str">
        <x:v>Các rule bảng còn lại</x:v>
      </x:c>
      <x:c r="B8" s="103" t="n">
        <x:v>64</x:v>
      </x:c>
      <x:c r="C8" s="103" t="str">
        <x:v>Có giá trị hoặc chỉ dẫn; thuộc 8 nhóm DUYET_8_NHOM</x:v>
      </x:c>
      <x:c r="D8" s="103" t="str">
        <x:v>PRESET CHƯA DUYỆT</x:v>
      </x:c>
      <x:c r="E8" s="103" t="str">
        <x:v>Phân nhánh theo điều kiện, giữ nguyên nếu chưa chốt.</x:v>
      </x:c>
    </x:row>
    <x:row r="9" ht="61" customHeight="1">
      <x:c r="A9" s="103" t="str">
        <x:v>Mã cơ quan/liên hệ</x:v>
      </x:c>
      <x:c r="B9" s="103" t="n">
        <x:v>12</x:v>
      </x:c>
      <x:c r="C9" s="103" t="str">
        <x:v>2 mã cơ quan + 10 trường liên hệ</x:v>
      </x:c>
      <x:c r="D9" s="103" t="str">
        <x:v>CHỜ DỮ LIỆU CHÍNH THỨC</x:v>
      </x:c>
      <x:c r="E9" s="103" t="str">
        <x:v>Liên hệ có thể quyết định không hiển thị.</x:v>
      </x:c>
    </x:row>
    <x:row r="10" ht="61" customHeight="1">
      <x:c r="A10" s="103" t="str">
        <x:v>Tên và quan hệ tổ chức</x:v>
      </x:c>
      <x:c r="B10" s="103" t="n">
        <x:v>4</x:v>
      </x:c>
      <x:c r="C10" s="103" t="str">
        <x:v>Tên tham khảo/dự thảo của cấp trên và đơn vị</x:v>
      </x:c>
      <x:c r="D10" s="103" t="str">
        <x:v>CHỜ XÁC MINH</x:v>
      </x:c>
      <x:c r="E10" s="103" t="str">
        <x:v>Không gộp vào 12 trường mã/liên hệ.</x:v>
      </x:c>
    </x:row>
    <x:row r="11" ht="61" customHeight="1">
      <x:c r="A11" s="103" t="str">
        <x:v>Cỡ chữ 13 pt trong ô</x:v>
      </x:c>
      <x:c r="B11" s="103" t="n">
        <x:v>4</x:v>
      </x:c>
      <x:c r="C11" s="103" t="str">
        <x:v>O.CO_CHU và DAU_BANG.CO_CHU của ND30, HD05</x:v>
      </x:c>
      <x:c r="D11" s="103" t="str">
        <x:v>ĐÃ CHỐT PRESET 13 pt</x:v>
      </x:c>
      <x:c r="E11" s="103" t="str">
        <x:v>Không hỏi lại; HD05 vẫn cần nguồn xác nhận tính phù hợp.</x:v>
      </x:c>
    </x:row>
    <x:row r="12" ht="61" customHeight="1">
      <x:c r="A12" s="103" t="str">
        <x:v>0 mm thụt bảng</x:v>
      </x:c>
      <x:c r="B12" s="103" t="n">
        <x:v>2</x:v>
      </x:c>
      <x:c r="C12" s="103" t="str">
        <x:v>BO_CUC.KHOANG_THUT tại hai hệ</x:v>
      </x:c>
      <x:c r="D12" s="103" t="str">
        <x:v>CÓ GIÁ TRỊ — CHƯA DUYỆT PRESET</x:v>
      </x:c>
      <x:c r="E12" s="103" t="str">
        <x:v>Không coi 0 là rỗng, không tự nâng mức duyệt.</x:v>
      </x:c>
    </x:row>
    <x:row r="13" ht="61" customHeight="1">
      <x:c r="A13" s="103" t="str">
        <x:v>0 pt sau đoạn trong ô</x:v>
      </x:c>
      <x:c r="B13" s="103" t="n">
        <x:v>2</x:v>
      </x:c>
      <x:c r="C13" s="103" t="str">
        <x:v>O.CACH_DOAN ở hai hệ (chỉ sau đoạn)</x:v>
      </x:c>
      <x:c r="D13" s="103" t="str">
        <x:v>CÓ GIÁ TRỊ — CHƯA DUYỆT PRESET</x:v>
      </x:c>
      <x:c r="E13" s="103" t="str">
        <x:v>Không suy ra khoảng trước đoạn cũng bằng 0.</x:v>
      </x:c>
    </x:row>
    <x:row r="14" ht="61" customHeight="1">
      <x:c r="A14" s="103" t="str">
        <x:v>Ẩn số trang đầu HD05</x:v>
      </x:c>
      <x:c r="B14" s="103" t="n">
        <x:v>1</x:v>
      </x:c>
      <x:c r="C14" s="103" t="str">
        <x:v>HD05.G.SO_TRANG.VI_TRI / BS78</x:v>
      </x:c>
      <x:c r="D14" s="103" t="str">
        <x:v>ĐÃ ĐỐI CHIẾU NGUỒN — CÓ</x:v>
      </x:c>
      <x:c r="E14" s="103" t="str">
        <x:v>Không xem là lựa chọn thẩm mỹ.</x:v>
      </x:c>
    </x:row>
    <x:row r="15" ht="61" customHeight="1">
      <x:c r="A15" s="103" t="str">
        <x:v>Dấu sao HD05</x:v>
      </x:c>
      <x:c r="B15" s="103" t="n">
        <x:v>1</x:v>
      </x:c>
      <x:c r="C15" s="103" t="str">
        <x:v>Thể thức theo quy định/mẫu</x:v>
      </x:c>
      <x:c r="D15" s="103" t="str">
        <x:v>ĐỐI CHIẾU MẪU</x:v>
      </x:c>
      <x:c r="E15" s="103" t="str">
        <x:v>Không yêu cầu người dùng điền như thông tin tổ chức.</x:v>
      </x:c>
    </x:row>
    <x:row r="16" ht="61" customHeight="1">
      <x:c r="A16" s="103" t="str">
        <x:v>Chủ đề đại hội</x:v>
      </x:c>
      <x:c r="B16" s="103" t="n">
        <x:v>1</x:v>
      </x:c>
      <x:c r="C16" s="103" t="str">
        <x:v>Chỉ khi trường hợp ngoại lệ phát sinh</x:v>
      </x:c>
      <x:c r="D16" s="103" t="str">
        <x:v>ĐIỀU KIỆN</x:v>
      </x:c>
      <x:c r="E16" s="103" t="str">
        <x:v>Không chặn việc dùng profile thông thường.</x:v>
      </x:c>
    </x:row>
    <x:row r="17" ht="61" customHeight="1">
      <x:c r="A17" s="103" t="str">
        <x:v>Nhãn CẦN XÁC NHẬN</x:v>
      </x:c>
      <x:c r="B17" s="103" t="n">
        <x:v>16</x:v>
      </x:c>
      <x:c r="C17" s="103" t="str">
        <x:v>6 NĐ30 + 10 HD05 theo audit; giao nhau với nhóm 12 mã/liên hệ</x:v>
      </x:c>
      <x:c r="D17" s="103" t="str">
        <x:v>KIỂM KÊ, KHÔNG CỘNG CHỒNG</x:v>
      </x:c>
      <x:c r="E17" s="103" t="str">
        <x:v>Không suy ra 16 lỗi định dạng hoặc 16 quyết định độc lập.</x:v>
      </x:c>
    </x:row>
    <x:row r="19" ht="31" customHeight="1">
      <x:c r="A19" s="265" t="str">
        <x:v>Ưu tiên</x:v>
      </x:c>
      <x:c r="B19" s="265" t="str">
        <x:v>Tình huống</x:v>
      </x:c>
      <x:c r="C19" s="265" t="str">
        <x:v>Chọn rule</x:v>
      </x:c>
      <x:c r="D19" s="265" t="str">
        <x:v>Quy tắc chống cộng dồn / điều kiện</x:v>
      </x:c>
      <x:c r="E19" s="265" t="str">
        <x:v>Trạng thái</x:v>
      </x:c>
    </x:row>
    <x:row r="20" ht="64" customHeight="1">
      <x:c r="A20" s="103" t="n">
        <x:v>1</x:v>
      </x:c>
      <x:c r="B20" s="103" t="str">
        <x:v>Đoạn văn thông thường → bảng</x:v>
      </x:c>
      <x:c r="C20" s="103" t="str">
        <x:v>BO_CUC.KHOANG_TRUOC</x:v>
      </x:c>
      <x:c r="D20" s="103" t="str">
        <x:v>Một ranh giới, đúng một rule; 6 pt là khoảng tổng, không cộng vào khoảng có sẵn.</x:v>
      </x:c>
      <x:c r="E20" s="103" t="str">
        <x:v>CHUA_CHOT / 6 pt đề xuất</x:v>
      </x:c>
    </x:row>
    <x:row r="21" ht="64" customHeight="1">
      <x:c r="A21" s="103" t="n">
        <x:v>2</x:v>
      </x:c>
      <x:c r="B21" s="103" t="str">
        <x:v>Tiêu đề ngoài bảng → bảng</x:v>
      </x:c>
      <x:c r="C21" s="103" t="str">
        <x:v>TIEU_DE.KHOANG_CACH</x:v>
      </x:c>
      <x:c r="D21" s="103" t="str">
        <x:v>Thay cho KHOANG_TRUOC; không cộng thêm khoảng trước bảng.</x:v>
      </x:c>
      <x:c r="E21" s="103" t="str">
        <x:v>CHUA_CHOT / 6 pt đề xuất</x:v>
      </x:c>
    </x:row>
    <x:row r="22" ht="64" customHeight="1">
      <x:c r="A22" s="103" t="n">
        <x:v>3</x:v>
      </x:c>
      <x:c r="B22" s="103" t="str">
        <x:v>Bảng → đoạn văn thông thường</x:v>
      </x:c>
      <x:c r="C22" s="103" t="str">
        <x:v>BO_CUC.KHOANG_SAU</x:v>
      </x:c>
      <x:c r="D22" s="103" t="str">
        <x:v>Một ranh giới, đúng một rule; không cộng thêm 6 pt.</x:v>
      </x:c>
      <x:c r="E22" s="103" t="str">
        <x:v>CHUA_CHOT / 6 pt đề xuất</x:v>
      </x:c>
    </x:row>
    <x:row r="23" ht="64" customHeight="1">
      <x:c r="A23" s="103" t="n">
        <x:v>4</x:v>
      </x:c>
      <x:c r="B23" s="103" t="str">
        <x:v>Bảng → chú thích/nguồn ngoài bảng</x:v>
      </x:c>
      <x:c r="C23" s="103" t="str">
        <x:v>GHI_CHU.CACH_BANG</x:v>
      </x:c>
      <x:c r="D23" s="103" t="str">
        <x:v>Thay cho KHOANG_SAU; không cộng thêm khoảng sau bảng.</x:v>
      </x:c>
      <x:c r="E23" s="103" t="str">
        <x:v>CHUA_CHOT / 6 pt đề xuất</x:v>
      </x:c>
    </x:row>
    <x:row r="24" ht="64" customHeight="1">
      <x:c r="A24" s="103" t="n">
        <x:v>5</x:v>
      </x:c>
      <x:c r="B24" s="103" t="str">
        <x:v>Tiêu đề/chú thích trong ô</x:v>
      </x:c>
      <x:c r="C24" s="103" t="str">
        <x:v>KHÔNG ÁP RULE NGOÀI BẢNG</x:v>
      </x:c>
      <x:c r="D24" s="103" t="str">
        <x:v>Các khoảng trên không áp cho khối nằm bên trong ô.</x:v>
      </x:c>
      <x:c r="E24" s="103" t="str">
        <x:v>KHÔNG ÁP DỤNG</x:v>
      </x:c>
    </x:row>
    <x:row r="25" ht="64" customHeight="1">
      <x:c r="A25" s="103" t="n">
        <x:v>6</x:v>
      </x:c>
      <x:c r="B25" s="103" t="str">
        <x:v>Tài liệu có bố cục được duyệt</x:v>
      </x:c>
      <x:c r="C25" s="103" t="str">
        <x:v>GIỮ BỐ CỤC ĐÃ DUYỆT</x:v>
      </x:c>
      <x:c r="D25" s="103" t="str">
        <x:v>Không tự tạo đoạn rỗng hoặc thay đổi cấu trúc chỉ để tạo khoảng.</x:v>
      </x:c>
      <x:c r="E25" s="103" t="str">
        <x:v>ƯU TIÊN NGOẠI LỆ HỢP LỆ</x:v>
      </x:c>
    </x:row>
    <x:row r="26" ht="64" customHeight="1">
      <x:c r="A26" s="103" t="n">
        <x:v>7</x:v>
      </x:c>
      <x:c r="B26" s="103" t="str">
        <x:v>Thiếu dữ liệu hoặc chưa duyệt</x:v>
      </x:c>
      <x:c r="C26" s="103" t="str">
        <x:v>GIỮ NGUYÊN / BÁO CẦN CHỐT</x:v>
      </x:c>
      <x:c r="D26" s="103" t="str">
        <x:v>Không tự suy ra 6 pt từ sheet đề xuất.</x:v>
      </x:c>
      <x:c r="E26" s="103" t="str">
        <x:v>CHỜ DUYỆT</x:v>
      </x:c>
    </x:row>
    <x:row r="29" ht="31" customHeight="1">
      <x:c r="A29" s="265" t="str">
        <x:v>Mã trường đã chốt</x:v>
      </x:c>
      <x:c r="B29" s="265" t="str">
        <x:v>Hệ</x:v>
      </x:c>
      <x:c r="C29" s="265" t="str">
        <x:v>Giá trị</x:v>
      </x:c>
      <x:c r="D29" s="265" t="str">
        <x:v>Phạm vi</x:v>
      </x:c>
      <x:c r="E29" s="265" t="str">
        <x:v>Phân biệt pháp lý</x:v>
      </x:c>
    </x:row>
    <x:row r="30" ht="50" customHeight="1">
      <x:c r="A30" s="103" t="str">
        <x:v>ND30.N.BANG.O.CO_CHU</x:v>
      </x:c>
      <x:c r="B30" s="103" t="str">
        <x:v>NĐ30</x:v>
      </x:c>
      <x:c r="C30" s="103" t="n">
        <x:v>13</x:v>
      </x:c>
      <x:c r="D30" s="103" t="str">
        <x:v>Mọi chữ trong ô bảng</x:v>
      </x:c>
      <x:c r="E30" s="103" t="str">
        <x:v>Đã chốt preset profile</x:v>
      </x:c>
    </x:row>
    <x:row r="31" ht="50" customHeight="1">
      <x:c r="A31" s="103" t="str">
        <x:v>ND30.N.BANG.DAU_BANG.CO_CHU</x:v>
      </x:c>
      <x:c r="B31" s="103" t="str">
        <x:v>NĐ30</x:v>
      </x:c>
      <x:c r="C31" s="103" t="n">
        <x:v>13</x:v>
      </x:c>
      <x:c r="D31" s="103" t="str">
        <x:v>Chữ trong ô hàng tiêu đề</x:v>
      </x:c>
      <x:c r="E31" s="103" t="str">
        <x:v>Đã chốt preset profile</x:v>
      </x:c>
    </x:row>
    <x:row r="32" ht="50" customHeight="1">
      <x:c r="A32" s="103" t="str">
        <x:v>HD05.N.BANG.O.CO_CHU</x:v>
      </x:c>
      <x:c r="B32" s="103" t="str">
        <x:v>HD05</x:v>
      </x:c>
      <x:c r="C32" s="103" t="n">
        <x:v>13</x:v>
      </x:c>
      <x:c r="D32" s="103" t="str">
        <x:v>Mọi chữ trong ô bảng</x:v>
      </x:c>
      <x:c r="E32" s="103" t="str">
        <x:v>Đã chốt preset; tính phù hợp cần đối chiếu riêng</x:v>
      </x:c>
    </x:row>
    <x:row r="33" ht="50" customHeight="1">
      <x:c r="A33" s="103" t="str">
        <x:v>HD05.N.BANG.DAU_BANG.CO_CHU</x:v>
      </x:c>
      <x:c r="B33" s="103" t="str">
        <x:v>HD05</x:v>
      </x:c>
      <x:c r="C33" s="103" t="n">
        <x:v>13</x:v>
      </x:c>
      <x:c r="D33" s="103" t="str">
        <x:v>Chữ trong ô hàng tiêu đề</x:v>
      </x:c>
      <x:c r="E33" s="103" t="str">
        <x:v>Đã chốt preset; tính phù hợp cần đối chiếu riêng</x:v>
      </x:c>
    </x:row>
    <x:row r="36" ht="31" customHeight="1">
      <x:c r="A36" s="265" t="str">
        <x:v>Nguồn/đầu vào</x:v>
      </x:c>
      <x:c r="B36" s="265" t="str">
        <x:v>Trạng thái</x:v>
      </x:c>
      <x:c r="C36" s="265" t="str">
        <x:v>Giới hạn</x:v>
      </x:c>
      <x:c r="D36" s="265" t="str">
        <x:v>Tác động cho ChatGPT</x:v>
      </x:c>
      <x:c r="E36" s="265" t="str">
        <x:v>Ghi chú</x:v>
      </x:c>
    </x:row>
    <x:row r="37" ht="65" customHeight="1">
      <x:c r="A37" s="103" t="str">
        <x:v>Workbook v1.7.1</x:v>
      </x:c>
      <x:c r="B37" s="103" t="str">
        <x:v>Nguồn dữ liệu</x:v>
      </x:c>
      <x:c r="C37" s="103" t="str">
        <x:v>Không sửa 16 sheet nghiệp vụ đã có</x:v>
      </x:c>
      <x:c r="D37" s="103" t="str">
        <x:v>Đọc giá trị nguồn + tra bảng duyệt</x:v>
      </x:c>
      <x:c r="E37" s="103" t="str">
        <x:v>Chỉ thêm lớp diễn giải offline v1.7.2</x:v>
      </x:c>
    </x:row>
    <x:row r="38" ht="65" customHeight="1">
      <x:c r="A38" s="103" t="str">
        <x:v>DU_THAO_CHO_DUYET</x:v>
      </x:c>
      <x:c r="B38" s="103" t="str">
        <x:v>Đề xuất chưa duyệt</x:v>
      </x:c>
      <x:c r="C38" s="103" t="str">
        <x:v>6 pt không là giá trị hiệu lực</x:v>
      </x:c>
      <x:c r="D38" s="103" t="str">
        <x:v>Không đổi 8 ô CHUA_CHOT</x:v>
      </x:c>
      <x:c r="E38" s="103" t="str">
        <x:v>Tham chiếu bốn khoảng cách × hai hệ</x:v>
      </x:c>
    </x:row>
    <x:row r="39" ht="65" customHeight="1">
      <x:c r="A39" s="103" t="str">
        <x:v>DUYET_8_NHOM</x:v>
      </x:c>
      <x:c r="B39" s="103" t="str">
        <x:v>64 preset chưa duyệt</x:v>
      </x:c>
      <x:c r="C39" s="103" t="str">
        <x:v>Nhóm duyệt ≠ 64 quyết định độc lập</x:v>
      </x:c>
      <x:c r="D39" s="103" t="str">
        <x:v>Tra mã chủ quản và điều kiện chọn nhánh</x:v>
      </x:c>
      <x:c r="E39" s="103" t="str">
        <x:v>Lặp tiêu đề chỉ có một chủ quản</x:v>
      </x:c>
    </x:row>
    <x:row r="40" ht="65" customHeight="1">
      <x:c r="A40" s="103" t="str">
        <x:v>HD05 số trang đầu</x:v>
      </x:c>
      <x:c r="B40" s="103" t="str">
        <x:v>Căn cứ đã đối chiếu</x:v>
      </x:c>
      <x:c r="C40" s="103" t="str">
        <x:v>Phần II, IV.5.1</x:v>
      </x:c>
      <x:c r="D40" s="103" t="str">
        <x:v>Ẩn trang đầu CÓ</x:v>
      </x:c>
      <x:c r="E40" s="103" t="str">
        <x:v>https://dangcongsan.vn/upload/2006988/20260529/HD_05_VPTW_e1550.pdf</x:v>
      </x:c>
    </x:row>
    <x:row r="41" ht="65" customHeight="1">
      <x:c r="A41" s="103" t="str">
        <x:v>Cỡ chữ HD05 13 pt</x:v>
      </x:c>
      <x:c r="B41" s="103" t="str">
        <x:v>Chốt nội bộ, chưa kết luận hợp chuẩn</x:v>
      </x:c>
      <x:c r="C41" s="103" t="str">
        <x:v>Phụ lục 2 có quy định chữ nội dung 14–15 pt</x:v>
      </x:c>
      <x:c r="D41" s="103" t="str">
        <x:v>Giữ preset và cảnh báo căn cứ ngoại lệ chưa xác minh</x:v>
      </x:c>
      <x:c r="E41" s="103" t="str">
        <x:v>Không lấy lựa chọn profile thay căn cứ</x:v>
      </x:c>
    </x:row>
    <x:row r="42">
      <x:c r="A42" t="str">
        <x:v>PROFILE CONFIRMED 29/10/2026</x:v>
      </x:c>
      <x:c r="B42" t="str">
        <x:v>Lặp hàng tiêu đề bắt buộc</x:v>
      </x:c>
      <x:c r="C42" t="str">
        <x:v>ND30.N.BANG.DAU_BANG.LAP_LAI; HD05.N.BANG.DAU_BANG.LAP_LAI</x:v>
      </x:c>
      <x:c r="D42" t="str">
        <x:v>Bảng 2+ trang có hàng tiêu đề xác định: bắt buộc lặp toàn bộ hàng đầu là header trên trang tiếp theo. Hai mã NGAT_TRANG.GIU_DAU_BANG là alias. Không áp cho bảng 1 trang; không tự thêm nhãn.</x:v>
      </x:c>
      <x:c r="E42" t="str">
        <x:v>Quyết định Công ty (người dùng), KHÔNG phải nghĩa vụ pháp lý của mọi văn bản NĐ30/HD05.</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72" hidden="0" customWidth="1"/>
    <x:col min="3" max="3" width="44" hidden="0" customWidth="1"/>
    <x:col min="4" max="4" width="31" hidden="0" customWidth="1"/>
    <x:col min="5" max="5" width="31" hidden="0" customWidth="1"/>
    <x:col min="6" max="6" width="31" hidden="0" customWidth="1"/>
    <x:col min="7" max="7" width="31" hidden="0" customWidth="1"/>
    <x:col min="8" max="8" width="31" hidden="0" customWidth="1"/>
    <x:col min="9" max="9" width="31" hidden="0" customWidth="1"/>
    <x:col min="10" max="10" width="31" hidden="0" customWidth="1"/>
    <x:col min="11" max="11" width="31" hidden="0" customWidth="1"/>
    <x:col min="12" max="12" width="31" hidden="0" customWidth="1"/>
  </x:cols>
  <x:sheetData>
    <x:row r="1" ht="30" customHeight="1">
      <x:c r="A1" s="273" t="str">
        <x:v>Hệ</x:v>
      </x:c>
      <x:c r="B1" s="273" t="str">
        <x:v>Mã rule chính</x:v>
      </x:c>
      <x:c r="C1" s="273" t="str">
        <x:v>Mã tham chiếu</x:v>
      </x:c>
      <x:c r="D1" s="273" t="str">
        <x:v>Mức áp dụng</x:v>
      </x:c>
      <x:c r="E1" s="273" t="str">
        <x:v>Giá trị</x:v>
      </x:c>
      <x:c r="F1" s="273" t="str">
        <x:v>Điều kiện kích hoạt</x:v>
      </x:c>
      <x:c r="G1" s="273" t="str">
        <x:v>Hàng cần lặp</x:v>
      </x:c>
      <x:c r="H1" s="273" t="str">
        <x:v>Không được làm</x:v>
      </x:c>
      <x:c r="I1" s="273" t="str">
        <x:v>Trạng thái profile</x:v>
      </x:c>
      <x:c r="J1" s="273" t="str">
        <x:v>Trạng thái căn cứ pháp lý</x:v>
      </x:c>
      <x:c r="K1" s="273" t="str">
        <x:v>Nguồn quyết định</x:v>
      </x:c>
      <x:c r="L1" s="273" t="str">
        <x:v>Kiểm tra khi đọc/định dạng</x:v>
      </x:c>
    </x:row>
    <x:row r="2" ht="75" customHeight="1">
      <x:c r="A2" s="103" t="str">
        <x:v>ND30</x:v>
      </x:c>
      <x:c r="B2" s="103" t="str">
        <x:v>ND30.N.BANG.DAU_BANG.LAP_LAI</x:v>
      </x:c>
      <x:c r="C2" s="103" t="str">
        <x:v>ND30.N.BANG.NGAT_TRANG.GIU_DAU_BANG</x:v>
      </x:c>
      <x:c r="D2" s="103" t="str">
        <x:v>BẮT BUỘC THEO PROFILE</x:v>
      </x:c>
      <x:c r="E2" s="103" t="str">
        <x:v>YES_IF_MULTIPAGE</x:v>
      </x:c>
      <x:c r="F2" s="103" t="str">
        <x:v>Bảng trong phần nội dung chính kéo dài từ 2 trang; xác định được header thật</x:v>
      </x:c>
      <x:c r="G2" s="103" t="str">
        <x:v>Toàn bộ hàng tiêu đề liên tiếp từ đầu bảng</x:v>
      </x:c>
      <x:c r="H2" s="103" t="str">
        <x:v>Không lặp hàng dữ liệu, hàng nhóm, tiêu đề ngoài bảng; không tạo nhãn mới</x:v>
      </x:c>
      <x:c r="I2" s="103" t="str">
        <x:v>DA_XAC_NHAN</x:v>
      </x:c>
      <x:c r="J2" s="103" t="str">
        <x:v>KHÔNG KHẲNG ĐỊNH NĐ30/HD05 BẮT BUỘC</x:v>
      </x:c>
      <x:c r="K2" s="103" t="str">
        <x:v>Người dùng 29/10/2026</x:v>
      </x:c>
      <x:c r="L2" s="103" t="str">
        <x:v>Trang đầu hiển thị một lần; mọi trang sau lặp đúng header, không thay đổi chữ hoặc gộp ô.</x:v>
      </x:c>
    </x:row>
    <x:row r="3" ht="75" customHeight="1">
      <x:c r="A3" s="103" t="str">
        <x:v>HD05</x:v>
      </x:c>
      <x:c r="B3" s="103" t="str">
        <x:v>HD05.N.BANG.DAU_BANG.LAP_LAI</x:v>
      </x:c>
      <x:c r="C3" s="103" t="str">
        <x:v>HD05.N.BANG.NGAT_TRANG.GIU_DAU_BANG</x:v>
      </x:c>
      <x:c r="D3" s="103" t="str">
        <x:v>BẮT BUỘC THEO PROFILE</x:v>
      </x:c>
      <x:c r="E3" s="103" t="str">
        <x:v>YES_IF_MULTIPAGE</x:v>
      </x:c>
      <x:c r="F3" s="103" t="str">
        <x:v>Bảng trong phần nội dung chính kéo dài từ 2 trang; xác định được header thật</x:v>
      </x:c>
      <x:c r="G3" s="103" t="str">
        <x:v>Toàn bộ hàng tiêu đề liên tiếp từ đầu bảng</x:v>
      </x:c>
      <x:c r="H3" s="103" t="str">
        <x:v>Không lặp hàng dữ liệu, hàng nhóm, tiêu đề ngoài bảng; không tạo nhãn mới</x:v>
      </x:c>
      <x:c r="I3" s="103" t="str">
        <x:v>DA_XAC_NHAN</x:v>
      </x:c>
      <x:c r="J3" s="103" t="str">
        <x:v>KHÔNG KHẲNG ĐỊNH NĐ30/HD05 BẮT BUỘC</x:v>
      </x:c>
      <x:c r="K3" s="103" t="str">
        <x:v>Người dùng 29/10/2026</x:v>
      </x:c>
      <x:c r="L3" s="103" t="str">
        <x:v>Trang đầu hiển thị một lần; mọi trang sau lặp đúng header, không thay đổi chữ hoặc gộp ô.</x:v>
      </x:c>
    </x:row>
    <x:row r="5">
      <x:c r="A5" t="str">
        <x:v>TÌNH HUỐNG</x:v>
      </x:c>
      <x:c r="B5" t="str">
        <x:v>KẾT LUẬN</x:v>
      </x:c>
    </x:row>
    <x:row r="6">
      <x:c r="A6" t="str">
        <x:v>Bảng chỉ một trang</x:v>
      </x:c>
      <x:c r="B6" t="str">
        <x:v>Không có trang tiếp theo để lặp.</x:v>
      </x:c>
    </x:row>
    <x:row r="7">
      <x:c r="A7" t="str">
        <x:v>Bảng nhiều trang, header 1 hàng</x:v>
      </x:c>
      <x:c r="B7" t="str">
        <x:v>Lặp đúng một hàng đầu trên mỗi trang sau.</x:v>
      </x:c>
    </x:row>
    <x:row r="8">
      <x:c r="A8" t="str">
        <x:v>Bảng nhiều trang, header nhiều hàng</x:v>
      </x:c>
      <x:c r="B8" t="str">
        <x:v>Lặp toàn bộ nhóm hàng tiêu đề liên tiếp từ đầu bảng.</x:v>
      </x:c>
    </x:row>
    <x:row r="9">
      <x:c r="A9" t="str">
        <x:v>Có tiêu đề/caption ở ngoài bảng</x:v>
      </x:c>
      <x:c r="B9" t="str">
        <x:v>Không coi caption ngoài bảng là header cần lặp.</x:v>
      </x:c>
    </x:row>
    <x:row r="10">
      <x:c r="A10" t="str">
        <x:v>Hàng nhóm giữa bảng</x:v>
      </x:c>
      <x:c r="B10" t="str">
        <x:v>Không nhầm với header và không lặp thay header.</x:v>
      </x:c>
    </x:row>
    <x:row r="11">
      <x:c r="A11" t="str">
        <x:v>Chưa xác định hàng nào là tiêu đề</x:v>
      </x:c>
      <x:c r="B11" t="str">
        <x:v>Chưa thể thực hiện; cần xác minh cấu trúc, không tự sáng tác.</x:v>
      </x:c>
    </x:row>
  </x:sheetData>
  <x:pageMargins left="0.7" right="0.7" top="0.75" bottom="0.75" header="0.3" footer="0.3"/>
</x:worksheet>
</file>

<file path=xl/worksheets/sheet21.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38" hidden="0" customWidth="1"/>
    <x:col min="7" max="7" width="48" hidden="0" customWidth="1"/>
    <x:col min="9" max="9" width="42" hidden="0" customWidth="1"/>
    <x:col min="12" max="12" width="50" hidden="0" customWidth="1"/>
    <x:col min="1" max="1" width="7" hidden="0" customWidth="1"/>
    <x:col min="3" max="3" width="16" hidden="0" customWidth="1"/>
    <x:col min="4" max="4" width="16" hidden="0" customWidth="1"/>
    <x:col min="5" max="5" width="16" hidden="0" customWidth="1"/>
    <x:col min="6" max="6" width="16" hidden="0" customWidth="1"/>
    <x:col min="8" max="8" width="28" hidden="0" customWidth="1"/>
    <x:col min="10" max="10" width="30" hidden="0" customWidth="1"/>
    <x:col min="11" max="11" width="30" hidden="0" customWidth="1"/>
  </x:cols>
  <x:sheetData>
    <x:row r="1" ht="29" customHeight="1">
      <x:c r="A1" s="276" t="str">
        <x:v>STT</x:v>
      </x:c>
      <x:c r="B1" s="276" t="str">
        <x:v>Mã trường</x:v>
      </x:c>
      <x:c r="C1" s="276" t="str">
        <x:v>Hệ</x:v>
      </x:c>
      <x:c r="D1" s="276" t="str">
        <x:v>Nhóm</x:v>
      </x:c>
      <x:c r="E1" s="276" t="str">
        <x:v>Giá trị/profile chọn</x:v>
      </x:c>
      <x:c r="F1" s="276" t="str">
        <x:v>Đơn vị</x:v>
      </x:c>
      <x:c r="G1" s="276" t="str">
        <x:v>Điều kiện áp dụng / thứ tự ưu tiên</x:v>
      </x:c>
      <x:c r="H1" s="276" t="str">
        <x:v>Trạng thái quyết định</x:v>
      </x:c>
      <x:c r="I1" s="276" t="str">
        <x:v>Tình trạng tuân thủ pháp lý</x:v>
      </x:c>
      <x:c r="J1" s="276" t="str">
        <x:v>Nguồn/đối chiếu</x:v>
      </x:c>
      <x:c r="K1" s="276" t="str">
        <x:v>Quyền sử dụng</x:v>
      </x:c>
      <x:c r="L1" s="276" t="str">
        <x:v>Ghi chú</x:v>
      </x:c>
    </x:row>
    <x:row r="2" ht="39" customHeight="1">
      <x:c r="A2" t="n">
        <x:v>1</x:v>
      </x:c>
      <x:c r="B2" s="103" t="str">
        <x:v>ND30.N.BANG.BO_CUC.CAN_BANG</x:v>
      </x:c>
      <x:c r="C2" s="103" t="str">
        <x:v>ND30</x:v>
      </x:c>
      <x:c r="D2" s="103" t="str">
        <x:v>Bảng</x:v>
      </x:c>
      <x:c r="E2" s="103" t="str">
        <x:v>CENTER</x:v>
      </x:c>
      <x:c r="F2" s="103" t="str"/>
      <x:c r="G2" s="103" t="str">
        <x:v>Căn giữa khung bảng trong vùng nội dung hữu dụng; không căn theo khổ giấy bỏ qua lề.</x:v>
      </x:c>
      <x:c r="H2" s="103" t="str">
        <x:v>ĐÃ CHỐT BỞI NGƯỜI DÙNG</x:v>
      </x:c>
      <x:c r="I2" s="103" t="str">
        <x:v>Chưa xác minh là bắt buộc bởi NĐ30/HD05; cấu hình profile riêng.</x:v>
      </x:c>
      <x:c r="J2" s="103" t="str">
        <x:v>https://vanban.chinhphu.vn/?docid=199378&amp;pageid=27160</x:v>
      </x:c>
      <x:c r="K2" s="103" t="str">
        <x:v>CHECK_ONLY</x:v>
      </x:c>
      <x:c r="L2" s="103" t="str">
        <x:v>Người dùng chốt trong trao đổi 29/10/2026; PROFILE NỘI BỘ; chưa có văn bản phê duyệt doanh nghiệp</x:v>
      </x:c>
    </x:row>
    <x:row r="3" ht="39" customHeight="1">
      <x:c r="A3" t="n">
        <x:v>2</x:v>
      </x:c>
      <x:c r="B3" s="103" t="str">
        <x:v>ND30.N.BANG.BO_CUC.CHIEU_RONG</x:v>
      </x:c>
      <x:c r="C3" s="103" t="str">
        <x:v>ND30</x:v>
      </x:c>
      <x:c r="D3" s="103" t="str">
        <x:v>Bảng</x:v>
      </x:c>
      <x:c r="E3" s="103" t="n">
        <x:v>100</x:v>
      </x:c>
      <x:c r="F3" s="103" t="str">
        <x:v>%</x:v>
      </x:c>
      <x:c r="G3" s="103" t="str">
        <x:v>100% vùng nội dung là mục tiêu khi lập/điều chỉnh bảng; ưu tiên giữ độ rộng thủ công nếu đang đẹp và không tràn lề.</x:v>
      </x:c>
      <x:c r="H3" s="103" t="str">
        <x:v>ĐÃ CHỐT BỞI NGƯỜI DÙNG</x:v>
      </x:c>
      <x:c r="I3" s="103" t="str">
        <x:v>Chưa xác minh là bắt buộc bởi NĐ30/HD05; cấu hình profile riêng.</x:v>
      </x:c>
      <x:c r="J3" s="103" t="str">
        <x:v>https://vanban.chinhphu.vn/?docid=199378&amp;pageid=27160</x:v>
      </x:c>
      <x:c r="K3" s="103" t="str">
        <x:v>CHECK_ONLY</x:v>
      </x:c>
      <x:c r="L3" s="103" t="str">
        <x:v>Người dùng chốt trong trao đổi 29/10/2026; PROFILE NỘI BỘ; chưa có văn bản phê duyệt doanh nghiệp</x:v>
      </x:c>
    </x:row>
    <x:row r="4" ht="39" customHeight="1">
      <x:c r="A4" t="n">
        <x:v>3</x:v>
      </x:c>
      <x:c r="B4" s="103" t="str">
        <x:v>ND30.N.BANG.BO_CUC.AUTOFIT</x:v>
      </x:c>
      <x:c r="C4" s="103" t="str">
        <x:v>ND30</x:v>
      </x:c>
      <x:c r="D4" s="103" t="str">
        <x:v>Bảng</x:v>
      </x:c>
      <x:c r="E4" s="103" t="str">
        <x:v>PRESERVE_IF_VALID_ELSE_AUTOFIT_WINDOW</x:v>
      </x:c>
      <x:c r="F4" s="103" t="str"/>
      <x:c r="G4" s="103" t="str">
        <x:v>Ưu tiên giữ độ rộng khi bảng nằm trong lề và dễ đọc; khi tràn lề mới điều chỉnh vừa cửa sổ/vùng in rồi kiểm tra cột, ô gộp.</x:v>
      </x:c>
      <x:c r="H4" s="103" t="str">
        <x:v>ĐÃ CHỐT BỞI NGƯỜI DÙNG</x:v>
      </x:c>
      <x:c r="I4" s="103" t="str">
        <x:v>Chưa xác minh là bắt buộc bởi NĐ30/HD05; cấu hình profile riêng.</x:v>
      </x:c>
      <x:c r="J4" s="103" t="str">
        <x:v>https://vanban.chinhphu.vn/?docid=199378&amp;pageid=27160</x:v>
      </x:c>
      <x:c r="K4" s="103" t="str">
        <x:v>CHECK_ONLY</x:v>
      </x:c>
      <x:c r="L4" s="103" t="str">
        <x:v>Người dùng chốt trong trao đổi 29/10/2026; PROFILE NỘI BỘ; chưa có văn bản phê duyệt doanh nghiệp</x:v>
      </x:c>
    </x:row>
    <x:row r="5" ht="39" customHeight="1">
      <x:c r="A5" t="n">
        <x:v>4</x:v>
      </x:c>
      <x:c r="B5" s="103" t="str">
        <x:v>ND30.N.BANG.BO_CUC.KHOANG_THUT</x:v>
      </x:c>
      <x:c r="C5" s="103" t="str">
        <x:v>ND30</x:v>
      </x:c>
      <x:c r="D5" s="103" t="str">
        <x:v>Bảng</x:v>
      </x:c>
      <x:c r="E5" s="103" t="n">
        <x:v>0</x:v>
      </x:c>
      <x:c r="F5" s="103" t="str">
        <x:v>mm</x:v>
      </x:c>
      <x:c r="G5" s="103" t="str">
        <x:v>Bảng chính không thụt trái so với mép vùng nội dung; không di chuyển bảng có bố cục riêng đã duyệt.</x:v>
      </x:c>
      <x:c r="H5" s="103" t="str">
        <x:v>ĐÃ CHỐT BỞI NGƯỜI DÙNG</x:v>
      </x:c>
      <x:c r="I5" s="103" t="str">
        <x:v>Chưa xác minh là bắt buộc bởi NĐ30/HD05; cấu hình profile riêng.</x:v>
      </x:c>
      <x:c r="J5" s="103" t="str">
        <x:v>https://vanban.chinhphu.vn/?docid=199378&amp;pageid=27160</x:v>
      </x:c>
      <x:c r="K5" s="103" t="str">
        <x:v>CHECK_ONLY</x:v>
      </x:c>
      <x:c r="L5" s="103" t="str">
        <x:v>Người dùng chốt trong trao đổi 29/10/2026; PROFILE NỘI BỘ; chưa có văn bản phê duyệt doanh nghiệp</x:v>
      </x:c>
    </x:row>
    <x:row r="6" ht="39" customHeight="1">
      <x:c r="A6" t="n">
        <x:v>5</x:v>
      </x:c>
      <x:c r="B6" s="103" t="str">
        <x:v>ND30.N.BANG.BO_CUC.KHOANG_TRUOC</x:v>
      </x:c>
      <x:c r="C6" s="103" t="str">
        <x:v>ND30</x:v>
      </x:c>
      <x:c r="D6" s="103" t="str">
        <x:v>Bảng</x:v>
      </x:c>
      <x:c r="E6" s="103" t="n">
        <x:v>6</x:v>
      </x:c>
      <x:c r="F6" s="103" t="str">
        <x:v>pt</x:v>
      </x:c>
      <x:c r="G6" s="103" t="str">
        <x:v>Đoạn văn thường ngay trước bảng; khoảng cách HIỂN THỊ mục tiêu 6 pt, không cộng thêm với space_after đoạn trước; nếu caption ngoài bảng thì nhường rule caption.</x:v>
      </x:c>
      <x:c r="H6" s="103" t="str">
        <x:v>ĐÃ CHỐT BỞI NGƯỜI DÙNG</x:v>
      </x:c>
      <x:c r="I6" s="103" t="str">
        <x:v>Chưa xác minh là bắt buộc bởi NĐ30/HD05; cấu hình profile riêng.</x:v>
      </x:c>
      <x:c r="J6" s="103" t="str">
        <x:v>https://vanban.chinhphu.vn/?docid=199378&amp;pageid=27160</x:v>
      </x:c>
      <x:c r="K6" s="103" t="str">
        <x:v>CHECK_ONLY</x:v>
      </x:c>
      <x:c r="L6" s="103" t="str">
        <x:v>Người dùng chốt trong trao đổi 29/10/2026; PROFILE NỘI BỘ; chưa có văn bản phê duyệt doanh nghiệp</x:v>
      </x:c>
    </x:row>
    <x:row r="7" ht="39" customHeight="1">
      <x:c r="A7" t="n">
        <x:v>6</x:v>
      </x:c>
      <x:c r="B7" s="103" t="str">
        <x:v>ND30.N.BANG.BO_CUC.KHOANG_SAU</x:v>
      </x:c>
      <x:c r="C7" s="103" t="str">
        <x:v>ND30</x:v>
      </x:c>
      <x:c r="D7" s="103" t="str">
        <x:v>Bảng</x:v>
      </x:c>
      <x:c r="E7" s="103" t="n">
        <x:v>6</x:v>
      </x:c>
      <x:c r="F7" s="103" t="str">
        <x:v>pt</x:v>
      </x:c>
      <x:c r="G7" s="103" t="str">
        <x:v>Đoạn văn thường ngay sau bảng; khoảng cách HIỂN THỊ mục tiêu 6 pt, không cộng với space_before tiếp sau; nếu ghi chú ngoài bảng thì nhường rule ghi chú.</x:v>
      </x:c>
      <x:c r="H7" s="103" t="str">
        <x:v>ĐÃ CHỐT BỞI NGƯỜI DÙNG</x:v>
      </x:c>
      <x:c r="I7" s="103" t="str">
        <x:v>Chưa xác minh là bắt buộc bởi NĐ30/HD05; cấu hình profile riêng.</x:v>
      </x:c>
      <x:c r="J7" s="103" t="str">
        <x:v>https://vanban.chinhphu.vn/?docid=199378&amp;pageid=27160</x:v>
      </x:c>
      <x:c r="K7" s="103" t="str">
        <x:v>CHECK_ONLY</x:v>
      </x:c>
      <x:c r="L7" s="103" t="str">
        <x:v>Người dùng chốt trong trao đổi 29/10/2026; PROFILE NỘI BỘ; chưa có văn bản phê duyệt doanh nghiệp</x:v>
      </x:c>
    </x:row>
    <x:row r="8" ht="39" customHeight="1">
      <x:c r="A8" t="n">
        <x:v>7</x:v>
      </x:c>
      <x:c r="B8" s="103" t="str">
        <x:v>ND30.N.BANG.TIEU_DE.KIEU_CHU</x:v>
      </x:c>
      <x:c r="C8" s="103" t="str">
        <x:v>ND30</x:v>
      </x:c>
      <x:c r="D8" s="103" t="str">
        <x:v>Bảng</x:v>
      </x:c>
      <x:c r="E8" s="103" t="str">
        <x:v>Times New Roman; 13 pt; BOLD; UPRIGHT</x:v>
      </x:c>
      <x:c r="F8" s="103" t="str"/>
      <x:c r="G8" s="103" t="str">
        <x:v>Chỉ tiêu đề NGOÀI bảng đã xác định; không áp cho dòng tiêu đề cột và không ghi đè nội dung chữ.</x:v>
      </x:c>
      <x:c r="H8" s="103" t="str">
        <x:v>ĐÃ CHỐT BỞI NGƯỜI DÙNG</x:v>
      </x:c>
      <x:c r="I8" s="103" t="str">
        <x:v>Chưa xác minh là bắt buộc bởi NĐ30/HD05; cấu hình profile riêng.</x:v>
      </x:c>
      <x:c r="J8" s="103" t="str">
        <x:v>https://vanban.chinhphu.vn/?docid=199378&amp;pageid=27160</x:v>
      </x:c>
      <x:c r="K8" s="103" t="str">
        <x:v>CHECK_ONLY</x:v>
      </x:c>
      <x:c r="L8" s="103" t="str">
        <x:v>Người dùng chốt trong trao đổi 29/10/2026; PROFILE NỘI BỘ; chưa có văn bản phê duyệt doanh nghiệp</x:v>
      </x:c>
    </x:row>
    <x:row r="9" ht="39" customHeight="1">
      <x:c r="A9" t="n">
        <x:v>8</x:v>
      </x:c>
      <x:c r="B9" s="103" t="str">
        <x:v>ND30.N.BANG.TIEU_DE.CAN_NGANG</x:v>
      </x:c>
      <x:c r="C9" s="103" t="str">
        <x:v>ND30</x:v>
      </x:c>
      <x:c r="D9" s="103" t="str">
        <x:v>Bảng</x:v>
      </x:c>
      <x:c r="E9" s="103" t="str">
        <x:v>CENTER</x:v>
      </x:c>
      <x:c r="F9" s="103" t="str"/>
      <x:c r="G9" s="103" t="str">
        <x:v>Căn giữa tiêu đề theo chiều ngang bảng; nếu bố cục không cho phép thì ghi ngoại lệ.</x:v>
      </x:c>
      <x:c r="H9" s="103" t="str">
        <x:v>ĐÃ CHỐT BỞI NGƯỜI DÙNG</x:v>
      </x:c>
      <x:c r="I9" s="103" t="str">
        <x:v>Chưa xác minh là bắt buộc bởi NĐ30/HD05; cấu hình profile riêng.</x:v>
      </x:c>
      <x:c r="J9" s="103" t="str">
        <x:v>https://vanban.chinhphu.vn/?docid=199378&amp;pageid=27160</x:v>
      </x:c>
      <x:c r="K9" s="103" t="str">
        <x:v>CHECK_ONLY</x:v>
      </x:c>
      <x:c r="L9" s="103" t="str">
        <x:v>Người dùng chốt trong trao đổi 29/10/2026; PROFILE NỘI BỘ; chưa có văn bản phê duyệt doanh nghiệp</x:v>
      </x:c>
    </x:row>
    <x:row r="10" ht="39" customHeight="1">
      <x:c r="A10" t="n">
        <x:v>9</x:v>
      </x:c>
      <x:c r="B10" s="103" t="str">
        <x:v>ND30.N.BANG.TIEU_DE.GIU_CUNG_BANG</x:v>
      </x:c>
      <x:c r="C10" s="103" t="str">
        <x:v>ND30</x:v>
      </x:c>
      <x:c r="D10" s="103" t="str">
        <x:v>Bảng</x:v>
      </x:c>
      <x:c r="E10" s="103" t="str">
        <x:v>TRUE</x:v>
      </x:c>
      <x:c r="F10" s="103" t="str"/>
      <x:c r="G10" s="103" t="str">
        <x:v>Giữ caption với hàng/nhóm hàng đầu của bảng, không ép toàn bảng nhiều trang ở một trang.</x:v>
      </x:c>
      <x:c r="H10" s="103" t="str">
        <x:v>ĐÃ CHỐT BỞI NGƯỜI DÙNG</x:v>
      </x:c>
      <x:c r="I10" s="103" t="str">
        <x:v>Chưa xác minh là bắt buộc bởi NĐ30/HD05; cấu hình profile riêng.</x:v>
      </x:c>
      <x:c r="J10" s="103" t="str">
        <x:v>https://vanban.chinhphu.vn/?docid=199378&amp;pageid=27160</x:v>
      </x:c>
      <x:c r="K10" s="103" t="str">
        <x:v>CHECK_ONLY</x:v>
      </x:c>
      <x:c r="L10" s="103" t="str">
        <x:v>Người dùng chốt trong trao đổi 29/10/2026; PROFILE NỘI BỘ; chưa có văn bản phê duyệt doanh nghiệp</x:v>
      </x:c>
    </x:row>
    <x:row r="11" ht="39" customHeight="1">
      <x:c r="A11" t="n">
        <x:v>10</x:v>
      </x:c>
      <x:c r="B11" s="103" t="str">
        <x:v>ND30.N.BANG.TIEU_DE.KHOANG_CACH</x:v>
      </x:c>
      <x:c r="C11" s="103" t="str">
        <x:v>ND30</x:v>
      </x:c>
      <x:c r="D11" s="103" t="str">
        <x:v>Bảng</x:v>
      </x:c>
      <x:c r="E11" s="103" t="n">
        <x:v>6</x:v>
      </x:c>
      <x:c r="F11" s="103" t="str">
        <x:v>pt</x:v>
      </x:c>
      <x:c r="G11" s="103" t="str">
        <x:v>Giữa caption NGOÀI bảng và mép trên bảng 6 pt; không cộng BO_CUC.KHOANG_TRUOC; caption space_before 6 pt là một ranh giới khác.</x:v>
      </x:c>
      <x:c r="H11" s="103" t="str">
        <x:v>ĐÃ CHỐT BỞI NGƯỜI DÙNG</x:v>
      </x:c>
      <x:c r="I11" s="103" t="str">
        <x:v>Chưa xác minh là bắt buộc bởi NĐ30/HD05; cấu hình profile riêng.</x:v>
      </x:c>
      <x:c r="J11" s="103" t="str">
        <x:v>https://vanban.chinhphu.vn/?docid=199378&amp;pageid=27160</x:v>
      </x:c>
      <x:c r="K11" s="103" t="str">
        <x:v>CHECK_ONLY</x:v>
      </x:c>
      <x:c r="L11" s="103" t="str">
        <x:v>Người dùng chốt trong trao đổi 29/10/2026; PROFILE NỘI BỘ; chưa có văn bản phê duyệt doanh nghiệp</x:v>
      </x:c>
    </x:row>
    <x:row r="12" ht="39" customHeight="1">
      <x:c r="A12" t="n">
        <x:v>11</x:v>
      </x:c>
      <x:c r="B12" s="103" t="str">
        <x:v>ND30.N.BANG.DAU_BANG.CHU_DAM</x:v>
      </x:c>
      <x:c r="C12" s="103" t="str">
        <x:v>ND30</x:v>
      </x:c>
      <x:c r="D12" s="103" t="str">
        <x:v>Bảng</x:v>
      </x:c>
      <x:c r="E12" s="103" t="str">
        <x:v>YES</x:v>
      </x:c>
      <x:c r="F12" s="103" t="str"/>
      <x:c r="G12" s="103" t="str">
        <x:v>Chỉ hàng tiêu đề cột; không áp chữ đậm lên hàng dữ liệu chỉ vì nằm đầu trang.</x:v>
      </x:c>
      <x:c r="H12" s="103" t="str">
        <x:v>ĐÃ CHỐT BỞI NGƯỜI DÙNG</x:v>
      </x:c>
      <x:c r="I12" s="103" t="str">
        <x:v>Chưa xác minh là bắt buộc bởi NĐ30/HD05; cấu hình profile riêng.</x:v>
      </x:c>
      <x:c r="J12" s="103" t="str">
        <x:v>https://vanban.chinhphu.vn/?docid=199378&amp;pageid=27160</x:v>
      </x:c>
      <x:c r="K12" s="103" t="str">
        <x:v>CHECK_ONLY</x:v>
      </x:c>
      <x:c r="L12" s="103" t="str">
        <x:v>Người dùng chốt trong trao đổi 29/10/2026; PROFILE NỘI BỘ; chưa có văn bản phê duyệt doanh nghiệp</x:v>
      </x:c>
    </x:row>
    <x:row r="13" ht="39" customHeight="1">
      <x:c r="A13" t="n">
        <x:v>12</x:v>
      </x:c>
      <x:c r="B13" s="103" t="str">
        <x:v>ND30.N.BANG.DAU_BANG.CAN_NGANG</x:v>
      </x:c>
      <x:c r="C13" s="103" t="str">
        <x:v>ND30</x:v>
      </x:c>
      <x:c r="D13" s="103" t="str">
        <x:v>Bảng</x:v>
      </x:c>
      <x:c r="E13" s="103" t="str">
        <x:v>CENTER</x:v>
      </x:c>
      <x:c r="F13" s="103" t="str"/>
      <x:c r="G13" s="103" t="str">
        <x:v>Căn giữa trong ô tiêu đề, nội dung dài được xuống dòng.</x:v>
      </x:c>
      <x:c r="H13" s="103" t="str">
        <x:v>ĐÃ CHỐT BỞI NGƯỜI DÙNG</x:v>
      </x:c>
      <x:c r="I13" s="103" t="str">
        <x:v>Chưa xác minh là bắt buộc bởi NĐ30/HD05; cấu hình profile riêng.</x:v>
      </x:c>
      <x:c r="J13" s="103" t="str">
        <x:v>https://vanban.chinhphu.vn/?docid=199378&amp;pageid=27160</x:v>
      </x:c>
      <x:c r="K13" s="103" t="str">
        <x:v>CHECK_ONLY</x:v>
      </x:c>
      <x:c r="L13" s="103" t="str">
        <x:v>Người dùng chốt trong trao đổi 29/10/2026; PROFILE NỘI BỘ; chưa có văn bản phê duyệt doanh nghiệp</x:v>
      </x:c>
    </x:row>
    <x:row r="14" ht="39" customHeight="1">
      <x:c r="A14" t="n">
        <x:v>13</x:v>
      </x:c>
      <x:c r="B14" s="103" t="str">
        <x:v>ND30.N.BANG.DAU_BANG.TO_NEN</x:v>
      </x:c>
      <x:c r="C14" s="103" t="str">
        <x:v>ND30</x:v>
      </x:c>
      <x:c r="D14" s="103" t="str">
        <x:v>Bảng</x:v>
      </x:c>
      <x:c r="E14" s="103" t="str">
        <x:v>NONE_NEW; PRESERVE_MEANINGFUL_EXISTING</x:v>
      </x:c>
      <x:c r="F14" s="103" t="str"/>
      <x:c r="G14" s="103" t="str">
        <x:v>Không thêm nền mới; không xóa nền đang thể hiện ý nghĩa dữ liệu/phân nhóm.</x:v>
      </x:c>
      <x:c r="H14" s="103" t="str">
        <x:v>ĐÃ CHỐT BỞI NGƯỜI DÙNG</x:v>
      </x:c>
      <x:c r="I14" s="103" t="str">
        <x:v>Chưa xác minh là bắt buộc bởi NĐ30/HD05; cấu hình profile riêng.</x:v>
      </x:c>
      <x:c r="J14" s="103" t="str">
        <x:v>https://vanban.chinhphu.vn/?docid=199378&amp;pageid=27160</x:v>
      </x:c>
      <x:c r="K14" s="103" t="str">
        <x:v>CHECK_ONLY</x:v>
      </x:c>
      <x:c r="L14" s="103" t="str">
        <x:v>Người dùng chốt trong trao đổi 29/10/2026; PROFILE NỘI BỘ; chưa có văn bản phê duyệt doanh nghiệp</x:v>
      </x:c>
    </x:row>
    <x:row r="15" ht="39" customHeight="1">
      <x:c r="A15" t="n">
        <x:v>14</x:v>
      </x:c>
      <x:c r="B15" s="103" t="str">
        <x:v>ND30.N.BANG.COT.DO_RONG</x:v>
      </x:c>
      <x:c r="C15" s="103" t="str">
        <x:v>ND30</x:v>
      </x:c>
      <x:c r="D15" s="103" t="str">
        <x:v>Bảng</x:v>
      </x:c>
      <x:c r="E15" s="103" t="str">
        <x:v>PRESERVE_IF_VALID; REVIEW_IF_OVERFLOW</x:v>
      </x:c>
      <x:c r="F15" s="103" t="str"/>
      <x:c r="G15" s="103" t="str">
        <x:v>Giữ độ rộng cột khi không tràn lề/không bóp chữ; chỉ cân chỉnh lại khi sai khung.</x:v>
      </x:c>
      <x:c r="H15" s="103" t="str">
        <x:v>ĐÃ CHỐT BỞI NGƯỜI DÙNG</x:v>
      </x:c>
      <x:c r="I15" s="103" t="str">
        <x:v>Chưa xác minh là bắt buộc bởi NĐ30/HD05; cấu hình profile riêng.</x:v>
      </x:c>
      <x:c r="J15" s="103" t="str">
        <x:v>https://vanban.chinhphu.vn/?docid=199378&amp;pageid=27160</x:v>
      </x:c>
      <x:c r="K15" s="103" t="str">
        <x:v>CHECK_ONLY</x:v>
      </x:c>
      <x:c r="L15" s="103" t="str">
        <x:v>Người dùng chốt trong trao đổi 29/10/2026; PROFILE NỘI BỘ; chưa có văn bản phê duyệt doanh nghiệp</x:v>
      </x:c>
    </x:row>
    <x:row r="16" ht="39" customHeight="1">
      <x:c r="A16" t="n">
        <x:v>15</x:v>
      </x:c>
      <x:c r="B16" s="103" t="str">
        <x:v>ND30.N.BANG.COT.CAN_CHU</x:v>
      </x:c>
      <x:c r="C16" s="103" t="str">
        <x:v>ND30</x:v>
      </x:c>
      <x:c r="D16" s="103" t="str">
        <x:v>Bảng</x:v>
      </x:c>
      <x:c r="E16" s="103" t="str">
        <x:v>LEFT</x:v>
      </x:c>
      <x:c r="F16" s="103" t="str"/>
      <x:c r="G16" s="103" t="str">
        <x:v>Cột mô tả/văn bản: căn trái; trường hợp mã, tiêu đề, STT đi theo vai trò ô.</x:v>
      </x:c>
      <x:c r="H16" s="103" t="str">
        <x:v>ĐÃ CHỐT BỞI NGƯỜI DÙNG</x:v>
      </x:c>
      <x:c r="I16" s="103" t="str">
        <x:v>Chưa xác minh là bắt buộc bởi NĐ30/HD05; cấu hình profile riêng.</x:v>
      </x:c>
      <x:c r="J16" s="103" t="str">
        <x:v>https://vanban.chinhphu.vn/?docid=199378&amp;pageid=27160</x:v>
      </x:c>
      <x:c r="K16" s="103" t="str">
        <x:v>CHECK_ONLY</x:v>
      </x:c>
      <x:c r="L16" s="103" t="str">
        <x:v>Người dùng chốt trong trao đổi 29/10/2026; PROFILE NỘI BỘ; chưa có văn bản phê duyệt doanh nghiệp</x:v>
      </x:c>
    </x:row>
    <x:row r="17" ht="39" customHeight="1">
      <x:c r="A17" t="n">
        <x:v>16</x:v>
      </x:c>
      <x:c r="B17" s="103" t="str">
        <x:v>ND30.N.BANG.COT.CAN_SO</x:v>
      </x:c>
      <x:c r="C17" s="103" t="str">
        <x:v>ND30</x:v>
      </x:c>
      <x:c r="D17" s="103" t="str">
        <x:v>Bảng</x:v>
      </x:c>
      <x:c r="E17" s="103" t="str">
        <x:v>RIGHT</x:v>
      </x:c>
      <x:c r="F17" s="103" t="str"/>
      <x:c r="G17" s="103" t="str">
        <x:v>Cột đại lượng (số lượng, định mức, tiền): căn phải; STT, mã, ngày, điện thoại không coi là số định lượng.</x:v>
      </x:c>
      <x:c r="H17" s="103" t="str">
        <x:v>ĐÃ CHỐT BỞI NGƯỜI DÙNG</x:v>
      </x:c>
      <x:c r="I17" s="103" t="str">
        <x:v>Chưa xác minh là bắt buộc bởi NĐ30/HD05; cấu hình profile riêng.</x:v>
      </x:c>
      <x:c r="J17" s="103" t="str">
        <x:v>https://vanban.chinhphu.vn/?docid=199378&amp;pageid=27160</x:v>
      </x:c>
      <x:c r="K17" s="103" t="str">
        <x:v>CHECK_ONLY</x:v>
      </x:c>
      <x:c r="L17" s="103" t="str">
        <x:v>Người dùng chốt trong trao đổi 29/10/2026; PROFILE NỘI BỘ; chưa có văn bản phê duyệt doanh nghiệp</x:v>
      </x:c>
    </x:row>
    <x:row r="18" ht="39" customHeight="1">
      <x:c r="A18" t="n">
        <x:v>17</x:v>
      </x:c>
      <x:c r="B18" s="103" t="str">
        <x:v>ND30.N.BANG.O.CAN_NGANG</x:v>
      </x:c>
      <x:c r="C18" s="103" t="str">
        <x:v>ND30</x:v>
      </x:c>
      <x:c r="D18" s="103" t="str">
        <x:v>Bảng</x:v>
      </x:c>
      <x:c r="E18" s="103" t="str">
        <x:v>CENTER_STT_CODE; LEFT_TEXT; RIGHT_QUANTITIES</x:v>
      </x:c>
      <x:c r="F18" s="103" t="str"/>
      <x:c r="G18" s="103" t="str">
        <x:v>Ma trận: tiêu đề, STT, mã ngắn CENTER; văn bản diễn giải LEFT; đại lượng tài chính/thống kê RIGHT.</x:v>
      </x:c>
      <x:c r="H18" s="103" t="str">
        <x:v>ĐÃ CHỐT BỞI NGƯỜI DÙNG</x:v>
      </x:c>
      <x:c r="I18" s="103" t="str">
        <x:v>Chưa xác minh là bắt buộc bởi NĐ30/HD05; cấu hình profile riêng.</x:v>
      </x:c>
      <x:c r="J18" s="103" t="str">
        <x:v>https://vanban.chinhphu.vn/?docid=199378&amp;pageid=27160</x:v>
      </x:c>
      <x:c r="K18" s="103" t="str">
        <x:v>CHECK_ONLY</x:v>
      </x:c>
      <x:c r="L18" s="103" t="str">
        <x:v>Người dùng chốt trong trao đổi 29/10/2026; PROFILE NỘI BỘ; chưa có văn bản phê duyệt doanh nghiệp</x:v>
      </x:c>
    </x:row>
    <x:row r="19" ht="39" customHeight="1">
      <x:c r="A19" t="n">
        <x:v>18</x:v>
      </x:c>
      <x:c r="B19" s="103" t="str">
        <x:v>ND30.N.BANG.O.CAN_DOC</x:v>
      </x:c>
      <x:c r="C19" s="103" t="str">
        <x:v>ND30</x:v>
      </x:c>
      <x:c r="D19" s="103" t="str">
        <x:v>Bảng</x:v>
      </x:c>
      <x:c r="E19" s="103" t="str">
        <x:v>CENTER</x:v>
      </x:c>
      <x:c r="F19" s="103" t="str"/>
      <x:c r="G19" s="103" t="str">
        <x:v>Căn giữa theo chiều dọc theo profile; nếu bảng có đoạn văn nhiều dòng đặc thù, đối chiếu trước khi sửa.</x:v>
      </x:c>
      <x:c r="H19" s="103" t="str">
        <x:v>ĐÃ CHỐT BỞI NGƯỜI DÙNG</x:v>
      </x:c>
      <x:c r="I19" s="103" t="str">
        <x:v>Chưa xác minh là bắt buộc bởi NĐ30/HD05; cấu hình profile riêng.</x:v>
      </x:c>
      <x:c r="J19" s="103" t="str">
        <x:v>https://vanban.chinhphu.vn/?docid=199378&amp;pageid=27160</x:v>
      </x:c>
      <x:c r="K19" s="103" t="str">
        <x:v>CHECK_ONLY</x:v>
      </x:c>
      <x:c r="L19" s="103" t="str">
        <x:v>Người dùng chốt trong trao đổi 29/10/2026; PROFILE NỘI BỘ; chưa có văn bản phê duyệt doanh nghiệp</x:v>
      </x:c>
    </x:row>
    <x:row r="20" ht="39" customHeight="1">
      <x:c r="A20" t="n">
        <x:v>19</x:v>
      </x:c>
      <x:c r="B20" s="103" t="str">
        <x:v>ND30.N.BANG.HANG.CHIEU_CAO</x:v>
      </x:c>
      <x:c r="C20" s="103" t="str">
        <x:v>ND30</x:v>
      </x:c>
      <x:c r="D20" s="103" t="str">
        <x:v>Bảng</x:v>
      </x:c>
      <x:c r="E20" s="103" t="str">
        <x:v>AUTO</x:v>
      </x:c>
      <x:c r="F20" s="103" t="str"/>
      <x:c r="G20" s="103" t="str">
        <x:v>Chiều cao tự mở theo nội dung ô, tuyệt đối không cắt/mất chữ.</x:v>
      </x:c>
      <x:c r="H20" s="103" t="str">
        <x:v>ĐÃ CHỐT BỞI NGƯỜI DÙNG</x:v>
      </x:c>
      <x:c r="I20" s="103" t="str">
        <x:v>Chưa xác minh là bắt buộc bởi NĐ30/HD05; cấu hình profile riêng.</x:v>
      </x:c>
      <x:c r="J20" s="103" t="str">
        <x:v>https://vanban.chinhphu.vn/?docid=199378&amp;pageid=27160</x:v>
      </x:c>
      <x:c r="K20" s="103" t="str">
        <x:v>CHECK_ONLY</x:v>
      </x:c>
      <x:c r="L20" s="103" t="str">
        <x:v>Người dùng chốt trong trao đổi 29/10/2026; PROFILE NỘI BỘ; chưa có văn bản phê duyệt doanh nghiệp</x:v>
      </x:c>
    </x:row>
    <x:row r="21" ht="39" customHeight="1">
      <x:c r="A21" t="n">
        <x:v>20</x:v>
      </x:c>
      <x:c r="B21" s="103" t="str">
        <x:v>ND30.N.BANG.HANG.KIEU_CAO</x:v>
      </x:c>
      <x:c r="C21" s="103" t="str">
        <x:v>ND30</x:v>
      </x:c>
      <x:c r="D21" s="103" t="str">
        <x:v>Bảng</x:v>
      </x:c>
      <x:c r="E21" s="103" t="str">
        <x:v>AT_LEAST_HEADER_6MM; AUTO_DATA</x:v>
      </x:c>
      <x:c r="F21" s="103" t="str"/>
      <x:c r="G21" s="103" t="str">
        <x:v>Hàng tiêu đề tối thiểu 6 mm và được giãn cao hơn; hàng dữ liệu tự động; không dùng EXACT.</x:v>
      </x:c>
      <x:c r="H21" s="103" t="str">
        <x:v>ĐÃ CHỐT BỞI NGƯỜI DÙNG</x:v>
      </x:c>
      <x:c r="I21" s="103" t="str">
        <x:v>Chưa xác minh là bắt buộc bởi NĐ30/HD05; cấu hình profile riêng.</x:v>
      </x:c>
      <x:c r="J21" s="103" t="str">
        <x:v>https://vanban.chinhphu.vn/?docid=199378&amp;pageid=27160</x:v>
      </x:c>
      <x:c r="K21" s="103" t="str">
        <x:v>CHECK_ONLY</x:v>
      </x:c>
      <x:c r="L21" s="103" t="str">
        <x:v>Người dùng chốt trong trao đổi 29/10/2026; PROFILE NỘI BỘ; chưa có văn bản phê duyệt doanh nghiệp</x:v>
      </x:c>
    </x:row>
    <x:row r="22" ht="39" customHeight="1">
      <x:c r="A22" t="n">
        <x:v>21</x:v>
      </x:c>
      <x:c r="B22" s="103" t="str">
        <x:v>ND30.N.BANG.HANG.CHONG_CHIA_TRANG</x:v>
      </x:c>
      <x:c r="C22" s="103" t="str">
        <x:v>ND30</x:v>
      </x:c>
      <x:c r="D22" s="103" t="str">
        <x:v>Bảng</x:v>
      </x:c>
      <x:c r="E22" s="103" t="str">
        <x:v>YES_IF_FITS; REVIEW_OVERSIZE</x:v>
      </x:c>
      <x:c r="F22" s="103" t="str"/>
      <x:c r="G22" s="103" t="str">
        <x:v>Không chia hàng nếu hàng vừa trang; hàng dài hơn vùng trang phải xử lý ngoại lệ, tránh che/mất chữ.</x:v>
      </x:c>
      <x:c r="H22" s="103" t="str">
        <x:v>ĐÃ CHỐT BỞI NGƯỜI DÙNG</x:v>
      </x:c>
      <x:c r="I22" s="103" t="str">
        <x:v>Chưa xác minh là bắt buộc bởi NĐ30/HD05; cấu hình profile riêng.</x:v>
      </x:c>
      <x:c r="J22" s="103" t="str">
        <x:v>https://vanban.chinhphu.vn/?docid=199378&amp;pageid=27160</x:v>
      </x:c>
      <x:c r="K22" s="103" t="str">
        <x:v>CHECK_ONLY</x:v>
      </x:c>
      <x:c r="L22" s="103" t="str">
        <x:v>Người dùng chốt trong trao đổi 29/10/2026; PROFILE NỘI BỘ; chưa có văn bản phê duyệt doanh nghiệp</x:v>
      </x:c>
    </x:row>
    <x:row r="23" ht="39" customHeight="1">
      <x:c r="A23" t="n">
        <x:v>22</x:v>
      </x:c>
      <x:c r="B23" s="103" t="str">
        <x:v>ND30.N.BANG.HANG.KHOANG_CACH</x:v>
      </x:c>
      <x:c r="C23" s="103" t="str">
        <x:v>ND30</x:v>
      </x:c>
      <x:c r="D23" s="103" t="str">
        <x:v>Bảng</x:v>
      </x:c>
      <x:c r="E23" s="103" t="n">
        <x:v>0</x:v>
      </x:c>
      <x:c r="F23" s="103" t="str">
        <x:v>mm</x:v>
      </x:c>
      <x:c r="G23" s="103" t="str">
        <x:v>Khoảng cách giữa các ô/hàng bằng 0 mm; không tạo khe hở viền kép.</x:v>
      </x:c>
      <x:c r="H23" s="103" t="str">
        <x:v>ĐÃ CHỐT BỞI NGƯỜI DÙNG</x:v>
      </x:c>
      <x:c r="I23" s="103" t="str">
        <x:v>Chưa xác minh là bắt buộc bởi NĐ30/HD05; cấu hình profile riêng.</x:v>
      </x:c>
      <x:c r="J23" s="103" t="str">
        <x:v>https://vanban.chinhphu.vn/?docid=199378&amp;pageid=27160</x:v>
      </x:c>
      <x:c r="K23" s="103" t="str">
        <x:v>CHECK_ONLY</x:v>
      </x:c>
      <x:c r="L23" s="103" t="str">
        <x:v>Người dùng chốt trong trao đổi 29/10/2026; PROFILE NỘI BỘ; chưa có văn bản phê duyệt doanh nghiệp</x:v>
      </x:c>
    </x:row>
    <x:row r="24" ht="39" customHeight="1">
      <x:c r="A24" t="n">
        <x:v>23</x:v>
      </x:c>
      <x:c r="B24" s="103" t="str">
        <x:v>ND30.N.BANG.NGAT_TRANG.BANG_DAI</x:v>
      </x:c>
      <x:c r="C24" s="103" t="str">
        <x:v>ND30</x:v>
      </x:c>
      <x:c r="D24" s="103" t="str">
        <x:v>Bảng</x:v>
      </x:c>
      <x:c r="E24" s="103" t="str">
        <x:v>AUTO_BREAK_BETWEEN_ROWS</x:v>
      </x:c>
      <x:c r="F24" s="103" t="str"/>
      <x:c r="G24" s="103" t="str">
        <x:v>Bảng nhiều trang ngắt giữa các hàng, không ép cả bảng ở một trang; phải lặp đầy đủ hàng tiêu đề.</x:v>
      </x:c>
      <x:c r="H24" s="103" t="str">
        <x:v>ĐÃ CHỐT BỞI NGƯỜI DÙNG</x:v>
      </x:c>
      <x:c r="I24" s="103" t="str">
        <x:v>Chưa xác minh là bắt buộc bởi NĐ30/HD05; cấu hình profile riêng.</x:v>
      </x:c>
      <x:c r="J24" s="103" t="str">
        <x:v>https://vanban.chinhphu.vn/?docid=199378&amp;pageid=27160</x:v>
      </x:c>
      <x:c r="K24" s="103" t="str">
        <x:v>CHECK_ONLY</x:v>
      </x:c>
      <x:c r="L24" s="103" t="str">
        <x:v>Người dùng chốt trong trao đổi 29/10/2026; PROFILE NỘI BỘ; chưa có văn bản phê duyệt doanh nghiệp</x:v>
      </x:c>
    </x:row>
    <x:row r="25" ht="39" customHeight="1">
      <x:c r="A25" t="n">
        <x:v>24</x:v>
      </x:c>
      <x:c r="B25" s="103" t="str">
        <x:v>ND30.N.BANG.O.FONT</x:v>
      </x:c>
      <x:c r="C25" s="103" t="str">
        <x:v>ND30</x:v>
      </x:c>
      <x:c r="D25" s="103" t="str">
        <x:v>Bảng</x:v>
      </x:c>
      <x:c r="E25" s="103" t="str">
        <x:v>Times New Roman; Unicode; #000000</x:v>
      </x:c>
      <x:c r="F25" s="103" t="str"/>
      <x:c r="G25" s="103" t="str">
        <x:v>Dùng Times New Roman và màu chữ đen cho chữ bảng; không thay thế ký tự gốc.</x:v>
      </x:c>
      <x:c r="H25" s="103" t="str">
        <x:v>ĐÃ CHỐT BỞI NGƯỜI DÙNG</x:v>
      </x:c>
      <x:c r="I25" s="103" t="str">
        <x:v>Chưa xác minh là bắt buộc bởi NĐ30/HD05; cấu hình profile riêng.</x:v>
      </x:c>
      <x:c r="J25" s="103" t="str">
        <x:v>https://vanban.chinhphu.vn/?docid=199378&amp;pageid=27160</x:v>
      </x:c>
      <x:c r="K25" s="103" t="str">
        <x:v>CHECK_ONLY</x:v>
      </x:c>
      <x:c r="L25" s="103" t="str">
        <x:v>Người dùng chốt trong trao đổi 29/10/2026; PROFILE NỘI BỘ; chưa có văn bản phê duyệt doanh nghiệp</x:v>
      </x:c>
    </x:row>
    <x:row r="26" ht="39" customHeight="1">
      <x:c r="A26" t="n">
        <x:v>25</x:v>
      </x:c>
      <x:c r="B26" s="103" t="str">
        <x:v>ND30.N.BANG.O.GIAN_DONG</x:v>
      </x:c>
      <x:c r="C26" s="103" t="str">
        <x:v>ND30</x:v>
      </x:c>
      <x:c r="D26" s="103" t="str">
        <x:v>Bảng</x:v>
      </x:c>
      <x:c r="E26" s="103" t="str">
        <x:v>SINGLE</x:v>
      </x:c>
      <x:c r="F26" s="103" t="str">
        <x:v>lines</x:v>
      </x:c>
      <x:c r="G26" s="103" t="str">
        <x:v>Giãn dòng đơn trong ô bảng theo quyết định nội bộ; riêng HD05 phải đánh dấu cần đối chiếu quy định lời văn 18–22 pt, không kết luận tuân thủ pháp lý.</x:v>
      </x:c>
      <x:c r="H26" s="103" t="str">
        <x:v>ĐÃ CHỐT BỞI NGƯỜI DÙNG</x:v>
      </x:c>
      <x:c r="I26" s="103" t="str">
        <x:v>Chưa xác minh là bắt buộc bởi NĐ30/HD05; cấu hình profile riêng.</x:v>
      </x:c>
      <x:c r="J26" s="103" t="str">
        <x:v>https://vanban.chinhphu.vn/?docid=199378&amp;pageid=27160</x:v>
      </x:c>
      <x:c r="K26" s="103" t="str">
        <x:v>CHECK_ONLY</x:v>
      </x:c>
      <x:c r="L26" s="103" t="str">
        <x:v>Người dùng chốt trong trao đổi 29/10/2026; PROFILE NỘI BỘ; chưa có văn bản phê duyệt doanh nghiệp</x:v>
      </x:c>
    </x:row>
    <x:row r="27" ht="39" customHeight="1">
      <x:c r="A27" t="n">
        <x:v>26</x:v>
      </x:c>
      <x:c r="B27" s="103" t="str">
        <x:v>ND30.N.BANG.O.CACH_DOAN</x:v>
      </x:c>
      <x:c r="C27" s="103" t="str">
        <x:v>ND30</x:v>
      </x:c>
      <x:c r="D27" s="103" t="str">
        <x:v>Bảng</x:v>
      </x:c>
      <x:c r="E27" s="103" t="n">
        <x:v>0</x:v>
      </x:c>
      <x:c r="F27" s="103" t="str">
        <x:v>pt</x:v>
      </x:c>
      <x:c r="G27" s="103" t="str">
        <x:v>Trong mỗi ô, cách TRƯỚC = 0 pt và cách SAU = 0 pt; không xóa đoạn rỗng có ý nghĩa chưa được duyệt.</x:v>
      </x:c>
      <x:c r="H27" s="103" t="str">
        <x:v>ĐÃ CHỐT BỞI NGƯỜI DÙNG</x:v>
      </x:c>
      <x:c r="I27" s="103" t="str">
        <x:v>Chưa xác minh là bắt buộc bởi NĐ30/HD05; cấu hình profile riêng.</x:v>
      </x:c>
      <x:c r="J27" s="103" t="str">
        <x:v>https://vanban.chinhphu.vn/?docid=199378&amp;pageid=27160</x:v>
      </x:c>
      <x:c r="K27" s="103" t="str">
        <x:v>CHECK_ONLY</x:v>
      </x:c>
      <x:c r="L27" s="103" t="str">
        <x:v>Người dùng chốt trong trao đổi 29/10/2026; PROFILE NỘI BỘ; chưa có văn bản phê duyệt doanh nghiệp</x:v>
      </x:c>
    </x:row>
    <x:row r="28" ht="39" customHeight="1">
      <x:c r="A28" t="n">
        <x:v>27</x:v>
      </x:c>
      <x:c r="B28" s="103" t="str">
        <x:v>ND30.N.BANG.O.LE_TRONG</x:v>
      </x:c>
      <x:c r="C28" s="103" t="str">
        <x:v>ND30</x:v>
      </x:c>
      <x:c r="D28" s="103" t="str">
        <x:v>Bảng</x:v>
      </x:c>
      <x:c r="E28" s="103" t="n">
        <x:v>1.5</x:v>
      </x:c>
      <x:c r="F28" s="103" t="str">
        <x:v>mm</x:v>
      </x:c>
      <x:c r="G28" s="103" t="str">
        <x:v>Bốn lề trong ô: trên, dưới, trái, phải đều 1,5 mm; không áp cho caption ngoài bảng.</x:v>
      </x:c>
      <x:c r="H28" s="103" t="str">
        <x:v>ĐÃ CHỐT BỞI NGƯỜI DÙNG</x:v>
      </x:c>
      <x:c r="I28" s="103" t="str">
        <x:v>Chưa xác minh là bắt buộc bởi NĐ30/HD05; cấu hình profile riêng.</x:v>
      </x:c>
      <x:c r="J28" s="103" t="str">
        <x:v>https://vanban.chinhphu.vn/?docid=199378&amp;pageid=27160</x:v>
      </x:c>
      <x:c r="K28" s="103" t="str">
        <x:v>CHECK_ONLY</x:v>
      </x:c>
      <x:c r="L28" s="103" t="str">
        <x:v>Người dùng chốt trong trao đổi 29/10/2026; PROFILE NỘI BỘ; chưa có văn bản phê duyệt doanh nghiệp</x:v>
      </x:c>
    </x:row>
    <x:row r="29" ht="39" customHeight="1">
      <x:c r="A29" t="n">
        <x:v>28</x:v>
      </x:c>
      <x:c r="B29" s="103" t="str">
        <x:v>ND30.N.BANG.O.XUONG_DONG</x:v>
      </x:c>
      <x:c r="C29" s="103" t="str">
        <x:v>ND30</x:v>
      </x:c>
      <x:c r="D29" s="103" t="str">
        <x:v>Bảng</x:v>
      </x:c>
      <x:c r="E29" s="103" t="str">
        <x:v>TRUE</x:v>
      </x:c>
      <x:c r="F29" s="103" t="str"/>
      <x:c r="G29" s="103" t="str">
        <x:v>Cho phép tự xuống dòng trong ô khi chạm lề; không biến thành hard line breaks.</x:v>
      </x:c>
      <x:c r="H29" s="103" t="str">
        <x:v>ĐÃ CHỐT BỞI NGƯỜI DÙNG</x:v>
      </x:c>
      <x:c r="I29" s="103" t="str">
        <x:v>Chưa xác minh là bắt buộc bởi NĐ30/HD05; cấu hình profile riêng.</x:v>
      </x:c>
      <x:c r="J29" s="103" t="str">
        <x:v>https://vanban.chinhphu.vn/?docid=199378&amp;pageid=27160</x:v>
      </x:c>
      <x:c r="K29" s="103" t="str">
        <x:v>CHECK_ONLY</x:v>
      </x:c>
      <x:c r="L29" s="103" t="str">
        <x:v>Người dùng chốt trong trao đổi 29/10/2026; PROFILE NỘI BỘ; chưa có văn bản phê duyệt doanh nghiệp</x:v>
      </x:c>
    </x:row>
    <x:row r="30" ht="39" customHeight="1">
      <x:c r="A30" t="n">
        <x:v>29</x:v>
      </x:c>
      <x:c r="B30" s="103" t="str">
        <x:v>ND30.N.BANG.O.TO_NEN</x:v>
      </x:c>
      <x:c r="C30" s="103" t="str">
        <x:v>ND30</x:v>
      </x:c>
      <x:c r="D30" s="103" t="str">
        <x:v>Bảng</x:v>
      </x:c>
      <x:c r="E30" s="103" t="str">
        <x:v>NONE_NEW; PRESERVE_MEANINGFUL_EXISTING</x:v>
      </x:c>
      <x:c r="F30" s="103" t="str"/>
      <x:c r="G30" s="103" t="str">
        <x:v>Không thêm nền mặc định, bảo toàn màu nền gốc có ý nghĩa.</x:v>
      </x:c>
      <x:c r="H30" s="103" t="str">
        <x:v>ĐÃ CHỐT BỞI NGƯỜI DÙNG</x:v>
      </x:c>
      <x:c r="I30" s="103" t="str">
        <x:v>Chưa xác minh là bắt buộc bởi NĐ30/HD05; cấu hình profile riêng.</x:v>
      </x:c>
      <x:c r="J30" s="103" t="str">
        <x:v>https://vanban.chinhphu.vn/?docid=199378&amp;pageid=27160</x:v>
      </x:c>
      <x:c r="K30" s="103" t="str">
        <x:v>CHECK_ONLY</x:v>
      </x:c>
      <x:c r="L30" s="103" t="str">
        <x:v>Người dùng chốt trong trao đổi 29/10/2026; PROFILE NỘI BỘ; chưa có văn bản phê duyệt doanh nghiệp</x:v>
      </x:c>
    </x:row>
    <x:row r="31" ht="39" customHeight="1">
      <x:c r="A31" t="n">
        <x:v>30</x:v>
      </x:c>
      <x:c r="B31" s="103" t="str">
        <x:v>ND30.N.BANG.VIEN.NGOAI</x:v>
      </x:c>
      <x:c r="C31" s="103" t="str">
        <x:v>ND30</x:v>
      </x:c>
      <x:c r="D31" s="103" t="str">
        <x:v>Bảng</x:v>
      </x:c>
      <x:c r="E31" s="103" t="str">
        <x:v>SINGLE_IF_FRAMED</x:v>
      </x:c>
      <x:c r="F31" s="103" t="str"/>
      <x:c r="G31" s="103" t="str">
        <x:v>Bảng đã dùng khung: viền ngoài nét liền; bảng không khung không tự thêm viền.</x:v>
      </x:c>
      <x:c r="H31" s="103" t="str">
        <x:v>ĐÃ CHỐT BỞI NGƯỜI DÙNG</x:v>
      </x:c>
      <x:c r="I31" s="103" t="str">
        <x:v>Chưa xác minh là bắt buộc bởi NĐ30/HD05; cấu hình profile riêng.</x:v>
      </x:c>
      <x:c r="J31" s="103" t="str">
        <x:v>https://vanban.chinhphu.vn/?docid=199378&amp;pageid=27160</x:v>
      </x:c>
      <x:c r="K31" s="103" t="str">
        <x:v>CHECK_ONLY</x:v>
      </x:c>
      <x:c r="L31" s="103" t="str">
        <x:v>Người dùng chốt trong trao đổi 29/10/2026; PROFILE NỘI BỘ; chưa có văn bản phê duyệt doanh nghiệp</x:v>
      </x:c>
    </x:row>
    <x:row r="32" ht="39" customHeight="1">
      <x:c r="A32" t="n">
        <x:v>31</x:v>
      </x:c>
      <x:c r="B32" s="103" t="str">
        <x:v>ND30.N.BANG.VIEN.NGANG</x:v>
      </x:c>
      <x:c r="C32" s="103" t="str">
        <x:v>ND30</x:v>
      </x:c>
      <x:c r="D32" s="103" t="str">
        <x:v>Bảng</x:v>
      </x:c>
      <x:c r="E32" s="103" t="str">
        <x:v>SINGLE_IF_FRAMED</x:v>
      </x:c>
      <x:c r="F32" s="103" t="str"/>
      <x:c r="G32" s="103" t="str">
        <x:v>Đường nội bộ ngang nét đơn khi bảng dùng đường viền; không tự vẽ cho bảng không khung.</x:v>
      </x:c>
      <x:c r="H32" s="103" t="str">
        <x:v>ĐÃ CHỐT BỞI NGƯỜI DÙNG</x:v>
      </x:c>
      <x:c r="I32" s="103" t="str">
        <x:v>Chưa xác minh là bắt buộc bởi NĐ30/HD05; cấu hình profile riêng.</x:v>
      </x:c>
      <x:c r="J32" s="103" t="str">
        <x:v>https://vanban.chinhphu.vn/?docid=199378&amp;pageid=27160</x:v>
      </x:c>
      <x:c r="K32" s="103" t="str">
        <x:v>CHECK_ONLY</x:v>
      </x:c>
      <x:c r="L32" s="103" t="str">
        <x:v>Người dùng chốt trong trao đổi 29/10/2026; PROFILE NỘI BỘ; chưa có văn bản phê duyệt doanh nghiệp</x:v>
      </x:c>
    </x:row>
    <x:row r="33" ht="39" customHeight="1">
      <x:c r="A33" t="n">
        <x:v>32</x:v>
      </x:c>
      <x:c r="B33" s="103" t="str">
        <x:v>ND30.N.BANG.VIEN.DOC</x:v>
      </x:c>
      <x:c r="C33" s="103" t="str">
        <x:v>ND30</x:v>
      </x:c>
      <x:c r="D33" s="103" t="str">
        <x:v>Bảng</x:v>
      </x:c>
      <x:c r="E33" s="103" t="str">
        <x:v>SINGLE_IF_FRAMED</x:v>
      </x:c>
      <x:c r="F33" s="103" t="str"/>
      <x:c r="G33" s="103" t="str">
        <x:v>Đường nội bộ dọc nét đơn khi bảng dùng đường viền; không tự vẽ cho bảng không khung.</x:v>
      </x:c>
      <x:c r="H33" s="103" t="str">
        <x:v>ĐÃ CHỐT BỞI NGƯỜI DÙNG</x:v>
      </x:c>
      <x:c r="I33" s="103" t="str">
        <x:v>Chưa xác minh là bắt buộc bởi NĐ30/HD05; cấu hình profile riêng.</x:v>
      </x:c>
      <x:c r="J33" s="103" t="str">
        <x:v>https://vanban.chinhphu.vn/?docid=199378&amp;pageid=27160</x:v>
      </x:c>
      <x:c r="K33" s="103" t="str">
        <x:v>CHECK_ONLY</x:v>
      </x:c>
      <x:c r="L33" s="103" t="str">
        <x:v>Người dùng chốt trong trao đổi 29/10/2026; PROFILE NỘI BỘ; chưa có văn bản phê duyệt doanh nghiệp</x:v>
      </x:c>
    </x:row>
    <x:row r="34" ht="39" customHeight="1">
      <x:c r="A34" t="n">
        <x:v>33</x:v>
      </x:c>
      <x:c r="B34" s="103" t="str">
        <x:v>ND30.N.BANG.VIEN.DO_DAY</x:v>
      </x:c>
      <x:c r="C34" s="103" t="str">
        <x:v>ND30</x:v>
      </x:c>
      <x:c r="D34" s="103" t="str">
        <x:v>Bảng</x:v>
      </x:c>
      <x:c r="E34" s="103" t="n">
        <x:v>0.5</x:v>
      </x:c>
      <x:c r="F34" s="103" t="str">
        <x:v>pt</x:v>
      </x:c>
      <x:c r="G34" s="103" t="str">
        <x:v>Độ dày 0,5 pt chỉ khi bảng có khung; đây là profile, không phải tiêu chuẩn pháp lý quốc gia.</x:v>
      </x:c>
      <x:c r="H34" s="103" t="str">
        <x:v>ĐÃ CHỐT BỞI NGƯỜI DÙNG</x:v>
      </x:c>
      <x:c r="I34" s="103" t="str">
        <x:v>Chưa xác minh là bắt buộc bởi NĐ30/HD05; cấu hình profile riêng.</x:v>
      </x:c>
      <x:c r="J34" s="103" t="str">
        <x:v>https://vanban.chinhphu.vn/?docid=199378&amp;pageid=27160</x:v>
      </x:c>
      <x:c r="K34" s="103" t="str">
        <x:v>CHECK_ONLY</x:v>
      </x:c>
      <x:c r="L34" s="103" t="str">
        <x:v>Người dùng chốt trong trao đổi 29/10/2026; PROFILE NỘI BỘ; chưa có văn bản phê duyệt doanh nghiệp</x:v>
      </x:c>
    </x:row>
    <x:row r="35" ht="39" customHeight="1">
      <x:c r="A35" t="n">
        <x:v>34</x:v>
      </x:c>
      <x:c r="B35" s="103" t="str">
        <x:v>ND30.N.BANG.GHI_CHU.CACH_BANG</x:v>
      </x:c>
      <x:c r="C35" s="103" t="str">
        <x:v>ND30</x:v>
      </x:c>
      <x:c r="D35" s="103" t="str">
        <x:v>Bảng</x:v>
      </x:c>
      <x:c r="E35" s="103" t="n">
        <x:v>6</x:v>
      </x:c>
      <x:c r="F35" s="103" t="str">
        <x:v>pt</x:v>
      </x:c>
      <x:c r="G35" s="103" t="str">
        <x:v>Giữa mép dưới bảng và chú thích/nguồn NGOÀI bảng: 6 pt; không cộng BO_CUC.KHOANG_SAU; chú thích trong ô không áp.</x:v>
      </x:c>
      <x:c r="H35" s="103" t="str">
        <x:v>ĐÃ CHỐT BỞI NGƯỜI DÙNG</x:v>
      </x:c>
      <x:c r="I35" s="103" t="str">
        <x:v>Chưa xác minh là bắt buộc bởi NĐ30/HD05; cấu hình profile riêng.</x:v>
      </x:c>
      <x:c r="J35" s="103" t="str">
        <x:v>https://vanban.chinhphu.vn/?docid=199378&amp;pageid=27160</x:v>
      </x:c>
      <x:c r="K35" s="103" t="str">
        <x:v>CHECK_ONLY</x:v>
      </x:c>
      <x:c r="L35" s="103" t="str">
        <x:v>Người dùng chốt trong trao đổi 29/10/2026; PROFILE NỘI BỘ; chưa có văn bản phê duyệt doanh nghiệp</x:v>
      </x:c>
    </x:row>
    <x:row r="36" ht="39" customHeight="1">
      <x:c r="A36" t="n">
        <x:v>35</x:v>
      </x:c>
      <x:c r="B36" s="103" t="str">
        <x:v>HD05.N.BANG.BO_CUC.CAN_BANG</x:v>
      </x:c>
      <x:c r="C36" s="103" t="str">
        <x:v>HD05</x:v>
      </x:c>
      <x:c r="D36" s="103" t="str">
        <x:v>Bảng</x:v>
      </x:c>
      <x:c r="E36" s="103" t="str">
        <x:v>CENTER</x:v>
      </x:c>
      <x:c r="F36" s="103" t="str"/>
      <x:c r="G36" s="103" t="str">
        <x:v>Căn giữa khung bảng trong vùng nội dung hữu dụng; không căn theo khổ giấy bỏ qua lề.</x:v>
      </x:c>
      <x:c r="H36" s="103" t="str">
        <x:v>ĐÃ CHỐT BỞI NGƯỜI DÙNG</x:v>
      </x:c>
      <x:c r="I36" s="103" t="str">
        <x:v>Chưa xác minh là bắt buộc bởi NĐ30/HD05; cấu hình profile riêng.</x:v>
      </x:c>
      <x:c r="J36" s="103" t="str">
        <x:v>https://dangcongsan.vn/upload/2006988/20260529/HD_05_VPTW_e1550.pdf</x:v>
      </x:c>
      <x:c r="K36" s="103" t="str">
        <x:v>CHECK_ONLY</x:v>
      </x:c>
      <x:c r="L36" s="103" t="str">
        <x:v>Người dùng chốt trong trao đổi 29/10/2026; PROFILE NỘI BỘ; chưa có văn bản phê duyệt doanh nghiệp</x:v>
      </x:c>
    </x:row>
    <x:row r="37" ht="39" customHeight="1">
      <x:c r="A37" t="n">
        <x:v>36</x:v>
      </x:c>
      <x:c r="B37" s="103" t="str">
        <x:v>HD05.N.BANG.BO_CUC.CHIEU_RONG</x:v>
      </x:c>
      <x:c r="C37" s="103" t="str">
        <x:v>HD05</x:v>
      </x:c>
      <x:c r="D37" s="103" t="str">
        <x:v>Bảng</x:v>
      </x:c>
      <x:c r="E37" s="103" t="n">
        <x:v>100</x:v>
      </x:c>
      <x:c r="F37" s="103" t="str">
        <x:v>%</x:v>
      </x:c>
      <x:c r="G37" s="103" t="str">
        <x:v>100% vùng nội dung là mục tiêu khi lập/điều chỉnh bảng; ưu tiên giữ độ rộng thủ công nếu đang đẹp và không tràn lề.</x:v>
      </x:c>
      <x:c r="H37" s="103" t="str">
        <x:v>ĐÃ CHỐT BỞI NGƯỜI DÙNG</x:v>
      </x:c>
      <x:c r="I37" s="103" t="str">
        <x:v>Chưa xác minh là bắt buộc bởi NĐ30/HD05; cấu hình profile riêng.</x:v>
      </x:c>
      <x:c r="J37" s="103" t="str">
        <x:v>https://dangcongsan.vn/upload/2006988/20260529/HD_05_VPTW_e1550.pdf</x:v>
      </x:c>
      <x:c r="K37" s="103" t="str">
        <x:v>CHECK_ONLY</x:v>
      </x:c>
      <x:c r="L37" s="103" t="str">
        <x:v>Người dùng chốt trong trao đổi 29/10/2026; PROFILE NỘI BỘ; chưa có văn bản phê duyệt doanh nghiệp</x:v>
      </x:c>
    </x:row>
    <x:row r="38" ht="39" customHeight="1">
      <x:c r="A38" t="n">
        <x:v>37</x:v>
      </x:c>
      <x:c r="B38" s="103" t="str">
        <x:v>HD05.N.BANG.BO_CUC.AUTOFIT</x:v>
      </x:c>
      <x:c r="C38" s="103" t="str">
        <x:v>HD05</x:v>
      </x:c>
      <x:c r="D38" s="103" t="str">
        <x:v>Bảng</x:v>
      </x:c>
      <x:c r="E38" s="103" t="str">
        <x:v>PRESERVE_IF_VALID_ELSE_AUTOFIT_WINDOW</x:v>
      </x:c>
      <x:c r="F38" s="103" t="str"/>
      <x:c r="G38" s="103" t="str">
        <x:v>Ưu tiên giữ độ rộng khi bảng nằm trong lề và dễ đọc; khi tràn lề mới điều chỉnh vừa cửa sổ/vùng in rồi kiểm tra cột, ô gộp.</x:v>
      </x:c>
      <x:c r="H38" s="103" t="str">
        <x:v>ĐÃ CHỐT BỞI NGƯỜI DÙNG</x:v>
      </x:c>
      <x:c r="I38" s="103" t="str">
        <x:v>Chưa xác minh là bắt buộc bởi NĐ30/HD05; cấu hình profile riêng.</x:v>
      </x:c>
      <x:c r="J38" s="103" t="str">
        <x:v>https://dangcongsan.vn/upload/2006988/20260529/HD_05_VPTW_e1550.pdf</x:v>
      </x:c>
      <x:c r="K38" s="103" t="str">
        <x:v>CHECK_ONLY</x:v>
      </x:c>
      <x:c r="L38" s="103" t="str">
        <x:v>Người dùng chốt trong trao đổi 29/10/2026; PROFILE NỘI BỘ; chưa có văn bản phê duyệt doanh nghiệp</x:v>
      </x:c>
    </x:row>
    <x:row r="39" ht="39" customHeight="1">
      <x:c r="A39" t="n">
        <x:v>38</x:v>
      </x:c>
      <x:c r="B39" s="103" t="str">
        <x:v>HD05.N.BANG.BO_CUC.KHOANG_THUT</x:v>
      </x:c>
      <x:c r="C39" s="103" t="str">
        <x:v>HD05</x:v>
      </x:c>
      <x:c r="D39" s="103" t="str">
        <x:v>Bảng</x:v>
      </x:c>
      <x:c r="E39" s="103" t="n">
        <x:v>0</x:v>
      </x:c>
      <x:c r="F39" s="103" t="str">
        <x:v>mm</x:v>
      </x:c>
      <x:c r="G39" s="103" t="str">
        <x:v>Bảng chính không thụt trái so với mép vùng nội dung; không di chuyển bảng có bố cục riêng đã duyệt.</x:v>
      </x:c>
      <x:c r="H39" s="103" t="str">
        <x:v>ĐÃ CHỐT BỞI NGƯỜI DÙNG</x:v>
      </x:c>
      <x:c r="I39" s="103" t="str">
        <x:v>Chưa xác minh là bắt buộc bởi NĐ30/HD05; cấu hình profile riêng.</x:v>
      </x:c>
      <x:c r="J39" s="103" t="str">
        <x:v>https://dangcongsan.vn/upload/2006988/20260529/HD_05_VPTW_e1550.pdf</x:v>
      </x:c>
      <x:c r="K39" s="103" t="str">
        <x:v>CHECK_ONLY</x:v>
      </x:c>
      <x:c r="L39" s="103" t="str">
        <x:v>Người dùng chốt trong trao đổi 29/10/2026; PROFILE NỘI BỘ; chưa có văn bản phê duyệt doanh nghiệp</x:v>
      </x:c>
    </x:row>
    <x:row r="40" ht="39" customHeight="1">
      <x:c r="A40" t="n">
        <x:v>39</x:v>
      </x:c>
      <x:c r="B40" s="103" t="str">
        <x:v>HD05.N.BANG.BO_CUC.KHOANG_TRUOC</x:v>
      </x:c>
      <x:c r="C40" s="103" t="str">
        <x:v>HD05</x:v>
      </x:c>
      <x:c r="D40" s="103" t="str">
        <x:v>Bảng</x:v>
      </x:c>
      <x:c r="E40" s="103" t="n">
        <x:v>6</x:v>
      </x:c>
      <x:c r="F40" s="103" t="str">
        <x:v>pt</x:v>
      </x:c>
      <x:c r="G40" s="103" t="str">
        <x:v>Đoạn văn thường ngay trước bảng; khoảng cách HIỂN THỊ mục tiêu 6 pt, không cộng thêm với space_after đoạn trước; nếu caption ngoài bảng thì nhường rule caption.</x:v>
      </x:c>
      <x:c r="H40" s="103" t="str">
        <x:v>ĐÃ CHỐT BỞI NGƯỜI DÙNG</x:v>
      </x:c>
      <x:c r="I40" s="103" t="str">
        <x:v>Chưa xác minh là bắt buộc bởi NĐ30/HD05; cấu hình profile riêng.</x:v>
      </x:c>
      <x:c r="J40" s="103" t="str">
        <x:v>https://dangcongsan.vn/upload/2006988/20260529/HD_05_VPTW_e1550.pdf</x:v>
      </x:c>
      <x:c r="K40" s="103" t="str">
        <x:v>CHECK_ONLY</x:v>
      </x:c>
      <x:c r="L40" s="103" t="str">
        <x:v>Người dùng chốt trong trao đổi 29/10/2026; PROFILE NỘI BỘ; chưa có văn bản phê duyệt doanh nghiệp</x:v>
      </x:c>
    </x:row>
    <x:row r="41" ht="39" customHeight="1">
      <x:c r="A41" t="n">
        <x:v>40</x:v>
      </x:c>
      <x:c r="B41" s="103" t="str">
        <x:v>HD05.N.BANG.BO_CUC.KHOANG_SAU</x:v>
      </x:c>
      <x:c r="C41" s="103" t="str">
        <x:v>HD05</x:v>
      </x:c>
      <x:c r="D41" s="103" t="str">
        <x:v>Bảng</x:v>
      </x:c>
      <x:c r="E41" s="103" t="n">
        <x:v>6</x:v>
      </x:c>
      <x:c r="F41" s="103" t="str">
        <x:v>pt</x:v>
      </x:c>
      <x:c r="G41" s="103" t="str">
        <x:v>Đoạn văn thường ngay sau bảng; khoảng cách HIỂN THỊ mục tiêu 6 pt, không cộng với space_before tiếp sau; nếu ghi chú ngoài bảng thì nhường rule ghi chú.</x:v>
      </x:c>
      <x:c r="H41" s="103" t="str">
        <x:v>ĐÃ CHỐT BỞI NGƯỜI DÙNG</x:v>
      </x:c>
      <x:c r="I41" s="103" t="str">
        <x:v>Chưa xác minh là bắt buộc bởi NĐ30/HD05; cấu hình profile riêng.</x:v>
      </x:c>
      <x:c r="J41" s="103" t="str">
        <x:v>https://dangcongsan.vn/upload/2006988/20260529/HD_05_VPTW_e1550.pdf</x:v>
      </x:c>
      <x:c r="K41" s="103" t="str">
        <x:v>CHECK_ONLY</x:v>
      </x:c>
      <x:c r="L41" s="103" t="str">
        <x:v>Người dùng chốt trong trao đổi 29/10/2026; PROFILE NỘI BỘ; chưa có văn bản phê duyệt doanh nghiệp</x:v>
      </x:c>
    </x:row>
    <x:row r="42" ht="39" customHeight="1">
      <x:c r="A42" t="n">
        <x:v>41</x:v>
      </x:c>
      <x:c r="B42" s="103" t="str">
        <x:v>HD05.N.BANG.TIEU_DE.KIEU_CHU</x:v>
      </x:c>
      <x:c r="C42" s="103" t="str">
        <x:v>HD05</x:v>
      </x:c>
      <x:c r="D42" s="103" t="str">
        <x:v>Bảng</x:v>
      </x:c>
      <x:c r="E42" s="103" t="str">
        <x:v>Times New Roman; 13 pt; BOLD; UPRIGHT</x:v>
      </x:c>
      <x:c r="F42" s="103" t="str"/>
      <x:c r="G42" s="103" t="str">
        <x:v>Chỉ tiêu đề NGOÀI bảng đã xác định; không áp cho dòng tiêu đề cột và không ghi đè nội dung chữ.</x:v>
      </x:c>
      <x:c r="H42" s="103" t="str">
        <x:v>ĐÃ CHỐT BỞI NGƯỜI DÙNG</x:v>
      </x:c>
      <x:c r="I42" s="103" t="str">
        <x:v>CẦN ĐỐI CHIẾU HD05: lời văn 14–15 pt; giãn dòng Exactly 18–22 pt; chưa có ngoại lệ bảng chung được xác minh.</x:v>
      </x:c>
      <x:c r="J42" s="103" t="str">
        <x:v>https://dangcongsan.vn/upload/2006988/20260529/HD_05_VPTW_e1550.pdf</x:v>
      </x:c>
      <x:c r="K42" s="103" t="str">
        <x:v>CHECK_ONLY</x:v>
      </x:c>
      <x:c r="L42" s="103" t="str">
        <x:v>Người dùng chốt trong trao đổi 29/10/2026; PROFILE NỘI BỘ; chưa có văn bản phê duyệt doanh nghiệp</x:v>
      </x:c>
    </x:row>
    <x:row r="43" ht="39" customHeight="1">
      <x:c r="A43" t="n">
        <x:v>42</x:v>
      </x:c>
      <x:c r="B43" s="103" t="str">
        <x:v>HD05.N.BANG.TIEU_DE.CAN_NGANG</x:v>
      </x:c>
      <x:c r="C43" s="103" t="str">
        <x:v>HD05</x:v>
      </x:c>
      <x:c r="D43" s="103" t="str">
        <x:v>Bảng</x:v>
      </x:c>
      <x:c r="E43" s="103" t="str">
        <x:v>CENTER</x:v>
      </x:c>
      <x:c r="F43" s="103" t="str"/>
      <x:c r="G43" s="103" t="str">
        <x:v>Căn giữa tiêu đề theo chiều ngang bảng; nếu bố cục không cho phép thì ghi ngoại lệ.</x:v>
      </x:c>
      <x:c r="H43" s="103" t="str">
        <x:v>ĐÃ CHỐT BỞI NGƯỜI DÙNG</x:v>
      </x:c>
      <x:c r="I43" s="103" t="str">
        <x:v>Chưa xác minh là bắt buộc bởi NĐ30/HD05; cấu hình profile riêng.</x:v>
      </x:c>
      <x:c r="J43" s="103" t="str">
        <x:v>https://dangcongsan.vn/upload/2006988/20260529/HD_05_VPTW_e1550.pdf</x:v>
      </x:c>
      <x:c r="K43" s="103" t="str">
        <x:v>CHECK_ONLY</x:v>
      </x:c>
      <x:c r="L43" s="103" t="str">
        <x:v>Người dùng chốt trong trao đổi 29/10/2026; PROFILE NỘI BỘ; chưa có văn bản phê duyệt doanh nghiệp</x:v>
      </x:c>
    </x:row>
    <x:row r="44" ht="39" customHeight="1">
      <x:c r="A44" t="n">
        <x:v>43</x:v>
      </x:c>
      <x:c r="B44" s="103" t="str">
        <x:v>HD05.N.BANG.TIEU_DE.GIU_CUNG_BANG</x:v>
      </x:c>
      <x:c r="C44" s="103" t="str">
        <x:v>HD05</x:v>
      </x:c>
      <x:c r="D44" s="103" t="str">
        <x:v>Bảng</x:v>
      </x:c>
      <x:c r="E44" s="103" t="str">
        <x:v>TRUE</x:v>
      </x:c>
      <x:c r="F44" s="103" t="str"/>
      <x:c r="G44" s="103" t="str">
        <x:v>Giữ caption với hàng/nhóm hàng đầu của bảng, không ép toàn bảng nhiều trang ở một trang.</x:v>
      </x:c>
      <x:c r="H44" s="103" t="str">
        <x:v>ĐÃ CHỐT BỞI NGƯỜI DÙNG</x:v>
      </x:c>
      <x:c r="I44" s="103" t="str">
        <x:v>Chưa xác minh là bắt buộc bởi NĐ30/HD05; cấu hình profile riêng.</x:v>
      </x:c>
      <x:c r="J44" s="103" t="str">
        <x:v>https://dangcongsan.vn/upload/2006988/20260529/HD_05_VPTW_e1550.pdf</x:v>
      </x:c>
      <x:c r="K44" s="103" t="str">
        <x:v>CHECK_ONLY</x:v>
      </x:c>
      <x:c r="L44" s="103" t="str">
        <x:v>Người dùng chốt trong trao đổi 29/10/2026; PROFILE NỘI BỘ; chưa có văn bản phê duyệt doanh nghiệp</x:v>
      </x:c>
    </x:row>
    <x:row r="45" ht="39" customHeight="1">
      <x:c r="A45" t="n">
        <x:v>44</x:v>
      </x:c>
      <x:c r="B45" s="103" t="str">
        <x:v>HD05.N.BANG.TIEU_DE.KHOANG_CACH</x:v>
      </x:c>
      <x:c r="C45" s="103" t="str">
        <x:v>HD05</x:v>
      </x:c>
      <x:c r="D45" s="103" t="str">
        <x:v>Bảng</x:v>
      </x:c>
      <x:c r="E45" s="103" t="n">
        <x:v>6</x:v>
      </x:c>
      <x:c r="F45" s="103" t="str">
        <x:v>pt</x:v>
      </x:c>
      <x:c r="G45" s="103" t="str">
        <x:v>Giữa caption NGOÀI bảng và mép trên bảng 6 pt; không cộng BO_CUC.KHOANG_TRUOC; caption space_before 6 pt là một ranh giới khác.</x:v>
      </x:c>
      <x:c r="H45" s="103" t="str">
        <x:v>ĐÃ CHỐT BỞI NGƯỜI DÙNG</x:v>
      </x:c>
      <x:c r="I45" s="103" t="str">
        <x:v>Chưa xác minh là bắt buộc bởi NĐ30/HD05; cấu hình profile riêng.</x:v>
      </x:c>
      <x:c r="J45" s="103" t="str">
        <x:v>https://dangcongsan.vn/upload/2006988/20260529/HD_05_VPTW_e1550.pdf</x:v>
      </x:c>
      <x:c r="K45" s="103" t="str">
        <x:v>CHECK_ONLY</x:v>
      </x:c>
      <x:c r="L45" s="103" t="str">
        <x:v>Người dùng chốt trong trao đổi 29/10/2026; PROFILE NỘI BỘ; chưa có văn bản phê duyệt doanh nghiệp</x:v>
      </x:c>
    </x:row>
    <x:row r="46" ht="39" customHeight="1">
      <x:c r="A46" t="n">
        <x:v>45</x:v>
      </x:c>
      <x:c r="B46" s="103" t="str">
        <x:v>HD05.N.BANG.DAU_BANG.CHU_DAM</x:v>
      </x:c>
      <x:c r="C46" s="103" t="str">
        <x:v>HD05</x:v>
      </x:c>
      <x:c r="D46" s="103" t="str">
        <x:v>Bảng</x:v>
      </x:c>
      <x:c r="E46" s="103" t="str">
        <x:v>YES</x:v>
      </x:c>
      <x:c r="F46" s="103" t="str"/>
      <x:c r="G46" s="103" t="str">
        <x:v>Chỉ hàng tiêu đề cột; không áp chữ đậm lên hàng dữ liệu chỉ vì nằm đầu trang.</x:v>
      </x:c>
      <x:c r="H46" s="103" t="str">
        <x:v>ĐÃ CHỐT BỞI NGƯỜI DÙNG</x:v>
      </x:c>
      <x:c r="I46" s="103" t="str">
        <x:v>Chưa xác minh là bắt buộc bởi NĐ30/HD05; cấu hình profile riêng.</x:v>
      </x:c>
      <x:c r="J46" s="103" t="str">
        <x:v>https://dangcongsan.vn/upload/2006988/20260529/HD_05_VPTW_e1550.pdf</x:v>
      </x:c>
      <x:c r="K46" s="103" t="str">
        <x:v>CHECK_ONLY</x:v>
      </x:c>
      <x:c r="L46" s="103" t="str">
        <x:v>Người dùng chốt trong trao đổi 29/10/2026; PROFILE NỘI BỘ; chưa có văn bản phê duyệt doanh nghiệp</x:v>
      </x:c>
    </x:row>
    <x:row r="47" ht="39" customHeight="1">
      <x:c r="A47" t="n">
        <x:v>46</x:v>
      </x:c>
      <x:c r="B47" s="103" t="str">
        <x:v>HD05.N.BANG.DAU_BANG.CAN_NGANG</x:v>
      </x:c>
      <x:c r="C47" s="103" t="str">
        <x:v>HD05</x:v>
      </x:c>
      <x:c r="D47" s="103" t="str">
        <x:v>Bảng</x:v>
      </x:c>
      <x:c r="E47" s="103" t="str">
        <x:v>CENTER</x:v>
      </x:c>
      <x:c r="F47" s="103" t="str"/>
      <x:c r="G47" s="103" t="str">
        <x:v>Căn giữa trong ô tiêu đề, nội dung dài được xuống dòng.</x:v>
      </x:c>
      <x:c r="H47" s="103" t="str">
        <x:v>ĐÃ CHỐT BỞI NGƯỜI DÙNG</x:v>
      </x:c>
      <x:c r="I47" s="103" t="str">
        <x:v>Chưa xác minh là bắt buộc bởi NĐ30/HD05; cấu hình profile riêng.</x:v>
      </x:c>
      <x:c r="J47" s="103" t="str">
        <x:v>https://dangcongsan.vn/upload/2006988/20260529/HD_05_VPTW_e1550.pdf</x:v>
      </x:c>
      <x:c r="K47" s="103" t="str">
        <x:v>CHECK_ONLY</x:v>
      </x:c>
      <x:c r="L47" s="103" t="str">
        <x:v>Người dùng chốt trong trao đổi 29/10/2026; PROFILE NỘI BỘ; chưa có văn bản phê duyệt doanh nghiệp</x:v>
      </x:c>
    </x:row>
    <x:row r="48" ht="39" customHeight="1">
      <x:c r="A48" t="n">
        <x:v>47</x:v>
      </x:c>
      <x:c r="B48" s="103" t="str">
        <x:v>HD05.N.BANG.DAU_BANG.TO_NEN</x:v>
      </x:c>
      <x:c r="C48" s="103" t="str">
        <x:v>HD05</x:v>
      </x:c>
      <x:c r="D48" s="103" t="str">
        <x:v>Bảng</x:v>
      </x:c>
      <x:c r="E48" s="103" t="str">
        <x:v>NONE_NEW; PRESERVE_MEANINGFUL_EXISTING</x:v>
      </x:c>
      <x:c r="F48" s="103" t="str"/>
      <x:c r="G48" s="103" t="str">
        <x:v>Không thêm nền mới; không xóa nền đang thể hiện ý nghĩa dữ liệu/phân nhóm.</x:v>
      </x:c>
      <x:c r="H48" s="103" t="str">
        <x:v>ĐÃ CHỐT BỞI NGƯỜI DÙNG</x:v>
      </x:c>
      <x:c r="I48" s="103" t="str">
        <x:v>Chưa xác minh là bắt buộc bởi NĐ30/HD05; cấu hình profile riêng.</x:v>
      </x:c>
      <x:c r="J48" s="103" t="str">
        <x:v>https://dangcongsan.vn/upload/2006988/20260529/HD_05_VPTW_e1550.pdf</x:v>
      </x:c>
      <x:c r="K48" s="103" t="str">
        <x:v>CHECK_ONLY</x:v>
      </x:c>
      <x:c r="L48" s="103" t="str">
        <x:v>Người dùng chốt trong trao đổi 29/10/2026; PROFILE NỘI BỘ; chưa có văn bản phê duyệt doanh nghiệp</x:v>
      </x:c>
    </x:row>
    <x:row r="49" ht="39" customHeight="1">
      <x:c r="A49" t="n">
        <x:v>48</x:v>
      </x:c>
      <x:c r="B49" s="103" t="str">
        <x:v>HD05.N.BANG.COT.DO_RONG</x:v>
      </x:c>
      <x:c r="C49" s="103" t="str">
        <x:v>HD05</x:v>
      </x:c>
      <x:c r="D49" s="103" t="str">
        <x:v>Bảng</x:v>
      </x:c>
      <x:c r="E49" s="103" t="str">
        <x:v>PRESERVE_IF_VALID; REVIEW_IF_OVERFLOW</x:v>
      </x:c>
      <x:c r="F49" s="103" t="str"/>
      <x:c r="G49" s="103" t="str">
        <x:v>Giữ độ rộng cột khi không tràn lề/không bóp chữ; chỉ cân chỉnh lại khi sai khung.</x:v>
      </x:c>
      <x:c r="H49" s="103" t="str">
        <x:v>ĐÃ CHỐT BỞI NGƯỜI DÙNG</x:v>
      </x:c>
      <x:c r="I49" s="103" t="str">
        <x:v>Chưa xác minh là bắt buộc bởi NĐ30/HD05; cấu hình profile riêng.</x:v>
      </x:c>
      <x:c r="J49" s="103" t="str">
        <x:v>https://dangcongsan.vn/upload/2006988/20260529/HD_05_VPTW_e1550.pdf</x:v>
      </x:c>
      <x:c r="K49" s="103" t="str">
        <x:v>CHECK_ONLY</x:v>
      </x:c>
      <x:c r="L49" s="103" t="str">
        <x:v>Người dùng chốt trong trao đổi 29/10/2026; PROFILE NỘI BỘ; chưa có văn bản phê duyệt doanh nghiệp</x:v>
      </x:c>
    </x:row>
    <x:row r="50" ht="39" customHeight="1">
      <x:c r="A50" t="n">
        <x:v>49</x:v>
      </x:c>
      <x:c r="B50" s="103" t="str">
        <x:v>HD05.N.BANG.COT.CAN_CHU</x:v>
      </x:c>
      <x:c r="C50" s="103" t="str">
        <x:v>HD05</x:v>
      </x:c>
      <x:c r="D50" s="103" t="str">
        <x:v>Bảng</x:v>
      </x:c>
      <x:c r="E50" s="103" t="str">
        <x:v>LEFT</x:v>
      </x:c>
      <x:c r="F50" s="103" t="str"/>
      <x:c r="G50" s="103" t="str">
        <x:v>Cột mô tả/văn bản: căn trái; trường hợp mã, tiêu đề, STT đi theo vai trò ô.</x:v>
      </x:c>
      <x:c r="H50" s="103" t="str">
        <x:v>ĐÃ CHỐT BỞI NGƯỜI DÙNG</x:v>
      </x:c>
      <x:c r="I50" s="103" t="str">
        <x:v>Chưa xác minh là bắt buộc bởi NĐ30/HD05; cấu hình profile riêng.</x:v>
      </x:c>
      <x:c r="J50" s="103" t="str">
        <x:v>https://dangcongsan.vn/upload/2006988/20260529/HD_05_VPTW_e1550.pdf</x:v>
      </x:c>
      <x:c r="K50" s="103" t="str">
        <x:v>CHECK_ONLY</x:v>
      </x:c>
      <x:c r="L50" s="103" t="str">
        <x:v>Người dùng chốt trong trao đổi 29/10/2026; PROFILE NỘI BỘ; chưa có văn bản phê duyệt doanh nghiệp</x:v>
      </x:c>
    </x:row>
    <x:row r="51" ht="39" customHeight="1">
      <x:c r="A51" t="n">
        <x:v>50</x:v>
      </x:c>
      <x:c r="B51" s="103" t="str">
        <x:v>HD05.N.BANG.COT.CAN_SO</x:v>
      </x:c>
      <x:c r="C51" s="103" t="str">
        <x:v>HD05</x:v>
      </x:c>
      <x:c r="D51" s="103" t="str">
        <x:v>Bảng</x:v>
      </x:c>
      <x:c r="E51" s="103" t="str">
        <x:v>RIGHT</x:v>
      </x:c>
      <x:c r="F51" s="103" t="str"/>
      <x:c r="G51" s="103" t="str">
        <x:v>Cột đại lượng (số lượng, định mức, tiền): căn phải; STT, mã, ngày, điện thoại không coi là số định lượng.</x:v>
      </x:c>
      <x:c r="H51" s="103" t="str">
        <x:v>ĐÃ CHỐT BỞI NGƯỜI DÙNG</x:v>
      </x:c>
      <x:c r="I51" s="103" t="str">
        <x:v>Chưa xác minh là bắt buộc bởi NĐ30/HD05; cấu hình profile riêng.</x:v>
      </x:c>
      <x:c r="J51" s="103" t="str">
        <x:v>https://dangcongsan.vn/upload/2006988/20260529/HD_05_VPTW_e1550.pdf</x:v>
      </x:c>
      <x:c r="K51" s="103" t="str">
        <x:v>CHECK_ONLY</x:v>
      </x:c>
      <x:c r="L51" s="103" t="str">
        <x:v>Người dùng chốt trong trao đổi 29/10/2026; PROFILE NỘI BỘ; chưa có văn bản phê duyệt doanh nghiệp</x:v>
      </x:c>
    </x:row>
    <x:row r="52" ht="39" customHeight="1">
      <x:c r="A52" t="n">
        <x:v>51</x:v>
      </x:c>
      <x:c r="B52" s="103" t="str">
        <x:v>HD05.N.BANG.O.CAN_NGANG</x:v>
      </x:c>
      <x:c r="C52" s="103" t="str">
        <x:v>HD05</x:v>
      </x:c>
      <x:c r="D52" s="103" t="str">
        <x:v>Bảng</x:v>
      </x:c>
      <x:c r="E52" s="103" t="str">
        <x:v>CENTER_STT_CODE; LEFT_TEXT; RIGHT_QUANTITIES</x:v>
      </x:c>
      <x:c r="F52" s="103" t="str"/>
      <x:c r="G52" s="103" t="str">
        <x:v>Ma trận: tiêu đề, STT, mã ngắn CENTER; văn bản diễn giải LEFT; đại lượng tài chính/thống kê RIGHT.</x:v>
      </x:c>
      <x:c r="H52" s="103" t="str">
        <x:v>ĐÃ CHỐT BỞI NGƯỜI DÙNG</x:v>
      </x:c>
      <x:c r="I52" s="103" t="str">
        <x:v>Chưa xác minh là bắt buộc bởi NĐ30/HD05; cấu hình profile riêng.</x:v>
      </x:c>
      <x:c r="J52" s="103" t="str">
        <x:v>https://dangcongsan.vn/upload/2006988/20260529/HD_05_VPTW_e1550.pdf</x:v>
      </x:c>
      <x:c r="K52" s="103" t="str">
        <x:v>CHECK_ONLY</x:v>
      </x:c>
      <x:c r="L52" s="103" t="str">
        <x:v>Người dùng chốt trong trao đổi 29/10/2026; PROFILE NỘI BỘ; chưa có văn bản phê duyệt doanh nghiệp</x:v>
      </x:c>
    </x:row>
    <x:row r="53" ht="39" customHeight="1">
      <x:c r="A53" t="n">
        <x:v>52</x:v>
      </x:c>
      <x:c r="B53" s="103" t="str">
        <x:v>HD05.N.BANG.O.CAN_DOC</x:v>
      </x:c>
      <x:c r="C53" s="103" t="str">
        <x:v>HD05</x:v>
      </x:c>
      <x:c r="D53" s="103" t="str">
        <x:v>Bảng</x:v>
      </x:c>
      <x:c r="E53" s="103" t="str">
        <x:v>CENTER</x:v>
      </x:c>
      <x:c r="F53" s="103" t="str"/>
      <x:c r="G53" s="103" t="str">
        <x:v>Căn giữa theo chiều dọc theo profile; nếu bảng có đoạn văn nhiều dòng đặc thù, đối chiếu trước khi sửa.</x:v>
      </x:c>
      <x:c r="H53" s="103" t="str">
        <x:v>ĐÃ CHỐT BỞI NGƯỜI DÙNG</x:v>
      </x:c>
      <x:c r="I53" s="103" t="str">
        <x:v>Chưa xác minh là bắt buộc bởi NĐ30/HD05; cấu hình profile riêng.</x:v>
      </x:c>
      <x:c r="J53" s="103" t="str">
        <x:v>https://dangcongsan.vn/upload/2006988/20260529/HD_05_VPTW_e1550.pdf</x:v>
      </x:c>
      <x:c r="K53" s="103" t="str">
        <x:v>CHECK_ONLY</x:v>
      </x:c>
      <x:c r="L53" s="103" t="str">
        <x:v>Người dùng chốt trong trao đổi 29/10/2026; PROFILE NỘI BỘ; chưa có văn bản phê duyệt doanh nghiệp</x:v>
      </x:c>
    </x:row>
    <x:row r="54" ht="39" customHeight="1">
      <x:c r="A54" t="n">
        <x:v>53</x:v>
      </x:c>
      <x:c r="B54" s="103" t="str">
        <x:v>HD05.N.BANG.HANG.CHIEU_CAO</x:v>
      </x:c>
      <x:c r="C54" s="103" t="str">
        <x:v>HD05</x:v>
      </x:c>
      <x:c r="D54" s="103" t="str">
        <x:v>Bảng</x:v>
      </x:c>
      <x:c r="E54" s="103" t="str">
        <x:v>AUTO</x:v>
      </x:c>
      <x:c r="F54" s="103" t="str"/>
      <x:c r="G54" s="103" t="str">
        <x:v>Chiều cao tự mở theo nội dung ô, tuyệt đối không cắt/mất chữ.</x:v>
      </x:c>
      <x:c r="H54" s="103" t="str">
        <x:v>ĐÃ CHỐT BỞI NGƯỜI DÙNG</x:v>
      </x:c>
      <x:c r="I54" s="103" t="str">
        <x:v>Chưa xác minh là bắt buộc bởi NĐ30/HD05; cấu hình profile riêng.</x:v>
      </x:c>
      <x:c r="J54" s="103" t="str">
        <x:v>https://dangcongsan.vn/upload/2006988/20260529/HD_05_VPTW_e1550.pdf</x:v>
      </x:c>
      <x:c r="K54" s="103" t="str">
        <x:v>CHECK_ONLY</x:v>
      </x:c>
      <x:c r="L54" s="103" t="str">
        <x:v>Người dùng chốt trong trao đổi 29/10/2026; PROFILE NỘI BỘ; chưa có văn bản phê duyệt doanh nghiệp</x:v>
      </x:c>
    </x:row>
    <x:row r="55" ht="39" customHeight="1">
      <x:c r="A55" t="n">
        <x:v>54</x:v>
      </x:c>
      <x:c r="B55" s="103" t="str">
        <x:v>HD05.N.BANG.HANG.KIEU_CAO</x:v>
      </x:c>
      <x:c r="C55" s="103" t="str">
        <x:v>HD05</x:v>
      </x:c>
      <x:c r="D55" s="103" t="str">
        <x:v>Bảng</x:v>
      </x:c>
      <x:c r="E55" s="103" t="str">
        <x:v>AT_LEAST_HEADER_6MM; AUTO_DATA</x:v>
      </x:c>
      <x:c r="F55" s="103" t="str"/>
      <x:c r="G55" s="103" t="str">
        <x:v>Hàng tiêu đề tối thiểu 6 mm và được giãn cao hơn; hàng dữ liệu tự động; không dùng EXACT.</x:v>
      </x:c>
      <x:c r="H55" s="103" t="str">
        <x:v>ĐÃ CHỐT BỞI NGƯỜI DÙNG</x:v>
      </x:c>
      <x:c r="I55" s="103" t="str">
        <x:v>Chưa xác minh là bắt buộc bởi NĐ30/HD05; cấu hình profile riêng.</x:v>
      </x:c>
      <x:c r="J55" s="103" t="str">
        <x:v>https://dangcongsan.vn/upload/2006988/20260529/HD_05_VPTW_e1550.pdf</x:v>
      </x:c>
      <x:c r="K55" s="103" t="str">
        <x:v>CHECK_ONLY</x:v>
      </x:c>
      <x:c r="L55" s="103" t="str">
        <x:v>Người dùng chốt trong trao đổi 29/10/2026; PROFILE NỘI BỘ; chưa có văn bản phê duyệt doanh nghiệp</x:v>
      </x:c>
    </x:row>
    <x:row r="56" ht="39" customHeight="1">
      <x:c r="A56" t="n">
        <x:v>55</x:v>
      </x:c>
      <x:c r="B56" s="103" t="str">
        <x:v>HD05.N.BANG.HANG.CHONG_CHIA_TRANG</x:v>
      </x:c>
      <x:c r="C56" s="103" t="str">
        <x:v>HD05</x:v>
      </x:c>
      <x:c r="D56" s="103" t="str">
        <x:v>Bảng</x:v>
      </x:c>
      <x:c r="E56" s="103" t="str">
        <x:v>YES_IF_FITS; REVIEW_OVERSIZE</x:v>
      </x:c>
      <x:c r="F56" s="103" t="str"/>
      <x:c r="G56" s="103" t="str">
        <x:v>Không chia hàng nếu hàng vừa trang; hàng dài hơn vùng trang phải xử lý ngoại lệ, tránh che/mất chữ.</x:v>
      </x:c>
      <x:c r="H56" s="103" t="str">
        <x:v>ĐÃ CHỐT BỞI NGƯỜI DÙNG</x:v>
      </x:c>
      <x:c r="I56" s="103" t="str">
        <x:v>Chưa xác minh là bắt buộc bởi NĐ30/HD05; cấu hình profile riêng.</x:v>
      </x:c>
      <x:c r="J56" s="103" t="str">
        <x:v>https://dangcongsan.vn/upload/2006988/20260529/HD_05_VPTW_e1550.pdf</x:v>
      </x:c>
      <x:c r="K56" s="103" t="str">
        <x:v>CHECK_ONLY</x:v>
      </x:c>
      <x:c r="L56" s="103" t="str">
        <x:v>Người dùng chốt trong trao đổi 29/10/2026; PROFILE NỘI BỘ; chưa có văn bản phê duyệt doanh nghiệp</x:v>
      </x:c>
    </x:row>
    <x:row r="57" ht="39" customHeight="1">
      <x:c r="A57" t="n">
        <x:v>56</x:v>
      </x:c>
      <x:c r="B57" s="103" t="str">
        <x:v>HD05.N.BANG.HANG.KHOANG_CACH</x:v>
      </x:c>
      <x:c r="C57" s="103" t="str">
        <x:v>HD05</x:v>
      </x:c>
      <x:c r="D57" s="103" t="str">
        <x:v>Bảng</x:v>
      </x:c>
      <x:c r="E57" s="103" t="n">
        <x:v>0</x:v>
      </x:c>
      <x:c r="F57" s="103" t="str">
        <x:v>mm</x:v>
      </x:c>
      <x:c r="G57" s="103" t="str">
        <x:v>Khoảng cách giữa các ô/hàng bằng 0 mm; không tạo khe hở viền kép.</x:v>
      </x:c>
      <x:c r="H57" s="103" t="str">
        <x:v>ĐÃ CHỐT BỞI NGƯỜI DÙNG</x:v>
      </x:c>
      <x:c r="I57" s="103" t="str">
        <x:v>Chưa xác minh là bắt buộc bởi NĐ30/HD05; cấu hình profile riêng.</x:v>
      </x:c>
      <x:c r="J57" s="103" t="str">
        <x:v>https://dangcongsan.vn/upload/2006988/20260529/HD_05_VPTW_e1550.pdf</x:v>
      </x:c>
      <x:c r="K57" s="103" t="str">
        <x:v>CHECK_ONLY</x:v>
      </x:c>
      <x:c r="L57" s="103" t="str">
        <x:v>Người dùng chốt trong trao đổi 29/10/2026; PROFILE NỘI BỘ; chưa có văn bản phê duyệt doanh nghiệp</x:v>
      </x:c>
    </x:row>
    <x:row r="58" ht="39" customHeight="1">
      <x:c r="A58" t="n">
        <x:v>57</x:v>
      </x:c>
      <x:c r="B58" s="103" t="str">
        <x:v>HD05.N.BANG.NGAT_TRANG.BANG_DAI</x:v>
      </x:c>
      <x:c r="C58" s="103" t="str">
        <x:v>HD05</x:v>
      </x:c>
      <x:c r="D58" s="103" t="str">
        <x:v>Bảng</x:v>
      </x:c>
      <x:c r="E58" s="103" t="str">
        <x:v>AUTO_BREAK_BETWEEN_ROWS</x:v>
      </x:c>
      <x:c r="F58" s="103" t="str"/>
      <x:c r="G58" s="103" t="str">
        <x:v>Bảng nhiều trang ngắt giữa các hàng, không ép cả bảng ở một trang; phải lặp đầy đủ hàng tiêu đề.</x:v>
      </x:c>
      <x:c r="H58" s="103" t="str">
        <x:v>ĐÃ CHỐT BỞI NGƯỜI DÙNG</x:v>
      </x:c>
      <x:c r="I58" s="103" t="str">
        <x:v>Chưa xác minh là bắt buộc bởi NĐ30/HD05; cấu hình profile riêng.</x:v>
      </x:c>
      <x:c r="J58" s="103" t="str">
        <x:v>https://dangcongsan.vn/upload/2006988/20260529/HD_05_VPTW_e1550.pdf</x:v>
      </x:c>
      <x:c r="K58" s="103" t="str">
        <x:v>CHECK_ONLY</x:v>
      </x:c>
      <x:c r="L58" s="103" t="str">
        <x:v>Người dùng chốt trong trao đổi 29/10/2026; PROFILE NỘI BỘ; chưa có văn bản phê duyệt doanh nghiệp</x:v>
      </x:c>
    </x:row>
    <x:row r="59" ht="39" customHeight="1">
      <x:c r="A59" t="n">
        <x:v>58</x:v>
      </x:c>
      <x:c r="B59" s="103" t="str">
        <x:v>HD05.N.BANG.O.FONT</x:v>
      </x:c>
      <x:c r="C59" s="103" t="str">
        <x:v>HD05</x:v>
      </x:c>
      <x:c r="D59" s="103" t="str">
        <x:v>Bảng</x:v>
      </x:c>
      <x:c r="E59" s="103" t="str">
        <x:v>Times New Roman; Unicode; #000000</x:v>
      </x:c>
      <x:c r="F59" s="103" t="str"/>
      <x:c r="G59" s="103" t="str">
        <x:v>Dùng Times New Roman và màu chữ đen cho chữ bảng; không thay thế ký tự gốc.</x:v>
      </x:c>
      <x:c r="H59" s="103" t="str">
        <x:v>ĐÃ CHỐT BỞI NGƯỜI DÙNG</x:v>
      </x:c>
      <x:c r="I59" s="103" t="str">
        <x:v>Chưa xác minh là bắt buộc bởi NĐ30/HD05; cấu hình profile riêng.</x:v>
      </x:c>
      <x:c r="J59" s="103" t="str">
        <x:v>https://dangcongsan.vn/upload/2006988/20260529/HD_05_VPTW_e1550.pdf</x:v>
      </x:c>
      <x:c r="K59" s="103" t="str">
        <x:v>CHECK_ONLY</x:v>
      </x:c>
      <x:c r="L59" s="103" t="str">
        <x:v>Người dùng chốt trong trao đổi 29/10/2026; PROFILE NỘI BỘ; chưa có văn bản phê duyệt doanh nghiệp</x:v>
      </x:c>
    </x:row>
    <x:row r="60" ht="39" customHeight="1">
      <x:c r="A60" t="n">
        <x:v>59</x:v>
      </x:c>
      <x:c r="B60" s="103" t="str">
        <x:v>HD05.N.BANG.O.GIAN_DONG</x:v>
      </x:c>
      <x:c r="C60" s="103" t="str">
        <x:v>HD05</x:v>
      </x:c>
      <x:c r="D60" s="103" t="str">
        <x:v>Bảng</x:v>
      </x:c>
      <x:c r="E60" s="103" t="str">
        <x:v>SINGLE</x:v>
      </x:c>
      <x:c r="F60" s="103" t="str">
        <x:v>lines</x:v>
      </x:c>
      <x:c r="G60" s="103" t="str">
        <x:v>Giãn dòng đơn trong ô bảng theo quyết định nội bộ; riêng HD05 phải đánh dấu cần đối chiếu quy định lời văn 18–22 pt, không kết luận tuân thủ pháp lý.</x:v>
      </x:c>
      <x:c r="H60" s="103" t="str">
        <x:v>ĐÃ CHỐT BỞI NGƯỜI DÙNG</x:v>
      </x:c>
      <x:c r="I60" s="103" t="str">
        <x:v>CẦN ĐỐI CHIẾU HD05: lời văn 14–15 pt; giãn dòng Exactly 18–22 pt; chưa có ngoại lệ bảng chung được xác minh.</x:v>
      </x:c>
      <x:c r="J60" s="103" t="str">
        <x:v>https://dangcongsan.vn/upload/2006988/20260529/HD_05_VPTW_e1550.pdf</x:v>
      </x:c>
      <x:c r="K60" s="103" t="str">
        <x:v>CHECK_ONLY</x:v>
      </x:c>
      <x:c r="L60" s="103" t="str">
        <x:v>Người dùng chốt trong trao đổi 29/10/2026; PROFILE NỘI BỘ; chưa có văn bản phê duyệt doanh nghiệp</x:v>
      </x:c>
    </x:row>
    <x:row r="61" ht="39" customHeight="1">
      <x:c r="A61" t="n">
        <x:v>60</x:v>
      </x:c>
      <x:c r="B61" s="103" t="str">
        <x:v>HD05.N.BANG.O.CACH_DOAN</x:v>
      </x:c>
      <x:c r="C61" s="103" t="str">
        <x:v>HD05</x:v>
      </x:c>
      <x:c r="D61" s="103" t="str">
        <x:v>Bảng</x:v>
      </x:c>
      <x:c r="E61" s="103" t="n">
        <x:v>0</x:v>
      </x:c>
      <x:c r="F61" s="103" t="str">
        <x:v>pt</x:v>
      </x:c>
      <x:c r="G61" s="103" t="str">
        <x:v>Trong mỗi ô, cách TRƯỚC = 0 pt và cách SAU = 0 pt; không xóa đoạn rỗng có ý nghĩa chưa được duyệt.</x:v>
      </x:c>
      <x:c r="H61" s="103" t="str">
        <x:v>ĐÃ CHỐT BỞI NGƯỜI DÙNG</x:v>
      </x:c>
      <x:c r="I61" s="103" t="str">
        <x:v>Chưa xác minh là bắt buộc bởi NĐ30/HD05; cấu hình profile riêng.</x:v>
      </x:c>
      <x:c r="J61" s="103" t="str">
        <x:v>https://dangcongsan.vn/upload/2006988/20260529/HD_05_VPTW_e1550.pdf</x:v>
      </x:c>
      <x:c r="K61" s="103" t="str">
        <x:v>CHECK_ONLY</x:v>
      </x:c>
      <x:c r="L61" s="103" t="str">
        <x:v>Người dùng chốt trong trao đổi 29/10/2026; PROFILE NỘI BỘ; chưa có văn bản phê duyệt doanh nghiệp</x:v>
      </x:c>
    </x:row>
    <x:row r="62" ht="39" customHeight="1">
      <x:c r="A62" t="n">
        <x:v>61</x:v>
      </x:c>
      <x:c r="B62" s="103" t="str">
        <x:v>HD05.N.BANG.O.LE_TRONG</x:v>
      </x:c>
      <x:c r="C62" s="103" t="str">
        <x:v>HD05</x:v>
      </x:c>
      <x:c r="D62" s="103" t="str">
        <x:v>Bảng</x:v>
      </x:c>
      <x:c r="E62" s="103" t="n">
        <x:v>1.5</x:v>
      </x:c>
      <x:c r="F62" s="103" t="str">
        <x:v>mm</x:v>
      </x:c>
      <x:c r="G62" s="103" t="str">
        <x:v>Bốn lề trong ô: trên, dưới, trái, phải đều 1,5 mm; không áp cho caption ngoài bảng.</x:v>
      </x:c>
      <x:c r="H62" s="103" t="str">
        <x:v>ĐÃ CHỐT BỞI NGƯỜI DÙNG</x:v>
      </x:c>
      <x:c r="I62" s="103" t="str">
        <x:v>Chưa xác minh là bắt buộc bởi NĐ30/HD05; cấu hình profile riêng.</x:v>
      </x:c>
      <x:c r="J62" s="103" t="str">
        <x:v>https://dangcongsan.vn/upload/2006988/20260529/HD_05_VPTW_e1550.pdf</x:v>
      </x:c>
      <x:c r="K62" s="103" t="str">
        <x:v>CHECK_ONLY</x:v>
      </x:c>
      <x:c r="L62" s="103" t="str">
        <x:v>Người dùng chốt trong trao đổi 29/10/2026; PROFILE NỘI BỘ; chưa có văn bản phê duyệt doanh nghiệp</x:v>
      </x:c>
    </x:row>
    <x:row r="63" ht="39" customHeight="1">
      <x:c r="A63" t="n">
        <x:v>62</x:v>
      </x:c>
      <x:c r="B63" s="103" t="str">
        <x:v>HD05.N.BANG.O.XUONG_DONG</x:v>
      </x:c>
      <x:c r="C63" s="103" t="str">
        <x:v>HD05</x:v>
      </x:c>
      <x:c r="D63" s="103" t="str">
        <x:v>Bảng</x:v>
      </x:c>
      <x:c r="E63" s="103" t="str">
        <x:v>TRUE</x:v>
      </x:c>
      <x:c r="F63" s="103" t="str"/>
      <x:c r="G63" s="103" t="str">
        <x:v>Cho phép tự xuống dòng trong ô khi chạm lề; không biến thành hard line breaks.</x:v>
      </x:c>
      <x:c r="H63" s="103" t="str">
        <x:v>ĐÃ CHỐT BỞI NGƯỜI DÙNG</x:v>
      </x:c>
      <x:c r="I63" s="103" t="str">
        <x:v>Chưa xác minh là bắt buộc bởi NĐ30/HD05; cấu hình profile riêng.</x:v>
      </x:c>
      <x:c r="J63" s="103" t="str">
        <x:v>https://dangcongsan.vn/upload/2006988/20260529/HD_05_VPTW_e1550.pdf</x:v>
      </x:c>
      <x:c r="K63" s="103" t="str">
        <x:v>CHECK_ONLY</x:v>
      </x:c>
      <x:c r="L63" s="103" t="str">
        <x:v>Người dùng chốt trong trao đổi 29/10/2026; PROFILE NỘI BỘ; chưa có văn bản phê duyệt doanh nghiệp</x:v>
      </x:c>
    </x:row>
    <x:row r="64" ht="39" customHeight="1">
      <x:c r="A64" t="n">
        <x:v>63</x:v>
      </x:c>
      <x:c r="B64" s="103" t="str">
        <x:v>HD05.N.BANG.O.TO_NEN</x:v>
      </x:c>
      <x:c r="C64" s="103" t="str">
        <x:v>HD05</x:v>
      </x:c>
      <x:c r="D64" s="103" t="str">
        <x:v>Bảng</x:v>
      </x:c>
      <x:c r="E64" s="103" t="str">
        <x:v>NONE_NEW; PRESERVE_MEANINGFUL_EXISTING</x:v>
      </x:c>
      <x:c r="F64" s="103" t="str"/>
      <x:c r="G64" s="103" t="str">
        <x:v>Không thêm nền mặc định, bảo toàn màu nền gốc có ý nghĩa.</x:v>
      </x:c>
      <x:c r="H64" s="103" t="str">
        <x:v>ĐÃ CHỐT BỞI NGƯỜI DÙNG</x:v>
      </x:c>
      <x:c r="I64" s="103" t="str">
        <x:v>Chưa xác minh là bắt buộc bởi NĐ30/HD05; cấu hình profile riêng.</x:v>
      </x:c>
      <x:c r="J64" s="103" t="str">
        <x:v>https://dangcongsan.vn/upload/2006988/20260529/HD_05_VPTW_e1550.pdf</x:v>
      </x:c>
      <x:c r="K64" s="103" t="str">
        <x:v>CHECK_ONLY</x:v>
      </x:c>
      <x:c r="L64" s="103" t="str">
        <x:v>Người dùng chốt trong trao đổi 29/10/2026; PROFILE NỘI BỘ; chưa có văn bản phê duyệt doanh nghiệp</x:v>
      </x:c>
    </x:row>
    <x:row r="65" ht="39" customHeight="1">
      <x:c r="A65" t="n">
        <x:v>64</x:v>
      </x:c>
      <x:c r="B65" s="103" t="str">
        <x:v>HD05.N.BANG.VIEN.NGOAI</x:v>
      </x:c>
      <x:c r="C65" s="103" t="str">
        <x:v>HD05</x:v>
      </x:c>
      <x:c r="D65" s="103" t="str">
        <x:v>Bảng</x:v>
      </x:c>
      <x:c r="E65" s="103" t="str">
        <x:v>SINGLE_IF_FRAMED</x:v>
      </x:c>
      <x:c r="F65" s="103" t="str"/>
      <x:c r="G65" s="103" t="str">
        <x:v>Bảng đã dùng khung: viền ngoài nét liền; bảng không khung không tự thêm viền.</x:v>
      </x:c>
      <x:c r="H65" s="103" t="str">
        <x:v>ĐÃ CHỐT BỞI NGƯỜI DÙNG</x:v>
      </x:c>
      <x:c r="I65" s="103" t="str">
        <x:v>Chưa xác minh là bắt buộc bởi NĐ30/HD05; cấu hình profile riêng.</x:v>
      </x:c>
      <x:c r="J65" s="103" t="str">
        <x:v>https://dangcongsan.vn/upload/2006988/20260529/HD_05_VPTW_e1550.pdf</x:v>
      </x:c>
      <x:c r="K65" s="103" t="str">
        <x:v>CHECK_ONLY</x:v>
      </x:c>
      <x:c r="L65" s="103" t="str">
        <x:v>Người dùng chốt trong trao đổi 29/10/2026; PROFILE NỘI BỘ; chưa có văn bản phê duyệt doanh nghiệp</x:v>
      </x:c>
    </x:row>
    <x:row r="66" ht="39" customHeight="1">
      <x:c r="A66" t="n">
        <x:v>65</x:v>
      </x:c>
      <x:c r="B66" s="103" t="str">
        <x:v>HD05.N.BANG.VIEN.NGANG</x:v>
      </x:c>
      <x:c r="C66" s="103" t="str">
        <x:v>HD05</x:v>
      </x:c>
      <x:c r="D66" s="103" t="str">
        <x:v>Bảng</x:v>
      </x:c>
      <x:c r="E66" s="103" t="str">
        <x:v>SINGLE_IF_FRAMED</x:v>
      </x:c>
      <x:c r="F66" s="103" t="str"/>
      <x:c r="G66" s="103" t="str">
        <x:v>Đường nội bộ ngang nét đơn khi bảng dùng đường viền; không tự vẽ cho bảng không khung.</x:v>
      </x:c>
      <x:c r="H66" s="103" t="str">
        <x:v>ĐÃ CHỐT BỞI NGƯỜI DÙNG</x:v>
      </x:c>
      <x:c r="I66" s="103" t="str">
        <x:v>Chưa xác minh là bắt buộc bởi NĐ30/HD05; cấu hình profile riêng.</x:v>
      </x:c>
      <x:c r="J66" s="103" t="str">
        <x:v>https://dangcongsan.vn/upload/2006988/20260529/HD_05_VPTW_e1550.pdf</x:v>
      </x:c>
      <x:c r="K66" s="103" t="str">
        <x:v>CHECK_ONLY</x:v>
      </x:c>
      <x:c r="L66" s="103" t="str">
        <x:v>Người dùng chốt trong trao đổi 29/10/2026; PROFILE NỘI BỘ; chưa có văn bản phê duyệt doanh nghiệp</x:v>
      </x:c>
    </x:row>
    <x:row r="67" ht="39" customHeight="1">
      <x:c r="A67" t="n">
        <x:v>66</x:v>
      </x:c>
      <x:c r="B67" s="103" t="str">
        <x:v>HD05.N.BANG.VIEN.DOC</x:v>
      </x:c>
      <x:c r="C67" s="103" t="str">
        <x:v>HD05</x:v>
      </x:c>
      <x:c r="D67" s="103" t="str">
        <x:v>Bảng</x:v>
      </x:c>
      <x:c r="E67" s="103" t="str">
        <x:v>SINGLE_IF_FRAMED</x:v>
      </x:c>
      <x:c r="F67" s="103" t="str"/>
      <x:c r="G67" s="103" t="str">
        <x:v>Đường nội bộ dọc nét đơn khi bảng dùng đường viền; không tự vẽ cho bảng không khung.</x:v>
      </x:c>
      <x:c r="H67" s="103" t="str">
        <x:v>ĐÃ CHỐT BỞI NGƯỜI DÙNG</x:v>
      </x:c>
      <x:c r="I67" s="103" t="str">
        <x:v>Chưa xác minh là bắt buộc bởi NĐ30/HD05; cấu hình profile riêng.</x:v>
      </x:c>
      <x:c r="J67" s="103" t="str">
        <x:v>https://dangcongsan.vn/upload/2006988/20260529/HD_05_VPTW_e1550.pdf</x:v>
      </x:c>
      <x:c r="K67" s="103" t="str">
        <x:v>CHECK_ONLY</x:v>
      </x:c>
      <x:c r="L67" s="103" t="str">
        <x:v>Người dùng chốt trong trao đổi 29/10/2026; PROFILE NỘI BỘ; chưa có văn bản phê duyệt doanh nghiệp</x:v>
      </x:c>
    </x:row>
    <x:row r="68" ht="39" customHeight="1">
      <x:c r="A68" t="n">
        <x:v>67</x:v>
      </x:c>
      <x:c r="B68" s="103" t="str">
        <x:v>HD05.N.BANG.VIEN.DO_DAY</x:v>
      </x:c>
      <x:c r="C68" s="103" t="str">
        <x:v>HD05</x:v>
      </x:c>
      <x:c r="D68" s="103" t="str">
        <x:v>Bảng</x:v>
      </x:c>
      <x:c r="E68" s="103" t="n">
        <x:v>0.5</x:v>
      </x:c>
      <x:c r="F68" s="103" t="str">
        <x:v>pt</x:v>
      </x:c>
      <x:c r="G68" s="103" t="str">
        <x:v>Độ dày 0,5 pt chỉ khi bảng có khung; đây là profile, không phải tiêu chuẩn pháp lý quốc gia.</x:v>
      </x:c>
      <x:c r="H68" s="103" t="str">
        <x:v>ĐÃ CHỐT BỞI NGƯỜI DÙNG</x:v>
      </x:c>
      <x:c r="I68" s="103" t="str">
        <x:v>Chưa xác minh là bắt buộc bởi NĐ30/HD05; cấu hình profile riêng.</x:v>
      </x:c>
      <x:c r="J68" s="103" t="str">
        <x:v>https://dangcongsan.vn/upload/2006988/20260529/HD_05_VPTW_e1550.pdf</x:v>
      </x:c>
      <x:c r="K68" s="103" t="str">
        <x:v>CHECK_ONLY</x:v>
      </x:c>
      <x:c r="L68" s="103" t="str">
        <x:v>Người dùng chốt trong trao đổi 29/10/2026; PROFILE NỘI BỘ; chưa có văn bản phê duyệt doanh nghiệp</x:v>
      </x:c>
    </x:row>
    <x:row r="69" ht="39" customHeight="1">
      <x:c r="A69" t="n">
        <x:v>68</x:v>
      </x:c>
      <x:c r="B69" s="103" t="str">
        <x:v>HD05.N.BANG.GHI_CHU.CACH_BANG</x:v>
      </x:c>
      <x:c r="C69" s="103" t="str">
        <x:v>HD05</x:v>
      </x:c>
      <x:c r="D69" s="103" t="str">
        <x:v>Bảng</x:v>
      </x:c>
      <x:c r="E69" s="103" t="n">
        <x:v>6</x:v>
      </x:c>
      <x:c r="F69" s="103" t="str">
        <x:v>pt</x:v>
      </x:c>
      <x:c r="G69" s="103" t="str">
        <x:v>Giữa mép dưới bảng và chú thích/nguồn NGOÀI bảng: 6 pt; không cộng BO_CUC.KHOANG_SAU; chú thích trong ô không áp.</x:v>
      </x:c>
      <x:c r="H69" s="103" t="str">
        <x:v>ĐÃ CHỐT BỞI NGƯỜI DÙNG</x:v>
      </x:c>
      <x:c r="I69" s="103" t="str">
        <x:v>Chưa xác minh là bắt buộc bởi NĐ30/HD05; cấu hình profile riêng.</x:v>
      </x:c>
      <x:c r="J69" s="103" t="str">
        <x:v>https://dangcongsan.vn/upload/2006988/20260529/HD_05_VPTW_e1550.pdf</x:v>
      </x:c>
      <x:c r="K69" s="103" t="str">
        <x:v>CHECK_ONLY</x:v>
      </x:c>
      <x:c r="L69" s="103" t="str">
        <x:v>Người dùng chốt trong trao đổi 29/10/2026; PROFILE NỘI BỘ; chưa có văn bản phê duyệt doanh nghiệp</x:v>
      </x:c>
    </x:row>
    <x:row r="70" ht="39" customHeight="1">
      <x:c r="A70" t="n">
        <x:v>69</x:v>
      </x:c>
      <x:c r="B70" s="103" t="str">
        <x:v>ND30.D.CQ.CAP_TREN</x:v>
      </x:c>
      <x:c r="C70" s="103" t="str">
        <x:v>ND30</x:v>
      </x:c>
      <x:c r="D70" s="103" t="str">
        <x:v>Tên/mã cơ quan &amp; liên hệ</x:v>
      </x:c>
      <x:c r="E70" s="103" t="str">
        <x:v>TỔNG CÔNG TY BẢO ĐẢM
AN TOÀN HÀNG HẢI VIỆT NAM</x:v>
      </x:c>
      <x:c r="F70" s="103" t="str"/>
      <x:c r="G70" s="103" t="str">
        <x:v>Không dùng giá trị còn nghi vấn làm mã hoặc tên chính thức; thông tin liên hệ ẩn mặc định.</x:v>
      </x:c>
      <x:c r="H70" s="103" t="str">
        <x:v>CHỐT GIÁ TRỊ ĐỀ XUẤT; ORG_SOURCE_SUPPORTED</x:v>
      </x:c>
      <x:c r="I70" s="103" t="str">
        <x:v>Cần chứng cứ về tên/ký hiệu của đúng chủ thể nếu thuộc nhóm chưa xác minh.</x:v>
      </x:c>
      <x:c r="J70" s="103" t="str">
        <x:v>https://www.pilotconorth.com/gioi-thieu-cn</x:v>
      </x:c>
      <x:c r="K70" s="103" t="str">
        <x:v>CHECK_ONLY</x:v>
      </x:c>
      <x:c r="L70" s="103" t="str">
        <x:v>Tên cấp trên xác nhận theo thông tin Công ty con; cỡ 12 pt là cấu hình profile.</x:v>
      </x:c>
    </x:row>
    <x:row r="71" ht="39" customHeight="1">
      <x:c r="A71" t="n">
        <x:v>70</x:v>
      </x:c>
      <x:c r="B71" s="103" t="str">
        <x:v>ND30.D.CQ.BAN_HANH</x:v>
      </x:c>
      <x:c r="C71" s="103" t="str">
        <x:v>ND30</x:v>
      </x:c>
      <x:c r="D71" s="103" t="str">
        <x:v>Tên/mã cơ quan &amp; liên hệ</x:v>
      </x:c>
      <x:c r="E71" s="103" t="str">
        <x:v>CÔNG TY HOA TIÊU HÀNG HẢI MIỀN BẮC</x:v>
      </x:c>
      <x:c r="F71" s="103" t="str"/>
      <x:c r="G71" s="103" t="str">
        <x:v>Không dùng giá trị còn nghi vấn làm mã hoặc tên chính thức; thông tin liên hệ ẩn mặc định.</x:v>
      </x:c>
      <x:c r="H71" s="103" t="str">
        <x:v>CHỐT GIÁ TRỊ ĐỀ XUẤT; ORG_SOURCE_SUPPORTED</x:v>
      </x:c>
      <x:c r="I71" s="103" t="str">
        <x:v>Cần chứng cứ về tên/ký hiệu của đúng chủ thể nếu thuộc nhóm chưa xác minh.</x:v>
      </x:c>
      <x:c r="J71" s="103" t="str">
        <x:v>https://www.pilotconorth.com/gioi-thieu-cn</x:v>
      </x:c>
      <x:c r="K71" s="103" t="str">
        <x:v>CHECK_ONLY</x:v>
      </x:c>
      <x:c r="L71" s="103" t="str">
        <x:v>Tên viết gọn có trên website chính thức. Tên pháp nhân đầy đủ: CÔNG TY TRÁCH NHIỆM HỮU HẠN MỘT THÀNH VIÊN HOA TIÊU HÀNG HẢI MIỀN BẮC.</x:v>
      </x:c>
    </x:row>
    <x:row r="72" ht="39" customHeight="1">
      <x:c r="A72" t="n">
        <x:v>71</x:v>
      </x:c>
      <x:c r="B72" s="103" t="str">
        <x:v>ND30.D.SK.KY_HIEU_CO_QUAN</x:v>
      </x:c>
      <x:c r="C72" s="103" t="str">
        <x:v>ND30</x:v>
      </x:c>
      <x:c r="D72" s="103" t="str">
        <x:v>Tên/mã cơ quan &amp; liên hệ</x:v>
      </x:c>
      <x:c r="E72" s="103" t="str">
        <x:v>HTMB</x:v>
      </x:c>
      <x:c r="F72" s="103" t="str"/>
      <x:c r="G72" s="103" t="str">
        <x:v>Không dùng giá trị còn nghi vấn làm mã hoặc tên chính thức; thông tin liên hệ ẩn mặc định.</x:v>
      </x:c>
      <x:c r="H72" s="103" t="str">
        <x:v>CHỐT GIÁ TRỊ ĐỀ XUẤT; USER_PROPOSED_CODE_UNVERIFIED</x:v>
      </x:c>
      <x:c r="I72" s="103" t="str">
        <x:v>Cần chứng cứ về tên/ký hiệu của đúng chủ thể nếu thuộc nhóm chưa xác minh.</x:v>
      </x:c>
      <x:c r="J72" s="103" t="str">
        <x:v>https://www.pilotconorth.com/gioi-thieu-cn</x:v>
      </x:c>
      <x:c r="K72" s="103" t="str">
        <x:v>CHECK_ONLY</x:v>
      </x:c>
      <x:c r="L72" s="103" t="str">
        <x:v>Ký hiệu HTMB do người dùng đề xuất; tên viết tắt công khai là PILOTCO-NORTH, không suy ra ký hiệu văn thư. Chờ mẫu ký hiệu chính thức.</x:v>
      </x:c>
    </x:row>
    <x:row r="73" ht="39" customHeight="1">
      <x:c r="A73" t="n">
        <x:v>72</x:v>
      </x:c>
      <x:c r="B73" s="103" t="str">
        <x:v>ND30.X.LIEN_HE.DIA_CHI</x:v>
      </x:c>
      <x:c r="C73" s="103" t="str">
        <x:v>ND30</x:v>
      </x:c>
      <x:c r="D73" s="103" t="str">
        <x:v>Tên/mã cơ quan &amp; liên hệ</x:v>
      </x:c>
      <x:c r="E73" s="103" t="str">
        <x:v>Tầng 12 và 14, Tòa nhà CATBI PLAZA, số 1A Lê Hồng Phong, TP. Hải Phòng</x:v>
      </x:c>
      <x:c r="F73" s="103" t="str"/>
      <x:c r="G73" s="103" t="str">
        <x:v>Không dùng giá trị còn nghi vấn làm mã hoặc tên chính thức; thông tin liên hệ ẩn mặc định.</x:v>
      </x:c>
      <x:c r="H73" s="103" t="str">
        <x:v>CHỐT GIÁ TRỊ ĐỀ XUẤT; COMPANY_PUBLIC_CONTACT; HIDDEN_DEFAULT</x:v>
      </x:c>
      <x:c r="I73" s="103" t="str">
        <x:v>Cần chứng cứ về tên/ký hiệu của đúng chủ thể nếu thuộc nhóm chưa xác minh.</x:v>
      </x:c>
      <x:c r="J73" s="103" t="str">
        <x:v>https://www.pilotconorth.com/lien-he</x:v>
      </x:c>
      <x:c r="K73" s="103" t="str">
        <x:v>CHECK_ONLY</x:v>
      </x:c>
      <x:c r="L73" s="103" t="str">
        <x:v>Trụ sở tham khảo theo website; địa giới/phường trên các trang có khác biệt, không tự điền phường. Mặc định không hiển thị; chỉ hiển thị khi có yêu cầu liên hệ đối ngoại phù hợp và được duyệt.</x:v>
      </x:c>
    </x:row>
    <x:row r="74" ht="39" customHeight="1">
      <x:c r="A74" t="n">
        <x:v>73</x:v>
      </x:c>
      <x:c r="B74" s="103" t="str">
        <x:v>ND30.X.LIEN_HE.EMAIL</x:v>
      </x:c>
      <x:c r="C74" s="103" t="str">
        <x:v>ND30</x:v>
      </x:c>
      <x:c r="D74" s="103" t="str">
        <x:v>Tên/mã cơ quan &amp; liên hệ</x:v>
      </x:c>
      <x:c r="E74" s="103" t="str">
        <x:v>congtyhoatieumienbac@vnn.vn</x:v>
      </x:c>
      <x:c r="F74" s="103" t="str"/>
      <x:c r="G74" s="103" t="str">
        <x:v>Không dùng giá trị còn nghi vấn làm mã hoặc tên chính thức; thông tin liên hệ ẩn mặc định.</x:v>
      </x:c>
      <x:c r="H74" s="103" t="str">
        <x:v>CHỐT GIÁ TRỊ ĐỀ XUẤT; COMPANY_PUBLIC_CONTACT; HIDDEN_DEFAULT</x:v>
      </x:c>
      <x:c r="I74" s="103" t="str">
        <x:v>Cần chứng cứ về tên/ký hiệu của đúng chủ thể nếu thuộc nhóm chưa xác minh.</x:v>
      </x:c>
      <x:c r="J74" s="103" t="str">
        <x:v>https://www.pilotconorth.com/lien-he</x:v>
      </x:c>
      <x:c r="K74" s="103" t="str">
        <x:v>CHECK_ONLY</x:v>
      </x:c>
      <x:c r="L74" s="103" t="str">
        <x:v>Email của Công ty, không có xác nhận email riêng Đảng ủy. Mặc định không hiển thị; chỉ hiển thị khi có yêu cầu liên hệ đối ngoại phù hợp và được duyệt.</x:v>
      </x:c>
    </x:row>
    <x:row r="75" ht="39" customHeight="1">
      <x:c r="A75" t="n">
        <x:v>74</x:v>
      </x:c>
      <x:c r="B75" s="103" t="str">
        <x:v>ND30.X.LIEN_HE.DIEN_THOAI</x:v>
      </x:c>
      <x:c r="C75" s="103" t="str">
        <x:v>ND30</x:v>
      </x:c>
      <x:c r="D75" s="103" t="str">
        <x:v>Tên/mã cơ quan &amp; liên hệ</x:v>
      </x:c>
      <x:c r="E75" s="103" t="str">
        <x:v>0225 3859133</x:v>
      </x:c>
      <x:c r="F75" s="103" t="str"/>
      <x:c r="G75" s="103" t="str">
        <x:v>Không dùng giá trị còn nghi vấn làm mã hoặc tên chính thức; thông tin liên hệ ẩn mặc định.</x:v>
      </x:c>
      <x:c r="H75" s="103" t="str">
        <x:v>CHỐT GIÁ TRỊ ĐỀ XUẤT; COMPANY_PUBLIC_CONTACT; HIDDEN_DEFAULT</x:v>
      </x:c>
      <x:c r="I75" s="103" t="str">
        <x:v>Cần chứng cứ về tên/ký hiệu của đúng chủ thể nếu thuộc nhóm chưa xác minh.</x:v>
      </x:c>
      <x:c r="J75" s="103" t="str">
        <x:v>https://www.pilotconorth.com/lien-he</x:v>
      </x:c>
      <x:c r="K75" s="103" t="str">
        <x:v>CHECK_ONLY</x:v>
      </x:c>
      <x:c r="L75" s="103" t="str">
        <x:v>Điện thoại đăng công khai trên trang Công ty. Mặc định không hiển thị; chỉ hiển thị khi có yêu cầu liên hệ đối ngoại phù hợp và được duyệt.</x:v>
      </x:c>
    </x:row>
    <x:row r="76" ht="39" customHeight="1">
      <x:c r="A76" t="n">
        <x:v>75</x:v>
      </x:c>
      <x:c r="B76" s="103" t="str">
        <x:v>ND30.X.LIEN_HE.WEB</x:v>
      </x:c>
      <x:c r="C76" s="103" t="str">
        <x:v>ND30</x:v>
      </x:c>
      <x:c r="D76" s="103" t="str">
        <x:v>Tên/mã cơ quan &amp; liên hệ</x:v>
      </x:c>
      <x:c r="E76" s="103" t="str">
        <x:v>https://www.pilotconorth.com</x:v>
      </x:c>
      <x:c r="F76" s="103" t="str"/>
      <x:c r="G76" s="103" t="str">
        <x:v>Không dùng giá trị còn nghi vấn làm mã hoặc tên chính thức; thông tin liên hệ ẩn mặc định.</x:v>
      </x:c>
      <x:c r="H76" s="103" t="str">
        <x:v>CHỐT GIÁ TRỊ ĐỀ XUẤT; COMPANY_PUBLIC_CONTACT; HIDDEN_DEFAULT</x:v>
      </x:c>
      <x:c r="I76" s="103" t="str">
        <x:v>Cần chứng cứ về tên/ký hiệu của đúng chủ thể nếu thuộc nhóm chưa xác minh.</x:v>
      </x:c>
      <x:c r="J76" s="103" t="str">
        <x:v>https://www.pilotconorth.com/lien-he</x:v>
      </x:c>
      <x:c r="K76" s="103" t="str">
        <x:v>CHECK_ONLY</x:v>
      </x:c>
      <x:c r="L76" s="103" t="str">
        <x:v>Website của Công ty, không có xác nhận website riêng Đảng ủy. Mặc định không hiển thị; chỉ hiển thị khi có yêu cầu liên hệ đối ngoại phù hợp và được duyệt.</x:v>
      </x:c>
    </x:row>
    <x:row r="77" ht="39" customHeight="1">
      <x:c r="A77" t="n">
        <x:v>76</x:v>
      </x:c>
      <x:c r="B77" s="103" t="str">
        <x:v>ND30.X.LIEN_HE.FAX</x:v>
      </x:c>
      <x:c r="C77" s="103" t="str">
        <x:v>ND30</x:v>
      </x:c>
      <x:c r="D77" s="103" t="str">
        <x:v>Tên/mã cơ quan &amp; liên hệ</x:v>
      </x:c>
      <x:c r="E77" s="103" t="str">
        <x:v>0225 3796666</x:v>
      </x:c>
      <x:c r="F77" s="103" t="str"/>
      <x:c r="G77" s="103" t="str">
        <x:v>Không dùng giá trị còn nghi vấn làm mã hoặc tên chính thức; thông tin liên hệ ẩn mặc định.</x:v>
      </x:c>
      <x:c r="H77" s="103" t="str">
        <x:v>CHỐT GIÁ TRỊ ĐỀ XUẤT; COMPANY_PUBLIC_CONTACT; HIDDEN_DEFAULT</x:v>
      </x:c>
      <x:c r="I77" s="103" t="str">
        <x:v>Cần chứng cứ về tên/ký hiệu của đúng chủ thể nếu thuộc nhóm chưa xác minh.</x:v>
      </x:c>
      <x:c r="J77" s="103" t="str">
        <x:v>https://www.pilotconorth.com/lien-he</x:v>
      </x:c>
      <x:c r="K77" s="103" t="str">
        <x:v>CHECK_ONLY</x:v>
      </x:c>
      <x:c r="L77" s="103" t="str">
        <x:v>Website Công ty còn công bố 0225 3827543, do đó giữ số người dùng chọn cho profile, không coi là số fax duy nhất. Mặc định không hiển thị; chỉ hiển thị khi có yêu cầu liên hệ đối ngoại phù hợp và được duyệt.</x:v>
      </x:c>
    </x:row>
    <x:row r="78" ht="39" customHeight="1">
      <x:c r="A78" t="n">
        <x:v>77</x:v>
      </x:c>
      <x:c r="B78" s="103" t="str">
        <x:v>HD05.D.CQ.CAP_TREN</x:v>
      </x:c>
      <x:c r="C78" s="103" t="str">
        <x:v>HD05</x:v>
      </x:c>
      <x:c r="D78" s="103" t="str">
        <x:v>Tên/mã cơ quan &amp; liên hệ</x:v>
      </x:c>
      <x:c r="E78" s="103" t="str">
        <x:v>ĐẢNG BỘ TỔNG CÔNG TY
BẢO ĐẢM AN TOÀN HÀNG HẢI VIỆT NAM</x:v>
      </x:c>
      <x:c r="F78" s="103" t="str"/>
      <x:c r="G78" s="103" t="str">
        <x:v>Không dùng giá trị còn nghi vấn làm mã hoặc tên chính thức; thông tin liên hệ ẩn mặc định.</x:v>
      </x:c>
      <x:c r="H78" s="103" t="str">
        <x:v>CHỐT GIÁ TRỊ ĐỀ XUẤT; PARTY_HEADER_NEEDS_OFFICIAL_SAMPLE</x:v>
      </x:c>
      <x:c r="I78" s="103" t="str">
        <x:v>Cần chứng cứ về tên/ký hiệu của đúng chủ thể nếu thuộc nhóm chưa xác minh.</x:v>
      </x:c>
      <x:c r="J78" s="103" t="str">
        <x:v>https://news.vmsa.vn/vi/tin-tuc/cong-ty-hoa-tieu-hang-hai-mien-bac-hoi-nghi-so-ket-6-thang-dau-nam-2026-tao-da-hoan-thanh-xuat-sac-ke-hoach-nam</x:v>
      </x:c>
      <x:c r="K78" s="103" t="str">
        <x:v>CHECK_ONLY</x:v>
      </x:c>
      <x:c r="L78" s="103" t="str">
        <x:v>Nguồn công khai xác nhận tổ chức Đảng cấp trên, chưa xác minh chính xác cách xuống dòng thể thức.</x:v>
      </x:c>
    </x:row>
    <x:row r="79" ht="39" customHeight="1">
      <x:c r="A79" t="n">
        <x:v>78</x:v>
      </x:c>
      <x:c r="B79" s="103" t="str">
        <x:v>HD05.D.CQ.BAN_HANH</x:v>
      </x:c>
      <x:c r="C79" s="103" t="str">
        <x:v>HD05</x:v>
      </x:c>
      <x:c r="D79" s="103" t="str">
        <x:v>Tên/mã cơ quan &amp; liên hệ</x:v>
      </x:c>
      <x:c r="E79" s="103" t="str">
        <x:v>ĐẢNG ỦY CÔNG TY
HOA TIÊU HÀNG HẢI MIỀN BẮC</x:v>
      </x:c>
      <x:c r="F79" s="103" t="str"/>
      <x:c r="G79" s="103" t="str">
        <x:v>Không dùng giá trị còn nghi vấn làm mã hoặc tên chính thức; thông tin liên hệ ẩn mặc định.</x:v>
      </x:c>
      <x:c r="H79" s="103" t="str">
        <x:v>CHỐT GIÁ TRỊ ĐỀ XUẤT; PARTY_HEADER_NEEDS_OFFICIAL_SAMPLE</x:v>
      </x:c>
      <x:c r="I79" s="103" t="str">
        <x:v>Cần chứng cứ về tên/ký hiệu của đúng chủ thể nếu thuộc nhóm chưa xác minh.</x:v>
      </x:c>
      <x:c r="J79" s="103" t="str">
        <x:v>https://news.vmsa.vn/vi/tin-tuc/cong-ty-hoa-tieu-hang-hai-mien-bac-hoi-nghi-so-ket-6-thang-dau-nam-2026-tao-da-hoan-thanh-xuat-sac-ke-hoach-nam</x:v>
      </x:c>
      <x:c r="K79" s="103" t="str">
        <x:v>CHECK_ONLY</x:v>
      </x:c>
      <x:c r="L79" s="103" t="str">
        <x:v>Nguồn tháng 7/2026 ghi ĐẢNG ỦY BỘ PHẬN CÔNG TY, khác phương án người dùng đưa. Không coi cách ghi tại ô này là tên phát hành chính thức đến khi có văn bản mẫu/Quyết định.</x:v>
      </x:c>
    </x:row>
    <x:row r="80" ht="39" customHeight="1">
      <x:c r="A80" t="n">
        <x:v>79</x:v>
      </x:c>
      <x:c r="B80" s="103" t="str">
        <x:v>HD05.D.CQ.DAU_SAO</x:v>
      </x:c>
      <x:c r="C80" s="103" t="str">
        <x:v>HD05</x:v>
      </x:c>
      <x:c r="D80" s="103" t="str">
        <x:v>Tên/mã cơ quan &amp; liên hệ</x:v>
      </x:c>
      <x:c r="E80" s="103" t="str">
        <x:v>*</x:v>
      </x:c>
      <x:c r="F80" s="103" t="str"/>
      <x:c r="G80" s="103" t="str">
        <x:v>Không dùng giá trị còn nghi vấn làm mã hoặc tên chính thức; thông tin liên hệ ẩn mặc định.</x:v>
      </x:c>
      <x:c r="H80" s="103" t="str">
        <x:v>CHỐT GIÁ TRỊ ĐỀ XUẤT; OFFICIAL_RULE</x:v>
      </x:c>
      <x:c r="I80" s="103" t="str">
        <x:v>Cần chứng cứ về tên/ký hiệu của đúng chủ thể nếu thuộc nhóm chưa xác minh.</x:v>
      </x:c>
      <x:c r="J80" s="103" t="str">
        <x:v>https://dangcongsan.vn/upload/2006988/20260529/HD_05_VPTW_e1550.pdf</x:v>
      </x:c>
      <x:c r="K80" s="103" t="str">
        <x:v>CHECK_ONLY</x:v>
      </x:c>
      <x:c r="L80" s="103" t="str">
        <x:v>Một ký tự * dưới tên cơ quan Đảng; 14 pt là profile, phải đối chiếu phụ lục theo đơn vị ban hành.</x:v>
      </x:c>
    </x:row>
    <x:row r="81" ht="39" customHeight="1">
      <x:c r="A81" t="n">
        <x:v>80</x:v>
      </x:c>
      <x:c r="B81" s="103" t="str">
        <x:v>HD05.D.SK.KY_HIEU_CO_QUAN</x:v>
      </x:c>
      <x:c r="C81" s="103" t="str">
        <x:v>HD05</x:v>
      </x:c>
      <x:c r="D81" s="103" t="str">
        <x:v>Tên/mã cơ quan &amp; liên hệ</x:v>
      </x:c>
      <x:c r="E81" s="103" t="str">
        <x:v>ĐU</x:v>
      </x:c>
      <x:c r="F81" s="103" t="str"/>
      <x:c r="G81" s="103" t="str">
        <x:v>Không dùng giá trị còn nghi vấn làm mã hoặc tên chính thức; thông tin liên hệ ẩn mặc định.</x:v>
      </x:c>
      <x:c r="H81" s="103" t="str">
        <x:v>CHỐT GIÁ TRỊ ĐỀ XUẤT; USER_PROPOSED_CODE_UNVERIFIED</x:v>
      </x:c>
      <x:c r="I81" s="103" t="str">
        <x:v>Cần chứng cứ về tên/ký hiệu của đúng chủ thể nếu thuộc nhóm chưa xác minh.</x:v>
      </x:c>
      <x:c r="J81" s="103" t="str">
        <x:v>https://news.vmsa.vn/vi/tin-tuc/cong-ty-hoa-tieu-hang-hai-mien-bac-hoi-nghi-so-ket-6-thang-dau-nam-2026-tao-da-hoan-thanh-xuat-sac-ke-hoach-nam</x:v>
      </x:c>
      <x:c r="K81" s="103" t="str">
        <x:v>CHECK_ONLY</x:v>
      </x:c>
      <x:c r="L81" s="103" t="str">
        <x:v>Người dùng đưa hai phương án ĐU hoặc ĐUHTMB; chọn ĐU làm giá trị đề xuất, chưa xác minh dấu/ký hiệu trên văn bản đã phát hành.</x:v>
      </x:c>
    </x:row>
    <x:row r="82" ht="39" customHeight="1">
      <x:c r="A82" t="n">
        <x:v>81</x:v>
      </x:c>
      <x:c r="B82" s="103" t="str">
        <x:v>HD05.X.LIEN_HE.DIA_CHI</x:v>
      </x:c>
      <x:c r="C82" s="103" t="str">
        <x:v>HD05</x:v>
      </x:c>
      <x:c r="D82" s="103" t="str">
        <x:v>Tên/mã cơ quan &amp; liên hệ</x:v>
      </x:c>
      <x:c r="E82" s="103" t="str">
        <x:v>Tầng 12 và 14, Tòa nhà CATBI PLAZA, số 1A Lê Hồng Phong, TP. Hải Phòng</x:v>
      </x:c>
      <x:c r="F82" s="103" t="str"/>
      <x:c r="G82" s="103" t="str">
        <x:v>Không dùng giá trị còn nghi vấn làm mã hoặc tên chính thức; thông tin liên hệ ẩn mặc định.</x:v>
      </x:c>
      <x:c r="H82" s="103" t="str">
        <x:v>CHỐT GIÁ TRỊ ĐỀ XUẤT; COMPANY_PUBLIC_CONTACT; HIDDEN_DEFAULT</x:v>
      </x:c>
      <x:c r="I82" s="103" t="str">
        <x:v>Cần chứng cứ về tên/ký hiệu của đúng chủ thể nếu thuộc nhóm chưa xác minh.</x:v>
      </x:c>
      <x:c r="J82" s="103" t="str">
        <x:v>https://www.pilotconorth.com/lien-he</x:v>
      </x:c>
      <x:c r="K82" s="103" t="str">
        <x:v>CHECK_ONLY</x:v>
      </x:c>
      <x:c r="L82" s="103" t="str">
        <x:v>Trụ sở tham khảo theo website; địa giới/phường trên các trang có khác biệt, không tự điền phường. Mặc định không hiển thị; chỉ hiển thị khi có yêu cầu liên hệ đối ngoại phù hợp và được duyệt.</x:v>
      </x:c>
    </x:row>
    <x:row r="83" ht="39" customHeight="1">
      <x:c r="A83" t="n">
        <x:v>82</x:v>
      </x:c>
      <x:c r="B83" s="103" t="str">
        <x:v>HD05.X.LIEN_HE.EMAIL</x:v>
      </x:c>
      <x:c r="C83" s="103" t="str">
        <x:v>HD05</x:v>
      </x:c>
      <x:c r="D83" s="103" t="str">
        <x:v>Tên/mã cơ quan &amp; liên hệ</x:v>
      </x:c>
      <x:c r="E83" s="103" t="str">
        <x:v>congtyhoatieumienbac@vnn.vn</x:v>
      </x:c>
      <x:c r="F83" s="103" t="str"/>
      <x:c r="G83" s="103" t="str">
        <x:v>Không dùng giá trị còn nghi vấn làm mã hoặc tên chính thức; thông tin liên hệ ẩn mặc định.</x:v>
      </x:c>
      <x:c r="H83" s="103" t="str">
        <x:v>CHỐT GIÁ TRỊ ĐỀ XUẤT; COMPANY_PUBLIC_CONTACT; HIDDEN_DEFAULT</x:v>
      </x:c>
      <x:c r="I83" s="103" t="str">
        <x:v>Cần chứng cứ về tên/ký hiệu của đúng chủ thể nếu thuộc nhóm chưa xác minh.</x:v>
      </x:c>
      <x:c r="J83" s="103" t="str">
        <x:v>https://www.pilotconorth.com/lien-he</x:v>
      </x:c>
      <x:c r="K83" s="103" t="str">
        <x:v>CHECK_ONLY</x:v>
      </x:c>
      <x:c r="L83" s="103" t="str">
        <x:v>Email của Công ty, không có xác nhận email riêng Đảng ủy. Mặc định không hiển thị; chỉ hiển thị khi có yêu cầu liên hệ đối ngoại phù hợp và được duyệt.</x:v>
      </x:c>
    </x:row>
    <x:row r="84" ht="39" customHeight="1">
      <x:c r="A84" t="n">
        <x:v>83</x:v>
      </x:c>
      <x:c r="B84" s="103" t="str">
        <x:v>HD05.X.LIEN_HE.DIEN_THOAI</x:v>
      </x:c>
      <x:c r="C84" s="103" t="str">
        <x:v>HD05</x:v>
      </x:c>
      <x:c r="D84" s="103" t="str">
        <x:v>Tên/mã cơ quan &amp; liên hệ</x:v>
      </x:c>
      <x:c r="E84" s="103" t="str">
        <x:v>0225 3859133</x:v>
      </x:c>
      <x:c r="F84" s="103" t="str"/>
      <x:c r="G84" s="103" t="str">
        <x:v>Không dùng giá trị còn nghi vấn làm mã hoặc tên chính thức; thông tin liên hệ ẩn mặc định.</x:v>
      </x:c>
      <x:c r="H84" s="103" t="str">
        <x:v>CHỐT GIÁ TRỊ ĐỀ XUẤT; COMPANY_PUBLIC_CONTACT; HIDDEN_DEFAULT</x:v>
      </x:c>
      <x:c r="I84" s="103" t="str">
        <x:v>Cần chứng cứ về tên/ký hiệu của đúng chủ thể nếu thuộc nhóm chưa xác minh.</x:v>
      </x:c>
      <x:c r="J84" s="103" t="str">
        <x:v>https://www.pilotconorth.com/lien-he</x:v>
      </x:c>
      <x:c r="K84" s="103" t="str">
        <x:v>CHECK_ONLY</x:v>
      </x:c>
      <x:c r="L84" s="103" t="str">
        <x:v>Điện thoại đăng công khai trên trang Công ty. Mặc định không hiển thị; chỉ hiển thị khi có yêu cầu liên hệ đối ngoại phù hợp và được duyệt.</x:v>
      </x:c>
    </x:row>
    <x:row r="85" ht="39" customHeight="1">
      <x:c r="A85" t="n">
        <x:v>84</x:v>
      </x:c>
      <x:c r="B85" s="103" t="str">
        <x:v>HD05.X.LIEN_HE.WEB</x:v>
      </x:c>
      <x:c r="C85" s="103" t="str">
        <x:v>HD05</x:v>
      </x:c>
      <x:c r="D85" s="103" t="str">
        <x:v>Tên/mã cơ quan &amp; liên hệ</x:v>
      </x:c>
      <x:c r="E85" s="103" t="str">
        <x:v>https://www.pilotconorth.com</x:v>
      </x:c>
      <x:c r="F85" s="103" t="str"/>
      <x:c r="G85" s="103" t="str">
        <x:v>Không dùng giá trị còn nghi vấn làm mã hoặc tên chính thức; thông tin liên hệ ẩn mặc định.</x:v>
      </x:c>
      <x:c r="H85" s="103" t="str">
        <x:v>CHỐT GIÁ TRỊ ĐỀ XUẤT; COMPANY_PUBLIC_CONTACT; HIDDEN_DEFAULT</x:v>
      </x:c>
      <x:c r="I85" s="103" t="str">
        <x:v>Cần chứng cứ về tên/ký hiệu của đúng chủ thể nếu thuộc nhóm chưa xác minh.</x:v>
      </x:c>
      <x:c r="J85" s="103" t="str">
        <x:v>https://www.pilotconorth.com/lien-he</x:v>
      </x:c>
      <x:c r="K85" s="103" t="str">
        <x:v>CHECK_ONLY</x:v>
      </x:c>
      <x:c r="L85" s="103" t="str">
        <x:v>Website của Công ty, không có xác nhận website riêng Đảng ủy. Mặc định không hiển thị; chỉ hiển thị khi có yêu cầu liên hệ đối ngoại phù hợp và được duyệt.</x:v>
      </x:c>
    </x:row>
    <x:row r="86" ht="39" customHeight="1">
      <x:c r="A86" t="n">
        <x:v>85</x:v>
      </x:c>
      <x:c r="B86" s="103" t="str">
        <x:v>HD05.X.LIEN_HE.FAX</x:v>
      </x:c>
      <x:c r="C86" s="103" t="str">
        <x:v>HD05</x:v>
      </x:c>
      <x:c r="D86" s="103" t="str">
        <x:v>Tên/mã cơ quan &amp; liên hệ</x:v>
      </x:c>
      <x:c r="E86" s="103" t="str">
        <x:v>0225 3796666</x:v>
      </x:c>
      <x:c r="F86" s="103" t="str"/>
      <x:c r="G86" s="103" t="str">
        <x:v>Không dùng giá trị còn nghi vấn làm mã hoặc tên chính thức; thông tin liên hệ ẩn mặc định.</x:v>
      </x:c>
      <x:c r="H86" s="103" t="str">
        <x:v>CHỐT GIÁ TRỊ ĐỀ XUẤT; COMPANY_PUBLIC_CONTACT; HIDDEN_DEFAULT</x:v>
      </x:c>
      <x:c r="I86" s="103" t="str">
        <x:v>Cần chứng cứ về tên/ký hiệu của đúng chủ thể nếu thuộc nhóm chưa xác minh.</x:v>
      </x:c>
      <x:c r="J86" s="103" t="str">
        <x:v>https://www.pilotconorth.com/lien-he</x:v>
      </x:c>
      <x:c r="K86" s="103" t="str">
        <x:v>CHECK_ONLY</x:v>
      </x:c>
      <x:c r="L86" s="103" t="str">
        <x:v>Website Công ty còn công bố 0225 3827543, do đó giữ số người dùng chọn cho profile, không coi là số fax duy nhất. Mặc định không hiển thị; chỉ hiển thị khi có yêu cầu liên hệ đối ngoại phù hợp và được duyệt.</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25" hidden="0" customWidth="1"/>
    <x:col min="2" max="2" width="64" hidden="0" customWidth="1"/>
    <x:col min="3" max="3" width="68" hidden="0" customWidth="1"/>
  </x:cols>
  <x:sheetData>
    <x:row r="1" ht="36" customHeight="1">
      <x:c r="A1" s="277" t="str">
        <x:v>CẬP NHẬT PROFILE RULE OFFLINE — 29/10/2026</x:v>
      </x:c>
      <x:c r="B1" s="277"/>
      <x:c r="C1" s="277"/>
      <x:c r="D1" s="277"/>
    </x:row>
    <x:row r="3" ht="44" customHeight="1">
      <x:c r="A3" s="279" t="str">
        <x:v>PHẠM VI</x:v>
      </x:c>
      <x:c r="B3" s="103" t="str">
        <x:v>68 rule bảng (34 × ND30 và HD05), 17 trường tên/mã/thông tin (4 tên + 1 dấu sao + 2 ký hiệu + 10 liên hệ).</x:v>
      </x:c>
      <x:c r="C3" s="103" t="str">
        <x:v>Đây là profile được chốt trong hội thoại, không phải quy chế nội bộ đã có số quyết định.</x:v>
      </x:c>
    </x:row>
    <x:row r="4" ht="44" customHeight="1">
      <x:c r="A4" s="279" t="str">
        <x:v>GIÁ TRỊ ĐÃ CHỐT</x:v>
      </x:c>
      <x:c r="B4" s="103" t="str">
        <x:v>13 pt trong toàn bộ ô bảng, kể cả hàng tiêu đề; lặp hàng tiêu đề khi bảng nhiều trang.</x:v>
      </x:c>
      <x:c r="C4" s="103" t="str">
        <x:v>Không thay đổi hai quyết định đã chốt từ trước.</x:v>
      </x:c>
    </x:row>
    <x:row r="5" ht="44" customHeight="1">
      <x:c r="A5" s="279" t="str">
        <x:v>4 KHOẢNG CÁCH</x:v>
      </x:c>
      <x:c r="B5" s="103" t="str">
        <x:v>Mỗi ranh giới 6 pt. Các khoảng cách tương ứng không cộng dồn.</x:v>
      </x:c>
      <x:c r="C5" s="103" t="str">
        <x:v>Caption/chú thích trong ô không tính vào khoảng cách ngoài bảng.</x:v>
      </x:c>
    </x:row>
    <x:row r="6" ht="44" customHeight="1">
      <x:c r="A6" s="279" t="str">
        <x:v>TABLE WIDTH</x:v>
      </x:c>
      <x:c r="B6" s="103" t="str">
        <x:v>Giữ bố cục thủ công đạt trước; 100% vùng nội dung là ưu tiên khi phải chỉnh.</x:v>
      </x:c>
      <x:c r="C6" s="103" t="str">
        <x:v>Không ép 100% nếu bảng ngắn và đang cân đối.</x:v>
      </x:c>
    </x:row>
    <x:row r="7" ht="44" customHeight="1">
      <x:c r="A7" s="279" t="str">
        <x:v>BẢNG NHIỀU TRANG</x:v>
      </x:c>
      <x:c r="B7" s="103" t="str">
        <x:v>Lặp nhóm header thật; chống chia hàng nếu vừa trang; không giữ cả bảng một trang.</x:v>
      </x:c>
      <x:c r="C7" s="103" t="str">
        <x:v>Header nhiều dòng phải liên tiếp ở phần đầu bảng.</x:v>
      </x:c>
    </x:row>
    <x:row r="8" ht="44" customHeight="1">
      <x:c r="A8" s="279" t="str">
        <x:v>HD05</x:v>
      </x:c>
      <x:c r="B8" s="103" t="str">
        <x:v>13 pt và SINGLE trong bảng là profile người dùng chọn, chưa xác minh tương thích HD05.</x:v>
      </x:c>
      <x:c r="C8" s="103" t="str">
        <x:v>Không coi đây là bằng chứng tuân thủ Hướng dẫn 05.</x:v>
      </x:c>
    </x:row>
    <x:row r="9" ht="44" customHeight="1">
      <x:c r="A9" s="279" t="str">
        <x:v>PHÁP NHÂN</x:v>
      </x:c>
      <x:c r="B9" s="103" t="str">
        <x:v>Tên viết gọn Công ty và thông tin liên hệ có nguồn công khai.</x:v>
      </x:c>
      <x:c r="C9" s="103" t="str">
        <x:v>Địa chỉ/phường và fax có dị biệt giữa các nguồn; dữ liệu profile ghi chọn có chú thích.</x:v>
      </x:c>
    </x:row>
    <x:row r="10" ht="44" customHeight="1">
      <x:c r="A10" s="279" t="str">
        <x:v>ĐẢNG ỦY BỘ PHẬN</x:v>
      </x:c>
      <x:c r="B10" s="103" t="str">
        <x:v>Nguồn tin 17/07/2026 gọi “Đảng ủy bộ phận Công ty”.</x:v>
      </x:c>
      <x:c r="C10" s="103" t="str">
        <x:v>Tên người dùng cung cấp “Đảng ủy Công ty” chưa được xem là tiêu đề văn bản chính thức.</x:v>
      </x:c>
    </x:row>
    <x:row r="11" ht="44" customHeight="1">
      <x:c r="A11" s="279" t="str">
        <x:v>KÝ HIỆU</x:v>
      </x:c>
      <x:c r="B11" s="103" t="str">
        <x:v>HTMB và ĐU/ĐUHTMB chưa có bằng chứng trực tiếp từ văn bản phát hành.</x:v>
      </x:c>
      <x:c r="C11" s="103" t="str">
        <x:v>Giữ là đề xuất, không mặc định sử dụng trong số/ký hiệu.</x:v>
      </x:c>
    </x:row>
    <x:row r="12" ht="44" customHeight="1">
      <x:c r="A12" s="279" t="str">
        <x:v>HIỂN THỊ LIÊN HỆ</x:v>
      </x:c>
      <x:c r="B12" s="103" t="str">
        <x:v>Ẩn mặc định; chỉ hiển thị khi cần và được duyệt.</x:v>
      </x:c>
      <x:c r="C12" s="103" t="str">
        <x:v>Không ép đưa địa chỉ/fax/email vào mọi văn bản.</x:v>
      </x:c>
    </x:row>
    <x:row r="13" ht="44" customHeight="1">
      <x:c r="A13" s="279" t="str">
        <x:v>QUYỀN</x:v>
      </x:c>
      <x:c r="B13" s="103" t="str">
        <x:v>CHECK_ONLY hoặc PROTECTED theo công thức gốc. Không lập trình tự động sửa.</x:v>
      </x:c>
      <x:c r="C13" s="103" t="str">
        <x:v>Bộ dữ liệu dùng để ChatGPT đọc/đối chiếu khi được yêu cầu.</x:v>
      </x:c>
    </x:row>
    <x:row r="14" ht="44" customHeight="1">
      <x:c r="A14" s="279" t="str">
        <x:v>MÃ PHÊ DUYỆT</x:v>
      </x:c>
      <x:c r="B14" s="103" t="str">
        <x:v>Không dùng mã quyết định minh họa như QĐ-HTMB-PROFILE-2026-v1.7.3.</x:v>
      </x:c>
      <x:c r="C14" s="103" t="str">
        <x:v>Ô CW để trống đến khi có số/ký hiệu văn bản phê duyệt thật.</x:v>
      </x:c>
    </x:row>
    <x:row r="18">
      <x:c r="A18" t="str">
        <x:v>Nguồn chính thức</x:v>
      </x:c>
      <x:c r="B18" t="str">
        <x:v>https://www.pilotconorth.com/gioi-thieu-cn</x:v>
      </x:c>
      <x:c r="C18" t="str">
        <x:v>https://www.pilotconorth.com/lien-he</x:v>
      </x:c>
    </x:row>
    <x:row r="19">
      <x:c r="A19" t="str">
        <x:v>Nguồn tổ chức Đảng</x:v>
      </x:c>
      <x:c r="B19" t="str">
        <x:v>https://news.vmsa.vn/vi/tin-tuc/cong-ty-hoa-tieu-hang-hai-mien-bac-hoi-nghi-so-ket-6-thang-dau-nam-2026-tao-da-hoan-thanh-xuat-sac-ke-hoach-nam</x:v>
      </x:c>
      <x:c r="C19" t="str">
        <x:v>https://dangcongsan.vn/upload/2006988/20260529/HD_05_VPTW_e1550.pdf</x:v>
      </x:c>
    </x:row>
  </x:sheetData>
  <x:mergeCells>
    <x:mergeCell ref="A1:D1"/>
  </x:mergeCells>
  <x:pageMargins left="0.7" right="0.7" top="0.75" bottom="0.75" header="0.3" footer="0.3"/>
</x:worksheet>
</file>

<file path=xl/worksheets/sheet2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 hidden="0" customWidth="1"/>
    <x:col min="2" max="2" width="46" hidden="0" customWidth="1"/>
    <x:col min="3" max="3" width="40" hidden="0" customWidth="1"/>
    <x:col min="4" max="4" width="23" hidden="0" customWidth="1"/>
    <x:col min="5" max="5" width="36" hidden="0" customWidth="1"/>
    <x:col min="6" max="6" width="24" hidden="0" customWidth="1"/>
    <x:col min="7" max="7" width="16" hidden="0" customWidth="1"/>
    <x:col min="8" max="8" width="11" hidden="0" customWidth="1"/>
    <x:col min="9" max="9" width="38" hidden="0" customWidth="1"/>
    <x:col min="10" max="10" width="23" hidden="0" customWidth="1"/>
    <x:col min="11" max="11" width="34" hidden="0" customWidth="1"/>
    <x:col min="12" max="12" width="26" hidden="0" customWidth="1"/>
    <x:col min="13" max="13" width="24" hidden="0" customWidth="1"/>
    <x:col min="14" max="14" width="56" hidden="0" customWidth="1"/>
    <x:col min="15" max="15" width="51" hidden="0" customWidth="1"/>
    <x:col min="16" max="16" width="27" hidden="0" customWidth="1"/>
    <x:col min="17" max="17" width="62" hidden="0" customWidth="1"/>
    <x:col min="18" max="18" width="32" hidden="0" customWidth="1"/>
    <x:col min="19" max="19" width="51" hidden="0" customWidth="1"/>
    <x:col min="20" max="20" width="19" hidden="0" customWidth="1"/>
    <x:col min="21" max="21" width="18" hidden="0" customWidth="1"/>
    <x:col min="22" max="22" width="53" hidden="0" customWidth="1"/>
  </x:cols>
  <x:sheetData>
    <x:row r="1" ht="23" customHeight="1">
      <x:c r="A1" s="282" t="str">
        <x:v>ND30  |  BỘ RULE CHI TIẾT PHẦN ĐẦU  •  OFFLINE</x:v>
      </x:c>
      <x:c r="B1" s="282"/>
      <x:c r="C1" s="282"/>
      <x:c r="D1" s="282"/>
      <x:c r="E1" s="282"/>
      <x:c r="F1" s="282"/>
      <x:c r="G1" s="282"/>
      <x:c r="H1" s="282"/>
    </x:row>
    <x:row r="2" ht="23" customHeight="1">
      <x:c r="A2" s="282"/>
      <x:c r="B2" s="282"/>
      <x:c r="C2" s="282"/>
      <x:c r="D2" s="282"/>
      <x:c r="E2" s="282"/>
      <x:c r="F2" s="282"/>
      <x:c r="G2" s="282"/>
      <x:c r="H2" s="282"/>
    </x:row>
    <x:row r="3" ht="25" customHeight="1">
      <x:c r="A3" s="284" t="str">
        <x:v>Mỗi dòng = 1 thuộc tính của 1 thành phần | Rule pháp lý, preset và trạng thái tách riêng | Không phân loại sâu theo 209 template</x:v>
      </x:c>
      <x:c r="B3" s="284"/>
      <x:c r="C3" s="284"/>
      <x:c r="D3" s="284"/>
      <x:c r="E3" s="284"/>
      <x:c r="F3" s="284"/>
      <x:c r="G3" s="284"/>
      <x:c r="H3" s="284"/>
    </x:row>
    <x:row r="5" ht="45" customHeight="1">
      <x:c r="A5" s="288" t="str">
        <x:v>STT</x:v>
      </x:c>
      <x:c r="B5" s="288" t="str">
        <x:v>Mã rule con</x:v>
      </x:c>
      <x:c r="C5" s="288" t="str">
        <x:v>Mã trường cha (trong 165 mã)</x:v>
      </x:c>
      <x:c r="D5" s="288" t="str">
        <x:v>Nhóm phần đầu</x:v>
      </x:c>
      <x:c r="E5" s="288" t="str">
        <x:v>Tên thành phần</x:v>
      </x:c>
      <x:c r="F5" s="288" t="str">
        <x:v>Thuộc tính độc lập</x:v>
      </x:c>
      <x:c r="G5" s="288" t="str">
        <x:v>Kiểu giá trị</x:v>
      </x:c>
      <x:c r="H5" s="288" t="str">
        <x:v>Đơn vị</x:v>
      </x:c>
      <x:c r="I5" s="288" t="str">
        <x:v>Giá trị quy định/căn cứ gốc</x:v>
      </x:c>
      <x:c r="J5" s="288" t="str">
        <x:v>Giới hạn / phép so sánh</x:v>
      </x:c>
      <x:c r="K5" s="288" t="str">
        <x:v>Giá trị Profile HTHHMB</x:v>
      </x:c>
      <x:c r="L5" s="288" t="str">
        <x:v>Trạng thái lựa chọn profile</x:v>
      </x:c>
      <x:c r="M5" s="288" t="str">
        <x:v>Trạng thái đối chiếu nguồn</x:v>
      </x:c>
      <x:c r="N5" s="288" t="str">
        <x:v>Điều kiện / trường hợp áp dụng</x:v>
      </x:c>
      <x:c r="O5" s="288" t="str">
        <x:v>Ngoại lệ / thứ tự ưu tiên</x:v>
      </x:c>
      <x:c r="P5" s="288" t="str">
        <x:v>Đối tượng Word</x:v>
      </x:c>
      <x:c r="Q5" s="288" t="str">
        <x:v>Cách ChatGPT nhận diện và kiểm tra</x:v>
      </x:c>
      <x:c r="R5" s="288" t="str">
        <x:v>Điều khoản / phụ lục</x:v>
      </x:c>
      <x:c r="S5" s="288" t="str">
        <x:v>URL nguồn chính thức</x:v>
      </x:c>
      <x:c r="T5" s="288" t="str">
        <x:v>Giữ nguyên nội dung gốc</x:v>
      </x:c>
      <x:c r="U5" s="288" t="str">
        <x:v>Quyền xử lý</x:v>
      </x:c>
      <x:c r="V5" s="288" t="str">
        <x:v>Ghi chú và việc cần xác minh</x:v>
      </x:c>
    </x:row>
    <x:row r="6" ht="28" customHeight="1">
      <x:c r="A6" s="295" t="n">
        <x:v>1</x:v>
      </x:c>
      <x:c r="B6" s="295" t="str">
        <x:v>ND30.D.CQ.CAP_TREN.HIEN_DIEN</x:v>
      </x:c>
      <x:c r="C6" s="295" t="str">
        <x:v>ND30.D.CQ.CAP_TREN</x:v>
      </x:c>
      <x:c r="D6" s="295" t="str">
        <x:v>Cơ quan ban hành</x:v>
      </x:c>
      <x:c r="E6" s="295" t="str">
        <x:v>Tên cơ quan, tổ chức chủ quản/cấp trên</x:v>
      </x:c>
      <x:c r="F6" s="295" t="str">
        <x:v>Điều kiện hiện diện</x:v>
      </x:c>
      <x:c r="G6" s="295" t="str">
        <x:v>TEXT</x:v>
      </x:c>
      <x:c r="H6" s="295"/>
      <x:c r="I6" s="295" t="str">
        <x:v>CHƯA XÁC MINH RIÊNG</x:v>
      </x:c>
      <x:c r="J6" s="295" t="str">
        <x:v>Không suy ra giới hạn pháp lý</x:v>
      </x:c>
      <x:c r="K6" s="295" t="str">
        <x:v>Có cơ quan cấp trên trực tiếp theo chủ thể ban hành; xác minh tên chính thức trước khi dùng</x:v>
      </x:c>
      <x:c r="L6" s="295" t="str">
        <x:v>CHUA_DUYET_DINH_TUYEN</x:v>
      </x:c>
      <x:c r="M6" s="295" t="str">
        <x:v>CHUA_DOI_CHIEU_CU_THE</x:v>
      </x:c>
      <x:c r="N6" s="295" t="str">
        <x:v>Có cơ quan cấp trên trực tiếp theo chủ thể ban hành; xác minh tên chính thức trước khi dùng</x:v>
      </x:c>
      <x:c r="O6" s="295" t="str">
        <x:v>Quy định gốc &gt; profile; khi chưa rõ điều kiện thì giữ nguyên; không sinh nội dung.</x:v>
      </x:c>
      <x:c r="P6" s="295" t="str">
        <x:v>PARAGRAPH / RUN / SHAPE tùy thuộc tính</x:v>
      </x:c>
      <x:c r="Q6" s="295" t="str">
        <x:v>Xác định đúng khối Tên cơ quan, tổ chức chủ quản/cấp trên; đọc giá trị thực; đối chiếu điều kiện; không sửa nội dung khi thiếu nguồn.</x:v>
      </x:c>
      <x:c r="R6" s="295" t="str">
        <x:v>Chưa có locator xác minh riêng</x:v>
      </x:c>
      <x:c r="S6" s="295" t="str">
        <x:v>https://datafiles.chinhphu.vn/cpp/files/vbpq/2020/03/30.signed.pdf</x:v>
      </x:c>
      <x:c r="T6" s="295" t="str">
        <x:v>CÓ</x:v>
      </x:c>
      <x:c r="U6" s="295" t="str">
        <x:v>CHECK_ONLY</x:v>
      </x:c>
      <x:c r="V6" s="295" t="str">
        <x:v>Phải nhận diện chế độ và chủ thể trước khi áp dụng Giữ đúng tên chủ thể sau khi có hồ sơ xác minh; không coi tên dự thảo là chính thức.</x:v>
      </x:c>
    </x:row>
    <x:row r="7" ht="28" customHeight="1">
      <x:c r="A7" s="295" t="n">
        <x:v>2</x:v>
      </x:c>
      <x:c r="B7" s="295" t="str">
        <x:v>ND30.D.CQ.CAP_TREN.PHONG_CHU</x:v>
      </x:c>
      <x:c r="C7" s="295" t="str">
        <x:v>ND30.D.CQ.CAP_TREN</x:v>
      </x:c>
      <x:c r="D7" s="295" t="str">
        <x:v>Cơ quan ban hành</x:v>
      </x:c>
      <x:c r="E7" s="295" t="str">
        <x:v>Tên cơ quan, tổ chức chủ quản/cấp trên</x:v>
      </x:c>
      <x:c r="F7" s="295" t="str">
        <x:v>Font chữ</x:v>
      </x:c>
      <x:c r="G7" s="295" t="str">
        <x:v>STRING</x:v>
      </x:c>
      <x:c r="H7" s="295"/>
      <x:c r="I7" s="295" t="str">
        <x:v>Times New Roman</x:v>
      </x:c>
      <x:c r="J7" s="295" t="str">
        <x:v>Đúng giá trị/giới hạn riêng</x:v>
      </x:c>
      <x:c r="K7" s="295" t="str">
        <x:v>Times New Roman</x:v>
      </x:c>
      <x:c r="L7" s="295" t="str">
        <x:v>PROFILE_CO_GIA_TRI_CHUA_DUYET</x:v>
      </x:c>
      <x:c r="M7" s="295" t="str">
        <x:v>DOI_CHIEU_CU_THE</x:v>
      </x:c>
      <x:c r="N7" s="295" t="str">
        <x:v>Có cơ quan cấp trên trực tiếp theo chủ thể ban hành; xác minh tên chính thức trước khi dùng</x:v>
      </x:c>
      <x:c r="O7" s="295" t="str">
        <x:v>Quy định gốc &gt; profile; khi chưa rõ điều kiện thì giữ nguyên; không sinh nội dung.</x:v>
      </x:c>
      <x:c r="P7" s="295" t="str">
        <x:v>PARAGRAPH / RUN / SHAPE tùy thuộc tính</x:v>
      </x:c>
      <x:c r="Q7" s="295" t="str">
        <x:v>Xác định đúng khối Tên cơ quan, tổ chức chủ quản/cấp trên; đọc giá trị thực; đối chiếu điều kiện; không sửa nội dung khi thiếu nguồn.</x:v>
      </x:c>
      <x:c r="R7" s="295" t="str">
        <x:v>Phụ lục I, Phần I, I.4</x:v>
      </x:c>
      <x:c r="S7" s="295" t="str">
        <x:v>https://datafiles.chinhphu.vn/cpp/files/vbpq/2020/03/30.signed.pdf</x:v>
      </x:c>
      <x:c r="T7" s="295" t="str">
        <x:v>CÓ</x:v>
      </x:c>
      <x:c r="U7" s="295" t="str">
        <x:v>CHECK_ONLY</x:v>
      </x:c>
      <x:c r="V7" s="295" t="str">
        <x:v>Giữ đúng tên chủ thể sau khi có hồ sơ xác minh; không coi tên dự thảo là chính thức.</x:v>
      </x:c>
    </x:row>
    <x:row r="8" ht="28" customHeight="1">
      <x:c r="A8" s="295" t="n">
        <x:v>3</x:v>
      </x:c>
      <x:c r="B8" s="295" t="str">
        <x:v>ND30.D.CQ.CAP_TREN.CO_CHU</x:v>
      </x:c>
      <x:c r="C8" s="295" t="str">
        <x:v>ND30.D.CQ.CAP_TREN</x:v>
      </x:c>
      <x:c r="D8" s="295" t="str">
        <x:v>Cơ quan ban hành</x:v>
      </x:c>
      <x:c r="E8" s="295" t="str">
        <x:v>Tên cơ quan, tổ chức chủ quản/cấp trên</x:v>
      </x:c>
      <x:c r="F8" s="295" t="str">
        <x:v>Cỡ chữ</x:v>
      </x:c>
      <x:c r="G8" s="295" t="str">
        <x:v>NUMBER_OR_RANGE</x:v>
      </x:c>
      <x:c r="H8" s="295" t="str">
        <x:v>pt</x:v>
      </x:c>
      <x:c r="I8" s="295" t="str">
        <x:v>12–13</x:v>
      </x:c>
      <x:c r="J8" s="295" t="str">
        <x:v>Đúng giá trị/giới hạn riêng</x:v>
      </x:c>
      <x:c r="K8" s="295" t="n">
        <x:v>12</x:v>
      </x:c>
      <x:c r="L8" s="295" t="str">
        <x:v>PROFILE_CO_GIA_TRI_CHUA_DUYET</x:v>
      </x:c>
      <x:c r="M8" s="295" t="str">
        <x:v>DOI_CHIEU_CU_THE</x:v>
      </x:c>
      <x:c r="N8" s="295" t="str">
        <x:v>Có cơ quan cấp trên trực tiếp theo chủ thể ban hành; xác minh tên chính thức trước khi dùng</x:v>
      </x:c>
      <x:c r="O8" s="295" t="str">
        <x:v>Quy định gốc &gt; profile; khi chưa rõ điều kiện thì giữ nguyên; không sinh nội dung.</x:v>
      </x:c>
      <x:c r="P8" s="295" t="str">
        <x:v>PARAGRAPH / RUN / SHAPE tùy thuộc tính</x:v>
      </x:c>
      <x:c r="Q8" s="295" t="str">
        <x:v>Xác định đúng khối Tên cơ quan, tổ chức chủ quản/cấp trên; đọc giá trị thực; đối chiếu điều kiện; không sửa nội dung khi thiếu nguồn.</x:v>
      </x:c>
      <x:c r="R8" s="295" t="str">
        <x:v>Phụ lục I, Phần I, II.2</x:v>
      </x:c>
      <x:c r="S8" s="295" t="str">
        <x:v>https://datafiles.chinhphu.vn/cpp/files/vbpq/2020/03/30.signed.pdf</x:v>
      </x:c>
      <x:c r="T8" s="295" t="str">
        <x:v>CÓ</x:v>
      </x:c>
      <x:c r="U8" s="295" t="str">
        <x:v>CHECK_ONLY</x:v>
      </x:c>
      <x:c r="V8" s="295" t="str">
        <x:v>Giữ đúng tên chủ thể sau khi có hồ sơ xác minh; không coi tên dự thảo là chính thức.</x:v>
      </x:c>
    </x:row>
    <x:row r="9" ht="28" customHeight="1">
      <x:c r="A9" s="295" t="n">
        <x:v>4</x:v>
      </x:c>
      <x:c r="B9" s="295" t="str">
        <x:v>ND30.D.CQ.CAP_TREN.DAM</x:v>
      </x:c>
      <x:c r="C9" s="295" t="str">
        <x:v>ND30.D.CQ.CAP_TREN</x:v>
      </x:c>
      <x:c r="D9" s="295" t="str">
        <x:v>Cơ quan ban hành</x:v>
      </x:c>
      <x:c r="E9" s="295" t="str">
        <x:v>Tên cơ quan, tổ chức chủ quản/cấp trên</x:v>
      </x:c>
      <x:c r="F9" s="295" t="str">
        <x:v>In đậm</x:v>
      </x:c>
      <x:c r="G9" s="295" t="str">
        <x:v>BOOLEAN</x:v>
      </x:c>
      <x:c r="H9" s="295"/>
      <x:c r="I9" s="296" t="b">
        <x:v>0</x:v>
      </x:c>
      <x:c r="J9" s="295" t="str">
        <x:v>Đúng giá trị/giới hạn riêng</x:v>
      </x:c>
      <x:c r="K9" s="296" t="b">
        <x:v>0</x:v>
      </x:c>
      <x:c r="L9" s="295" t="str">
        <x:v>PROFILE_CO_GIA_TRI_CHUA_DUYET</x:v>
      </x:c>
      <x:c r="M9" s="295" t="str">
        <x:v>DOI_CHIEU_CU_THE</x:v>
      </x:c>
      <x:c r="N9" s="295" t="str">
        <x:v>Có cơ quan cấp trên trực tiếp theo chủ thể ban hành; xác minh tên chính thức trước khi dùng</x:v>
      </x:c>
      <x:c r="O9" s="295" t="str">
        <x:v>Quy định gốc &gt; profile; khi chưa rõ điều kiện thì giữ nguyên; không sinh nội dung.</x:v>
      </x:c>
      <x:c r="P9" s="295" t="str">
        <x:v>PARAGRAPH / RUN / SHAPE tùy thuộc tính</x:v>
      </x:c>
      <x:c r="Q9" s="295" t="str">
        <x:v>Xác định đúng khối Tên cơ quan, tổ chức chủ quản/cấp trên; đọc giá trị thực; đối chiếu điều kiện; không sửa nội dung khi thiếu nguồn.</x:v>
      </x:c>
      <x:c r="R9" s="295" t="str">
        <x:v>Phụ lục I, Phần I, II.2</x:v>
      </x:c>
      <x:c r="S9" s="295" t="str">
        <x:v>https://datafiles.chinhphu.vn/cpp/files/vbpq/2020/03/30.signed.pdf</x:v>
      </x:c>
      <x:c r="T9" s="295" t="str">
        <x:v>CÓ</x:v>
      </x:c>
      <x:c r="U9" s="295" t="str">
        <x:v>CHECK_ONLY</x:v>
      </x:c>
      <x:c r="V9" s="295" t="str">
        <x:v>Giữ đúng tên chủ thể sau khi có hồ sơ xác minh; không coi tên dự thảo là chính thức.</x:v>
      </x:c>
    </x:row>
    <x:row r="10" ht="28" customHeight="1">
      <x:c r="A10" s="295" t="n">
        <x:v>5</x:v>
      </x:c>
      <x:c r="B10" s="295" t="str">
        <x:v>ND30.D.CQ.CAP_TREN.NGHIENG</x:v>
      </x:c>
      <x:c r="C10" s="295" t="str">
        <x:v>ND30.D.CQ.CAP_TREN</x:v>
      </x:c>
      <x:c r="D10" s="295" t="str">
        <x:v>Cơ quan ban hành</x:v>
      </x:c>
      <x:c r="E10" s="295" t="str">
        <x:v>Tên cơ quan, tổ chức chủ quản/cấp trên</x:v>
      </x:c>
      <x:c r="F10" s="295" t="str">
        <x:v>In nghiêng</x:v>
      </x:c>
      <x:c r="G10" s="295" t="str">
        <x:v>BOOLEAN</x:v>
      </x:c>
      <x:c r="H10" s="295"/>
      <x:c r="I10" s="296" t="b">
        <x:v>0</x:v>
      </x:c>
      <x:c r="J10" s="295" t="str">
        <x:v>Đúng giá trị/giới hạn riêng</x:v>
      </x:c>
      <x:c r="K10" s="296" t="b">
        <x:v>0</x:v>
      </x:c>
      <x:c r="L10" s="295" t="str">
        <x:v>PROFILE_CO_GIA_TRI_CHUA_DUYET</x:v>
      </x:c>
      <x:c r="M10" s="295" t="str">
        <x:v>DOI_CHIEU_CU_THE</x:v>
      </x:c>
      <x:c r="N10" s="295" t="str">
        <x:v>Có cơ quan cấp trên trực tiếp theo chủ thể ban hành; xác minh tên chính thức trước khi dùng</x:v>
      </x:c>
      <x:c r="O10" s="295" t="str">
        <x:v>Quy định gốc &gt; profile; khi chưa rõ điều kiện thì giữ nguyên; không sinh nội dung.</x:v>
      </x:c>
      <x:c r="P10" s="295" t="str">
        <x:v>PARAGRAPH / RUN / SHAPE tùy thuộc tính</x:v>
      </x:c>
      <x:c r="Q10" s="295" t="str">
        <x:v>Xác định đúng khối Tên cơ quan, tổ chức chủ quản/cấp trên; đọc giá trị thực; đối chiếu điều kiện; không sửa nội dung khi thiếu nguồn.</x:v>
      </x:c>
      <x:c r="R10" s="295" t="str">
        <x:v>Phụ lục I, Phần I, II.2</x:v>
      </x:c>
      <x:c r="S10" s="295" t="str">
        <x:v>https://datafiles.chinhphu.vn/cpp/files/vbpq/2020/03/30.signed.pdf</x:v>
      </x:c>
      <x:c r="T10" s="295" t="str">
        <x:v>CÓ</x:v>
      </x:c>
      <x:c r="U10" s="295" t="str">
        <x:v>CHECK_ONLY</x:v>
      </x:c>
      <x:c r="V10" s="295" t="str">
        <x:v>Giữ đúng tên chủ thể sau khi có hồ sơ xác minh; không coi tên dự thảo là chính thức.</x:v>
      </x:c>
    </x:row>
    <x:row r="11" ht="28" customHeight="1">
      <x:c r="A11" s="295" t="n">
        <x:v>6</x:v>
      </x:c>
      <x:c r="B11" s="295" t="str">
        <x:v>ND30.D.CQ.CAP_TREN.KIEU_CHU</x:v>
      </x:c>
      <x:c r="C11" s="295" t="str">
        <x:v>ND30.D.CQ.CAP_TREN</x:v>
      </x:c>
      <x:c r="D11" s="295" t="str">
        <x:v>Cơ quan ban hành</x:v>
      </x:c>
      <x:c r="E11" s="295" t="str">
        <x:v>Tên cơ quan, tổ chức chủ quản/cấp trên</x:v>
      </x:c>
      <x:c r="F11" s="295" t="str">
        <x:v>Kiểu viết hoa/thường</x:v>
      </x:c>
      <x:c r="G11" s="295" t="str">
        <x:v>ENUM</x:v>
      </x:c>
      <x:c r="H11" s="295"/>
      <x:c r="I11" s="295" t="str">
        <x:v>IN HOA</x:v>
      </x:c>
      <x:c r="J11" s="295" t="str">
        <x:v>Đúng giá trị/giới hạn riêng</x:v>
      </x:c>
      <x:c r="K11" s="295" t="str">
        <x:v>IN HOA</x:v>
      </x:c>
      <x:c r="L11" s="295" t="str">
        <x:v>PROFILE_CHO_XAC_MINH_PHAP_NHAN</x:v>
      </x:c>
      <x:c r="M11" s="295" t="str">
        <x:v>DOI_CHIEU_CU_THE</x:v>
      </x:c>
      <x:c r="N11" s="295" t="str">
        <x:v>Có cơ quan cấp trên trực tiếp theo chủ thể ban hành; xác minh tên chính thức trước khi dùng</x:v>
      </x:c>
      <x:c r="O11" s="295" t="str">
        <x:v>Quy định gốc &gt; profile; khi chưa rõ điều kiện thì giữ nguyên; không sinh nội dung.</x:v>
      </x:c>
      <x:c r="P11" s="295" t="str">
        <x:v>PARAGRAPH / RUN / SHAPE tùy thuộc tính</x:v>
      </x:c>
      <x:c r="Q11" s="295" t="str">
        <x:v>Xác định đúng khối Tên cơ quan, tổ chức chủ quản/cấp trên; đọc giá trị thực; đối chiếu điều kiện; không sửa nội dung khi thiếu nguồn.</x:v>
      </x:c>
      <x:c r="R11" s="295" t="str">
        <x:v>Phụ lục I, Phần I, II.2</x:v>
      </x:c>
      <x:c r="S11" s="295" t="str">
        <x:v>https://datafiles.chinhphu.vn/cpp/files/vbpq/2020/03/30.signed.pdf</x:v>
      </x:c>
      <x:c r="T11" s="295" t="str">
        <x:v>CÓ</x:v>
      </x:c>
      <x:c r="U11" s="295" t="str">
        <x:v>CHECK_ONLY</x:v>
      </x:c>
      <x:c r="V11" s="295" t="str">
        <x:v>Giữ đúng tên chủ thể sau khi có hồ sơ xác minh; không coi tên dự thảo là chính thức.</x:v>
      </x:c>
    </x:row>
    <x:row r="12" ht="28" customHeight="1">
      <x:c r="A12" s="295" t="n">
        <x:v>7</x:v>
      </x:c>
      <x:c r="B12" s="295" t="str">
        <x:v>ND30.D.CQ.CAP_TREN.CAN_NGANG</x:v>
      </x:c>
      <x:c r="C12" s="295" t="str">
        <x:v>ND30.D.CQ.CAP_TREN</x:v>
      </x:c>
      <x:c r="D12" s="295" t="str">
        <x:v>Cơ quan ban hành</x:v>
      </x:c>
      <x:c r="E12" s="295" t="str">
        <x:v>Tên cơ quan, tổ chức chủ quản/cấp trên</x:v>
      </x:c>
      <x:c r="F12" s="295" t="str">
        <x:v>Căn ngang</x:v>
      </x:c>
      <x:c r="G12" s="295" t="str">
        <x:v>ENUM</x:v>
      </x:c>
      <x:c r="H12" s="295"/>
      <x:c r="I12" s="295" t="str">
        <x:v>CENTER</x:v>
      </x:c>
      <x:c r="J12" s="295" t="str">
        <x:v>Đúng giá trị/giới hạn riêng</x:v>
      </x:c>
      <x:c r="K12" s="295" t="str">
        <x:v>CENTER</x:v>
      </x:c>
      <x:c r="L12" s="295" t="str">
        <x:v>PROFILE_CO_GIA_TRI_CHUA_DUYET</x:v>
      </x:c>
      <x:c r="M12" s="295" t="str">
        <x:v>DOI_CHIEU_CU_THE</x:v>
      </x:c>
      <x:c r="N12" s="295" t="str">
        <x:v>Có cơ quan cấp trên trực tiếp theo chủ thể ban hành; xác minh tên chính thức trước khi dùng</x:v>
      </x:c>
      <x:c r="O12" s="295" t="str">
        <x:v>Quy định gốc &gt; profile; khi chưa rõ điều kiện thì giữ nguyên; không sinh nội dung.</x:v>
      </x:c>
      <x:c r="P12" s="295" t="str">
        <x:v>PARAGRAPH / RUN / SHAPE tùy thuộc tính</x:v>
      </x:c>
      <x:c r="Q12" s="295" t="str">
        <x:v>Xác định đúng khối Tên cơ quan, tổ chức chủ quản/cấp trên; đọc giá trị thực; đối chiếu điều kiện; không sửa nội dung khi thiếu nguồn.</x:v>
      </x:c>
      <x:c r="R12" s="295" t="str">
        <x:v>Phụ lục I, Phần I, II.2</x:v>
      </x:c>
      <x:c r="S12" s="295" t="str">
        <x:v>https://datafiles.chinhphu.vn/cpp/files/vbpq/2020/03/30.signed.pdf</x:v>
      </x:c>
      <x:c r="T12" s="295" t="str">
        <x:v>CÓ</x:v>
      </x:c>
      <x:c r="U12" s="295" t="str">
        <x:v>CHECK_ONLY</x:v>
      </x:c>
      <x:c r="V12" s="295" t="str">
        <x:v>Giữ đúng tên chủ thể sau khi có hồ sơ xác minh; không coi tên dự thảo là chính thức.</x:v>
      </x:c>
    </x:row>
    <x:row r="13" ht="28" customHeight="1">
      <x:c r="A13" s="295" t="n">
        <x:v>8</x:v>
      </x:c>
      <x:c r="B13" s="295" t="str">
        <x:v>ND30.D.CQ.CAP_TREN.CACH_SAU</x:v>
      </x:c>
      <x:c r="C13" s="295" t="str">
        <x:v>ND30.D.CQ.CAP_TREN</x:v>
      </x:c>
      <x:c r="D13" s="295" t="str">
        <x:v>Cơ quan ban hành</x:v>
      </x:c>
      <x:c r="E13" s="295" t="str">
        <x:v>Tên cơ quan, tổ chức chủ quản/cấp trên</x:v>
      </x:c>
      <x:c r="F13" s="295" t="str">
        <x:v>Khoảng cách sau đoạn</x:v>
      </x:c>
      <x:c r="G13" s="295" t="str">
        <x:v>NUMBER</x:v>
      </x:c>
      <x:c r="H13" s="295" t="str">
        <x:v>pt</x:v>
      </x:c>
      <x:c r="I13" s="295" t="str">
        <x:v>CHƯA XÁC MINH RIÊNG</x:v>
      </x:c>
      <x:c r="J13" s="295" t="str">
        <x:v>Không suy ra giới hạn pháp lý</x:v>
      </x:c>
      <x:c r="K13" s="295" t="n">
        <x:v>0</x:v>
      </x:c>
      <x:c r="L13" s="295" t="str">
        <x:v>PROFILE_CHO_RAO_SOAT</x:v>
      </x:c>
      <x:c r="M13" s="295" t="str">
        <x:v>CHUA_DOI_CHIEU_CU_THE</x:v>
      </x:c>
      <x:c r="N13" s="295" t="str">
        <x:v>Có cơ quan cấp trên trực tiếp theo chủ thể ban hành; xác minh tên chính thức trước khi dùng</x:v>
      </x:c>
      <x:c r="O13" s="295" t="str">
        <x:v>Quy định gốc &gt; profile; khi chưa rõ điều kiện thì giữ nguyên; không sinh nội dung.</x:v>
      </x:c>
      <x:c r="P13" s="295" t="str">
        <x:v>PARAGRAPH / RUN / SHAPE tùy thuộc tính</x:v>
      </x:c>
      <x:c r="Q13" s="295" t="str">
        <x:v>Xác định đúng khối Tên cơ quan, tổ chức chủ quản/cấp trên; đọc giá trị thực; đối chiếu điều kiện; không sửa nội dung khi thiếu nguồn.</x:v>
      </x:c>
      <x:c r="R13" s="295" t="str">
        <x:v>Chưa có locator xác minh riêng</x:v>
      </x:c>
      <x:c r="S13" s="295" t="str">
        <x:v>https://datafiles.chinhphu.vn/cpp/files/vbpq/2020/03/30.signed.pdf</x:v>
      </x:c>
      <x:c r="T13" s="295" t="str">
        <x:v>CÓ</x:v>
      </x:c>
      <x:c r="U13" s="295" t="str">
        <x:v>CHECK_ONLY</x:v>
      </x:c>
      <x:c r="V13" s="295" t="str">
        <x:v>Không tự chèn đoạn trắng Giữ đúng tên chủ thể sau khi có hồ sơ xác minh; không coi tên dự thảo là chính thức.</x:v>
      </x:c>
    </x:row>
    <x:row r="14" ht="28" customHeight="1">
      <x:c r="A14" s="295" t="n">
        <x:v>9</x:v>
      </x:c>
      <x:c r="B14" s="295" t="str">
        <x:v>ND30.D.CQ.CAP_TREN.GIAN_DONG</x:v>
      </x:c>
      <x:c r="C14" s="295" t="str">
        <x:v>ND30.D.CQ.CAP_TREN</x:v>
      </x:c>
      <x:c r="D14" s="295" t="str">
        <x:v>Cơ quan ban hành</x:v>
      </x:c>
      <x:c r="E14" s="295" t="str">
        <x:v>Tên cơ quan, tổ chức chủ quản/cấp trên</x:v>
      </x:c>
      <x:c r="F14" s="295" t="str">
        <x:v>Giãn dòng</x:v>
      </x:c>
      <x:c r="G14" s="295" t="str">
        <x:v>NUMBER</x:v>
      </x:c>
      <x:c r="H14" s="295" t="str">
        <x:v>lines</x:v>
      </x:c>
      <x:c r="I14" s="295" t="str">
        <x:v>CHƯA XÁC MINH RIÊNG</x:v>
      </x:c>
      <x:c r="J14" s="295" t="str">
        <x:v>Không suy ra giới hạn pháp lý</x:v>
      </x:c>
      <x:c r="K14" s="295" t="str">
        <x:v>SINGLE</x:v>
      </x:c>
      <x:c r="L14" s="295" t="str">
        <x:v>PROFILE_CHO_RAO_SOAT</x:v>
      </x:c>
      <x:c r="M14" s="295" t="str">
        <x:v>CHUA_DOI_CHIEU_CU_THE</x:v>
      </x:c>
      <x:c r="N14" s="295" t="str">
        <x:v>Có cơ quan cấp trên trực tiếp theo chủ thể ban hành; xác minh tên chính thức trước khi dùng</x:v>
      </x:c>
      <x:c r="O14" s="295" t="str">
        <x:v>Quy định gốc &gt; profile; khi chưa rõ điều kiện thì giữ nguyên; không sinh nội dung.</x:v>
      </x:c>
      <x:c r="P14" s="295" t="str">
        <x:v>PARAGRAPH / RUN / SHAPE tùy thuộc tính</x:v>
      </x:c>
      <x:c r="Q14" s="295" t="str">
        <x:v>Xác định đúng khối Tên cơ quan, tổ chức chủ quản/cấp trên; đọc giá trị thực; đối chiếu điều kiện; không sửa nội dung khi thiếu nguồn.</x:v>
      </x:c>
      <x:c r="R14" s="295" t="str">
        <x:v>Chưa có locator xác minh riêng</x:v>
      </x:c>
      <x:c r="S14" s="295" t="str">
        <x:v>https://datafiles.chinhphu.vn/cpp/files/vbpq/2020/03/30.signed.pdf</x:v>
      </x:c>
      <x:c r="T14" s="295" t="str">
        <x:v>CÓ</x:v>
      </x:c>
      <x:c r="U14" s="295" t="str">
        <x:v>CHECK_ONLY</x:v>
      </x:c>
      <x:c r="V14" s="295" t="str">
        <x:v>Giãn dòng phần đầu không được tự đồng nhất với thân bài. Giữ đúng tên chủ thể sau khi có hồ sơ xác minh; không coi tên dự thảo là chính thức.</x:v>
      </x:c>
    </x:row>
    <x:row r="15" ht="28" customHeight="1">
      <x:c r="A15" s="295" t="n">
        <x:v>10</x:v>
      </x:c>
      <x:c r="B15" s="295" t="str">
        <x:v>ND30.D.CQ.CAP_TREN.TEN_CHINH_THUC</x:v>
      </x:c>
      <x:c r="C15" s="295" t="str">
        <x:v>ND30.D.CQ.CAP_TREN</x:v>
      </x:c>
      <x:c r="D15" s="295" t="str">
        <x:v>Cơ quan ban hành</x:v>
      </x:c>
      <x:c r="E15" s="295" t="str">
        <x:v>Tên cơ quan, tổ chức chủ quản/cấp trên</x:v>
      </x:c>
      <x:c r="F15" s="295" t="str">
        <x:v>Tên cơ quan theo hồ sơ</x:v>
      </x:c>
      <x:c r="G15" s="295" t="str">
        <x:v>TEXT</x:v>
      </x:c>
      <x:c r="H15" s="295"/>
      <x:c r="I15" s="295" t="str">
        <x:v>CHƯA XÁC MINH RIÊNG</x:v>
      </x:c>
      <x:c r="J15" s="295" t="str">
        <x:v>Không suy ra giới hạn pháp lý</x:v>
      </x:c>
      <x:c r="K15" s="295" t="str">
        <x:v>TỔNG CÔNG TY BẢO ĐẢM
AN TOÀN HÀNG HẢI VIỆT NAM</x:v>
      </x:c>
      <x:c r="L15" s="295" t="str">
        <x:v>CHO_XAC_MINH_TO_CHUC</x:v>
      </x:c>
      <x:c r="M15" s="295" t="str">
        <x:v>CHUA_DOI_CHIEU_CU_THE</x:v>
      </x:c>
      <x:c r="N15" s="295" t="str">
        <x:v>Có cơ quan cấp trên trực tiếp theo chủ thể ban hành; xác minh tên chính thức trước khi dùng</x:v>
      </x:c>
      <x:c r="O15" s="295" t="str">
        <x:v>Quy định gốc &gt; profile; khi chưa rõ điều kiện thì giữ nguyên; không sinh nội dung.</x:v>
      </x:c>
      <x:c r="P15" s="295" t="str">
        <x:v>PARAGRAPH / RUN / SHAPE tùy thuộc tính</x:v>
      </x:c>
      <x:c r="Q15" s="295" t="str">
        <x:v>Xác định đúng khối Tên cơ quan, tổ chức chủ quản/cấp trên; đọc giá trị thực; đối chiếu điều kiện; không sửa nội dung khi thiếu nguồn.</x:v>
      </x:c>
      <x:c r="R15" s="295" t="str">
        <x:v>Chưa có locator xác minh riêng</x:v>
      </x:c>
      <x:c r="S15" s="295" t="str">
        <x:v>https://datafiles.chinhphu.vn/cpp/files/vbpq/2020/03/30.signed.pdf</x:v>
      </x:c>
      <x:c r="T15" s="295" t="str">
        <x:v>CÓ</x:v>
      </x:c>
      <x:c r="U15" s="295" t="str">
        <x:v>CHECK_ONLY</x:v>
      </x:c>
      <x:c r="V15" s="295" t="str">
        <x:v>Tên người dùng cung cấp / nguồn tham khảo, không thay thế xác minh tư cách Giữ đúng tên chủ thể sau khi có hồ sơ xác minh; không coi tên dự thảo là chính thức.</x:v>
      </x:c>
    </x:row>
    <x:row r="16" ht="28" customHeight="1">
      <x:c r="A16" s="295" t="n">
        <x:v>11</x:v>
      </x:c>
      <x:c r="B16" s="295" t="str">
        <x:v>ND30.D.CQ.BAN_HANH.HIEN_DIEN</x:v>
      </x:c>
      <x:c r="C16" s="295" t="str">
        <x:v>ND30.D.CQ.BAN_HANH</x:v>
      </x:c>
      <x:c r="D16" s="295" t="str">
        <x:v>Cơ quan ban hành</x:v>
      </x:c>
      <x:c r="E16" s="295" t="str">
        <x:v>Tên cơ quan, tổ chức ban hành</x:v>
      </x:c>
      <x:c r="F16" s="295" t="str">
        <x:v>Điều kiện hiện diện</x:v>
      </x:c>
      <x:c r="G16" s="295" t="str">
        <x:v>TEXT</x:v>
      </x:c>
      <x:c r="H16" s="295"/>
      <x:c r="I16" s="295" t="str">
        <x:v>CHƯA XÁC MINH RIÊNG</x:v>
      </x:c>
      <x:c r="J16" s="295" t="str">
        <x:v>Không suy ra giới hạn pháp lý</x:v>
      </x:c>
      <x:c r="K16" s="295" t="str">
        <x:v>Chủ thể ban hành được xác định; dùng tên chính thức, không tự suy ra tư cách pháp lý</x:v>
      </x:c>
      <x:c r="L16" s="295" t="str">
        <x:v>CHUA_DUYET_DINH_TUYEN</x:v>
      </x:c>
      <x:c r="M16" s="295" t="str">
        <x:v>CHUA_DOI_CHIEU_CU_THE</x:v>
      </x:c>
      <x:c r="N16" s="295" t="str">
        <x:v>Chủ thể ban hành được xác định; dùng tên chính thức, không tự suy ra tư cách pháp lý</x:v>
      </x:c>
      <x:c r="O16" s="295" t="str">
        <x:v>Quy định gốc &gt; profile; khi chưa rõ điều kiện thì giữ nguyên; không sinh nội dung.</x:v>
      </x:c>
      <x:c r="P16" s="295" t="str">
        <x:v>PARAGRAPH / RUN / SHAPE tùy thuộc tính</x:v>
      </x:c>
      <x:c r="Q16" s="295" t="str">
        <x:v>Xác định đúng khối Tên cơ quan, tổ chức ban hành; đọc giá trị thực; đối chiếu điều kiện; không sửa nội dung khi thiếu nguồn.</x:v>
      </x:c>
      <x:c r="R16" s="295" t="str">
        <x:v>Chưa có locator xác minh riêng</x:v>
      </x:c>
      <x:c r="S16" s="295" t="str">
        <x:v>https://datafiles.chinhphu.vn/cpp/files/vbpq/2020/03/30.signed.pdf</x:v>
      </x:c>
      <x:c r="T16" s="295" t="str">
        <x:v>CÓ</x:v>
      </x:c>
      <x:c r="U16" s="295" t="str">
        <x:v>CHECK_ONLY</x:v>
      </x:c>
      <x:c r="V16" s="295" t="str">
        <x:v>Phải nhận diện chế độ và chủ thể trước khi áp dụng Giữ đúng tên chủ thể sau khi có hồ sơ xác minh; không coi tên dự thảo là chính thức.</x:v>
      </x:c>
    </x:row>
    <x:row r="17" ht="28" customHeight="1">
      <x:c r="A17" s="295" t="n">
        <x:v>12</x:v>
      </x:c>
      <x:c r="B17" s="295" t="str">
        <x:v>ND30.D.CQ.BAN_HANH.PHONG_CHU</x:v>
      </x:c>
      <x:c r="C17" s="295" t="str">
        <x:v>ND30.D.CQ.BAN_HANH</x:v>
      </x:c>
      <x:c r="D17" s="295" t="str">
        <x:v>Cơ quan ban hành</x:v>
      </x:c>
      <x:c r="E17" s="295" t="str">
        <x:v>Tên cơ quan, tổ chức ban hành</x:v>
      </x:c>
      <x:c r="F17" s="295" t="str">
        <x:v>Font chữ</x:v>
      </x:c>
      <x:c r="G17" s="295" t="str">
        <x:v>STRING</x:v>
      </x:c>
      <x:c r="H17" s="295"/>
      <x:c r="I17" s="295" t="str">
        <x:v>Times New Roman</x:v>
      </x:c>
      <x:c r="J17" s="295" t="str">
        <x:v>Đúng giá trị/giới hạn riêng</x:v>
      </x:c>
      <x:c r="K17" s="295" t="str">
        <x:v>Times New Roman</x:v>
      </x:c>
      <x:c r="L17" s="295" t="str">
        <x:v>PROFILE_CO_GIA_TRI_CHUA_DUYET</x:v>
      </x:c>
      <x:c r="M17" s="295" t="str">
        <x:v>DOI_CHIEU_CU_THE</x:v>
      </x:c>
      <x:c r="N17" s="295" t="str">
        <x:v>Chủ thể ban hành được xác định; dùng tên chính thức, không tự suy ra tư cách pháp lý</x:v>
      </x:c>
      <x:c r="O17" s="295" t="str">
        <x:v>Quy định gốc &gt; profile; khi chưa rõ điều kiện thì giữ nguyên; không sinh nội dung.</x:v>
      </x:c>
      <x:c r="P17" s="295" t="str">
        <x:v>PARAGRAPH / RUN / SHAPE tùy thuộc tính</x:v>
      </x:c>
      <x:c r="Q17" s="295" t="str">
        <x:v>Xác định đúng khối Tên cơ quan, tổ chức ban hành; đọc giá trị thực; đối chiếu điều kiện; không sửa nội dung khi thiếu nguồn.</x:v>
      </x:c>
      <x:c r="R17" s="295" t="str">
        <x:v>Phụ lục I, Phần I, I.4</x:v>
      </x:c>
      <x:c r="S17" s="295" t="str">
        <x:v>https://datafiles.chinhphu.vn/cpp/files/vbpq/2020/03/30.signed.pdf</x:v>
      </x:c>
      <x:c r="T17" s="295" t="str">
        <x:v>CÓ</x:v>
      </x:c>
      <x:c r="U17" s="295" t="str">
        <x:v>CHECK_ONLY</x:v>
      </x:c>
      <x:c r="V17" s="295" t="str">
        <x:v>Giữ đúng tên chủ thể sau khi có hồ sơ xác minh; không coi tên dự thảo là chính thức.</x:v>
      </x:c>
    </x:row>
    <x:row r="18" ht="28" customHeight="1">
      <x:c r="A18" s="295" t="n">
        <x:v>13</x:v>
      </x:c>
      <x:c r="B18" s="295" t="str">
        <x:v>ND30.D.CQ.BAN_HANH.CO_CHU</x:v>
      </x:c>
      <x:c r="C18" s="295" t="str">
        <x:v>ND30.D.CQ.BAN_HANH</x:v>
      </x:c>
      <x:c r="D18" s="295" t="str">
        <x:v>Cơ quan ban hành</x:v>
      </x:c>
      <x:c r="E18" s="295" t="str">
        <x:v>Tên cơ quan, tổ chức ban hành</x:v>
      </x:c>
      <x:c r="F18" s="295" t="str">
        <x:v>Cỡ chữ</x:v>
      </x:c>
      <x:c r="G18" s="295" t="str">
        <x:v>NUMBER_OR_RANGE</x:v>
      </x:c>
      <x:c r="H18" s="295" t="str">
        <x:v>pt</x:v>
      </x:c>
      <x:c r="I18" s="295" t="str">
        <x:v>12–13</x:v>
      </x:c>
      <x:c r="J18" s="295" t="str">
        <x:v>Đúng giá trị/giới hạn riêng</x:v>
      </x:c>
      <x:c r="K18" s="295" t="n">
        <x:v>12</x:v>
      </x:c>
      <x:c r="L18" s="295" t="str">
        <x:v>PROFILE_CO_GIA_TRI_CHUA_DUYET</x:v>
      </x:c>
      <x:c r="M18" s="295" t="str">
        <x:v>DOI_CHIEU_CU_THE</x:v>
      </x:c>
      <x:c r="N18" s="295" t="str">
        <x:v>Chủ thể ban hành được xác định; dùng tên chính thức, không tự suy ra tư cách pháp lý</x:v>
      </x:c>
      <x:c r="O18" s="295" t="str">
        <x:v>Quy định gốc &gt; profile; khi chưa rõ điều kiện thì giữ nguyên; không sinh nội dung.</x:v>
      </x:c>
      <x:c r="P18" s="295" t="str">
        <x:v>PARAGRAPH / RUN / SHAPE tùy thuộc tính</x:v>
      </x:c>
      <x:c r="Q18" s="295" t="str">
        <x:v>Xác định đúng khối Tên cơ quan, tổ chức ban hành; đọc giá trị thực; đối chiếu điều kiện; không sửa nội dung khi thiếu nguồn.</x:v>
      </x:c>
      <x:c r="R18" s="295" t="str">
        <x:v>Phụ lục I, Phần I, II.2</x:v>
      </x:c>
      <x:c r="S18" s="295" t="str">
        <x:v>https://datafiles.chinhphu.vn/cpp/files/vbpq/2020/03/30.signed.pdf</x:v>
      </x:c>
      <x:c r="T18" s="295" t="str">
        <x:v>CÓ</x:v>
      </x:c>
      <x:c r="U18" s="295" t="str">
        <x:v>CHECK_ONLY</x:v>
      </x:c>
      <x:c r="V18" s="295" t="str">
        <x:v>Giữ đúng tên chủ thể sau khi có hồ sơ xác minh; không coi tên dự thảo là chính thức.</x:v>
      </x:c>
    </x:row>
    <x:row r="19" ht="28" customHeight="1">
      <x:c r="A19" s="295" t="n">
        <x:v>14</x:v>
      </x:c>
      <x:c r="B19" s="295" t="str">
        <x:v>ND30.D.CQ.BAN_HANH.DAM</x:v>
      </x:c>
      <x:c r="C19" s="295" t="str">
        <x:v>ND30.D.CQ.BAN_HANH</x:v>
      </x:c>
      <x:c r="D19" s="295" t="str">
        <x:v>Cơ quan ban hành</x:v>
      </x:c>
      <x:c r="E19" s="295" t="str">
        <x:v>Tên cơ quan, tổ chức ban hành</x:v>
      </x:c>
      <x:c r="F19" s="295" t="str">
        <x:v>In đậm</x:v>
      </x:c>
      <x:c r="G19" s="295" t="str">
        <x:v>BOOLEAN</x:v>
      </x:c>
      <x:c r="H19" s="295"/>
      <x:c r="I19" s="296" t="b">
        <x:v>1</x:v>
      </x:c>
      <x:c r="J19" s="295" t="str">
        <x:v>Đúng giá trị/giới hạn riêng</x:v>
      </x:c>
      <x:c r="K19" s="296" t="b">
        <x:v>1</x:v>
      </x:c>
      <x:c r="L19" s="295" t="str">
        <x:v>PROFILE_CO_GIA_TRI_CHUA_DUYET</x:v>
      </x:c>
      <x:c r="M19" s="295" t="str">
        <x:v>DOI_CHIEU_CU_THE</x:v>
      </x:c>
      <x:c r="N19" s="295" t="str">
        <x:v>Chủ thể ban hành được xác định; dùng tên chính thức, không tự suy ra tư cách pháp lý</x:v>
      </x:c>
      <x:c r="O19" s="295" t="str">
        <x:v>Quy định gốc &gt; profile; khi chưa rõ điều kiện thì giữ nguyên; không sinh nội dung.</x:v>
      </x:c>
      <x:c r="P19" s="295" t="str">
        <x:v>PARAGRAPH / RUN / SHAPE tùy thuộc tính</x:v>
      </x:c>
      <x:c r="Q19" s="295" t="str">
        <x:v>Xác định đúng khối Tên cơ quan, tổ chức ban hành; đọc giá trị thực; đối chiếu điều kiện; không sửa nội dung khi thiếu nguồn.</x:v>
      </x:c>
      <x:c r="R19" s="295" t="str">
        <x:v>Phụ lục I, Phần I, II.2</x:v>
      </x:c>
      <x:c r="S19" s="295" t="str">
        <x:v>https://datafiles.chinhphu.vn/cpp/files/vbpq/2020/03/30.signed.pdf</x:v>
      </x:c>
      <x:c r="T19" s="295" t="str">
        <x:v>CÓ</x:v>
      </x:c>
      <x:c r="U19" s="295" t="str">
        <x:v>CHECK_ONLY</x:v>
      </x:c>
      <x:c r="V19" s="295" t="str">
        <x:v>Giữ đúng tên chủ thể sau khi có hồ sơ xác minh; không coi tên dự thảo là chính thức.</x:v>
      </x:c>
    </x:row>
    <x:row r="20" ht="28" customHeight="1">
      <x:c r="A20" s="295" t="n">
        <x:v>15</x:v>
      </x:c>
      <x:c r="B20" s="295" t="str">
        <x:v>ND30.D.CQ.BAN_HANH.NGHIENG</x:v>
      </x:c>
      <x:c r="C20" s="295" t="str">
        <x:v>ND30.D.CQ.BAN_HANH</x:v>
      </x:c>
      <x:c r="D20" s="295" t="str">
        <x:v>Cơ quan ban hành</x:v>
      </x:c>
      <x:c r="E20" s="295" t="str">
        <x:v>Tên cơ quan, tổ chức ban hành</x:v>
      </x:c>
      <x:c r="F20" s="295" t="str">
        <x:v>In nghiêng</x:v>
      </x:c>
      <x:c r="G20" s="295" t="str">
        <x:v>BOOLEAN</x:v>
      </x:c>
      <x:c r="H20" s="295"/>
      <x:c r="I20" s="296" t="b">
        <x:v>0</x:v>
      </x:c>
      <x:c r="J20" s="295" t="str">
        <x:v>Đúng giá trị/giới hạn riêng</x:v>
      </x:c>
      <x:c r="K20" s="296" t="b">
        <x:v>0</x:v>
      </x:c>
      <x:c r="L20" s="295" t="str">
        <x:v>PROFILE_CO_GIA_TRI_CHUA_DUYET</x:v>
      </x:c>
      <x:c r="M20" s="295" t="str">
        <x:v>DOI_CHIEU_CU_THE</x:v>
      </x:c>
      <x:c r="N20" s="295" t="str">
        <x:v>Chủ thể ban hành được xác định; dùng tên chính thức, không tự suy ra tư cách pháp lý</x:v>
      </x:c>
      <x:c r="O20" s="295" t="str">
        <x:v>Quy định gốc &gt; profile; khi chưa rõ điều kiện thì giữ nguyên; không sinh nội dung.</x:v>
      </x:c>
      <x:c r="P20" s="295" t="str">
        <x:v>PARAGRAPH / RUN / SHAPE tùy thuộc tính</x:v>
      </x:c>
      <x:c r="Q20" s="295" t="str">
        <x:v>Xác định đúng khối Tên cơ quan, tổ chức ban hành; đọc giá trị thực; đối chiếu điều kiện; không sửa nội dung khi thiếu nguồn.</x:v>
      </x:c>
      <x:c r="R20" s="295" t="str">
        <x:v>Phụ lục I, Phần I, II.2</x:v>
      </x:c>
      <x:c r="S20" s="295" t="str">
        <x:v>https://datafiles.chinhphu.vn/cpp/files/vbpq/2020/03/30.signed.pdf</x:v>
      </x:c>
      <x:c r="T20" s="295" t="str">
        <x:v>CÓ</x:v>
      </x:c>
      <x:c r="U20" s="295" t="str">
        <x:v>CHECK_ONLY</x:v>
      </x:c>
      <x:c r="V20" s="295" t="str">
        <x:v>Giữ đúng tên chủ thể sau khi có hồ sơ xác minh; không coi tên dự thảo là chính thức.</x:v>
      </x:c>
    </x:row>
    <x:row r="21" ht="28" customHeight="1">
      <x:c r="A21" s="295" t="n">
        <x:v>16</x:v>
      </x:c>
      <x:c r="B21" s="295" t="str">
        <x:v>ND30.D.CQ.BAN_HANH.KIEU_CHU</x:v>
      </x:c>
      <x:c r="C21" s="295" t="str">
        <x:v>ND30.D.CQ.BAN_HANH</x:v>
      </x:c>
      <x:c r="D21" s="295" t="str">
        <x:v>Cơ quan ban hành</x:v>
      </x:c>
      <x:c r="E21" s="295" t="str">
        <x:v>Tên cơ quan, tổ chức ban hành</x:v>
      </x:c>
      <x:c r="F21" s="295" t="str">
        <x:v>Kiểu viết hoa/thường</x:v>
      </x:c>
      <x:c r="G21" s="295" t="str">
        <x:v>ENUM</x:v>
      </x:c>
      <x:c r="H21" s="295"/>
      <x:c r="I21" s="295" t="str">
        <x:v>IN HOA</x:v>
      </x:c>
      <x:c r="J21" s="295" t="str">
        <x:v>Đúng giá trị/giới hạn riêng</x:v>
      </x:c>
      <x:c r="K21" s="295" t="str">
        <x:v>IN HOA</x:v>
      </x:c>
      <x:c r="L21" s="295" t="str">
        <x:v>PROFILE_CHO_XAC_MINH_PHAP_NHAN</x:v>
      </x:c>
      <x:c r="M21" s="295" t="str">
        <x:v>DOI_CHIEU_CU_THE</x:v>
      </x:c>
      <x:c r="N21" s="295" t="str">
        <x:v>Chủ thể ban hành được xác định; dùng tên chính thức, không tự suy ra tư cách pháp lý</x:v>
      </x:c>
      <x:c r="O21" s="295" t="str">
        <x:v>Quy định gốc &gt; profile; khi chưa rõ điều kiện thì giữ nguyên; không sinh nội dung.</x:v>
      </x:c>
      <x:c r="P21" s="295" t="str">
        <x:v>PARAGRAPH / RUN / SHAPE tùy thuộc tính</x:v>
      </x:c>
      <x:c r="Q21" s="295" t="str">
        <x:v>Xác định đúng khối Tên cơ quan, tổ chức ban hành; đọc giá trị thực; đối chiếu điều kiện; không sửa nội dung khi thiếu nguồn.</x:v>
      </x:c>
      <x:c r="R21" s="295" t="str">
        <x:v>Phụ lục I, Phần I, II.2</x:v>
      </x:c>
      <x:c r="S21" s="295" t="str">
        <x:v>https://datafiles.chinhphu.vn/cpp/files/vbpq/2020/03/30.signed.pdf</x:v>
      </x:c>
      <x:c r="T21" s="295" t="str">
        <x:v>CÓ</x:v>
      </x:c>
      <x:c r="U21" s="295" t="str">
        <x:v>CHECK_ONLY</x:v>
      </x:c>
      <x:c r="V21" s="295" t="str">
        <x:v>Giữ đúng tên chủ thể sau khi có hồ sơ xác minh; không coi tên dự thảo là chính thức.</x:v>
      </x:c>
    </x:row>
    <x:row r="22" ht="28" customHeight="1">
      <x:c r="A22" s="295" t="n">
        <x:v>17</x:v>
      </x:c>
      <x:c r="B22" s="295" t="str">
        <x:v>ND30.D.CQ.BAN_HANH.CAN_NGANG</x:v>
      </x:c>
      <x:c r="C22" s="295" t="str">
        <x:v>ND30.D.CQ.BAN_HANH</x:v>
      </x:c>
      <x:c r="D22" s="295" t="str">
        <x:v>Cơ quan ban hành</x:v>
      </x:c>
      <x:c r="E22" s="295" t="str">
        <x:v>Tên cơ quan, tổ chức ban hành</x:v>
      </x:c>
      <x:c r="F22" s="295" t="str">
        <x:v>Căn ngang</x:v>
      </x:c>
      <x:c r="G22" s="295" t="str">
        <x:v>ENUM</x:v>
      </x:c>
      <x:c r="H22" s="295"/>
      <x:c r="I22" s="295" t="str">
        <x:v>CENTER</x:v>
      </x:c>
      <x:c r="J22" s="295" t="str">
        <x:v>Đúng giá trị/giới hạn riêng</x:v>
      </x:c>
      <x:c r="K22" s="295" t="str">
        <x:v>CENTER</x:v>
      </x:c>
      <x:c r="L22" s="295" t="str">
        <x:v>PROFILE_CO_GIA_TRI_CHUA_DUYET</x:v>
      </x:c>
      <x:c r="M22" s="295" t="str">
        <x:v>DOI_CHIEU_CU_THE</x:v>
      </x:c>
      <x:c r="N22" s="295" t="str">
        <x:v>Chủ thể ban hành được xác định; dùng tên chính thức, không tự suy ra tư cách pháp lý</x:v>
      </x:c>
      <x:c r="O22" s="295" t="str">
        <x:v>Quy định gốc &gt; profile; khi chưa rõ điều kiện thì giữ nguyên; không sinh nội dung.</x:v>
      </x:c>
      <x:c r="P22" s="295" t="str">
        <x:v>PARAGRAPH / RUN / SHAPE tùy thuộc tính</x:v>
      </x:c>
      <x:c r="Q22" s="295" t="str">
        <x:v>Xác định đúng khối Tên cơ quan, tổ chức ban hành; đọc giá trị thực; đối chiếu điều kiện; không sửa nội dung khi thiếu nguồn.</x:v>
      </x:c>
      <x:c r="R22" s="295" t="str">
        <x:v>Phụ lục I, Phần I, II.2</x:v>
      </x:c>
      <x:c r="S22" s="295" t="str">
        <x:v>https://datafiles.chinhphu.vn/cpp/files/vbpq/2020/03/30.signed.pdf</x:v>
      </x:c>
      <x:c r="T22" s="295" t="str">
        <x:v>CÓ</x:v>
      </x:c>
      <x:c r="U22" s="295" t="str">
        <x:v>CHECK_ONLY</x:v>
      </x:c>
      <x:c r="V22" s="295" t="str">
        <x:v>Giữ đúng tên chủ thể sau khi có hồ sơ xác minh; không coi tên dự thảo là chính thức.</x:v>
      </x:c>
    </x:row>
    <x:row r="23" ht="28" customHeight="1">
      <x:c r="A23" s="295" t="n">
        <x:v>18</x:v>
      </x:c>
      <x:c r="B23" s="295" t="str">
        <x:v>ND30.D.CQ.BAN_HANH.CACH_SAU</x:v>
      </x:c>
      <x:c r="C23" s="295" t="str">
        <x:v>ND30.D.CQ.BAN_HANH</x:v>
      </x:c>
      <x:c r="D23" s="295" t="str">
        <x:v>Cơ quan ban hành</x:v>
      </x:c>
      <x:c r="E23" s="295" t="str">
        <x:v>Tên cơ quan, tổ chức ban hành</x:v>
      </x:c>
      <x:c r="F23" s="295" t="str">
        <x:v>Khoảng cách sau đoạn</x:v>
      </x:c>
      <x:c r="G23" s="295" t="str">
        <x:v>NUMBER</x:v>
      </x:c>
      <x:c r="H23" s="295" t="str">
        <x:v>pt</x:v>
      </x:c>
      <x:c r="I23" s="295" t="str">
        <x:v>CHƯA XÁC MINH RIÊNG</x:v>
      </x:c>
      <x:c r="J23" s="295" t="str">
        <x:v>Không suy ra giới hạn pháp lý</x:v>
      </x:c>
      <x:c r="K23" s="295" t="n">
        <x:v>0</x:v>
      </x:c>
      <x:c r="L23" s="295" t="str">
        <x:v>PROFILE_CHO_RAO_SOAT</x:v>
      </x:c>
      <x:c r="M23" s="295" t="str">
        <x:v>CHUA_DOI_CHIEU_CU_THE</x:v>
      </x:c>
      <x:c r="N23" s="295" t="str">
        <x:v>Chủ thể ban hành được xác định; dùng tên chính thức, không tự suy ra tư cách pháp lý</x:v>
      </x:c>
      <x:c r="O23" s="295" t="str">
        <x:v>Quy định gốc &gt; profile; khi chưa rõ điều kiện thì giữ nguyên; không sinh nội dung.</x:v>
      </x:c>
      <x:c r="P23" s="295" t="str">
        <x:v>PARAGRAPH / RUN / SHAPE tùy thuộc tính</x:v>
      </x:c>
      <x:c r="Q23" s="295" t="str">
        <x:v>Xác định đúng khối Tên cơ quan, tổ chức ban hành; đọc giá trị thực; đối chiếu điều kiện; không sửa nội dung khi thiếu nguồn.</x:v>
      </x:c>
      <x:c r="R23" s="295" t="str">
        <x:v>Chưa có locator xác minh riêng</x:v>
      </x:c>
      <x:c r="S23" s="295" t="str">
        <x:v>https://datafiles.chinhphu.vn/cpp/files/vbpq/2020/03/30.signed.pdf</x:v>
      </x:c>
      <x:c r="T23" s="295" t="str">
        <x:v>CÓ</x:v>
      </x:c>
      <x:c r="U23" s="295" t="str">
        <x:v>CHECK_ONLY</x:v>
      </x:c>
      <x:c r="V23" s="295" t="str">
        <x:v>Không tự chèn đoạn trắng Giữ đúng tên chủ thể sau khi có hồ sơ xác minh; không coi tên dự thảo là chính thức.</x:v>
      </x:c>
    </x:row>
    <x:row r="24" ht="28" customHeight="1">
      <x:c r="A24" s="295" t="n">
        <x:v>19</x:v>
      </x:c>
      <x:c r="B24" s="295" t="str">
        <x:v>ND30.D.CQ.BAN_HANH.GIAN_DONG</x:v>
      </x:c>
      <x:c r="C24" s="295" t="str">
        <x:v>ND30.D.CQ.BAN_HANH</x:v>
      </x:c>
      <x:c r="D24" s="295" t="str">
        <x:v>Cơ quan ban hành</x:v>
      </x:c>
      <x:c r="E24" s="295" t="str">
        <x:v>Tên cơ quan, tổ chức ban hành</x:v>
      </x:c>
      <x:c r="F24" s="295" t="str">
        <x:v>Giãn dòng</x:v>
      </x:c>
      <x:c r="G24" s="295" t="str">
        <x:v>NUMBER</x:v>
      </x:c>
      <x:c r="H24" s="295" t="str">
        <x:v>lines</x:v>
      </x:c>
      <x:c r="I24" s="295" t="str">
        <x:v>CHƯA XÁC MINH RIÊNG</x:v>
      </x:c>
      <x:c r="J24" s="295" t="str">
        <x:v>Không suy ra giới hạn pháp lý</x:v>
      </x:c>
      <x:c r="K24" s="295" t="str">
        <x:v>SINGLE</x:v>
      </x:c>
      <x:c r="L24" s="295" t="str">
        <x:v>PROFILE_CHO_RAO_SOAT</x:v>
      </x:c>
      <x:c r="M24" s="295" t="str">
        <x:v>CHUA_DOI_CHIEU_CU_THE</x:v>
      </x:c>
      <x:c r="N24" s="295" t="str">
        <x:v>Chủ thể ban hành được xác định; dùng tên chính thức, không tự suy ra tư cách pháp lý</x:v>
      </x:c>
      <x:c r="O24" s="295" t="str">
        <x:v>Quy định gốc &gt; profile; khi chưa rõ điều kiện thì giữ nguyên; không sinh nội dung.</x:v>
      </x:c>
      <x:c r="P24" s="295" t="str">
        <x:v>PARAGRAPH / RUN / SHAPE tùy thuộc tính</x:v>
      </x:c>
      <x:c r="Q24" s="295" t="str">
        <x:v>Xác định đúng khối Tên cơ quan, tổ chức ban hành; đọc giá trị thực; đối chiếu điều kiện; không sửa nội dung khi thiếu nguồn.</x:v>
      </x:c>
      <x:c r="R24" s="295" t="str">
        <x:v>Chưa có locator xác minh riêng</x:v>
      </x:c>
      <x:c r="S24" s="295" t="str">
        <x:v>https://datafiles.chinhphu.vn/cpp/files/vbpq/2020/03/30.signed.pdf</x:v>
      </x:c>
      <x:c r="T24" s="295" t="str">
        <x:v>CÓ</x:v>
      </x:c>
      <x:c r="U24" s="295" t="str">
        <x:v>CHECK_ONLY</x:v>
      </x:c>
      <x:c r="V24" s="295" t="str">
        <x:v>Giãn dòng phần đầu không được tự đồng nhất với thân bài. Giữ đúng tên chủ thể sau khi có hồ sơ xác minh; không coi tên dự thảo là chính thức.</x:v>
      </x:c>
    </x:row>
    <x:row r="25" ht="28" customHeight="1">
      <x:c r="A25" s="295" t="n">
        <x:v>20</x:v>
      </x:c>
      <x:c r="B25" s="295" t="str">
        <x:v>ND30.D.CQ.BAN_HANH.TEN_CHINH_THUC</x:v>
      </x:c>
      <x:c r="C25" s="295" t="str">
        <x:v>ND30.D.CQ.BAN_HANH</x:v>
      </x:c>
      <x:c r="D25" s="295" t="str">
        <x:v>Cơ quan ban hành</x:v>
      </x:c>
      <x:c r="E25" s="295" t="str">
        <x:v>Tên cơ quan, tổ chức ban hành</x:v>
      </x:c>
      <x:c r="F25" s="295" t="str">
        <x:v>Tên cơ quan theo hồ sơ</x:v>
      </x:c>
      <x:c r="G25" s="295" t="str">
        <x:v>TEXT</x:v>
      </x:c>
      <x:c r="H25" s="295"/>
      <x:c r="I25" s="295" t="str">
        <x:v>CHƯA XÁC MINH RIÊNG</x:v>
      </x:c>
      <x:c r="J25" s="295" t="str">
        <x:v>Không suy ra giới hạn pháp lý</x:v>
      </x:c>
      <x:c r="K25" s="295" t="str">
        <x:v>CÔNG TY HOA TIÊU HÀNG HẢI MIỀN BẮC</x:v>
      </x:c>
      <x:c r="L25" s="295" t="str">
        <x:v>CHO_XAC_MINH_TO_CHUC</x:v>
      </x:c>
      <x:c r="M25" s="295" t="str">
        <x:v>CHUA_DOI_CHIEU_CU_THE</x:v>
      </x:c>
      <x:c r="N25" s="295" t="str">
        <x:v>Chủ thể ban hành được xác định; dùng tên chính thức, không tự suy ra tư cách pháp lý</x:v>
      </x:c>
      <x:c r="O25" s="295" t="str">
        <x:v>Quy định gốc &gt; profile; khi chưa rõ điều kiện thì giữ nguyên; không sinh nội dung.</x:v>
      </x:c>
      <x:c r="P25" s="295" t="str">
        <x:v>PARAGRAPH / RUN / SHAPE tùy thuộc tính</x:v>
      </x:c>
      <x:c r="Q25" s="295" t="str">
        <x:v>Xác định đúng khối Tên cơ quan, tổ chức ban hành; đọc giá trị thực; đối chiếu điều kiện; không sửa nội dung khi thiếu nguồn.</x:v>
      </x:c>
      <x:c r="R25" s="295" t="str">
        <x:v>Chưa có locator xác minh riêng</x:v>
      </x:c>
      <x:c r="S25" s="295" t="str">
        <x:v>https://datafiles.chinhphu.vn/cpp/files/vbpq/2020/03/30.signed.pdf</x:v>
      </x:c>
      <x:c r="T25" s="295" t="str">
        <x:v>CÓ</x:v>
      </x:c>
      <x:c r="U25" s="295" t="str">
        <x:v>CHECK_ONLY</x:v>
      </x:c>
      <x:c r="V25" s="295" t="str">
        <x:v>Tên người dùng cung cấp / nguồn tham khảo, không thay thế xác minh tư cách Giữ đúng tên chủ thể sau khi có hồ sơ xác minh; không coi tên dự thảo là chính thức.</x:v>
      </x:c>
    </x:row>
    <x:row r="26" ht="28" customHeight="1">
      <x:c r="A26" s="295" t="n">
        <x:v>21</x:v>
      </x:c>
      <x:c r="B26" s="295" t="str">
        <x:v>ND30.D.CQ.DUONG_KE.HIEN_DIEN</x:v>
      </x:c>
      <x:c r="C26" s="295" t="str">
        <x:v>ND30.D.CQ.DUONG_KE</x:v>
      </x:c>
      <x:c r="D26" s="295" t="str">
        <x:v>Cơ quan ban hành</x:v>
      </x:c>
      <x:c r="E26" s="295" t="str">
        <x:v>Đường kẻ bên dưới tên cơ quan ban hành</x:v>
      </x:c>
      <x:c r="F26" s="295" t="str">
        <x:v>Điều kiện hiện diện</x:v>
      </x:c>
      <x:c r="G26" s="295" t="str">
        <x:v>TEXT</x:v>
      </x:c>
      <x:c r="H26" s="295"/>
      <x:c r="I26" s="295" t="str">
        <x:v>CHƯA XÁC MINH RIÊNG</x:v>
      </x:c>
      <x:c r="J26" s="295" t="str">
        <x:v>Không suy ra giới hạn pháp lý</x:v>
      </x:c>
      <x:c r="K26" s="295" t="str">
        <x:v>Chỉ NĐ30; đường kẻ dưới tên cơ quan ban hành</x:v>
      </x:c>
      <x:c r="L26" s="295" t="str">
        <x:v>CHUA_DUYET_DINH_TUYEN</x:v>
      </x:c>
      <x:c r="M26" s="295" t="str">
        <x:v>CHUA_DOI_CHIEU_CU_THE</x:v>
      </x:c>
      <x:c r="N26" s="295" t="str">
        <x:v>Chỉ NĐ30; đường kẻ dưới tên cơ quan ban hành</x:v>
      </x:c>
      <x:c r="O26" s="295" t="str">
        <x:v>Quy định gốc &gt; profile; khi chưa rõ điều kiện thì giữ nguyên; không sinh nội dung.</x:v>
      </x:c>
      <x:c r="P26" s="295" t="str">
        <x:v>PARAGRAPH / RUN / SHAPE tùy thuộc tính</x:v>
      </x:c>
      <x:c r="Q26" s="295" t="str">
        <x:v>Xác định đúng khối Đường kẻ bên dưới tên cơ quan ban hành; đọc giá trị thực; đối chiếu điều kiện; không sửa nội dung khi thiếu nguồn.</x:v>
      </x:c>
      <x:c r="R26" s="295" t="str">
        <x:v>Chưa có locator xác minh riêng</x:v>
      </x:c>
      <x:c r="S26" s="295" t="str">
        <x:v>https://datafiles.chinhphu.vn/cpp/files/vbpq/2020/03/30.signed.pdf</x:v>
      </x:c>
      <x:c r="T26" s="295" t="str">
        <x:v>CÓ</x:v>
      </x:c>
      <x:c r="U26" s="295" t="str">
        <x:v>CHECK_ONLY</x:v>
      </x:c>
      <x:c r="V26" s="295" t="str">
        <x:v>Phải nhận diện chế độ và chủ thể trước khi áp dụng</x:v>
      </x:c>
    </x:row>
    <x:row r="27" ht="28" customHeight="1">
      <x:c r="A27" s="295" t="n">
        <x:v>22</x:v>
      </x:c>
      <x:c r="B27" s="295" t="str">
        <x:v>ND30.D.CQ.DUONG_KE.KIEU_DUONG</x:v>
      </x:c>
      <x:c r="C27" s="295" t="str">
        <x:v>ND30.D.CQ.DUONG_KE</x:v>
      </x:c>
      <x:c r="D27" s="295" t="str">
        <x:v>Cơ quan ban hành</x:v>
      </x:c>
      <x:c r="E27" s="295" t="str">
        <x:v>Đường kẻ bên dưới tên cơ quan ban hành</x:v>
      </x:c>
      <x:c r="F27" s="295" t="str">
        <x:v>Kiểu kẻ</x:v>
      </x:c>
      <x:c r="G27" s="295" t="str">
        <x:v>TEXT</x:v>
      </x:c>
      <x:c r="H27" s="295"/>
      <x:c r="I27" s="295" t="str">
        <x:v>Nét liền</x:v>
      </x:c>
      <x:c r="J27" s="295" t="str">
        <x:v>Đúng giá trị/giới hạn riêng</x:v>
      </x:c>
      <x:c r="K27" s="295" t="str">
        <x:v>Nét liền</x:v>
      </x:c>
      <x:c r="L27" s="295" t="str">
        <x:v>PROFILE_THEO_NGUON</x:v>
      </x:c>
      <x:c r="M27" s="295" t="str">
        <x:v>DOI_CHIEU_CU_THE</x:v>
      </x:c>
      <x:c r="N27" s="295" t="str">
        <x:v>Chỉ NĐ30; đường kẻ dưới tên cơ quan ban hành</x:v>
      </x:c>
      <x:c r="O27" s="295" t="str">
        <x:v>Quy định gốc &gt; profile; khi chưa rõ điều kiện thì giữ nguyên; không sinh nội dung.</x:v>
      </x:c>
      <x:c r="P27" s="295" t="str">
        <x:v>PARAGRAPH / RUN / SHAPE tùy thuộc tính</x:v>
      </x:c>
      <x:c r="Q27" s="295" t="str">
        <x:v>Xác định đúng khối Đường kẻ bên dưới tên cơ quan ban hành; đọc giá trị thực; đối chiếu điều kiện; không sửa nội dung khi thiếu nguồn.</x:v>
      </x:c>
      <x:c r="R27" s="295" t="str">
        <x:v>Phụ lục I, Phần I, II.2</x:v>
      </x:c>
      <x:c r="S27" s="295" t="str">
        <x:v>https://datafiles.chinhphu.vn/cpp/files/vbpq/2020/03/30.signed.pdf</x:v>
      </x:c>
      <x:c r="T27" s="295" t="str">
        <x:v>CÓ</x:v>
      </x:c>
      <x:c r="U27" s="295" t="str">
        <x:v>CHECK_ONLY</x:v>
      </x:c>
      <x:c r="V27" s="295" t="str">
        <x:v>Mã rule con chỉ phục vụ AI đọc; không tự tạo thao tác OOXML.</x:v>
      </x:c>
    </x:row>
    <x:row r="28" ht="28" customHeight="1">
      <x:c r="A28" s="295" t="n">
        <x:v>23</x:v>
      </x:c>
      <x:c r="B28" s="295" t="str">
        <x:v>ND30.D.CQ.DUONG_KE.DO_DAI</x:v>
      </x:c>
      <x:c r="C28" s="295" t="str">
        <x:v>ND30.D.CQ.DUONG_KE</x:v>
      </x:c>
      <x:c r="D28" s="295" t="str">
        <x:v>Cơ quan ban hành</x:v>
      </x:c>
      <x:c r="E28" s="295" t="str">
        <x:v>Đường kẻ bên dưới tên cơ quan ban hành</x:v>
      </x:c>
      <x:c r="F28" s="295" t="str">
        <x:v>Độ dài theo dòng tên cơ quan</x:v>
      </x:c>
      <x:c r="G28" s="295" t="str">
        <x:v>TEXT</x:v>
      </x:c>
      <x:c r="H28" s="295"/>
      <x:c r="I28" s="295" t="str">
        <x:v>1/3–1/2 chiều dài dòng chữ</x:v>
      </x:c>
      <x:c r="J28" s="295" t="str">
        <x:v>Đúng giá trị/giới hạn riêng</x:v>
      </x:c>
      <x:c r="K28" s="295" t="str">
        <x:v>PRESERVE</x:v>
      </x:c>
      <x:c r="L28" s="295" t="str">
        <x:v>PROFILE_THEO_NGUON</x:v>
      </x:c>
      <x:c r="M28" s="295" t="str">
        <x:v>DOI_CHIEU_CU_THE</x:v>
      </x:c>
      <x:c r="N28" s="295" t="str">
        <x:v>Chỉ NĐ30; đường kẻ dưới tên cơ quan ban hành</x:v>
      </x:c>
      <x:c r="O28" s="295" t="str">
        <x:v>Quy định gốc &gt; profile; khi chưa rõ điều kiện thì giữ nguyên; không sinh nội dung.</x:v>
      </x:c>
      <x:c r="P28" s="295" t="str">
        <x:v>PARAGRAPH / RUN / SHAPE tùy thuộc tính</x:v>
      </x:c>
      <x:c r="Q28" s="295" t="str">
        <x:v>Xác định đúng khối Đường kẻ bên dưới tên cơ quan ban hành; đọc giá trị thực; đối chiếu điều kiện; không sửa nội dung khi thiếu nguồn.</x:v>
      </x:c>
      <x:c r="R28" s="295" t="str">
        <x:v>Phụ lục I, Phần I, II.2</x:v>
      </x:c>
      <x:c r="S28" s="295" t="str">
        <x:v>https://datafiles.chinhphu.vn/cpp/files/vbpq/2020/03/30.signed.pdf</x:v>
      </x:c>
      <x:c r="T28" s="295" t="str">
        <x:v>CÓ</x:v>
      </x:c>
      <x:c r="U28" s="295" t="str">
        <x:v>CHECK_ONLY</x:v>
      </x:c>
      <x:c r="V28" s="295" t="str">
        <x:v>Mã rule con chỉ phục vụ AI đọc; không tự tạo thao tác OOXML.</x:v>
      </x:c>
    </x:row>
    <x:row r="29" ht="28" customHeight="1">
      <x:c r="A29" s="295" t="n">
        <x:v>24</x:v>
      </x:c>
      <x:c r="B29" s="295" t="str">
        <x:v>ND30.D.CQ.DUONG_KE.CAN_DUONG</x:v>
      </x:c>
      <x:c r="C29" s="295" t="str">
        <x:v>ND30.D.CQ.DUONG_KE</x:v>
      </x:c>
      <x:c r="D29" s="295" t="str">
        <x:v>Cơ quan ban hành</x:v>
      </x:c>
      <x:c r="E29" s="295" t="str">
        <x:v>Đường kẻ bên dưới tên cơ quan ban hành</x:v>
      </x:c>
      <x:c r="F29" s="295" t="str">
        <x:v>Vị trí ngang</x:v>
      </x:c>
      <x:c r="G29" s="295" t="str">
        <x:v>TEXT</x:v>
      </x:c>
      <x:c r="H29" s="295"/>
      <x:c r="I29" s="295" t="str">
        <x:v>Giữa dưới tên cơ quan</x:v>
      </x:c>
      <x:c r="J29" s="295" t="str">
        <x:v>Đúng giá trị/giới hạn riêng</x:v>
      </x:c>
      <x:c r="K29" s="295" t="str">
        <x:v>CENTER</x:v>
      </x:c>
      <x:c r="L29" s="295" t="str">
        <x:v>PROFILE_THEO_NGUON</x:v>
      </x:c>
      <x:c r="M29" s="295" t="str">
        <x:v>DOI_CHIEU_CU_THE</x:v>
      </x:c>
      <x:c r="N29" s="295" t="str">
        <x:v>Chỉ NĐ30; đường kẻ dưới tên cơ quan ban hành</x:v>
      </x:c>
      <x:c r="O29" s="295" t="str">
        <x:v>Quy định gốc &gt; profile; khi chưa rõ điều kiện thì giữ nguyên; không sinh nội dung.</x:v>
      </x:c>
      <x:c r="P29" s="295" t="str">
        <x:v>PARAGRAPH / RUN / SHAPE tùy thuộc tính</x:v>
      </x:c>
      <x:c r="Q29" s="295" t="str">
        <x:v>Xác định đúng khối Đường kẻ bên dưới tên cơ quan ban hành; đọc giá trị thực; đối chiếu điều kiện; không sửa nội dung khi thiếu nguồn.</x:v>
      </x:c>
      <x:c r="R29" s="295" t="str">
        <x:v>Phụ lục I, Phần I, II.2</x:v>
      </x:c>
      <x:c r="S29" s="295" t="str">
        <x:v>https://datafiles.chinhphu.vn/cpp/files/vbpq/2020/03/30.signed.pdf</x:v>
      </x:c>
      <x:c r="T29" s="295" t="str">
        <x:v>CÓ</x:v>
      </x:c>
      <x:c r="U29" s="295" t="str">
        <x:v>CHECK_ONLY</x:v>
      </x:c>
      <x:c r="V29" s="295" t="str">
        <x:v>Mã rule con chỉ phục vụ AI đọc; không tự tạo thao tác OOXML.</x:v>
      </x:c>
    </x:row>
    <x:row r="30" ht="28" customHeight="1">
      <x:c r="A30" s="295" t="n">
        <x:v>25</x:v>
      </x:c>
      <x:c r="B30" s="295" t="str">
        <x:v>ND30.D.CQ.LIEN_CO_QUAN.HIEN_DIEN</x:v>
      </x:c>
      <x:c r="C30" s="295" t="str">
        <x:v>ND30.D.CQ.LIEN_CO_QUAN</x:v>
      </x:c>
      <x:c r="D30" s="295" t="str">
        <x:v>Cơ quan ban hành</x:v>
      </x:c>
      <x:c r="E30" s="295" t="str">
        <x:v>Tên các cơ quan cùng ban hành (nếu có)</x:v>
      </x:c>
      <x:c r="F30" s="295" t="str">
        <x:v>Điều kiện hiện diện</x:v>
      </x:c>
      <x:c r="G30" s="295" t="str">
        <x:v>TEXT</x:v>
      </x:c>
      <x:c r="H30" s="295"/>
      <x:c r="I30" s="295" t="str">
        <x:v>CHƯA XÁC MINH RIÊNG</x:v>
      </x:c>
      <x:c r="J30" s="295" t="str">
        <x:v>Không suy ra giới hạn pháp lý</x:v>
      </x:c>
      <x:c r="K30" s="295" t="str">
        <x:v>Chỉ khi có văn bản liên cơ quan; kiểm tra thứ tự và tên các chủ thể</x:v>
      </x:c>
      <x:c r="L30" s="295" t="str">
        <x:v>CHUA_DUYET_DINH_TUYEN</x:v>
      </x:c>
      <x:c r="M30" s="295" t="str">
        <x:v>CHUA_DOI_CHIEU_CU_THE</x:v>
      </x:c>
      <x:c r="N30" s="295" t="str">
        <x:v>Chỉ khi có văn bản liên cơ quan; kiểm tra thứ tự và tên các chủ thể</x:v>
      </x:c>
      <x:c r="O30" s="295" t="str">
        <x:v>Quy định gốc &gt; profile; khi chưa rõ điều kiện thì giữ nguyên; không sinh nội dung.</x:v>
      </x:c>
      <x:c r="P30" s="295" t="str">
        <x:v>PARAGRAPH / RUN / SHAPE tùy thuộc tính</x:v>
      </x:c>
      <x:c r="Q30" s="295" t="str">
        <x:v>Xác định đúng khối Tên các cơ quan cùng ban hành (nếu có); đọc giá trị thực; đối chiếu điều kiện; không sửa nội dung khi thiếu nguồn.</x:v>
      </x:c>
      <x:c r="R30" s="295" t="str">
        <x:v>Chưa có locator xác minh riêng</x:v>
      </x:c>
      <x:c r="S30" s="295" t="str">
        <x:v>https://datafiles.chinhphu.vn/cpp/files/vbpq/2020/03/30.signed.pdf</x:v>
      </x:c>
      <x:c r="T30" s="295" t="str">
        <x:v>CÓ</x:v>
      </x:c>
      <x:c r="U30" s="295" t="str">
        <x:v>CHECK_ONLY</x:v>
      </x:c>
      <x:c r="V30" s="295" t="str">
        <x:v>Phải nhận diện chế độ và chủ thể trước khi áp dụng</x:v>
      </x:c>
    </x:row>
    <x:row r="31" ht="28" customHeight="1">
      <x:c r="A31" s="295" t="n">
        <x:v>26</x:v>
      </x:c>
      <x:c r="B31" s="295" t="str">
        <x:v>ND30.D.CQ.LIEN_CO_QUAN.PHONG_CHU</x:v>
      </x:c>
      <x:c r="C31" s="295" t="str">
        <x:v>ND30.D.CQ.LIEN_CO_QUAN</x:v>
      </x:c>
      <x:c r="D31" s="295" t="str">
        <x:v>Cơ quan ban hành</x:v>
      </x:c>
      <x:c r="E31" s="295" t="str">
        <x:v>Tên các cơ quan cùng ban hành (nếu có)</x:v>
      </x:c>
      <x:c r="F31" s="295" t="str">
        <x:v>Font chữ</x:v>
      </x:c>
      <x:c r="G31" s="295" t="str">
        <x:v>STRING</x:v>
      </x:c>
      <x:c r="H31" s="295"/>
      <x:c r="I31" s="295" t="str">
        <x:v>Times New Roman</x:v>
      </x:c>
      <x:c r="J31" s="295" t="str">
        <x:v>Đúng giá trị/giới hạn riêng</x:v>
      </x:c>
      <x:c r="K31" s="295" t="str">
        <x:v>Times New Roman</x:v>
      </x:c>
      <x:c r="L31" s="295" t="str">
        <x:v>PROFILE_CO_GIA_TRI_CHUA_DUYET</x:v>
      </x:c>
      <x:c r="M31" s="295" t="str">
        <x:v>DOI_CHIEU_CU_THE</x:v>
      </x:c>
      <x:c r="N31" s="295" t="str">
        <x:v>Chỉ khi có văn bản liên cơ quan; kiểm tra thứ tự và tên các chủ thể</x:v>
      </x:c>
      <x:c r="O31" s="295" t="str">
        <x:v>Quy định gốc &gt; profile; khi chưa rõ điều kiện thì giữ nguyên; không sinh nội dung.</x:v>
      </x:c>
      <x:c r="P31" s="295" t="str">
        <x:v>PARAGRAPH / RUN / SHAPE tùy thuộc tính</x:v>
      </x:c>
      <x:c r="Q31" s="295" t="str">
        <x:v>Xác định đúng khối Tên các cơ quan cùng ban hành (nếu có); đọc giá trị thực; đối chiếu điều kiện; không sửa nội dung khi thiếu nguồn.</x:v>
      </x:c>
      <x:c r="R31" s="295" t="str">
        <x:v>Phụ lục I, Phần I, I.4</x:v>
      </x:c>
      <x:c r="S31" s="295" t="str">
        <x:v>https://datafiles.chinhphu.vn/cpp/files/vbpq/2020/03/30.signed.pdf</x:v>
      </x:c>
      <x:c r="T31" s="295" t="str">
        <x:v>CÓ</x:v>
      </x:c>
      <x:c r="U31" s="295" t="str">
        <x:v>CHECK_ONLY</x:v>
      </x:c>
      <x:c r="V31" s="295" t="str"/>
    </x:row>
    <x:row r="32" ht="28" customHeight="1">
      <x:c r="A32" s="295" t="n">
        <x:v>27</x:v>
      </x:c>
      <x:c r="B32" s="295" t="str">
        <x:v>ND30.D.CQ.LIEN_CO_QUAN.CO_CHU</x:v>
      </x:c>
      <x:c r="C32" s="295" t="str">
        <x:v>ND30.D.CQ.LIEN_CO_QUAN</x:v>
      </x:c>
      <x:c r="D32" s="295" t="str">
        <x:v>Cơ quan ban hành</x:v>
      </x:c>
      <x:c r="E32" s="295" t="str">
        <x:v>Tên các cơ quan cùng ban hành (nếu có)</x:v>
      </x:c>
      <x:c r="F32" s="295" t="str">
        <x:v>Cỡ chữ</x:v>
      </x:c>
      <x:c r="G32" s="295" t="str">
        <x:v>NUMBER_OR_RANGE</x:v>
      </x:c>
      <x:c r="H32" s="295" t="str">
        <x:v>pt</x:v>
      </x:c>
      <x:c r="I32" s="295" t="str">
        <x:v>CHƯA XÁC MINH RIÊNG</x:v>
      </x:c>
      <x:c r="J32" s="295" t="str">
        <x:v>Không suy ra giới hạn pháp lý</x:v>
      </x:c>
      <x:c r="K32" s="295" t="n">
        <x:v>12</x:v>
      </x:c>
      <x:c r="L32" s="295" t="str">
        <x:v>PROFILE_CO_GIA_TRI_CHUA_DUYET</x:v>
      </x:c>
      <x:c r="M32" s="295" t="str">
        <x:v>CHUA_DOI_CHIEU_CU_THE</x:v>
      </x:c>
      <x:c r="N32" s="295" t="str">
        <x:v>Chỉ khi có văn bản liên cơ quan; kiểm tra thứ tự và tên các chủ thể</x:v>
      </x:c>
      <x:c r="O32" s="295" t="str">
        <x:v>Quy định gốc &gt; profile; khi chưa rõ điều kiện thì giữ nguyên; không sinh nội dung.</x:v>
      </x:c>
      <x:c r="P32" s="295" t="str">
        <x:v>PARAGRAPH / RUN / SHAPE tùy thuộc tính</x:v>
      </x:c>
      <x:c r="Q32" s="295" t="str">
        <x:v>Xác định đúng khối Tên các cơ quan cùng ban hành (nếu có); đọc giá trị thực; đối chiếu điều kiện; không sửa nội dung khi thiếu nguồn.</x:v>
      </x:c>
      <x:c r="R32" s="295" t="str">
        <x:v>Chưa có locator xác minh riêng</x:v>
      </x:c>
      <x:c r="S32" s="295" t="str">
        <x:v>https://datafiles.chinhphu.vn/cpp/files/vbpq/2020/03/30.signed.pdf</x:v>
      </x:c>
      <x:c r="T32" s="295" t="str">
        <x:v>CÓ</x:v>
      </x:c>
      <x:c r="U32" s="295" t="str">
        <x:v>CHECK_ONLY</x:v>
      </x:c>
      <x:c r="V32" s="295" t="str"/>
    </x:row>
    <x:row r="33" ht="28" customHeight="1">
      <x:c r="A33" s="295" t="n">
        <x:v>28</x:v>
      </x:c>
      <x:c r="B33" s="295" t="str">
        <x:v>ND30.D.CQ.LIEN_CO_QUAN.DAM</x:v>
      </x:c>
      <x:c r="C33" s="295" t="str">
        <x:v>ND30.D.CQ.LIEN_CO_QUAN</x:v>
      </x:c>
      <x:c r="D33" s="295" t="str">
        <x:v>Cơ quan ban hành</x:v>
      </x:c>
      <x:c r="E33" s="295" t="str">
        <x:v>Tên các cơ quan cùng ban hành (nếu có)</x:v>
      </x:c>
      <x:c r="F33" s="295" t="str">
        <x:v>In đậm</x:v>
      </x:c>
      <x:c r="G33" s="295" t="str">
        <x:v>BOOLEAN</x:v>
      </x:c>
      <x:c r="H33" s="295"/>
      <x:c r="I33" s="295" t="str">
        <x:v>CHƯA XÁC MINH RIÊNG</x:v>
      </x:c>
      <x:c r="J33" s="295" t="str">
        <x:v>Không suy ra giới hạn pháp lý</x:v>
      </x:c>
      <x:c r="K33" s="296" t="b">
        <x:v>0</x:v>
      </x:c>
      <x:c r="L33" s="295" t="str">
        <x:v>PROFILE_CO_GIA_TRI_CHUA_DUYET</x:v>
      </x:c>
      <x:c r="M33" s="295" t="str">
        <x:v>CHUA_DOI_CHIEU_CU_THE</x:v>
      </x:c>
      <x:c r="N33" s="295" t="str">
        <x:v>Chỉ khi có văn bản liên cơ quan; kiểm tra thứ tự và tên các chủ thể</x:v>
      </x:c>
      <x:c r="O33" s="295" t="str">
        <x:v>Quy định gốc &gt; profile; khi chưa rõ điều kiện thì giữ nguyên; không sinh nội dung.</x:v>
      </x:c>
      <x:c r="P33" s="295" t="str">
        <x:v>PARAGRAPH / RUN / SHAPE tùy thuộc tính</x:v>
      </x:c>
      <x:c r="Q33" s="295" t="str">
        <x:v>Xác định đúng khối Tên các cơ quan cùng ban hành (nếu có); đọc giá trị thực; đối chiếu điều kiện; không sửa nội dung khi thiếu nguồn.</x:v>
      </x:c>
      <x:c r="R33" s="295" t="str">
        <x:v>Chưa có locator xác minh riêng</x:v>
      </x:c>
      <x:c r="S33" s="295" t="str">
        <x:v>https://datafiles.chinhphu.vn/cpp/files/vbpq/2020/03/30.signed.pdf</x:v>
      </x:c>
      <x:c r="T33" s="295" t="str">
        <x:v>CÓ</x:v>
      </x:c>
      <x:c r="U33" s="295" t="str">
        <x:v>CHECK_ONLY</x:v>
      </x:c>
      <x:c r="V33" s="295" t="str"/>
    </x:row>
    <x:row r="34" ht="28" customHeight="1">
      <x:c r="A34" s="295" t="n">
        <x:v>29</x:v>
      </x:c>
      <x:c r="B34" s="295" t="str">
        <x:v>ND30.D.CQ.LIEN_CO_QUAN.NGHIENG</x:v>
      </x:c>
      <x:c r="C34" s="295" t="str">
        <x:v>ND30.D.CQ.LIEN_CO_QUAN</x:v>
      </x:c>
      <x:c r="D34" s="295" t="str">
        <x:v>Cơ quan ban hành</x:v>
      </x:c>
      <x:c r="E34" s="295" t="str">
        <x:v>Tên các cơ quan cùng ban hành (nếu có)</x:v>
      </x:c>
      <x:c r="F34" s="295" t="str">
        <x:v>In nghiêng</x:v>
      </x:c>
      <x:c r="G34" s="295" t="str">
        <x:v>BOOLEAN</x:v>
      </x:c>
      <x:c r="H34" s="295"/>
      <x:c r="I34" s="295" t="str">
        <x:v>CHƯA XÁC MINH RIÊNG</x:v>
      </x:c>
      <x:c r="J34" s="295" t="str">
        <x:v>Không suy ra giới hạn pháp lý</x:v>
      </x:c>
      <x:c r="K34" s="296" t="b">
        <x:v>0</x:v>
      </x:c>
      <x:c r="L34" s="295" t="str">
        <x:v>PROFILE_CO_GIA_TRI_CHUA_DUYET</x:v>
      </x:c>
      <x:c r="M34" s="295" t="str">
        <x:v>CHUA_DOI_CHIEU_CU_THE</x:v>
      </x:c>
      <x:c r="N34" s="295" t="str">
        <x:v>Chỉ khi có văn bản liên cơ quan; kiểm tra thứ tự và tên các chủ thể</x:v>
      </x:c>
      <x:c r="O34" s="295" t="str">
        <x:v>Quy định gốc &gt; profile; khi chưa rõ điều kiện thì giữ nguyên; không sinh nội dung.</x:v>
      </x:c>
      <x:c r="P34" s="295" t="str">
        <x:v>PARAGRAPH / RUN / SHAPE tùy thuộc tính</x:v>
      </x:c>
      <x:c r="Q34" s="295" t="str">
        <x:v>Xác định đúng khối Tên các cơ quan cùng ban hành (nếu có); đọc giá trị thực; đối chiếu điều kiện; không sửa nội dung khi thiếu nguồn.</x:v>
      </x:c>
      <x:c r="R34" s="295" t="str">
        <x:v>Chưa có locator xác minh riêng</x:v>
      </x:c>
      <x:c r="S34" s="295" t="str">
        <x:v>https://datafiles.chinhphu.vn/cpp/files/vbpq/2020/03/30.signed.pdf</x:v>
      </x:c>
      <x:c r="T34" s="295" t="str">
        <x:v>CÓ</x:v>
      </x:c>
      <x:c r="U34" s="295" t="str">
        <x:v>CHECK_ONLY</x:v>
      </x:c>
      <x:c r="V34" s="295" t="str"/>
    </x:row>
    <x:row r="35" ht="28" customHeight="1">
      <x:c r="A35" s="295" t="n">
        <x:v>30</x:v>
      </x:c>
      <x:c r="B35" s="295" t="str">
        <x:v>ND30.D.CQ.LIEN_CO_QUAN.KIEU_CHU</x:v>
      </x:c>
      <x:c r="C35" s="295" t="str">
        <x:v>ND30.D.CQ.LIEN_CO_QUAN</x:v>
      </x:c>
      <x:c r="D35" s="295" t="str">
        <x:v>Cơ quan ban hành</x:v>
      </x:c>
      <x:c r="E35" s="295" t="str">
        <x:v>Tên các cơ quan cùng ban hành (nếu có)</x:v>
      </x:c>
      <x:c r="F35" s="295" t="str">
        <x:v>Kiểu viết hoa/thường</x:v>
      </x:c>
      <x:c r="G35" s="295" t="str">
        <x:v>ENUM</x:v>
      </x:c>
      <x:c r="H35" s="295"/>
      <x:c r="I35" s="295" t="str">
        <x:v>CHƯA XÁC MINH RIÊNG</x:v>
      </x:c>
      <x:c r="J35" s="295" t="str">
        <x:v>Không suy ra giới hạn pháp lý</x:v>
      </x:c>
      <x:c r="K35" s="295" t="str">
        <x:v>In hoa</x:v>
      </x:c>
      <x:c r="L35" s="295" t="str">
        <x:v>PROFILE_CHO_XAC_MINH_PHAP_NHAN</x:v>
      </x:c>
      <x:c r="M35" s="295" t="str">
        <x:v>CHUA_DOI_CHIEU_CU_THE</x:v>
      </x:c>
      <x:c r="N35" s="295" t="str">
        <x:v>Chỉ khi có văn bản liên cơ quan; kiểm tra thứ tự và tên các chủ thể</x:v>
      </x:c>
      <x:c r="O35" s="295" t="str">
        <x:v>Quy định gốc &gt; profile; khi chưa rõ điều kiện thì giữ nguyên; không sinh nội dung.</x:v>
      </x:c>
      <x:c r="P35" s="295" t="str">
        <x:v>PARAGRAPH / RUN / SHAPE tùy thuộc tính</x:v>
      </x:c>
      <x:c r="Q35" s="295" t="str">
        <x:v>Xác định đúng khối Tên các cơ quan cùng ban hành (nếu có); đọc giá trị thực; đối chiếu điều kiện; không sửa nội dung khi thiếu nguồn.</x:v>
      </x:c>
      <x:c r="R35" s="295" t="str">
        <x:v>Chưa có locator xác minh riêng</x:v>
      </x:c>
      <x:c r="S35" s="295" t="str">
        <x:v>https://datafiles.chinhphu.vn/cpp/files/vbpq/2020/03/30.signed.pdf</x:v>
      </x:c>
      <x:c r="T35" s="295" t="str">
        <x:v>CÓ</x:v>
      </x:c>
      <x:c r="U35" s="295" t="str">
        <x:v>CHECK_ONLY</x:v>
      </x:c>
      <x:c r="V35" s="295" t="str"/>
    </x:row>
    <x:row r="36" ht="28" customHeight="1">
      <x:c r="A36" s="295" t="n">
        <x:v>31</x:v>
      </x:c>
      <x:c r="B36" s="295" t="str">
        <x:v>ND30.D.CQ.LIEN_CO_QUAN.CAN_NGANG</x:v>
      </x:c>
      <x:c r="C36" s="295" t="str">
        <x:v>ND30.D.CQ.LIEN_CO_QUAN</x:v>
      </x:c>
      <x:c r="D36" s="295" t="str">
        <x:v>Cơ quan ban hành</x:v>
      </x:c>
      <x:c r="E36" s="295" t="str">
        <x:v>Tên các cơ quan cùng ban hành (nếu có)</x:v>
      </x:c>
      <x:c r="F36" s="295" t="str">
        <x:v>Căn ngang</x:v>
      </x:c>
      <x:c r="G36" s="295" t="str">
        <x:v>ENUM</x:v>
      </x:c>
      <x:c r="H36" s="295"/>
      <x:c r="I36" s="295" t="str">
        <x:v>CHƯA XÁC MINH RIÊNG</x:v>
      </x:c>
      <x:c r="J36" s="295" t="str">
        <x:v>Không suy ra giới hạn pháp lý</x:v>
      </x:c>
      <x:c r="K36" s="295" t="str">
        <x:v>CENTER</x:v>
      </x:c>
      <x:c r="L36" s="295" t="str">
        <x:v>PROFILE_CO_GIA_TRI_CHUA_DUYET</x:v>
      </x:c>
      <x:c r="M36" s="295" t="str">
        <x:v>CHUA_DOI_CHIEU_CU_THE</x:v>
      </x:c>
      <x:c r="N36" s="295" t="str">
        <x:v>Chỉ khi có văn bản liên cơ quan; kiểm tra thứ tự và tên các chủ thể</x:v>
      </x:c>
      <x:c r="O36" s="295" t="str">
        <x:v>Quy định gốc &gt; profile; khi chưa rõ điều kiện thì giữ nguyên; không sinh nội dung.</x:v>
      </x:c>
      <x:c r="P36" s="295" t="str">
        <x:v>PARAGRAPH / RUN / SHAPE tùy thuộc tính</x:v>
      </x:c>
      <x:c r="Q36" s="295" t="str">
        <x:v>Xác định đúng khối Tên các cơ quan cùng ban hành (nếu có); đọc giá trị thực; đối chiếu điều kiện; không sửa nội dung khi thiếu nguồn.</x:v>
      </x:c>
      <x:c r="R36" s="295" t="str">
        <x:v>Chưa có locator xác minh riêng</x:v>
      </x:c>
      <x:c r="S36" s="295" t="str">
        <x:v>https://datafiles.chinhphu.vn/cpp/files/vbpq/2020/03/30.signed.pdf</x:v>
      </x:c>
      <x:c r="T36" s="295" t="str">
        <x:v>CÓ</x:v>
      </x:c>
      <x:c r="U36" s="295" t="str">
        <x:v>CHECK_ONLY</x:v>
      </x:c>
      <x:c r="V36" s="295" t="str"/>
    </x:row>
    <x:row r="37" ht="28" customHeight="1">
      <x:c r="A37" s="295" t="n">
        <x:v>32</x:v>
      </x:c>
      <x:c r="B37" s="295" t="str">
        <x:v>ND30.D.CQ.LIEN_CO_QUAN.CACH_SAU</x:v>
      </x:c>
      <x:c r="C37" s="295" t="str">
        <x:v>ND30.D.CQ.LIEN_CO_QUAN</x:v>
      </x:c>
      <x:c r="D37" s="295" t="str">
        <x:v>Cơ quan ban hành</x:v>
      </x:c>
      <x:c r="E37" s="295" t="str">
        <x:v>Tên các cơ quan cùng ban hành (nếu có)</x:v>
      </x:c>
      <x:c r="F37" s="295" t="str">
        <x:v>Khoảng cách sau đoạn</x:v>
      </x:c>
      <x:c r="G37" s="295" t="str">
        <x:v>NUMBER</x:v>
      </x:c>
      <x:c r="H37" s="295" t="str">
        <x:v>pt</x:v>
      </x:c>
      <x:c r="I37" s="295" t="str">
        <x:v>CHƯA XÁC MINH RIÊNG</x:v>
      </x:c>
      <x:c r="J37" s="295" t="str">
        <x:v>Không suy ra giới hạn pháp lý</x:v>
      </x:c>
      <x:c r="K37" s="295" t="n">
        <x:v>0</x:v>
      </x:c>
      <x:c r="L37" s="295" t="str">
        <x:v>PROFILE_CHO_RAO_SOAT</x:v>
      </x:c>
      <x:c r="M37" s="295" t="str">
        <x:v>CHUA_DOI_CHIEU_CU_THE</x:v>
      </x:c>
      <x:c r="N37" s="295" t="str">
        <x:v>Chỉ khi có văn bản liên cơ quan; kiểm tra thứ tự và tên các chủ thể</x:v>
      </x:c>
      <x:c r="O37" s="295" t="str">
        <x:v>Quy định gốc &gt; profile; khi chưa rõ điều kiện thì giữ nguyên; không sinh nội dung.</x:v>
      </x:c>
      <x:c r="P37" s="295" t="str">
        <x:v>PARAGRAPH / RUN / SHAPE tùy thuộc tính</x:v>
      </x:c>
      <x:c r="Q37" s="295" t="str">
        <x:v>Xác định đúng khối Tên các cơ quan cùng ban hành (nếu có); đọc giá trị thực; đối chiếu điều kiện; không sửa nội dung khi thiếu nguồn.</x:v>
      </x:c>
      <x:c r="R37" s="295" t="str">
        <x:v>Chưa có locator xác minh riêng</x:v>
      </x:c>
      <x:c r="S37" s="295" t="str">
        <x:v>https://datafiles.chinhphu.vn/cpp/files/vbpq/2020/03/30.signed.pdf</x:v>
      </x:c>
      <x:c r="T37" s="295" t="str">
        <x:v>CÓ</x:v>
      </x:c>
      <x:c r="U37" s="295" t="str">
        <x:v>CHECK_ONLY</x:v>
      </x:c>
      <x:c r="V37" s="295" t="str">
        <x:v>Không tự chèn đoạn trắng</x:v>
      </x:c>
    </x:row>
    <x:row r="38" ht="28" customHeight="1">
      <x:c r="A38" s="295" t="n">
        <x:v>33</x:v>
      </x:c>
      <x:c r="B38" s="295" t="str">
        <x:v>ND30.D.CQ.LIEN_CO_QUAN.GIAN_DONG</x:v>
      </x:c>
      <x:c r="C38" s="295" t="str">
        <x:v>ND30.D.CQ.LIEN_CO_QUAN</x:v>
      </x:c>
      <x:c r="D38" s="295" t="str">
        <x:v>Cơ quan ban hành</x:v>
      </x:c>
      <x:c r="E38" s="295" t="str">
        <x:v>Tên các cơ quan cùng ban hành (nếu có)</x:v>
      </x:c>
      <x:c r="F38" s="295" t="str">
        <x:v>Giãn dòng</x:v>
      </x:c>
      <x:c r="G38" s="295" t="str">
        <x:v>NUMBER</x:v>
      </x:c>
      <x:c r="H38" s="295" t="str">
        <x:v>lines</x:v>
      </x:c>
      <x:c r="I38" s="295" t="str">
        <x:v>CHƯA XÁC MINH RIÊNG</x:v>
      </x:c>
      <x:c r="J38" s="295" t="str">
        <x:v>Không suy ra giới hạn pháp lý</x:v>
      </x:c>
      <x:c r="K38" s="295" t="str">
        <x:v>SINGLE</x:v>
      </x:c>
      <x:c r="L38" s="295" t="str">
        <x:v>PROFILE_CHO_RAO_SOAT</x:v>
      </x:c>
      <x:c r="M38" s="295" t="str">
        <x:v>CHUA_DOI_CHIEU_CU_THE</x:v>
      </x:c>
      <x:c r="N38" s="295" t="str">
        <x:v>Chỉ khi có văn bản liên cơ quan; kiểm tra thứ tự và tên các chủ thể</x:v>
      </x:c>
      <x:c r="O38" s="295" t="str">
        <x:v>Quy định gốc &gt; profile; khi chưa rõ điều kiện thì giữ nguyên; không sinh nội dung.</x:v>
      </x:c>
      <x:c r="P38" s="295" t="str">
        <x:v>PARAGRAPH / RUN / SHAPE tùy thuộc tính</x:v>
      </x:c>
      <x:c r="Q38" s="295" t="str">
        <x:v>Xác định đúng khối Tên các cơ quan cùng ban hành (nếu có); đọc giá trị thực; đối chiếu điều kiện; không sửa nội dung khi thiếu nguồn.</x:v>
      </x:c>
      <x:c r="R38" s="295" t="str">
        <x:v>Chưa có locator xác minh riêng</x:v>
      </x:c>
      <x:c r="S38" s="295" t="str">
        <x:v>https://datafiles.chinhphu.vn/cpp/files/vbpq/2020/03/30.signed.pdf</x:v>
      </x:c>
      <x:c r="T38" s="295" t="str">
        <x:v>CÓ</x:v>
      </x:c>
      <x:c r="U38" s="295" t="str">
        <x:v>CHECK_ONLY</x:v>
      </x:c>
      <x:c r="V38" s="295" t="str">
        <x:v>Giãn dòng phần đầu không được tự đồng nhất với thân bài.</x:v>
      </x:c>
    </x:row>
    <x:row r="39" ht="28" customHeight="1">
      <x:c r="A39" s="295" t="n">
        <x:v>34</x:v>
      </x:c>
      <x:c r="B39" s="295" t="str">
        <x:v>ND30.D.CQ.LIEN_CO_QUAN.TEN_NHIEU_CO_QUAN</x:v>
      </x:c>
      <x:c r="C39" s="295" t="str">
        <x:v>ND30.D.CQ.LIEN_CO_QUAN</x:v>
      </x:c>
      <x:c r="D39" s="295" t="str">
        <x:v>Cơ quan ban hành</x:v>
      </x:c>
      <x:c r="E39" s="295" t="str">
        <x:v>Tên các cơ quan cùng ban hành (nếu có)</x:v>
      </x:c>
      <x:c r="F39" s="295" t="str">
        <x:v>Tên các cơ quan liên kết</x:v>
      </x:c>
      <x:c r="G39" s="295" t="str">
        <x:v>TEXT</x:v>
      </x:c>
      <x:c r="H39" s="295"/>
      <x:c r="I39" s="295" t="str">
        <x:v>CHƯA XÁC MINH RIÊNG</x:v>
      </x:c>
      <x:c r="J39" s="295" t="str">
        <x:v>Không suy ra giới hạn pháp lý</x:v>
      </x:c>
      <x:c r="K39" s="295"/>
      <x:c r="L39" s="295" t="str">
        <x:v>KHONG_AP_DUNG_HOAC_CHUA_DU_GIA_TRI</x:v>
      </x:c>
      <x:c r="M39" s="295" t="str">
        <x:v>CHUA_DOI_CHIEU_CU_THE</x:v>
      </x:c>
      <x:c r="N39" s="295" t="str">
        <x:v>Chỉ khi có văn bản liên cơ quan; kiểm tra thứ tự và tên các chủ thể</x:v>
      </x:c>
      <x:c r="O39" s="295" t="str">
        <x:v>Quy định gốc &gt; profile; khi chưa rõ điều kiện thì giữ nguyên; không sinh nội dung.</x:v>
      </x:c>
      <x:c r="P39" s="295" t="str">
        <x:v>PARAGRAPH / RUN / SHAPE tùy thuộc tính</x:v>
      </x:c>
      <x:c r="Q39" s="295" t="str">
        <x:v>Xác định đúng khối Tên các cơ quan cùng ban hành (nếu có); đọc giá trị thực; đối chiếu điều kiện; không sửa nội dung khi thiếu nguồn.</x:v>
      </x:c>
      <x:c r="R39" s="295" t="str">
        <x:v>Chưa có locator xác minh riêng</x:v>
      </x:c>
      <x:c r="S39" s="295" t="str">
        <x:v>https://datafiles.chinhphu.vn/cpp/files/vbpq/2020/03/30.signed.pdf</x:v>
      </x:c>
      <x:c r="T39" s="295" t="str">
        <x:v>CÓ</x:v>
      </x:c>
      <x:c r="U39" s="295" t="str">
        <x:v>CHECK_ONLY</x:v>
      </x:c>
      <x:c r="V39" s="295" t="str">
        <x:v>Chỉ phát sinh khi đồng ban hành</x:v>
      </x:c>
    </x:row>
    <x:row r="40" ht="28" customHeight="1">
      <x:c r="A40" s="295" t="n">
        <x:v>35</x:v>
      </x:c>
      <x:c r="B40" s="295" t="str">
        <x:v>ND30.D.QH.QUOC_HIEU.HIEN_DIEN</x:v>
      </x:c>
      <x:c r="C40" s="295" t="str">
        <x:v>ND30.D.QH.QUOC_HIEU</x:v>
      </x:c>
      <x:c r="D40" s="295" t="str">
        <x:v>Quốc hiệu/Tiêu ngữ</x:v>
      </x:c>
      <x:c r="E40" s="295" t="str">
        <x:v>Quốc hiệu</x:v>
      </x:c>
      <x:c r="F40" s="295" t="str">
        <x:v>Điều kiện hiện diện</x:v>
      </x:c>
      <x:c r="G40" s="295" t="str">
        <x:v>TEXT</x:v>
      </x:c>
      <x:c r="H40" s="295"/>
      <x:c r="I40" s="295" t="str">
        <x:v>CHƯA XÁC MINH RIÊNG</x:v>
      </x:c>
      <x:c r="J40" s="295" t="str">
        <x:v>Không suy ra giới hạn pháp lý</x:v>
      </x:c>
      <x:c r="K40" s="295" t="str">
        <x:v>Chỉ NĐ30; tại góc trên bên phải trang đầu</x:v>
      </x:c>
      <x:c r="L40" s="295" t="str">
        <x:v>CHUA_DUYET_DINH_TUYEN</x:v>
      </x:c>
      <x:c r="M40" s="295" t="str">
        <x:v>CHUA_DOI_CHIEU_CU_THE</x:v>
      </x:c>
      <x:c r="N40" s="295" t="str">
        <x:v>Chỉ NĐ30; tại góc trên bên phải trang đầu</x:v>
      </x:c>
      <x:c r="O40" s="295" t="str">
        <x:v>Quy định gốc &gt; profile; khi chưa rõ điều kiện thì giữ nguyên; không sinh nội dung.</x:v>
      </x:c>
      <x:c r="P40" s="295" t="str">
        <x:v>PARAGRAPH / RUN / SHAPE tùy thuộc tính</x:v>
      </x:c>
      <x:c r="Q40" s="295" t="str">
        <x:v>Xác định đúng khối Quốc hiệu; đọc giá trị thực; đối chiếu điều kiện; không sửa nội dung khi thiếu nguồn.</x:v>
      </x:c>
      <x:c r="R40" s="295" t="str">
        <x:v>Chưa có locator xác minh riêng</x:v>
      </x:c>
      <x:c r="S40" s="295" t="str">
        <x:v>https://datafiles.chinhphu.vn/cpp/files/vbpq/2020/03/30.signed.pdf</x:v>
      </x:c>
      <x:c r="T40" s="295" t="str">
        <x:v>CÓ</x:v>
      </x:c>
      <x:c r="U40" s="295" t="str">
        <x:v>CHECK_ONLY</x:v>
      </x:c>
      <x:c r="V40" s="295" t="str">
        <x:v>Phải nhận diện chế độ và chủ thể trước khi áp dụng</x:v>
      </x:c>
    </x:row>
    <x:row r="41" ht="28" customHeight="1">
      <x:c r="A41" s="295" t="n">
        <x:v>36</x:v>
      </x:c>
      <x:c r="B41" s="295" t="str">
        <x:v>ND30.D.QH.QUOC_HIEU.PHONG_CHU</x:v>
      </x:c>
      <x:c r="C41" s="295" t="str">
        <x:v>ND30.D.QH.QUOC_HIEU</x:v>
      </x:c>
      <x:c r="D41" s="295" t="str">
        <x:v>Quốc hiệu/Tiêu ngữ</x:v>
      </x:c>
      <x:c r="E41" s="295" t="str">
        <x:v>Quốc hiệu</x:v>
      </x:c>
      <x:c r="F41" s="295" t="str">
        <x:v>Font chữ</x:v>
      </x:c>
      <x:c r="G41" s="295" t="str">
        <x:v>STRING</x:v>
      </x:c>
      <x:c r="H41" s="295"/>
      <x:c r="I41" s="295" t="str">
        <x:v>Times New Roman</x:v>
      </x:c>
      <x:c r="J41" s="295" t="str">
        <x:v>Đúng giá trị/giới hạn riêng</x:v>
      </x:c>
      <x:c r="K41" s="295" t="str">
        <x:v>Times New Roman</x:v>
      </x:c>
      <x:c r="L41" s="295" t="str">
        <x:v>PROFILE_CO_GIA_TRI_CHUA_DUYET</x:v>
      </x:c>
      <x:c r="M41" s="295" t="str">
        <x:v>DOI_CHIEU_CU_THE</x:v>
      </x:c>
      <x:c r="N41" s="295" t="str">
        <x:v>Chỉ NĐ30; tại góc trên bên phải trang đầu</x:v>
      </x:c>
      <x:c r="O41" s="295" t="str">
        <x:v>Quy định gốc &gt; profile; khi chưa rõ điều kiện thì giữ nguyên; không sinh nội dung.</x:v>
      </x:c>
      <x:c r="P41" s="295" t="str">
        <x:v>PARAGRAPH / RUN / SHAPE tùy thuộc tính</x:v>
      </x:c>
      <x:c r="Q41" s="295" t="str">
        <x:v>Xác định đúng khối Quốc hiệu; đọc giá trị thực; đối chiếu điều kiện; không sửa nội dung khi thiếu nguồn.</x:v>
      </x:c>
      <x:c r="R41" s="295" t="str">
        <x:v>Phụ lục I, Phần I, I.4</x:v>
      </x:c>
      <x:c r="S41" s="295" t="str">
        <x:v>https://datafiles.chinhphu.vn/cpp/files/vbpq/2020/03/30.signed.pdf</x:v>
      </x:c>
      <x:c r="T41" s="295" t="str">
        <x:v>CÓ</x:v>
      </x:c>
      <x:c r="U41" s="295" t="str">
        <x:v>CHECK_ONLY</x:v>
      </x:c>
      <x:c r="V41" s="295" t="str"/>
    </x:row>
    <x:row r="42" ht="28" customHeight="1">
      <x:c r="A42" s="295" t="n">
        <x:v>37</x:v>
      </x:c>
      <x:c r="B42" s="295" t="str">
        <x:v>ND30.D.QH.QUOC_HIEU.CO_CHU</x:v>
      </x:c>
      <x:c r="C42" s="295" t="str">
        <x:v>ND30.D.QH.QUOC_HIEU</x:v>
      </x:c>
      <x:c r="D42" s="295" t="str">
        <x:v>Quốc hiệu/Tiêu ngữ</x:v>
      </x:c>
      <x:c r="E42" s="295" t="str">
        <x:v>Quốc hiệu</x:v>
      </x:c>
      <x:c r="F42" s="295" t="str">
        <x:v>Cỡ chữ</x:v>
      </x:c>
      <x:c r="G42" s="295" t="str">
        <x:v>NUMBER_OR_RANGE</x:v>
      </x:c>
      <x:c r="H42" s="295" t="str">
        <x:v>pt</x:v>
      </x:c>
      <x:c r="I42" s="295" t="str">
        <x:v>12–13</x:v>
      </x:c>
      <x:c r="J42" s="295" t="str">
        <x:v>Đúng giá trị/giới hạn riêng</x:v>
      </x:c>
      <x:c r="K42" s="295" t="n">
        <x:v>12</x:v>
      </x:c>
      <x:c r="L42" s="295" t="str">
        <x:v>PROFILE_CO_GIA_TRI_CHUA_DUYET</x:v>
      </x:c>
      <x:c r="M42" s="295" t="str">
        <x:v>DOI_CHIEU_CU_THE</x:v>
      </x:c>
      <x:c r="N42" s="295" t="str">
        <x:v>Chỉ NĐ30; tại góc trên bên phải trang đầu</x:v>
      </x:c>
      <x:c r="O42" s="295" t="str">
        <x:v>Quy định gốc &gt; profile; khi chưa rõ điều kiện thì giữ nguyên; không sinh nội dung.</x:v>
      </x:c>
      <x:c r="P42" s="295" t="str">
        <x:v>PARAGRAPH / RUN / SHAPE tùy thuộc tính</x:v>
      </x:c>
      <x:c r="Q42" s="295" t="str">
        <x:v>Xác định đúng khối Quốc hiệu; đọc giá trị thực; đối chiếu điều kiện; không sửa nội dung khi thiếu nguồn.</x:v>
      </x:c>
      <x:c r="R42" s="295" t="str">
        <x:v>Phụ lục I, Phần I, II.1.a</x:v>
      </x:c>
      <x:c r="S42" s="295" t="str">
        <x:v>https://datafiles.chinhphu.vn/cpp/files/vbpq/2020/03/30.signed.pdf</x:v>
      </x:c>
      <x:c r="T42" s="295" t="str">
        <x:v>CÓ</x:v>
      </x:c>
      <x:c r="U42" s="295" t="str">
        <x:v>CHECK_ONLY</x:v>
      </x:c>
      <x:c r="V42" s="295" t="str"/>
    </x:row>
    <x:row r="43" ht="28" customHeight="1">
      <x:c r="A43" s="295" t="n">
        <x:v>38</x:v>
      </x:c>
      <x:c r="B43" s="295" t="str">
        <x:v>ND30.D.QH.QUOC_HIEU.DAM</x:v>
      </x:c>
      <x:c r="C43" s="295" t="str">
        <x:v>ND30.D.QH.QUOC_HIEU</x:v>
      </x:c>
      <x:c r="D43" s="295" t="str">
        <x:v>Quốc hiệu/Tiêu ngữ</x:v>
      </x:c>
      <x:c r="E43" s="295" t="str">
        <x:v>Quốc hiệu</x:v>
      </x:c>
      <x:c r="F43" s="295" t="str">
        <x:v>In đậm</x:v>
      </x:c>
      <x:c r="G43" s="295" t="str">
        <x:v>BOOLEAN</x:v>
      </x:c>
      <x:c r="H43" s="295"/>
      <x:c r="I43" s="296" t="b">
        <x:v>1</x:v>
      </x:c>
      <x:c r="J43" s="295" t="str">
        <x:v>Đúng giá trị/giới hạn riêng</x:v>
      </x:c>
      <x:c r="K43" s="296" t="b">
        <x:v>1</x:v>
      </x:c>
      <x:c r="L43" s="295" t="str">
        <x:v>PROFILE_CO_GIA_TRI_CHUA_DUYET</x:v>
      </x:c>
      <x:c r="M43" s="295" t="str">
        <x:v>DOI_CHIEU_CU_THE</x:v>
      </x:c>
      <x:c r="N43" s="295" t="str">
        <x:v>Chỉ NĐ30; tại góc trên bên phải trang đầu</x:v>
      </x:c>
      <x:c r="O43" s="295" t="str">
        <x:v>Quy định gốc &gt; profile; khi chưa rõ điều kiện thì giữ nguyên; không sinh nội dung.</x:v>
      </x:c>
      <x:c r="P43" s="295" t="str">
        <x:v>PARAGRAPH / RUN / SHAPE tùy thuộc tính</x:v>
      </x:c>
      <x:c r="Q43" s="295" t="str">
        <x:v>Xác định đúng khối Quốc hiệu; đọc giá trị thực; đối chiếu điều kiện; không sửa nội dung khi thiếu nguồn.</x:v>
      </x:c>
      <x:c r="R43" s="295" t="str">
        <x:v>Phụ lục I, Phần I, II.1.a</x:v>
      </x:c>
      <x:c r="S43" s="295" t="str">
        <x:v>https://datafiles.chinhphu.vn/cpp/files/vbpq/2020/03/30.signed.pdf</x:v>
      </x:c>
      <x:c r="T43" s="295" t="str">
        <x:v>CÓ</x:v>
      </x:c>
      <x:c r="U43" s="295" t="str">
        <x:v>CHECK_ONLY</x:v>
      </x:c>
      <x:c r="V43" s="295" t="str"/>
    </x:row>
    <x:row r="44" ht="28" customHeight="1">
      <x:c r="A44" s="295" t="n">
        <x:v>39</x:v>
      </x:c>
      <x:c r="B44" s="295" t="str">
        <x:v>ND30.D.QH.QUOC_HIEU.NGHIENG</x:v>
      </x:c>
      <x:c r="C44" s="295" t="str">
        <x:v>ND30.D.QH.QUOC_HIEU</x:v>
      </x:c>
      <x:c r="D44" s="295" t="str">
        <x:v>Quốc hiệu/Tiêu ngữ</x:v>
      </x:c>
      <x:c r="E44" s="295" t="str">
        <x:v>Quốc hiệu</x:v>
      </x:c>
      <x:c r="F44" s="295" t="str">
        <x:v>In nghiêng</x:v>
      </x:c>
      <x:c r="G44" s="295" t="str">
        <x:v>BOOLEAN</x:v>
      </x:c>
      <x:c r="H44" s="295"/>
      <x:c r="I44" s="296" t="b">
        <x:v>0</x:v>
      </x:c>
      <x:c r="J44" s="295" t="str">
        <x:v>Đúng giá trị/giới hạn riêng</x:v>
      </x:c>
      <x:c r="K44" s="296" t="b">
        <x:v>0</x:v>
      </x:c>
      <x:c r="L44" s="295" t="str">
        <x:v>PROFILE_CO_GIA_TRI_CHUA_DUYET</x:v>
      </x:c>
      <x:c r="M44" s="295" t="str">
        <x:v>DOI_CHIEU_CU_THE</x:v>
      </x:c>
      <x:c r="N44" s="295" t="str">
        <x:v>Chỉ NĐ30; tại góc trên bên phải trang đầu</x:v>
      </x:c>
      <x:c r="O44" s="295" t="str">
        <x:v>Quy định gốc &gt; profile; khi chưa rõ điều kiện thì giữ nguyên; không sinh nội dung.</x:v>
      </x:c>
      <x:c r="P44" s="295" t="str">
        <x:v>PARAGRAPH / RUN / SHAPE tùy thuộc tính</x:v>
      </x:c>
      <x:c r="Q44" s="295" t="str">
        <x:v>Xác định đúng khối Quốc hiệu; đọc giá trị thực; đối chiếu điều kiện; không sửa nội dung khi thiếu nguồn.</x:v>
      </x:c>
      <x:c r="R44" s="295" t="str">
        <x:v>Phụ lục I, Phần I, II.1.a</x:v>
      </x:c>
      <x:c r="S44" s="295" t="str">
        <x:v>https://datafiles.chinhphu.vn/cpp/files/vbpq/2020/03/30.signed.pdf</x:v>
      </x:c>
      <x:c r="T44" s="295" t="str">
        <x:v>CÓ</x:v>
      </x:c>
      <x:c r="U44" s="295" t="str">
        <x:v>CHECK_ONLY</x:v>
      </x:c>
      <x:c r="V44" s="295" t="str"/>
    </x:row>
    <x:row r="45" ht="28" customHeight="1">
      <x:c r="A45" s="295" t="n">
        <x:v>40</x:v>
      </x:c>
      <x:c r="B45" s="295" t="str">
        <x:v>ND30.D.QH.QUOC_HIEU.KIEU_CHU</x:v>
      </x:c>
      <x:c r="C45" s="295" t="str">
        <x:v>ND30.D.QH.QUOC_HIEU</x:v>
      </x:c>
      <x:c r="D45" s="295" t="str">
        <x:v>Quốc hiệu/Tiêu ngữ</x:v>
      </x:c>
      <x:c r="E45" s="295" t="str">
        <x:v>Quốc hiệu</x:v>
      </x:c>
      <x:c r="F45" s="295" t="str">
        <x:v>Kiểu viết hoa/thường</x:v>
      </x:c>
      <x:c r="G45" s="295" t="str">
        <x:v>ENUM</x:v>
      </x:c>
      <x:c r="H45" s="295"/>
      <x:c r="I45" s="295" t="str">
        <x:v>IN HOA</x:v>
      </x:c>
      <x:c r="J45" s="295" t="str">
        <x:v>Đúng giá trị/giới hạn riêng</x:v>
      </x:c>
      <x:c r="K45" s="295" t="str">
        <x:v>IN HOA</x:v>
      </x:c>
      <x:c r="L45" s="295" t="str">
        <x:v>PROFILE_CO_GIA_TRI_CHUA_DUYET</x:v>
      </x:c>
      <x:c r="M45" s="295" t="str">
        <x:v>DOI_CHIEU_CU_THE</x:v>
      </x:c>
      <x:c r="N45" s="295" t="str">
        <x:v>Chỉ NĐ30; tại góc trên bên phải trang đầu</x:v>
      </x:c>
      <x:c r="O45" s="295" t="str">
        <x:v>Quy định gốc &gt; profile; khi chưa rõ điều kiện thì giữ nguyên; không sinh nội dung.</x:v>
      </x:c>
      <x:c r="P45" s="295" t="str">
        <x:v>PARAGRAPH / RUN / SHAPE tùy thuộc tính</x:v>
      </x:c>
      <x:c r="Q45" s="295" t="str">
        <x:v>Xác định đúng khối Quốc hiệu; đọc giá trị thực; đối chiếu điều kiện; không sửa nội dung khi thiếu nguồn.</x:v>
      </x:c>
      <x:c r="R45" s="295" t="str">
        <x:v>Phụ lục I, Phần I, II.1.a</x:v>
      </x:c>
      <x:c r="S45" s="295" t="str">
        <x:v>https://datafiles.chinhphu.vn/cpp/files/vbpq/2020/03/30.signed.pdf</x:v>
      </x:c>
      <x:c r="T45" s="295" t="str">
        <x:v>CÓ</x:v>
      </x:c>
      <x:c r="U45" s="295" t="str">
        <x:v>CHECK_ONLY</x:v>
      </x:c>
      <x:c r="V45" s="295" t="str"/>
    </x:row>
    <x:row r="46" ht="28" customHeight="1">
      <x:c r="A46" s="295" t="n">
        <x:v>41</x:v>
      </x:c>
      <x:c r="B46" s="295" t="str">
        <x:v>ND30.D.QH.QUOC_HIEU.CAN_NGANG</x:v>
      </x:c>
      <x:c r="C46" s="295" t="str">
        <x:v>ND30.D.QH.QUOC_HIEU</x:v>
      </x:c>
      <x:c r="D46" s="295" t="str">
        <x:v>Quốc hiệu/Tiêu ngữ</x:v>
      </x:c>
      <x:c r="E46" s="295" t="str">
        <x:v>Quốc hiệu</x:v>
      </x:c>
      <x:c r="F46" s="295" t="str">
        <x:v>Căn ngang</x:v>
      </x:c>
      <x:c r="G46" s="295" t="str">
        <x:v>ENUM</x:v>
      </x:c>
      <x:c r="H46" s="295"/>
      <x:c r="I46" s="295" t="str">
        <x:v>CENTER</x:v>
      </x:c>
      <x:c r="J46" s="295" t="str">
        <x:v>Đúng giá trị/giới hạn riêng</x:v>
      </x:c>
      <x:c r="K46" s="295" t="str">
        <x:v>CENTER</x:v>
      </x:c>
      <x:c r="L46" s="295" t="str">
        <x:v>PROFILE_CO_GIA_TRI_CHUA_DUYET</x:v>
      </x:c>
      <x:c r="M46" s="295" t="str">
        <x:v>DOI_CHIEU_CU_THE</x:v>
      </x:c>
      <x:c r="N46" s="295" t="str">
        <x:v>Chỉ NĐ30; tại góc trên bên phải trang đầu</x:v>
      </x:c>
      <x:c r="O46" s="295" t="str">
        <x:v>Quy định gốc &gt; profile; khi chưa rõ điều kiện thì giữ nguyên; không sinh nội dung.</x:v>
      </x:c>
      <x:c r="P46" s="295" t="str">
        <x:v>PARAGRAPH / RUN / SHAPE tùy thuộc tính</x:v>
      </x:c>
      <x:c r="Q46" s="295" t="str">
        <x:v>Xác định đúng khối Quốc hiệu; đọc giá trị thực; đối chiếu điều kiện; không sửa nội dung khi thiếu nguồn.</x:v>
      </x:c>
      <x:c r="R46" s="295" t="str">
        <x:v>Phụ lục I, Phần I, II.1.a</x:v>
      </x:c>
      <x:c r="S46" s="295" t="str">
        <x:v>https://datafiles.chinhphu.vn/cpp/files/vbpq/2020/03/30.signed.pdf</x:v>
      </x:c>
      <x:c r="T46" s="295" t="str">
        <x:v>CÓ</x:v>
      </x:c>
      <x:c r="U46" s="295" t="str">
        <x:v>CHECK_ONLY</x:v>
      </x:c>
      <x:c r="V46" s="295" t="str"/>
    </x:row>
    <x:row r="47" ht="28" customHeight="1">
      <x:c r="A47" s="295" t="n">
        <x:v>42</x:v>
      </x:c>
      <x:c r="B47" s="295" t="str">
        <x:v>ND30.D.QH.QUOC_HIEU.CACH_SAU</x:v>
      </x:c>
      <x:c r="C47" s="295" t="str">
        <x:v>ND30.D.QH.QUOC_HIEU</x:v>
      </x:c>
      <x:c r="D47" s="295" t="str">
        <x:v>Quốc hiệu/Tiêu ngữ</x:v>
      </x:c>
      <x:c r="E47" s="295" t="str">
        <x:v>Quốc hiệu</x:v>
      </x:c>
      <x:c r="F47" s="295" t="str">
        <x:v>Khoảng cách sau đoạn</x:v>
      </x:c>
      <x:c r="G47" s="295" t="str">
        <x:v>NUMBER</x:v>
      </x:c>
      <x:c r="H47" s="295" t="str">
        <x:v>pt</x:v>
      </x:c>
      <x:c r="I47" s="295" t="str">
        <x:v>CHƯA XÁC MINH RIÊNG</x:v>
      </x:c>
      <x:c r="J47" s="295" t="str">
        <x:v>Không suy ra giới hạn pháp lý</x:v>
      </x:c>
      <x:c r="K47" s="295" t="n">
        <x:v>0</x:v>
      </x:c>
      <x:c r="L47" s="295" t="str">
        <x:v>PROFILE_CHO_RAO_SOAT</x:v>
      </x:c>
      <x:c r="M47" s="295" t="str">
        <x:v>CHUA_DOI_CHIEU_CU_THE</x:v>
      </x:c>
      <x:c r="N47" s="295" t="str">
        <x:v>Chỉ NĐ30; tại góc trên bên phải trang đầu</x:v>
      </x:c>
      <x:c r="O47" s="295" t="str">
        <x:v>Quy định gốc &gt; profile; khi chưa rõ điều kiện thì giữ nguyên; không sinh nội dung.</x:v>
      </x:c>
      <x:c r="P47" s="295" t="str">
        <x:v>PARAGRAPH / RUN / SHAPE tùy thuộc tính</x:v>
      </x:c>
      <x:c r="Q47" s="295" t="str">
        <x:v>Xác định đúng khối Quốc hiệu; đọc giá trị thực; đối chiếu điều kiện; không sửa nội dung khi thiếu nguồn.</x:v>
      </x:c>
      <x:c r="R47" s="295" t="str">
        <x:v>Chưa có locator xác minh riêng</x:v>
      </x:c>
      <x:c r="S47" s="295" t="str">
        <x:v>https://datafiles.chinhphu.vn/cpp/files/vbpq/2020/03/30.signed.pdf</x:v>
      </x:c>
      <x:c r="T47" s="295" t="str">
        <x:v>CÓ</x:v>
      </x:c>
      <x:c r="U47" s="295" t="str">
        <x:v>CHECK_ONLY</x:v>
      </x:c>
      <x:c r="V47" s="295" t="str">
        <x:v>Không tự chèn đoạn trắng</x:v>
      </x:c>
    </x:row>
    <x:row r="48" ht="28" customHeight="1">
      <x:c r="A48" s="295" t="n">
        <x:v>43</x:v>
      </x:c>
      <x:c r="B48" s="295" t="str">
        <x:v>ND30.D.QH.QUOC_HIEU.GIAN_DONG</x:v>
      </x:c>
      <x:c r="C48" s="295" t="str">
        <x:v>ND30.D.QH.QUOC_HIEU</x:v>
      </x:c>
      <x:c r="D48" s="295" t="str">
        <x:v>Quốc hiệu/Tiêu ngữ</x:v>
      </x:c>
      <x:c r="E48" s="295" t="str">
        <x:v>Quốc hiệu</x:v>
      </x:c>
      <x:c r="F48" s="295" t="str">
        <x:v>Giãn dòng</x:v>
      </x:c>
      <x:c r="G48" s="295" t="str">
        <x:v>NUMBER</x:v>
      </x:c>
      <x:c r="H48" s="295" t="str">
        <x:v>lines</x:v>
      </x:c>
      <x:c r="I48" s="295" t="str">
        <x:v>CHƯA XÁC MINH RIÊNG</x:v>
      </x:c>
      <x:c r="J48" s="295" t="str">
        <x:v>Không suy ra giới hạn pháp lý</x:v>
      </x:c>
      <x:c r="K48" s="295" t="str">
        <x:v>SINGLE</x:v>
      </x:c>
      <x:c r="L48" s="295" t="str">
        <x:v>PROFILE_CHO_RAO_SOAT</x:v>
      </x:c>
      <x:c r="M48" s="295" t="str">
        <x:v>CHUA_DOI_CHIEU_CU_THE</x:v>
      </x:c>
      <x:c r="N48" s="295" t="str">
        <x:v>Chỉ NĐ30; tại góc trên bên phải trang đầu</x:v>
      </x:c>
      <x:c r="O48" s="295" t="str">
        <x:v>Quy định gốc &gt; profile; khi chưa rõ điều kiện thì giữ nguyên; không sinh nội dung.</x:v>
      </x:c>
      <x:c r="P48" s="295" t="str">
        <x:v>PARAGRAPH / RUN / SHAPE tùy thuộc tính</x:v>
      </x:c>
      <x:c r="Q48" s="295" t="str">
        <x:v>Xác định đúng khối Quốc hiệu; đọc giá trị thực; đối chiếu điều kiện; không sửa nội dung khi thiếu nguồn.</x:v>
      </x:c>
      <x:c r="R48" s="295" t="str">
        <x:v>Chưa có locator xác minh riêng</x:v>
      </x:c>
      <x:c r="S48" s="295" t="str">
        <x:v>https://datafiles.chinhphu.vn/cpp/files/vbpq/2020/03/30.signed.pdf</x:v>
      </x:c>
      <x:c r="T48" s="295" t="str">
        <x:v>CÓ</x:v>
      </x:c>
      <x:c r="U48" s="295" t="str">
        <x:v>CHECK_ONLY</x:v>
      </x:c>
      <x:c r="V48" s="295" t="str">
        <x:v>Giãn dòng phần đầu không được tự đồng nhất với thân bài.</x:v>
      </x:c>
    </x:row>
    <x:row r="49" ht="28" customHeight="1">
      <x:c r="A49" s="295" t="n">
        <x:v>44</x:v>
      </x:c>
      <x:c r="B49" s="295" t="str">
        <x:v>ND30.D.QH.QUOC_HIEU.CHUOI_CO_DINH</x:v>
      </x:c>
      <x:c r="C49" s="295" t="str">
        <x:v>ND30.D.QH.QUOC_HIEU</x:v>
      </x:c>
      <x:c r="D49" s="295" t="str">
        <x:v>Quốc hiệu/Tiêu ngữ</x:v>
      </x:c>
      <x:c r="E49" s="295" t="str">
        <x:v>Quốc hiệu</x:v>
      </x:c>
      <x:c r="F49" s="295" t="str">
        <x:v>Nhãn hoặc chuỗi cố định</x:v>
      </x:c>
      <x:c r="G49" s="295" t="str">
        <x:v>TEXT</x:v>
      </x:c>
      <x:c r="H49" s="295"/>
      <x:c r="I49" s="295" t="str">
        <x:v>CỘNG HÒA XÃ HỘI CHỦ NGHĨA VIỆT NAM</x:v>
      </x:c>
      <x:c r="J49" s="295" t="str">
        <x:v>Đúng giá trị/giới hạn riêng</x:v>
      </x:c>
      <x:c r="K49" s="295" t="str">
        <x:v>CỘNG HÒA XÃ HỘI CHỦ NGHĨA VIỆT NAM</x:v>
      </x:c>
      <x:c r="L49" s="295" t="str">
        <x:v>PROFILE_CO_GIA_TRI_HOP_LE</x:v>
      </x:c>
      <x:c r="M49" s="295" t="str">
        <x:v>DOI_CHIEU_CU_THE</x:v>
      </x:c>
      <x:c r="N49" s="295" t="str">
        <x:v>Chỉ NĐ30; tại góc trên bên phải trang đầu</x:v>
      </x:c>
      <x:c r="O49" s="295" t="str">
        <x:v>Quy định gốc &gt; profile; khi chưa rõ điều kiện thì giữ nguyên; không sinh nội dung.</x:v>
      </x:c>
      <x:c r="P49" s="295" t="str">
        <x:v>PARAGRAPH / RUN / SHAPE tùy thuộc tính</x:v>
      </x:c>
      <x:c r="Q49" s="295" t="str">
        <x:v>Xác định đúng khối Quốc hiệu; đọc giá trị thực; đối chiếu điều kiện; không sửa nội dung khi thiếu nguồn.</x:v>
      </x:c>
      <x:c r="R49" s="295" t="str">
        <x:v>Phụ lục I, Phần I, II.1-5</x:v>
      </x:c>
      <x:c r="S49" s="295" t="str">
        <x:v>https://datafiles.chinhphu.vn/cpp/files/vbpq/2020/03/30.signed.pdf</x:v>
      </x:c>
      <x:c r="T49" s="295" t="str">
        <x:v>CÓ</x:v>
      </x:c>
      <x:c r="U49" s="295" t="str">
        <x:v>CHECK_ONLY</x:v>
      </x:c>
      <x:c r="V49" s="295" t="str">
        <x:v>Không thêm nhãn khi thành phần không xuất hiện</x:v>
      </x:c>
    </x:row>
    <x:row r="50" ht="28" customHeight="1">
      <x:c r="A50" s="295" t="n">
        <x:v>45</x:v>
      </x:c>
      <x:c r="B50" s="295" t="str">
        <x:v>ND30.D.QH.TIEU_NGU.HIEN_DIEN</x:v>
      </x:c>
      <x:c r="C50" s="295" t="str">
        <x:v>ND30.D.QH.TIEU_NGU</x:v>
      </x:c>
      <x:c r="D50" s="295" t="str">
        <x:v>Quốc hiệu/Tiêu ngữ</x:v>
      </x:c>
      <x:c r="E50" s="295" t="str">
        <x:v>Tiêu ngữ</x:v>
      </x:c>
      <x:c r="F50" s="295" t="str">
        <x:v>Điều kiện hiện diện</x:v>
      </x:c>
      <x:c r="G50" s="295" t="str">
        <x:v>TEXT</x:v>
      </x:c>
      <x:c r="H50" s="295"/>
      <x:c r="I50" s="295" t="str">
        <x:v>CHƯA XÁC MINH RIÊNG</x:v>
      </x:c>
      <x:c r="J50" s="295" t="str">
        <x:v>Không suy ra giới hạn pháp lý</x:v>
      </x:c>
      <x:c r="K50" s="295" t="str">
        <x:v>Chỉ NĐ30; dưới Quốc hiệu</x:v>
      </x:c>
      <x:c r="L50" s="295" t="str">
        <x:v>CHUA_DUYET_DINH_TUYEN</x:v>
      </x:c>
      <x:c r="M50" s="295" t="str">
        <x:v>CHUA_DOI_CHIEU_CU_THE</x:v>
      </x:c>
      <x:c r="N50" s="295" t="str">
        <x:v>Chỉ NĐ30; dưới Quốc hiệu</x:v>
      </x:c>
      <x:c r="O50" s="295" t="str">
        <x:v>Quy định gốc &gt; profile; khi chưa rõ điều kiện thì giữ nguyên; không sinh nội dung.</x:v>
      </x:c>
      <x:c r="P50" s="295" t="str">
        <x:v>PARAGRAPH / RUN / SHAPE tùy thuộc tính</x:v>
      </x:c>
      <x:c r="Q50" s="295" t="str">
        <x:v>Xác định đúng khối Tiêu ngữ; đọc giá trị thực; đối chiếu điều kiện; không sửa nội dung khi thiếu nguồn.</x:v>
      </x:c>
      <x:c r="R50" s="295" t="str">
        <x:v>Chưa có locator xác minh riêng</x:v>
      </x:c>
      <x:c r="S50" s="295" t="str">
        <x:v>https://datafiles.chinhphu.vn/cpp/files/vbpq/2020/03/30.signed.pdf</x:v>
      </x:c>
      <x:c r="T50" s="295" t="str">
        <x:v>CÓ</x:v>
      </x:c>
      <x:c r="U50" s="295" t="str">
        <x:v>CHECK_ONLY</x:v>
      </x:c>
      <x:c r="V50" s="295" t="str">
        <x:v>Phải nhận diện chế độ và chủ thể trước khi áp dụng</x:v>
      </x:c>
    </x:row>
    <x:row r="51" ht="28" customHeight="1">
      <x:c r="A51" s="295" t="n">
        <x:v>46</x:v>
      </x:c>
      <x:c r="B51" s="295" t="str">
        <x:v>ND30.D.QH.TIEU_NGU.PHONG_CHU</x:v>
      </x:c>
      <x:c r="C51" s="295" t="str">
        <x:v>ND30.D.QH.TIEU_NGU</x:v>
      </x:c>
      <x:c r="D51" s="295" t="str">
        <x:v>Quốc hiệu/Tiêu ngữ</x:v>
      </x:c>
      <x:c r="E51" s="295" t="str">
        <x:v>Tiêu ngữ</x:v>
      </x:c>
      <x:c r="F51" s="295" t="str">
        <x:v>Font chữ</x:v>
      </x:c>
      <x:c r="G51" s="295" t="str">
        <x:v>STRING</x:v>
      </x:c>
      <x:c r="H51" s="295"/>
      <x:c r="I51" s="295" t="str">
        <x:v>Times New Roman</x:v>
      </x:c>
      <x:c r="J51" s="295" t="str">
        <x:v>Đúng giá trị/giới hạn riêng</x:v>
      </x:c>
      <x:c r="K51" s="295" t="str">
        <x:v>Times New Roman</x:v>
      </x:c>
      <x:c r="L51" s="295" t="str">
        <x:v>PROFILE_CO_GIA_TRI_CHUA_DUYET</x:v>
      </x:c>
      <x:c r="M51" s="295" t="str">
        <x:v>DOI_CHIEU_CU_THE</x:v>
      </x:c>
      <x:c r="N51" s="295" t="str">
        <x:v>Chỉ NĐ30; dưới Quốc hiệu</x:v>
      </x:c>
      <x:c r="O51" s="295" t="str">
        <x:v>Quy định gốc &gt; profile; khi chưa rõ điều kiện thì giữ nguyên; không sinh nội dung.</x:v>
      </x:c>
      <x:c r="P51" s="295" t="str">
        <x:v>PARAGRAPH / RUN / SHAPE tùy thuộc tính</x:v>
      </x:c>
      <x:c r="Q51" s="295" t="str">
        <x:v>Xác định đúng khối Tiêu ngữ; đọc giá trị thực; đối chiếu điều kiện; không sửa nội dung khi thiếu nguồn.</x:v>
      </x:c>
      <x:c r="R51" s="295" t="str">
        <x:v>Phụ lục I, Phần I, I.4</x:v>
      </x:c>
      <x:c r="S51" s="295" t="str">
        <x:v>https://datafiles.chinhphu.vn/cpp/files/vbpq/2020/03/30.signed.pdf</x:v>
      </x:c>
      <x:c r="T51" s="295" t="str">
        <x:v>CÓ</x:v>
      </x:c>
      <x:c r="U51" s="295" t="str">
        <x:v>CHECK_ONLY</x:v>
      </x:c>
      <x:c r="V51" s="295" t="str"/>
    </x:row>
    <x:row r="52" ht="28" customHeight="1">
      <x:c r="A52" s="295" t="n">
        <x:v>47</x:v>
      </x:c>
      <x:c r="B52" s="295" t="str">
        <x:v>ND30.D.QH.TIEU_NGU.CO_CHU</x:v>
      </x:c>
      <x:c r="C52" s="295" t="str">
        <x:v>ND30.D.QH.TIEU_NGU</x:v>
      </x:c>
      <x:c r="D52" s="295" t="str">
        <x:v>Quốc hiệu/Tiêu ngữ</x:v>
      </x:c>
      <x:c r="E52" s="295" t="str">
        <x:v>Tiêu ngữ</x:v>
      </x:c>
      <x:c r="F52" s="295" t="str">
        <x:v>Cỡ chữ</x:v>
      </x:c>
      <x:c r="G52" s="295" t="str">
        <x:v>NUMBER_OR_RANGE</x:v>
      </x:c>
      <x:c r="H52" s="295" t="str">
        <x:v>pt</x:v>
      </x:c>
      <x:c r="I52" s="295" t="str">
        <x:v>13–14</x:v>
      </x:c>
      <x:c r="J52" s="295" t="str">
        <x:v>Đúng giá trị/giới hạn riêng</x:v>
      </x:c>
      <x:c r="K52" s="295" t="n">
        <x:v>13</x:v>
      </x:c>
      <x:c r="L52" s="295" t="str">
        <x:v>PROFILE_CO_GIA_TRI_CHUA_DUYET</x:v>
      </x:c>
      <x:c r="M52" s="295" t="str">
        <x:v>DOI_CHIEU_CU_THE</x:v>
      </x:c>
      <x:c r="N52" s="295" t="str">
        <x:v>Chỉ NĐ30; dưới Quốc hiệu</x:v>
      </x:c>
      <x:c r="O52" s="295" t="str">
        <x:v>Quy định gốc &gt; profile; khi chưa rõ điều kiện thì giữ nguyên; không sinh nội dung.</x:v>
      </x:c>
      <x:c r="P52" s="295" t="str">
        <x:v>PARAGRAPH / RUN / SHAPE tùy thuộc tính</x:v>
      </x:c>
      <x:c r="Q52" s="295" t="str">
        <x:v>Xác định đúng khối Tiêu ngữ; đọc giá trị thực; đối chiếu điều kiện; không sửa nội dung khi thiếu nguồn.</x:v>
      </x:c>
      <x:c r="R52" s="295" t="str">
        <x:v>Phụ lục I, Phần I, II.1.b</x:v>
      </x:c>
      <x:c r="S52" s="295" t="str">
        <x:v>https://datafiles.chinhphu.vn/cpp/files/vbpq/2020/03/30.signed.pdf</x:v>
      </x:c>
      <x:c r="T52" s="295" t="str">
        <x:v>CÓ</x:v>
      </x:c>
      <x:c r="U52" s="295" t="str">
        <x:v>CHECK_ONLY</x:v>
      </x:c>
      <x:c r="V52" s="295" t="str"/>
    </x:row>
    <x:row r="53" ht="28" customHeight="1">
      <x:c r="A53" s="295" t="n">
        <x:v>48</x:v>
      </x:c>
      <x:c r="B53" s="295" t="str">
        <x:v>ND30.D.QH.TIEU_NGU.DAM</x:v>
      </x:c>
      <x:c r="C53" s="295" t="str">
        <x:v>ND30.D.QH.TIEU_NGU</x:v>
      </x:c>
      <x:c r="D53" s="295" t="str">
        <x:v>Quốc hiệu/Tiêu ngữ</x:v>
      </x:c>
      <x:c r="E53" s="295" t="str">
        <x:v>Tiêu ngữ</x:v>
      </x:c>
      <x:c r="F53" s="295" t="str">
        <x:v>In đậm</x:v>
      </x:c>
      <x:c r="G53" s="295" t="str">
        <x:v>BOOLEAN</x:v>
      </x:c>
      <x:c r="H53" s="295"/>
      <x:c r="I53" s="296" t="b">
        <x:v>1</x:v>
      </x:c>
      <x:c r="J53" s="295" t="str">
        <x:v>Đúng giá trị/giới hạn riêng</x:v>
      </x:c>
      <x:c r="K53" s="296" t="b">
        <x:v>1</x:v>
      </x:c>
      <x:c r="L53" s="295" t="str">
        <x:v>PROFILE_CO_GIA_TRI_CHUA_DUYET</x:v>
      </x:c>
      <x:c r="M53" s="295" t="str">
        <x:v>DOI_CHIEU_CU_THE</x:v>
      </x:c>
      <x:c r="N53" s="295" t="str">
        <x:v>Chỉ NĐ30; dưới Quốc hiệu</x:v>
      </x:c>
      <x:c r="O53" s="295" t="str">
        <x:v>Quy định gốc &gt; profile; khi chưa rõ điều kiện thì giữ nguyên; không sinh nội dung.</x:v>
      </x:c>
      <x:c r="P53" s="295" t="str">
        <x:v>PARAGRAPH / RUN / SHAPE tùy thuộc tính</x:v>
      </x:c>
      <x:c r="Q53" s="295" t="str">
        <x:v>Xác định đúng khối Tiêu ngữ; đọc giá trị thực; đối chiếu điều kiện; không sửa nội dung khi thiếu nguồn.</x:v>
      </x:c>
      <x:c r="R53" s="295" t="str">
        <x:v>Phụ lục I, Phần I, II.1.b</x:v>
      </x:c>
      <x:c r="S53" s="295" t="str">
        <x:v>https://datafiles.chinhphu.vn/cpp/files/vbpq/2020/03/30.signed.pdf</x:v>
      </x:c>
      <x:c r="T53" s="295" t="str">
        <x:v>CÓ</x:v>
      </x:c>
      <x:c r="U53" s="295" t="str">
        <x:v>CHECK_ONLY</x:v>
      </x:c>
      <x:c r="V53" s="295" t="str"/>
    </x:row>
    <x:row r="54" ht="28" customHeight="1">
      <x:c r="A54" s="295" t="n">
        <x:v>49</x:v>
      </x:c>
      <x:c r="B54" s="295" t="str">
        <x:v>ND30.D.QH.TIEU_NGU.NGHIENG</x:v>
      </x:c>
      <x:c r="C54" s="295" t="str">
        <x:v>ND30.D.QH.TIEU_NGU</x:v>
      </x:c>
      <x:c r="D54" s="295" t="str">
        <x:v>Quốc hiệu/Tiêu ngữ</x:v>
      </x:c>
      <x:c r="E54" s="295" t="str">
        <x:v>Tiêu ngữ</x:v>
      </x:c>
      <x:c r="F54" s="295" t="str">
        <x:v>In nghiêng</x:v>
      </x:c>
      <x:c r="G54" s="295" t="str">
        <x:v>BOOLEAN</x:v>
      </x:c>
      <x:c r="H54" s="295"/>
      <x:c r="I54" s="296" t="b">
        <x:v>0</x:v>
      </x:c>
      <x:c r="J54" s="295" t="str">
        <x:v>Đúng giá trị/giới hạn riêng</x:v>
      </x:c>
      <x:c r="K54" s="296" t="b">
        <x:v>0</x:v>
      </x:c>
      <x:c r="L54" s="295" t="str">
        <x:v>PROFILE_CO_GIA_TRI_CHUA_DUYET</x:v>
      </x:c>
      <x:c r="M54" s="295" t="str">
        <x:v>DOI_CHIEU_CU_THE</x:v>
      </x:c>
      <x:c r="N54" s="295" t="str">
        <x:v>Chỉ NĐ30; dưới Quốc hiệu</x:v>
      </x:c>
      <x:c r="O54" s="295" t="str">
        <x:v>Quy định gốc &gt; profile; khi chưa rõ điều kiện thì giữ nguyên; không sinh nội dung.</x:v>
      </x:c>
      <x:c r="P54" s="295" t="str">
        <x:v>PARAGRAPH / RUN / SHAPE tùy thuộc tính</x:v>
      </x:c>
      <x:c r="Q54" s="295" t="str">
        <x:v>Xác định đúng khối Tiêu ngữ; đọc giá trị thực; đối chiếu điều kiện; không sửa nội dung khi thiếu nguồn.</x:v>
      </x:c>
      <x:c r="R54" s="295" t="str">
        <x:v>Phụ lục I, Phần I, II.1.b</x:v>
      </x:c>
      <x:c r="S54" s="295" t="str">
        <x:v>https://datafiles.chinhphu.vn/cpp/files/vbpq/2020/03/30.signed.pdf</x:v>
      </x:c>
      <x:c r="T54" s="295" t="str">
        <x:v>CÓ</x:v>
      </x:c>
      <x:c r="U54" s="295" t="str">
        <x:v>CHECK_ONLY</x:v>
      </x:c>
      <x:c r="V54" s="295" t="str"/>
    </x:row>
    <x:row r="55" ht="28" customHeight="1">
      <x:c r="A55" s="295" t="n">
        <x:v>50</x:v>
      </x:c>
      <x:c r="B55" s="295" t="str">
        <x:v>ND30.D.QH.TIEU_NGU.KIEU_CHU</x:v>
      </x:c>
      <x:c r="C55" s="295" t="str">
        <x:v>ND30.D.QH.TIEU_NGU</x:v>
      </x:c>
      <x:c r="D55" s="295" t="str">
        <x:v>Quốc hiệu/Tiêu ngữ</x:v>
      </x:c>
      <x:c r="E55" s="295" t="str">
        <x:v>Tiêu ngữ</x:v>
      </x:c>
      <x:c r="F55" s="295" t="str">
        <x:v>Kiểu viết hoa/thường</x:v>
      </x:c>
      <x:c r="G55" s="295" t="str">
        <x:v>ENUM</x:v>
      </x:c>
      <x:c r="H55" s="295"/>
      <x:c r="I55" s="295" t="str">
        <x:v>Đầu cụm viết hoa</x:v>
      </x:c>
      <x:c r="J55" s="295" t="str">
        <x:v>Đúng giá trị/giới hạn riêng</x:v>
      </x:c>
      <x:c r="K55" s="295"/>
      <x:c r="L55" s="295" t="str">
        <x:v>KHONG_AP_DUNG_HOAC_CHUA_DU_GIA_TRI</x:v>
      </x:c>
      <x:c r="M55" s="295" t="str">
        <x:v>DOI_CHIEU_CU_THE</x:v>
      </x:c>
      <x:c r="N55" s="295" t="str">
        <x:v>Chỉ NĐ30; dưới Quốc hiệu</x:v>
      </x:c>
      <x:c r="O55" s="295" t="str">
        <x:v>Quy định gốc &gt; profile; khi chưa rõ điều kiện thì giữ nguyên; không sinh nội dung.</x:v>
      </x:c>
      <x:c r="P55" s="295" t="str">
        <x:v>PARAGRAPH / RUN / SHAPE tùy thuộc tính</x:v>
      </x:c>
      <x:c r="Q55" s="295" t="str">
        <x:v>Xác định đúng khối Tiêu ngữ; đọc giá trị thực; đối chiếu điều kiện; không sửa nội dung khi thiếu nguồn.</x:v>
      </x:c>
      <x:c r="R55" s="295" t="str">
        <x:v>Phụ lục I, Phần I, II.1.b</x:v>
      </x:c>
      <x:c r="S55" s="295" t="str">
        <x:v>https://datafiles.chinhphu.vn/cpp/files/vbpq/2020/03/30.signed.pdf</x:v>
      </x:c>
      <x:c r="T55" s="295" t="str">
        <x:v>CÓ</x:v>
      </x:c>
      <x:c r="U55" s="295" t="str">
        <x:v>CHECK_ONLY</x:v>
      </x:c>
      <x:c r="V55" s="295" t="str"/>
    </x:row>
    <x:row r="56" ht="28" customHeight="1">
      <x:c r="A56" s="295" t="n">
        <x:v>51</x:v>
      </x:c>
      <x:c r="B56" s="295" t="str">
        <x:v>ND30.D.QH.TIEU_NGU.CAN_NGANG</x:v>
      </x:c>
      <x:c r="C56" s="295" t="str">
        <x:v>ND30.D.QH.TIEU_NGU</x:v>
      </x:c>
      <x:c r="D56" s="295" t="str">
        <x:v>Quốc hiệu/Tiêu ngữ</x:v>
      </x:c>
      <x:c r="E56" s="295" t="str">
        <x:v>Tiêu ngữ</x:v>
      </x:c>
      <x:c r="F56" s="295" t="str">
        <x:v>Căn ngang</x:v>
      </x:c>
      <x:c r="G56" s="295" t="str">
        <x:v>ENUM</x:v>
      </x:c>
      <x:c r="H56" s="295"/>
      <x:c r="I56" s="295" t="str">
        <x:v>CENTER</x:v>
      </x:c>
      <x:c r="J56" s="295" t="str">
        <x:v>Đúng giá trị/giới hạn riêng</x:v>
      </x:c>
      <x:c r="K56" s="295" t="str">
        <x:v>CENTER</x:v>
      </x:c>
      <x:c r="L56" s="295" t="str">
        <x:v>PROFILE_CO_GIA_TRI_CHUA_DUYET</x:v>
      </x:c>
      <x:c r="M56" s="295" t="str">
        <x:v>DOI_CHIEU_CU_THE</x:v>
      </x:c>
      <x:c r="N56" s="295" t="str">
        <x:v>Chỉ NĐ30; dưới Quốc hiệu</x:v>
      </x:c>
      <x:c r="O56" s="295" t="str">
        <x:v>Quy định gốc &gt; profile; khi chưa rõ điều kiện thì giữ nguyên; không sinh nội dung.</x:v>
      </x:c>
      <x:c r="P56" s="295" t="str">
        <x:v>PARAGRAPH / RUN / SHAPE tùy thuộc tính</x:v>
      </x:c>
      <x:c r="Q56" s="295" t="str">
        <x:v>Xác định đúng khối Tiêu ngữ; đọc giá trị thực; đối chiếu điều kiện; không sửa nội dung khi thiếu nguồn.</x:v>
      </x:c>
      <x:c r="R56" s="295" t="str">
        <x:v>Phụ lục I, Phần I, II.1.b</x:v>
      </x:c>
      <x:c r="S56" s="295" t="str">
        <x:v>https://datafiles.chinhphu.vn/cpp/files/vbpq/2020/03/30.signed.pdf</x:v>
      </x:c>
      <x:c r="T56" s="295" t="str">
        <x:v>CÓ</x:v>
      </x:c>
      <x:c r="U56" s="295" t="str">
        <x:v>CHECK_ONLY</x:v>
      </x:c>
      <x:c r="V56" s="295" t="str"/>
    </x:row>
    <x:row r="57" ht="28" customHeight="1">
      <x:c r="A57" s="295" t="n">
        <x:v>52</x:v>
      </x:c>
      <x:c r="B57" s="295" t="str">
        <x:v>ND30.D.QH.TIEU_NGU.CACH_SAU</x:v>
      </x:c>
      <x:c r="C57" s="295" t="str">
        <x:v>ND30.D.QH.TIEU_NGU</x:v>
      </x:c>
      <x:c r="D57" s="295" t="str">
        <x:v>Quốc hiệu/Tiêu ngữ</x:v>
      </x:c>
      <x:c r="E57" s="295" t="str">
        <x:v>Tiêu ngữ</x:v>
      </x:c>
      <x:c r="F57" s="295" t="str">
        <x:v>Khoảng cách sau đoạn</x:v>
      </x:c>
      <x:c r="G57" s="295" t="str">
        <x:v>NUMBER</x:v>
      </x:c>
      <x:c r="H57" s="295" t="str">
        <x:v>pt</x:v>
      </x:c>
      <x:c r="I57" s="295" t="str">
        <x:v>CHƯA XÁC MINH RIÊNG</x:v>
      </x:c>
      <x:c r="J57" s="295" t="str">
        <x:v>Không suy ra giới hạn pháp lý</x:v>
      </x:c>
      <x:c r="K57" s="295" t="n">
        <x:v>0</x:v>
      </x:c>
      <x:c r="L57" s="295" t="str">
        <x:v>PROFILE_CHO_RAO_SOAT</x:v>
      </x:c>
      <x:c r="M57" s="295" t="str">
        <x:v>CHUA_DOI_CHIEU_CU_THE</x:v>
      </x:c>
      <x:c r="N57" s="295" t="str">
        <x:v>Chỉ NĐ30; dưới Quốc hiệu</x:v>
      </x:c>
      <x:c r="O57" s="295" t="str">
        <x:v>Quy định gốc &gt; profile; khi chưa rõ điều kiện thì giữ nguyên; không sinh nội dung.</x:v>
      </x:c>
      <x:c r="P57" s="295" t="str">
        <x:v>PARAGRAPH / RUN / SHAPE tùy thuộc tính</x:v>
      </x:c>
      <x:c r="Q57" s="295" t="str">
        <x:v>Xác định đúng khối Tiêu ngữ; đọc giá trị thực; đối chiếu điều kiện; không sửa nội dung khi thiếu nguồn.</x:v>
      </x:c>
      <x:c r="R57" s="295" t="str">
        <x:v>Chưa có locator xác minh riêng</x:v>
      </x:c>
      <x:c r="S57" s="295" t="str">
        <x:v>https://datafiles.chinhphu.vn/cpp/files/vbpq/2020/03/30.signed.pdf</x:v>
      </x:c>
      <x:c r="T57" s="295" t="str">
        <x:v>CÓ</x:v>
      </x:c>
      <x:c r="U57" s="295" t="str">
        <x:v>CHECK_ONLY</x:v>
      </x:c>
      <x:c r="V57" s="295" t="str">
        <x:v>Không tự chèn đoạn trắng</x:v>
      </x:c>
    </x:row>
    <x:row r="58" ht="28" customHeight="1">
      <x:c r="A58" s="295" t="n">
        <x:v>53</x:v>
      </x:c>
      <x:c r="B58" s="295" t="str">
        <x:v>ND30.D.QH.TIEU_NGU.GIAN_DONG</x:v>
      </x:c>
      <x:c r="C58" s="295" t="str">
        <x:v>ND30.D.QH.TIEU_NGU</x:v>
      </x:c>
      <x:c r="D58" s="295" t="str">
        <x:v>Quốc hiệu/Tiêu ngữ</x:v>
      </x:c>
      <x:c r="E58" s="295" t="str">
        <x:v>Tiêu ngữ</x:v>
      </x:c>
      <x:c r="F58" s="295" t="str">
        <x:v>Giãn dòng</x:v>
      </x:c>
      <x:c r="G58" s="295" t="str">
        <x:v>NUMBER</x:v>
      </x:c>
      <x:c r="H58" s="295" t="str">
        <x:v>lines</x:v>
      </x:c>
      <x:c r="I58" s="295" t="str">
        <x:v>CHƯA XÁC MINH RIÊNG</x:v>
      </x:c>
      <x:c r="J58" s="295" t="str">
        <x:v>Không suy ra giới hạn pháp lý</x:v>
      </x:c>
      <x:c r="K58" s="295" t="str">
        <x:v>SINGLE</x:v>
      </x:c>
      <x:c r="L58" s="295" t="str">
        <x:v>PROFILE_CHO_RAO_SOAT</x:v>
      </x:c>
      <x:c r="M58" s="295" t="str">
        <x:v>CHUA_DOI_CHIEU_CU_THE</x:v>
      </x:c>
      <x:c r="N58" s="295" t="str">
        <x:v>Chỉ NĐ30; dưới Quốc hiệu</x:v>
      </x:c>
      <x:c r="O58" s="295" t="str">
        <x:v>Quy định gốc &gt; profile; khi chưa rõ điều kiện thì giữ nguyên; không sinh nội dung.</x:v>
      </x:c>
      <x:c r="P58" s="295" t="str">
        <x:v>PARAGRAPH / RUN / SHAPE tùy thuộc tính</x:v>
      </x:c>
      <x:c r="Q58" s="295" t="str">
        <x:v>Xác định đúng khối Tiêu ngữ; đọc giá trị thực; đối chiếu điều kiện; không sửa nội dung khi thiếu nguồn.</x:v>
      </x:c>
      <x:c r="R58" s="295" t="str">
        <x:v>Chưa có locator xác minh riêng</x:v>
      </x:c>
      <x:c r="S58" s="295" t="str">
        <x:v>https://datafiles.chinhphu.vn/cpp/files/vbpq/2020/03/30.signed.pdf</x:v>
      </x:c>
      <x:c r="T58" s="295" t="str">
        <x:v>CÓ</x:v>
      </x:c>
      <x:c r="U58" s="295" t="str">
        <x:v>CHECK_ONLY</x:v>
      </x:c>
      <x:c r="V58" s="295" t="str">
        <x:v>Giãn dòng phần đầu không được tự đồng nhất với thân bài.</x:v>
      </x:c>
    </x:row>
    <x:row r="59" ht="28" customHeight="1">
      <x:c r="A59" s="295" t="n">
        <x:v>54</x:v>
      </x:c>
      <x:c r="B59" s="295" t="str">
        <x:v>ND30.D.QH.TIEU_NGU.CHUOI_CO_DINH</x:v>
      </x:c>
      <x:c r="C59" s="295" t="str">
        <x:v>ND30.D.QH.TIEU_NGU</x:v>
      </x:c>
      <x:c r="D59" s="295" t="str">
        <x:v>Quốc hiệu/Tiêu ngữ</x:v>
      </x:c>
      <x:c r="E59" s="295" t="str">
        <x:v>Tiêu ngữ</x:v>
      </x:c>
      <x:c r="F59" s="295" t="str">
        <x:v>Nhãn hoặc chuỗi cố định</x:v>
      </x:c>
      <x:c r="G59" s="295" t="str">
        <x:v>TEXT</x:v>
      </x:c>
      <x:c r="H59" s="295"/>
      <x:c r="I59" s="295" t="str">
        <x:v>Độc lập - Tự do - Hạnh phúc</x:v>
      </x:c>
      <x:c r="J59" s="295" t="str">
        <x:v>Đúng giá trị/giới hạn riêng</x:v>
      </x:c>
      <x:c r="K59" s="295" t="str">
        <x:v>Độc lập - Tự do - Hạnh phúc</x:v>
      </x:c>
      <x:c r="L59" s="295" t="str">
        <x:v>PROFILE_CO_GIA_TRI_HOP_LE</x:v>
      </x:c>
      <x:c r="M59" s="295" t="str">
        <x:v>DOI_CHIEU_CU_THE</x:v>
      </x:c>
      <x:c r="N59" s="295" t="str">
        <x:v>Chỉ NĐ30; dưới Quốc hiệu</x:v>
      </x:c>
      <x:c r="O59" s="295" t="str">
        <x:v>Quy định gốc &gt; profile; khi chưa rõ điều kiện thì giữ nguyên; không sinh nội dung.</x:v>
      </x:c>
      <x:c r="P59" s="295" t="str">
        <x:v>PARAGRAPH / RUN / SHAPE tùy thuộc tính</x:v>
      </x:c>
      <x:c r="Q59" s="295" t="str">
        <x:v>Xác định đúng khối Tiêu ngữ; đọc giá trị thực; đối chiếu điều kiện; không sửa nội dung khi thiếu nguồn.</x:v>
      </x:c>
      <x:c r="R59" s="295" t="str">
        <x:v>Phụ lục I, Phần I, II.1-5</x:v>
      </x:c>
      <x:c r="S59" s="295" t="str">
        <x:v>https://datafiles.chinhphu.vn/cpp/files/vbpq/2020/03/30.signed.pdf</x:v>
      </x:c>
      <x:c r="T59" s="295" t="str">
        <x:v>CÓ</x:v>
      </x:c>
      <x:c r="U59" s="295" t="str">
        <x:v>CHECK_ONLY</x:v>
      </x:c>
      <x:c r="V59" s="295" t="str">
        <x:v>Không thêm nhãn khi thành phần không xuất hiện</x:v>
      </x:c>
    </x:row>
    <x:row r="60" ht="28" customHeight="1">
      <x:c r="A60" s="295" t="n">
        <x:v>55</x:v>
      </x:c>
      <x:c r="B60" s="295" t="str">
        <x:v>ND30.D.QH.DUONG_KE.HIEN_DIEN</x:v>
      </x:c>
      <x:c r="C60" s="295" t="str">
        <x:v>ND30.D.QH.DUONG_KE</x:v>
      </x:c>
      <x:c r="D60" s="295" t="str">
        <x:v>Quốc hiệu/Tiêu ngữ</x:v>
      </x:c>
      <x:c r="E60" s="295" t="str">
        <x:v>Đường kẻ dưới Tiêu ngữ</x:v>
      </x:c>
      <x:c r="F60" s="295" t="str">
        <x:v>Điều kiện hiện diện</x:v>
      </x:c>
      <x:c r="G60" s="295" t="str">
        <x:v>TEXT</x:v>
      </x:c>
      <x:c r="H60" s="295"/>
      <x:c r="I60" s="295" t="str">
        <x:v>CHƯA XÁC MINH RIÊNG</x:v>
      </x:c>
      <x:c r="J60" s="295" t="str">
        <x:v>Không suy ra giới hạn pháp lý</x:v>
      </x:c>
      <x:c r="K60" s="295" t="str">
        <x:v>Chỉ NĐ30; dưới Tiêu ngữ</x:v>
      </x:c>
      <x:c r="L60" s="295" t="str">
        <x:v>CHUA_DUYET_DINH_TUYEN</x:v>
      </x:c>
      <x:c r="M60" s="295" t="str">
        <x:v>CHUA_DOI_CHIEU_CU_THE</x:v>
      </x:c>
      <x:c r="N60" s="295" t="str">
        <x:v>Chỉ NĐ30; dưới Tiêu ngữ</x:v>
      </x:c>
      <x:c r="O60" s="295" t="str">
        <x:v>Quy định gốc &gt; profile; khi chưa rõ điều kiện thì giữ nguyên; không sinh nội dung.</x:v>
      </x:c>
      <x:c r="P60" s="295" t="str">
        <x:v>PARAGRAPH / RUN / SHAPE tùy thuộc tính</x:v>
      </x:c>
      <x:c r="Q60" s="295" t="str">
        <x:v>Xác định đúng khối Đường kẻ dưới Tiêu ngữ; đọc giá trị thực; đối chiếu điều kiện; không sửa nội dung khi thiếu nguồn.</x:v>
      </x:c>
      <x:c r="R60" s="295" t="str">
        <x:v>Chưa có locator xác minh riêng</x:v>
      </x:c>
      <x:c r="S60" s="295" t="str">
        <x:v>https://datafiles.chinhphu.vn/cpp/files/vbpq/2020/03/30.signed.pdf</x:v>
      </x:c>
      <x:c r="T60" s="295" t="str">
        <x:v>CÓ</x:v>
      </x:c>
      <x:c r="U60" s="295" t="str">
        <x:v>CHECK_ONLY</x:v>
      </x:c>
      <x:c r="V60" s="295" t="str">
        <x:v>Phải nhận diện chế độ và chủ thể trước khi áp dụng</x:v>
      </x:c>
    </x:row>
    <x:row r="61" ht="28" customHeight="1">
      <x:c r="A61" s="295" t="n">
        <x:v>56</x:v>
      </x:c>
      <x:c r="B61" s="295" t="str">
        <x:v>ND30.D.QH.DUONG_KE.KIEU_DUONG</x:v>
      </x:c>
      <x:c r="C61" s="295" t="str">
        <x:v>ND30.D.QH.DUONG_KE</x:v>
      </x:c>
      <x:c r="D61" s="295" t="str">
        <x:v>Quốc hiệu/Tiêu ngữ</x:v>
      </x:c>
      <x:c r="E61" s="295" t="str">
        <x:v>Đường kẻ dưới Tiêu ngữ</x:v>
      </x:c>
      <x:c r="F61" s="295" t="str">
        <x:v>Kiểu kẻ</x:v>
      </x:c>
      <x:c r="G61" s="295" t="str">
        <x:v>TEXT</x:v>
      </x:c>
      <x:c r="H61" s="295"/>
      <x:c r="I61" s="295" t="str">
        <x:v>Nét liền</x:v>
      </x:c>
      <x:c r="J61" s="295" t="str">
        <x:v>Đúng giá trị/giới hạn riêng</x:v>
      </x:c>
      <x:c r="K61" s="295" t="str">
        <x:v>Nét liền</x:v>
      </x:c>
      <x:c r="L61" s="295" t="str">
        <x:v>PROFILE_THEO_NGUON</x:v>
      </x:c>
      <x:c r="M61" s="295" t="str">
        <x:v>DOI_CHIEU_CU_THE</x:v>
      </x:c>
      <x:c r="N61" s="295" t="str">
        <x:v>Chỉ NĐ30; dưới Tiêu ngữ</x:v>
      </x:c>
      <x:c r="O61" s="295" t="str">
        <x:v>Quy định gốc &gt; profile; khi chưa rõ điều kiện thì giữ nguyên; không sinh nội dung.</x:v>
      </x:c>
      <x:c r="P61" s="295" t="str">
        <x:v>PARAGRAPH / RUN / SHAPE tùy thuộc tính</x:v>
      </x:c>
      <x:c r="Q61" s="295" t="str">
        <x:v>Xác định đúng khối Đường kẻ dưới Tiêu ngữ; đọc giá trị thực; đối chiếu điều kiện; không sửa nội dung khi thiếu nguồn.</x:v>
      </x:c>
      <x:c r="R61" s="295" t="str">
        <x:v>Phụ lục I, Phần I, II.1.b</x:v>
      </x:c>
      <x:c r="S61" s="295" t="str">
        <x:v>https://datafiles.chinhphu.vn/cpp/files/vbpq/2020/03/30.signed.pdf</x:v>
      </x:c>
      <x:c r="T61" s="295" t="str">
        <x:v>CÓ</x:v>
      </x:c>
      <x:c r="U61" s="295" t="str">
        <x:v>CHECK_ONLY</x:v>
      </x:c>
      <x:c r="V61" s="295" t="str">
        <x:v>Mã rule con chỉ phục vụ AI đọc; không tự tạo thao tác OOXML.</x:v>
      </x:c>
    </x:row>
    <x:row r="62" ht="28" customHeight="1">
      <x:c r="A62" s="295" t="n">
        <x:v>57</x:v>
      </x:c>
      <x:c r="B62" s="295" t="str">
        <x:v>ND30.D.QH.DUONG_KE.DO_DAI</x:v>
      </x:c>
      <x:c r="C62" s="295" t="str">
        <x:v>ND30.D.QH.DUONG_KE</x:v>
      </x:c>
      <x:c r="D62" s="295" t="str">
        <x:v>Quốc hiệu/Tiêu ngữ</x:v>
      </x:c>
      <x:c r="E62" s="295" t="str">
        <x:v>Đường kẻ dưới Tiêu ngữ</x:v>
      </x:c>
      <x:c r="F62" s="295" t="str">
        <x:v>Độ dài theo dòng Tiêu ngữ</x:v>
      </x:c>
      <x:c r="G62" s="295" t="str">
        <x:v>TEXT</x:v>
      </x:c>
      <x:c r="H62" s="295"/>
      <x:c r="I62" s="295" t="str">
        <x:v>Bằng chiều dài dòng Tiêu ngữ</x:v>
      </x:c>
      <x:c r="J62" s="295" t="str">
        <x:v>Đúng giá trị/giới hạn riêng</x:v>
      </x:c>
      <x:c r="K62" s="295" t="str">
        <x:v>PRESERVE</x:v>
      </x:c>
      <x:c r="L62" s="295" t="str">
        <x:v>PROFILE_THEO_NGUON</x:v>
      </x:c>
      <x:c r="M62" s="295" t="str">
        <x:v>DOI_CHIEU_CU_THE</x:v>
      </x:c>
      <x:c r="N62" s="295" t="str">
        <x:v>Chỉ NĐ30; dưới Tiêu ngữ</x:v>
      </x:c>
      <x:c r="O62" s="295" t="str">
        <x:v>Quy định gốc &gt; profile; khi chưa rõ điều kiện thì giữ nguyên; không sinh nội dung.</x:v>
      </x:c>
      <x:c r="P62" s="295" t="str">
        <x:v>PARAGRAPH / RUN / SHAPE tùy thuộc tính</x:v>
      </x:c>
      <x:c r="Q62" s="295" t="str">
        <x:v>Xác định đúng khối Đường kẻ dưới Tiêu ngữ; đọc giá trị thực; đối chiếu điều kiện; không sửa nội dung khi thiếu nguồn.</x:v>
      </x:c>
      <x:c r="R62" s="295" t="str">
        <x:v>Phụ lục I, Phần I, II.1.b</x:v>
      </x:c>
      <x:c r="S62" s="295" t="str">
        <x:v>https://datafiles.chinhphu.vn/cpp/files/vbpq/2020/03/30.signed.pdf</x:v>
      </x:c>
      <x:c r="T62" s="295" t="str">
        <x:v>CÓ</x:v>
      </x:c>
      <x:c r="U62" s="295" t="str">
        <x:v>CHECK_ONLY</x:v>
      </x:c>
      <x:c r="V62" s="295" t="str">
        <x:v>Mã rule con chỉ phục vụ AI đọc; không tự tạo thao tác OOXML.</x:v>
      </x:c>
    </x:row>
    <x:row r="63" ht="28" customHeight="1">
      <x:c r="A63" s="295" t="n">
        <x:v>58</x:v>
      </x:c>
      <x:c r="B63" s="295" t="str">
        <x:v>ND30.D.QH.DUONG_KE.CAN_DUONG</x:v>
      </x:c>
      <x:c r="C63" s="295" t="str">
        <x:v>ND30.D.QH.DUONG_KE</x:v>
      </x:c>
      <x:c r="D63" s="295" t="str">
        <x:v>Quốc hiệu/Tiêu ngữ</x:v>
      </x:c>
      <x:c r="E63" s="295" t="str">
        <x:v>Đường kẻ dưới Tiêu ngữ</x:v>
      </x:c>
      <x:c r="F63" s="295" t="str">
        <x:v>Vị trí ngang</x:v>
      </x:c>
      <x:c r="G63" s="295" t="str">
        <x:v>TEXT</x:v>
      </x:c>
      <x:c r="H63" s="295"/>
      <x:c r="I63" s="295" t="str">
        <x:v>Giữa dưới Tiêu ngữ</x:v>
      </x:c>
      <x:c r="J63" s="295" t="str">
        <x:v>Đúng giá trị/giới hạn riêng</x:v>
      </x:c>
      <x:c r="K63" s="295" t="str">
        <x:v>CENTER</x:v>
      </x:c>
      <x:c r="L63" s="295" t="str">
        <x:v>PROFILE_THEO_NGUON</x:v>
      </x:c>
      <x:c r="M63" s="295" t="str">
        <x:v>DOI_CHIEU_CU_THE</x:v>
      </x:c>
      <x:c r="N63" s="295" t="str">
        <x:v>Chỉ NĐ30; dưới Tiêu ngữ</x:v>
      </x:c>
      <x:c r="O63" s="295" t="str">
        <x:v>Quy định gốc &gt; profile; khi chưa rõ điều kiện thì giữ nguyên; không sinh nội dung.</x:v>
      </x:c>
      <x:c r="P63" s="295" t="str">
        <x:v>PARAGRAPH / RUN / SHAPE tùy thuộc tính</x:v>
      </x:c>
      <x:c r="Q63" s="295" t="str">
        <x:v>Xác định đúng khối Đường kẻ dưới Tiêu ngữ; đọc giá trị thực; đối chiếu điều kiện; không sửa nội dung khi thiếu nguồn.</x:v>
      </x:c>
      <x:c r="R63" s="295" t="str">
        <x:v>Phụ lục I, Phần I, II.1.b</x:v>
      </x:c>
      <x:c r="S63" s="295" t="str">
        <x:v>https://datafiles.chinhphu.vn/cpp/files/vbpq/2020/03/30.signed.pdf</x:v>
      </x:c>
      <x:c r="T63" s="295" t="str">
        <x:v>CÓ</x:v>
      </x:c>
      <x:c r="U63" s="295" t="str">
        <x:v>CHECK_ONLY</x:v>
      </x:c>
      <x:c r="V63" s="295" t="str">
        <x:v>Mã rule con chỉ phục vụ AI đọc; không tự tạo thao tác OOXML.</x:v>
      </x:c>
    </x:row>
    <x:row r="64" ht="28" customHeight="1">
      <x:c r="A64" s="295" t="n">
        <x:v>59</x:v>
      </x:c>
      <x:c r="B64" s="295" t="str">
        <x:v>ND30.D.SK.NHAN_SO.HIEN_DIEN</x:v>
      </x:c>
      <x:c r="C64" s="295" t="str">
        <x:v>ND30.D.SK.NHAN_SO</x:v>
      </x:c>
      <x:c r="D64" s="295" t="str">
        <x:v>Số và ký hiệu</x:v>
      </x:c>
      <x:c r="E64" s="295" t="str">
        <x:v>Nhãn Số:</x:v>
      </x:c>
      <x:c r="F64" s="295" t="str">
        <x:v>Điều kiện hiện diện</x:v>
      </x:c>
      <x:c r="G64" s="295" t="str">
        <x:v>TEXT</x:v>
      </x:c>
      <x:c r="H64" s="295"/>
      <x:c r="I64" s="295" t="str">
        <x:v>CHƯA XÁC MINH RIÊNG</x:v>
      </x:c>
      <x:c r="J64" s="295" t="str">
        <x:v>Không suy ra giới hạn pháp lý</x:v>
      </x:c>
      <x:c r="K64" s="295" t="str">
        <x:v>Có số/ký hiệu văn bản; chỉ định dạng, không tự cấp số hoặc ký hiệu; cần xác minh danh mục viết tắt</x:v>
      </x:c>
      <x:c r="L64" s="295" t="str">
        <x:v>CHUA_DUYET_DINH_TUYEN</x:v>
      </x:c>
      <x:c r="M64" s="295" t="str">
        <x:v>CHUA_DOI_CHIEU_CU_THE</x:v>
      </x:c>
      <x:c r="N64" s="295" t="str">
        <x:v>Có số/ký hiệu văn bản; chỉ định dạng, không tự cấp số hoặc ký hiệu; cần xác minh danh mục viết tắt</x:v>
      </x:c>
      <x:c r="O64" s="295" t="str">
        <x:v>Quy định gốc &gt; profile; khi chưa rõ điều kiện thì giữ nguyên; không sinh nội dung.</x:v>
      </x:c>
      <x:c r="P64" s="295" t="str">
        <x:v>PARAGRAPH / RUN / SHAPE tùy thuộc tính</x:v>
      </x:c>
      <x:c r="Q64" s="295" t="str">
        <x:v>Xác định đúng khối Nhãn Số:; đọc giá trị thực; đối chiếu điều kiện; không sửa nội dung khi thiếu nguồn.</x:v>
      </x:c>
      <x:c r="R64" s="295" t="str">
        <x:v>Chưa có locator xác minh riêng</x:v>
      </x:c>
      <x:c r="S64" s="295" t="str">
        <x:v>https://datafiles.chinhphu.vn/cpp/files/vbpq/2020/03/30.signed.pdf</x:v>
      </x:c>
      <x:c r="T64" s="295" t="str">
        <x:v>CÓ</x:v>
      </x:c>
      <x:c r="U64" s="295" t="str">
        <x:v>CHECK_ONLY</x:v>
      </x:c>
      <x:c r="V64" s="295" t="str">
        <x:v>Phải nhận diện chế độ và chủ thể trước khi áp dụng</x:v>
      </x:c>
    </x:row>
    <x:row r="65" ht="28" customHeight="1">
      <x:c r="A65" s="295" t="n">
        <x:v>60</x:v>
      </x:c>
      <x:c r="B65" s="295" t="str">
        <x:v>ND30.D.SK.NHAN_SO.PHONG_CHU</x:v>
      </x:c>
      <x:c r="C65" s="295" t="str">
        <x:v>ND30.D.SK.NHAN_SO</x:v>
      </x:c>
      <x:c r="D65" s="295" t="str">
        <x:v>Số và ký hiệu</x:v>
      </x:c>
      <x:c r="E65" s="295" t="str">
        <x:v>Nhãn Số:</x:v>
      </x:c>
      <x:c r="F65" s="295" t="str">
        <x:v>Font chữ</x:v>
      </x:c>
      <x:c r="G65" s="295" t="str">
        <x:v>STRING</x:v>
      </x:c>
      <x:c r="H65" s="295"/>
      <x:c r="I65" s="295" t="str">
        <x:v>Times New Roman</x:v>
      </x:c>
      <x:c r="J65" s="295" t="str">
        <x:v>Đúng giá trị/giới hạn riêng</x:v>
      </x:c>
      <x:c r="K65" s="295" t="str">
        <x:v>Times New Roman</x:v>
      </x:c>
      <x:c r="L65" s="295" t="str">
        <x:v>PROFILE_CO_GIA_TRI_CHUA_DUYET</x:v>
      </x:c>
      <x:c r="M65" s="295" t="str">
        <x:v>DOI_CHIEU_CU_THE</x:v>
      </x:c>
      <x:c r="N65" s="295" t="str">
        <x:v>Có số/ký hiệu văn bản; chỉ định dạng, không tự cấp số hoặc ký hiệu; cần xác minh danh mục viết tắt</x:v>
      </x:c>
      <x:c r="O65" s="295" t="str">
        <x:v>Quy định gốc &gt; profile; khi chưa rõ điều kiện thì giữ nguyên; không sinh nội dung.</x:v>
      </x:c>
      <x:c r="P65" s="295" t="str">
        <x:v>PARAGRAPH / RUN / SHAPE tùy thuộc tính</x:v>
      </x:c>
      <x:c r="Q65" s="295" t="str">
        <x:v>Xác định đúng khối Nhãn Số:; đọc giá trị thực; đối chiếu điều kiện; không sửa nội dung khi thiếu nguồn.</x:v>
      </x:c>
      <x:c r="R65" s="295" t="str">
        <x:v>Phụ lục I, Phần I, I.4</x:v>
      </x:c>
      <x:c r="S65" s="295" t="str">
        <x:v>https://datafiles.chinhphu.vn/cpp/files/vbpq/2020/03/30.signed.pdf</x:v>
      </x:c>
      <x:c r="T65" s="295" t="str">
        <x:v>CÓ</x:v>
      </x:c>
      <x:c r="U65" s="295" t="str">
        <x:v>CHECK_ONLY</x:v>
      </x:c>
      <x:c r="V65" s="295" t="str"/>
    </x:row>
    <x:row r="66" ht="28" customHeight="1">
      <x:c r="A66" s="295" t="n">
        <x:v>61</x:v>
      </x:c>
      <x:c r="B66" s="295" t="str">
        <x:v>ND30.D.SK.NHAN_SO.CO_CHU</x:v>
      </x:c>
      <x:c r="C66" s="295" t="str">
        <x:v>ND30.D.SK.NHAN_SO</x:v>
      </x:c>
      <x:c r="D66" s="295" t="str">
        <x:v>Số và ký hiệu</x:v>
      </x:c>
      <x:c r="E66" s="295" t="str">
        <x:v>Nhãn Số:</x:v>
      </x:c>
      <x:c r="F66" s="295" t="str">
        <x:v>Cỡ chữ</x:v>
      </x:c>
      <x:c r="G66" s="295" t="str">
        <x:v>NUMBER_OR_RANGE</x:v>
      </x:c>
      <x:c r="H66" s="295" t="str">
        <x:v>pt</x:v>
      </x:c>
      <x:c r="I66" s="295" t="str">
        <x:v>13</x:v>
      </x:c>
      <x:c r="J66" s="295" t="str">
        <x:v>Đúng giá trị/giới hạn riêng</x:v>
      </x:c>
      <x:c r="K66" s="295" t="n">
        <x:v>13</x:v>
      </x:c>
      <x:c r="L66" s="295" t="str">
        <x:v>PROFILE_CO_GIA_TRI_CHUA_DUYET</x:v>
      </x:c>
      <x:c r="M66" s="295" t="str">
        <x:v>DOI_CHIEU_CU_THE</x:v>
      </x:c>
      <x:c r="N66" s="295" t="str">
        <x:v>Có số/ký hiệu văn bản; chỉ định dạng, không tự cấp số hoặc ký hiệu; cần xác minh danh mục viết tắt</x:v>
      </x:c>
      <x:c r="O66" s="295" t="str">
        <x:v>Quy định gốc &gt; profile; khi chưa rõ điều kiện thì giữ nguyên; không sinh nội dung.</x:v>
      </x:c>
      <x:c r="P66" s="295" t="str">
        <x:v>PARAGRAPH / RUN / SHAPE tùy thuộc tính</x:v>
      </x:c>
      <x:c r="Q66" s="295" t="str">
        <x:v>Xác định đúng khối Nhãn Số:; đọc giá trị thực; đối chiếu điều kiện; không sửa nội dung khi thiếu nguồn.</x:v>
      </x:c>
      <x:c r="R66" s="295" t="str">
        <x:v>Phụ lục I, Phần I, II.3.c</x:v>
      </x:c>
      <x:c r="S66" s="295" t="str">
        <x:v>https://datafiles.chinhphu.vn/cpp/files/vbpq/2020/03/30.signed.pdf</x:v>
      </x:c>
      <x:c r="T66" s="295" t="str">
        <x:v>CÓ</x:v>
      </x:c>
      <x:c r="U66" s="295" t="str">
        <x:v>CHECK_ONLY</x:v>
      </x:c>
      <x:c r="V66" s="295" t="str"/>
    </x:row>
    <x:row r="67" ht="28" customHeight="1">
      <x:c r="A67" s="295" t="n">
        <x:v>62</x:v>
      </x:c>
      <x:c r="B67" s="295" t="str">
        <x:v>ND30.D.SK.NHAN_SO.DAM</x:v>
      </x:c>
      <x:c r="C67" s="295" t="str">
        <x:v>ND30.D.SK.NHAN_SO</x:v>
      </x:c>
      <x:c r="D67" s="295" t="str">
        <x:v>Số và ký hiệu</x:v>
      </x:c>
      <x:c r="E67" s="295" t="str">
        <x:v>Nhãn Số:</x:v>
      </x:c>
      <x:c r="F67" s="295" t="str">
        <x:v>In đậm</x:v>
      </x:c>
      <x:c r="G67" s="295" t="str">
        <x:v>BOOLEAN</x:v>
      </x:c>
      <x:c r="H67" s="295"/>
      <x:c r="I67" s="296" t="b">
        <x:v>0</x:v>
      </x:c>
      <x:c r="J67" s="295" t="str">
        <x:v>Đúng giá trị/giới hạn riêng</x:v>
      </x:c>
      <x:c r="K67" s="296" t="b">
        <x:v>0</x:v>
      </x:c>
      <x:c r="L67" s="295" t="str">
        <x:v>PROFILE_CO_GIA_TRI_CHUA_DUYET</x:v>
      </x:c>
      <x:c r="M67" s="295" t="str">
        <x:v>DOI_CHIEU_CU_THE</x:v>
      </x:c>
      <x:c r="N67" s="295" t="str">
        <x:v>Có số/ký hiệu văn bản; chỉ định dạng, không tự cấp số hoặc ký hiệu; cần xác minh danh mục viết tắt</x:v>
      </x:c>
      <x:c r="O67" s="295" t="str">
        <x:v>Quy định gốc &gt; profile; khi chưa rõ điều kiện thì giữ nguyên; không sinh nội dung.</x:v>
      </x:c>
      <x:c r="P67" s="295" t="str">
        <x:v>PARAGRAPH / RUN / SHAPE tùy thuộc tính</x:v>
      </x:c>
      <x:c r="Q67" s="295" t="str">
        <x:v>Xác định đúng khối Nhãn Số:; đọc giá trị thực; đối chiếu điều kiện; không sửa nội dung khi thiếu nguồn.</x:v>
      </x:c>
      <x:c r="R67" s="295" t="str">
        <x:v>Phụ lục I, Phần I, II.3.c</x:v>
      </x:c>
      <x:c r="S67" s="295" t="str">
        <x:v>https://datafiles.chinhphu.vn/cpp/files/vbpq/2020/03/30.signed.pdf</x:v>
      </x:c>
      <x:c r="T67" s="295" t="str">
        <x:v>CÓ</x:v>
      </x:c>
      <x:c r="U67" s="295" t="str">
        <x:v>CHECK_ONLY</x:v>
      </x:c>
      <x:c r="V67" s="295" t="str"/>
    </x:row>
    <x:row r="68" ht="28" customHeight="1">
      <x:c r="A68" s="295" t="n">
        <x:v>63</x:v>
      </x:c>
      <x:c r="B68" s="295" t="str">
        <x:v>ND30.D.SK.NHAN_SO.NGHIENG</x:v>
      </x:c>
      <x:c r="C68" s="295" t="str">
        <x:v>ND30.D.SK.NHAN_SO</x:v>
      </x:c>
      <x:c r="D68" s="295" t="str">
        <x:v>Số và ký hiệu</x:v>
      </x:c>
      <x:c r="E68" s="295" t="str">
        <x:v>Nhãn Số:</x:v>
      </x:c>
      <x:c r="F68" s="295" t="str">
        <x:v>In nghiêng</x:v>
      </x:c>
      <x:c r="G68" s="295" t="str">
        <x:v>BOOLEAN</x:v>
      </x:c>
      <x:c r="H68" s="295"/>
      <x:c r="I68" s="296" t="b">
        <x:v>0</x:v>
      </x:c>
      <x:c r="J68" s="295" t="str">
        <x:v>Đúng giá trị/giới hạn riêng</x:v>
      </x:c>
      <x:c r="K68" s="296" t="b">
        <x:v>0</x:v>
      </x:c>
      <x:c r="L68" s="295" t="str">
        <x:v>PROFILE_CO_GIA_TRI_CHUA_DUYET</x:v>
      </x:c>
      <x:c r="M68" s="295" t="str">
        <x:v>DOI_CHIEU_CU_THE</x:v>
      </x:c>
      <x:c r="N68" s="295" t="str">
        <x:v>Có số/ký hiệu văn bản; chỉ định dạng, không tự cấp số hoặc ký hiệu; cần xác minh danh mục viết tắt</x:v>
      </x:c>
      <x:c r="O68" s="295" t="str">
        <x:v>Quy định gốc &gt; profile; khi chưa rõ điều kiện thì giữ nguyên; không sinh nội dung.</x:v>
      </x:c>
      <x:c r="P68" s="295" t="str">
        <x:v>PARAGRAPH / RUN / SHAPE tùy thuộc tính</x:v>
      </x:c>
      <x:c r="Q68" s="295" t="str">
        <x:v>Xác định đúng khối Nhãn Số:; đọc giá trị thực; đối chiếu điều kiện; không sửa nội dung khi thiếu nguồn.</x:v>
      </x:c>
      <x:c r="R68" s="295" t="str">
        <x:v>Phụ lục I, Phần I, II.3.c</x:v>
      </x:c>
      <x:c r="S68" s="295" t="str">
        <x:v>https://datafiles.chinhphu.vn/cpp/files/vbpq/2020/03/30.signed.pdf</x:v>
      </x:c>
      <x:c r="T68" s="295" t="str">
        <x:v>CÓ</x:v>
      </x:c>
      <x:c r="U68" s="295" t="str">
        <x:v>CHECK_ONLY</x:v>
      </x:c>
      <x:c r="V68" s="295" t="str"/>
    </x:row>
    <x:row r="69" ht="28" customHeight="1">
      <x:c r="A69" s="295" t="n">
        <x:v>64</x:v>
      </x:c>
      <x:c r="B69" s="295" t="str">
        <x:v>ND30.D.SK.NHAN_SO.KIEU_CHU</x:v>
      </x:c>
      <x:c r="C69" s="295" t="str">
        <x:v>ND30.D.SK.NHAN_SO</x:v>
      </x:c>
      <x:c r="D69" s="295" t="str">
        <x:v>Số và ký hiệu</x:v>
      </x:c>
      <x:c r="E69" s="295" t="str">
        <x:v>Nhãn Số:</x:v>
      </x:c>
      <x:c r="F69" s="295" t="str">
        <x:v>Kiểu viết hoa/thường</x:v>
      </x:c>
      <x:c r="G69" s="295" t="str">
        <x:v>ENUM</x:v>
      </x:c>
      <x:c r="H69" s="295"/>
      <x:c r="I69" s="295" t="str">
        <x:v>Số:</x:v>
      </x:c>
      <x:c r="J69" s="295" t="str">
        <x:v>Đúng giá trị/giới hạn riêng</x:v>
      </x:c>
      <x:c r="K69" s="295" t="str">
        <x:v>Viết hoa chữ đầu</x:v>
      </x:c>
      <x:c r="L69" s="295" t="str">
        <x:v>PROFILE_CO_GIA_TRI_CHUA_DUYET</x:v>
      </x:c>
      <x:c r="M69" s="295" t="str">
        <x:v>DOI_CHIEU_CU_THE</x:v>
      </x:c>
      <x:c r="N69" s="295" t="str">
        <x:v>Có số/ký hiệu văn bản; chỉ định dạng, không tự cấp số hoặc ký hiệu; cần xác minh danh mục viết tắt</x:v>
      </x:c>
      <x:c r="O69" s="295" t="str">
        <x:v>Quy định gốc &gt; profile; khi chưa rõ điều kiện thì giữ nguyên; không sinh nội dung.</x:v>
      </x:c>
      <x:c r="P69" s="295" t="str">
        <x:v>PARAGRAPH / RUN / SHAPE tùy thuộc tính</x:v>
      </x:c>
      <x:c r="Q69" s="295" t="str">
        <x:v>Xác định đúng khối Nhãn Số:; đọc giá trị thực; đối chiếu điều kiện; không sửa nội dung khi thiếu nguồn.</x:v>
      </x:c>
      <x:c r="R69" s="295" t="str">
        <x:v>Phụ lục I, Phần I, II.3.c</x:v>
      </x:c>
      <x:c r="S69" s="295" t="str">
        <x:v>https://datafiles.chinhphu.vn/cpp/files/vbpq/2020/03/30.signed.pdf</x:v>
      </x:c>
      <x:c r="T69" s="295" t="str">
        <x:v>CÓ</x:v>
      </x:c>
      <x:c r="U69" s="295" t="str">
        <x:v>CHECK_ONLY</x:v>
      </x:c>
      <x:c r="V69" s="295" t="str"/>
    </x:row>
    <x:row r="70" ht="28" customHeight="1">
      <x:c r="A70" s="295" t="n">
        <x:v>65</x:v>
      </x:c>
      <x:c r="B70" s="295" t="str">
        <x:v>ND30.D.SK.NHAN_SO.CAN_NGANG</x:v>
      </x:c>
      <x:c r="C70" s="295" t="str">
        <x:v>ND30.D.SK.NHAN_SO</x:v>
      </x:c>
      <x:c r="D70" s="295" t="str">
        <x:v>Số và ký hiệu</x:v>
      </x:c>
      <x:c r="E70" s="295" t="str">
        <x:v>Nhãn Số:</x:v>
      </x:c>
      <x:c r="F70" s="295" t="str">
        <x:v>Căn ngang</x:v>
      </x:c>
      <x:c r="G70" s="295" t="str">
        <x:v>ENUM</x:v>
      </x:c>
      <x:c r="H70" s="295"/>
      <x:c r="I70" s="295" t="str">
        <x:v>CENTER</x:v>
      </x:c>
      <x:c r="J70" s="295" t="str">
        <x:v>Đúng giá trị/giới hạn riêng</x:v>
      </x:c>
      <x:c r="K70" s="295" t="str">
        <x:v>CENTER</x:v>
      </x:c>
      <x:c r="L70" s="295" t="str">
        <x:v>PROFILE_CO_GIA_TRI_CHUA_DUYET</x:v>
      </x:c>
      <x:c r="M70" s="295" t="str">
        <x:v>DOI_CHIEU_CU_THE</x:v>
      </x:c>
      <x:c r="N70" s="295" t="str">
        <x:v>Có số/ký hiệu văn bản; chỉ định dạng, không tự cấp số hoặc ký hiệu; cần xác minh danh mục viết tắt</x:v>
      </x:c>
      <x:c r="O70" s="295" t="str">
        <x:v>Quy định gốc &gt; profile; khi chưa rõ điều kiện thì giữ nguyên; không sinh nội dung.</x:v>
      </x:c>
      <x:c r="P70" s="295" t="str">
        <x:v>PARAGRAPH / RUN / SHAPE tùy thuộc tính</x:v>
      </x:c>
      <x:c r="Q70" s="295" t="str">
        <x:v>Xác định đúng khối Nhãn Số:; đọc giá trị thực; đối chiếu điều kiện; không sửa nội dung khi thiếu nguồn.</x:v>
      </x:c>
      <x:c r="R70" s="295" t="str">
        <x:v>Phụ lục I, Phần I, II.3.c</x:v>
      </x:c>
      <x:c r="S70" s="295" t="str">
        <x:v>https://datafiles.chinhphu.vn/cpp/files/vbpq/2020/03/30.signed.pdf</x:v>
      </x:c>
      <x:c r="T70" s="295" t="str">
        <x:v>CÓ</x:v>
      </x:c>
      <x:c r="U70" s="295" t="str">
        <x:v>CHECK_ONLY</x:v>
      </x:c>
      <x:c r="V70" s="295" t="str"/>
    </x:row>
    <x:row r="71" ht="28" customHeight="1">
      <x:c r="A71" s="295" t="n">
        <x:v>66</x:v>
      </x:c>
      <x:c r="B71" s="295" t="str">
        <x:v>ND30.D.SK.NHAN_SO.CACH_SAU</x:v>
      </x:c>
      <x:c r="C71" s="295" t="str">
        <x:v>ND30.D.SK.NHAN_SO</x:v>
      </x:c>
      <x:c r="D71" s="295" t="str">
        <x:v>Số và ký hiệu</x:v>
      </x:c>
      <x:c r="E71" s="295" t="str">
        <x:v>Nhãn Số:</x:v>
      </x:c>
      <x:c r="F71" s="295" t="str">
        <x:v>Khoảng cách sau đoạn</x:v>
      </x:c>
      <x:c r="G71" s="295" t="str">
        <x:v>NUMBER</x:v>
      </x:c>
      <x:c r="H71" s="295" t="str">
        <x:v>pt</x:v>
      </x:c>
      <x:c r="I71" s="295" t="str">
        <x:v>CHƯA XÁC MINH RIÊNG</x:v>
      </x:c>
      <x:c r="J71" s="295" t="str">
        <x:v>Không suy ra giới hạn pháp lý</x:v>
      </x:c>
      <x:c r="K71" s="295" t="n">
        <x:v>0</x:v>
      </x:c>
      <x:c r="L71" s="295" t="str">
        <x:v>PROFILE_CHO_RAO_SOAT</x:v>
      </x:c>
      <x:c r="M71" s="295" t="str">
        <x:v>CHUA_DOI_CHIEU_CU_THE</x:v>
      </x:c>
      <x:c r="N71" s="295" t="str">
        <x:v>Có số/ký hiệu văn bản; chỉ định dạng, không tự cấp số hoặc ký hiệu; cần xác minh danh mục viết tắt</x:v>
      </x:c>
      <x:c r="O71" s="295" t="str">
        <x:v>Quy định gốc &gt; profile; khi chưa rõ điều kiện thì giữ nguyên; không sinh nội dung.</x:v>
      </x:c>
      <x:c r="P71" s="295" t="str">
        <x:v>PARAGRAPH / RUN / SHAPE tùy thuộc tính</x:v>
      </x:c>
      <x:c r="Q71" s="295" t="str">
        <x:v>Xác định đúng khối Nhãn Số:; đọc giá trị thực; đối chiếu điều kiện; không sửa nội dung khi thiếu nguồn.</x:v>
      </x:c>
      <x:c r="R71" s="295" t="str">
        <x:v>Chưa có locator xác minh riêng</x:v>
      </x:c>
      <x:c r="S71" s="295" t="str">
        <x:v>https://datafiles.chinhphu.vn/cpp/files/vbpq/2020/03/30.signed.pdf</x:v>
      </x:c>
      <x:c r="T71" s="295" t="str">
        <x:v>CÓ</x:v>
      </x:c>
      <x:c r="U71" s="295" t="str">
        <x:v>CHECK_ONLY</x:v>
      </x:c>
      <x:c r="V71" s="295" t="str">
        <x:v>Không tự chèn đoạn trắng</x:v>
      </x:c>
    </x:row>
    <x:row r="72" ht="28" customHeight="1">
      <x:c r="A72" s="295" t="n">
        <x:v>67</x:v>
      </x:c>
      <x:c r="B72" s="295" t="str">
        <x:v>ND30.D.SK.NHAN_SO.GIAN_DONG</x:v>
      </x:c>
      <x:c r="C72" s="295" t="str">
        <x:v>ND30.D.SK.NHAN_SO</x:v>
      </x:c>
      <x:c r="D72" s="295" t="str">
        <x:v>Số và ký hiệu</x:v>
      </x:c>
      <x:c r="E72" s="295" t="str">
        <x:v>Nhãn Số:</x:v>
      </x:c>
      <x:c r="F72" s="295" t="str">
        <x:v>Giãn dòng</x:v>
      </x:c>
      <x:c r="G72" s="295" t="str">
        <x:v>NUMBER</x:v>
      </x:c>
      <x:c r="H72" s="295" t="str">
        <x:v>lines</x:v>
      </x:c>
      <x:c r="I72" s="295" t="str">
        <x:v>CHƯA XÁC MINH RIÊNG</x:v>
      </x:c>
      <x:c r="J72" s="295" t="str">
        <x:v>Không suy ra giới hạn pháp lý</x:v>
      </x:c>
      <x:c r="K72" s="295" t="str">
        <x:v>SINGLE</x:v>
      </x:c>
      <x:c r="L72" s="295" t="str">
        <x:v>PROFILE_CHO_RAO_SOAT</x:v>
      </x:c>
      <x:c r="M72" s="295" t="str">
        <x:v>CHUA_DOI_CHIEU_CU_THE</x:v>
      </x:c>
      <x:c r="N72" s="295" t="str">
        <x:v>Có số/ký hiệu văn bản; chỉ định dạng, không tự cấp số hoặc ký hiệu; cần xác minh danh mục viết tắt</x:v>
      </x:c>
      <x:c r="O72" s="295" t="str">
        <x:v>Quy định gốc &gt; profile; khi chưa rõ điều kiện thì giữ nguyên; không sinh nội dung.</x:v>
      </x:c>
      <x:c r="P72" s="295" t="str">
        <x:v>PARAGRAPH / RUN / SHAPE tùy thuộc tính</x:v>
      </x:c>
      <x:c r="Q72" s="295" t="str">
        <x:v>Xác định đúng khối Nhãn Số:; đọc giá trị thực; đối chiếu điều kiện; không sửa nội dung khi thiếu nguồn.</x:v>
      </x:c>
      <x:c r="R72" s="295" t="str">
        <x:v>Chưa có locator xác minh riêng</x:v>
      </x:c>
      <x:c r="S72" s="295" t="str">
        <x:v>https://datafiles.chinhphu.vn/cpp/files/vbpq/2020/03/30.signed.pdf</x:v>
      </x:c>
      <x:c r="T72" s="295" t="str">
        <x:v>CÓ</x:v>
      </x:c>
      <x:c r="U72" s="295" t="str">
        <x:v>CHECK_ONLY</x:v>
      </x:c>
      <x:c r="V72" s="295" t="str">
        <x:v>Giãn dòng phần đầu không được tự đồng nhất với thân bài.</x:v>
      </x:c>
    </x:row>
    <x:row r="73" ht="28" customHeight="1">
      <x:c r="A73" s="295" t="n">
        <x:v>68</x:v>
      </x:c>
      <x:c r="B73" s="295" t="str">
        <x:v>ND30.D.SK.NHAN_SO.CHUOI_CO_DINH</x:v>
      </x:c>
      <x:c r="C73" s="295" t="str">
        <x:v>ND30.D.SK.NHAN_SO</x:v>
      </x:c>
      <x:c r="D73" s="295" t="str">
        <x:v>Số và ký hiệu</x:v>
      </x:c>
      <x:c r="E73" s="295" t="str">
        <x:v>Nhãn Số:</x:v>
      </x:c>
      <x:c r="F73" s="295" t="str">
        <x:v>Nhãn hoặc chuỗi cố định</x:v>
      </x:c>
      <x:c r="G73" s="295" t="str">
        <x:v>TEXT</x:v>
      </x:c>
      <x:c r="H73" s="295"/>
      <x:c r="I73" s="295" t="str">
        <x:v>Số:</x:v>
      </x:c>
      <x:c r="J73" s="295" t="str">
        <x:v>Đúng giá trị/giới hạn riêng</x:v>
      </x:c>
      <x:c r="K73" s="295" t="str">
        <x:v>Số:</x:v>
      </x:c>
      <x:c r="L73" s="295" t="str">
        <x:v>PROFILE_CO_GIA_TRI_HOP_LE</x:v>
      </x:c>
      <x:c r="M73" s="295" t="str">
        <x:v>DOI_CHIEU_CU_THE</x:v>
      </x:c>
      <x:c r="N73" s="295" t="str">
        <x:v>Có số/ký hiệu văn bản; chỉ định dạng, không tự cấp số hoặc ký hiệu; cần xác minh danh mục viết tắt</x:v>
      </x:c>
      <x:c r="O73" s="295" t="str">
        <x:v>Quy định gốc &gt; profile; khi chưa rõ điều kiện thì giữ nguyên; không sinh nội dung.</x:v>
      </x:c>
      <x:c r="P73" s="295" t="str">
        <x:v>PARAGRAPH / RUN / SHAPE tùy thuộc tính</x:v>
      </x:c>
      <x:c r="Q73" s="295" t="str">
        <x:v>Xác định đúng khối Nhãn Số:; đọc giá trị thực; đối chiếu điều kiện; không sửa nội dung khi thiếu nguồn.</x:v>
      </x:c>
      <x:c r="R73" s="295" t="str">
        <x:v>Phụ lục I, Phần I, II.1-5</x:v>
      </x:c>
      <x:c r="S73" s="295" t="str">
        <x:v>https://datafiles.chinhphu.vn/cpp/files/vbpq/2020/03/30.signed.pdf</x:v>
      </x:c>
      <x:c r="T73" s="295" t="str">
        <x:v>CÓ</x:v>
      </x:c>
      <x:c r="U73" s="295" t="str">
        <x:v>CHECK_ONLY</x:v>
      </x:c>
      <x:c r="V73" s="295" t="str">
        <x:v>Không thêm nhãn khi thành phần không xuất hiện</x:v>
      </x:c>
    </x:row>
    <x:row r="74" ht="28" customHeight="1">
      <x:c r="A74" s="295" t="n">
        <x:v>69</x:v>
      </x:c>
      <x:c r="B74" s="295" t="str">
        <x:v>ND30.D.SK.SO_VAN_BAN.HIEN_DIEN</x:v>
      </x:c>
      <x:c r="C74" s="295" t="str">
        <x:v>ND30.D.SK.SO_VAN_BAN</x:v>
      </x:c>
      <x:c r="D74" s="295" t="str">
        <x:v>Số và ký hiệu</x:v>
      </x:c>
      <x:c r="E74" s="295" t="str">
        <x:v>Số thứ tự văn bản</x:v>
      </x:c>
      <x:c r="F74" s="295" t="str">
        <x:v>Điều kiện hiện diện</x:v>
      </x:c>
      <x:c r="G74" s="295" t="str">
        <x:v>TEXT</x:v>
      </x:c>
      <x:c r="H74" s="295"/>
      <x:c r="I74" s="295" t="str">
        <x:v>CHƯA XÁC MINH RIÊNG</x:v>
      </x:c>
      <x:c r="J74" s="295" t="str">
        <x:v>Không suy ra giới hạn pháp lý</x:v>
      </x:c>
      <x:c r="K74" s="295" t="str">
        <x:v>Có số/ký hiệu văn bản; chỉ định dạng, không tự cấp số hoặc ký hiệu; cần xác minh danh mục viết tắt</x:v>
      </x:c>
      <x:c r="L74" s="295" t="str">
        <x:v>CHUA_DUYET_DINH_TUYEN</x:v>
      </x:c>
      <x:c r="M74" s="295" t="str">
        <x:v>CHUA_DOI_CHIEU_CU_THE</x:v>
      </x:c>
      <x:c r="N74" s="295" t="str">
        <x:v>Có số/ký hiệu văn bản; chỉ định dạng, không tự cấp số hoặc ký hiệu; cần xác minh danh mục viết tắt</x:v>
      </x:c>
      <x:c r="O74" s="295" t="str">
        <x:v>Quy định gốc &gt; profile; khi chưa rõ điều kiện thì giữ nguyên; không sinh nội dung.</x:v>
      </x:c>
      <x:c r="P74" s="295" t="str">
        <x:v>PARAGRAPH / RUN / SHAPE tùy thuộc tính</x:v>
      </x:c>
      <x:c r="Q74" s="295" t="str">
        <x:v>Xác định đúng khối Số thứ tự văn bản; đọc giá trị thực; đối chiếu điều kiện; không sửa nội dung khi thiếu nguồn.</x:v>
      </x:c>
      <x:c r="R74" s="295" t="str">
        <x:v>Chưa có locator xác minh riêng</x:v>
      </x:c>
      <x:c r="S74" s="295" t="str">
        <x:v>https://datafiles.chinhphu.vn/cpp/files/vbpq/2020/03/30.signed.pdf</x:v>
      </x:c>
      <x:c r="T74" s="295" t="str">
        <x:v>CÓ</x:v>
      </x:c>
      <x:c r="U74" s="295" t="str">
        <x:v>CHECK_ONLY</x:v>
      </x:c>
      <x:c r="V74" s="295" t="str">
        <x:v>Phải nhận diện chế độ và chủ thể trước khi áp dụng</x:v>
      </x:c>
    </x:row>
    <x:row r="75" ht="28" customHeight="1">
      <x:c r="A75" s="295" t="n">
        <x:v>70</x:v>
      </x:c>
      <x:c r="B75" s="295" t="str">
        <x:v>ND30.D.SK.SO_VAN_BAN.PHONG_CHU</x:v>
      </x:c>
      <x:c r="C75" s="295" t="str">
        <x:v>ND30.D.SK.SO_VAN_BAN</x:v>
      </x:c>
      <x:c r="D75" s="295" t="str">
        <x:v>Số và ký hiệu</x:v>
      </x:c>
      <x:c r="E75" s="295" t="str">
        <x:v>Số thứ tự văn bản</x:v>
      </x:c>
      <x:c r="F75" s="295" t="str">
        <x:v>Font chữ</x:v>
      </x:c>
      <x:c r="G75" s="295" t="str">
        <x:v>STRING</x:v>
      </x:c>
      <x:c r="H75" s="295"/>
      <x:c r="I75" s="295" t="str">
        <x:v>Times New Roman</x:v>
      </x:c>
      <x:c r="J75" s="295" t="str">
        <x:v>Đúng giá trị/giới hạn riêng</x:v>
      </x:c>
      <x:c r="K75" s="295" t="str">
        <x:v>Times New Roman</x:v>
      </x:c>
      <x:c r="L75" s="295" t="str">
        <x:v>PROFILE_CO_GIA_TRI_CHUA_DUYET</x:v>
      </x:c>
      <x:c r="M75" s="295" t="str">
        <x:v>DOI_CHIEU_CU_THE</x:v>
      </x:c>
      <x:c r="N75" s="295" t="str">
        <x:v>Có số/ký hiệu văn bản; chỉ định dạng, không tự cấp số hoặc ký hiệu; cần xác minh danh mục viết tắt</x:v>
      </x:c>
      <x:c r="O75" s="295" t="str">
        <x:v>Quy định gốc &gt; profile; khi chưa rõ điều kiện thì giữ nguyên; không sinh nội dung.</x:v>
      </x:c>
      <x:c r="P75" s="295" t="str">
        <x:v>PARAGRAPH / RUN / SHAPE tùy thuộc tính</x:v>
      </x:c>
      <x:c r="Q75" s="295" t="str">
        <x:v>Xác định đúng khối Số thứ tự văn bản; đọc giá trị thực; đối chiếu điều kiện; không sửa nội dung khi thiếu nguồn.</x:v>
      </x:c>
      <x:c r="R75" s="295" t="str">
        <x:v>Phụ lục I, Phần I, I.4</x:v>
      </x:c>
      <x:c r="S75" s="295" t="str">
        <x:v>https://datafiles.chinhphu.vn/cpp/files/vbpq/2020/03/30.signed.pdf</x:v>
      </x:c>
      <x:c r="T75" s="295" t="str">
        <x:v>CÓ</x:v>
      </x:c>
      <x:c r="U75" s="295" t="str">
        <x:v>CHECK_ONLY</x:v>
      </x:c>
      <x:c r="V75" s="295" t="str"/>
    </x:row>
    <x:row r="76" ht="28" customHeight="1">
      <x:c r="A76" s="295" t="n">
        <x:v>71</x:v>
      </x:c>
      <x:c r="B76" s="295" t="str">
        <x:v>ND30.D.SK.SO_VAN_BAN.CO_CHU</x:v>
      </x:c>
      <x:c r="C76" s="295" t="str">
        <x:v>ND30.D.SK.SO_VAN_BAN</x:v>
      </x:c>
      <x:c r="D76" s="295" t="str">
        <x:v>Số và ký hiệu</x:v>
      </x:c>
      <x:c r="E76" s="295" t="str">
        <x:v>Số thứ tự văn bản</x:v>
      </x:c>
      <x:c r="F76" s="295" t="str">
        <x:v>Cỡ chữ</x:v>
      </x:c>
      <x:c r="G76" s="295" t="str">
        <x:v>NUMBER_OR_RANGE</x:v>
      </x:c>
      <x:c r="H76" s="295" t="str">
        <x:v>pt</x:v>
      </x:c>
      <x:c r="I76" s="295" t="str">
        <x:v>13</x:v>
      </x:c>
      <x:c r="J76" s="295" t="str">
        <x:v>Đúng giá trị/giới hạn riêng</x:v>
      </x:c>
      <x:c r="K76" s="295" t="n">
        <x:v>13</x:v>
      </x:c>
      <x:c r="L76" s="295" t="str">
        <x:v>PROFILE_CO_GIA_TRI_CHUA_DUYET</x:v>
      </x:c>
      <x:c r="M76" s="295" t="str">
        <x:v>DOI_CHIEU_CU_THE</x:v>
      </x:c>
      <x:c r="N76" s="295" t="str">
        <x:v>Có số/ký hiệu văn bản; chỉ định dạng, không tự cấp số hoặc ký hiệu; cần xác minh danh mục viết tắt</x:v>
      </x:c>
      <x:c r="O76" s="295" t="str">
        <x:v>Quy định gốc &gt; profile; khi chưa rõ điều kiện thì giữ nguyên; không sinh nội dung.</x:v>
      </x:c>
      <x:c r="P76" s="295" t="str">
        <x:v>PARAGRAPH / RUN / SHAPE tùy thuộc tính</x:v>
      </x:c>
      <x:c r="Q76" s="295" t="str">
        <x:v>Xác định đúng khối Số thứ tự văn bản; đọc giá trị thực; đối chiếu điều kiện; không sửa nội dung khi thiếu nguồn.</x:v>
      </x:c>
      <x:c r="R76" s="295" t="str">
        <x:v>Phụ lục I, Phần I, II.3.c</x:v>
      </x:c>
      <x:c r="S76" s="295" t="str">
        <x:v>https://datafiles.chinhphu.vn/cpp/files/vbpq/2020/03/30.signed.pdf</x:v>
      </x:c>
      <x:c r="T76" s="295" t="str">
        <x:v>CÓ</x:v>
      </x:c>
      <x:c r="U76" s="295" t="str">
        <x:v>CHECK_ONLY</x:v>
      </x:c>
      <x:c r="V76" s="295" t="str"/>
    </x:row>
    <x:row r="77" ht="28" customHeight="1">
      <x:c r="A77" s="295" t="n">
        <x:v>72</x:v>
      </x:c>
      <x:c r="B77" s="295" t="str">
        <x:v>ND30.D.SK.SO_VAN_BAN.DAM</x:v>
      </x:c>
      <x:c r="C77" s="295" t="str">
        <x:v>ND30.D.SK.SO_VAN_BAN</x:v>
      </x:c>
      <x:c r="D77" s="295" t="str">
        <x:v>Số và ký hiệu</x:v>
      </x:c>
      <x:c r="E77" s="295" t="str">
        <x:v>Số thứ tự văn bản</x:v>
      </x:c>
      <x:c r="F77" s="295" t="str">
        <x:v>In đậm</x:v>
      </x:c>
      <x:c r="G77" s="295" t="str">
        <x:v>BOOLEAN</x:v>
      </x:c>
      <x:c r="H77" s="295"/>
      <x:c r="I77" s="296" t="b">
        <x:v>0</x:v>
      </x:c>
      <x:c r="J77" s="295" t="str">
        <x:v>Đúng giá trị/giới hạn riêng</x:v>
      </x:c>
      <x:c r="K77" s="296" t="b">
        <x:v>0</x:v>
      </x:c>
      <x:c r="L77" s="295" t="str">
        <x:v>PROFILE_CO_GIA_TRI_CHUA_DUYET</x:v>
      </x:c>
      <x:c r="M77" s="295" t="str">
        <x:v>DOI_CHIEU_CU_THE</x:v>
      </x:c>
      <x:c r="N77" s="295" t="str">
        <x:v>Có số/ký hiệu văn bản; chỉ định dạng, không tự cấp số hoặc ký hiệu; cần xác minh danh mục viết tắt</x:v>
      </x:c>
      <x:c r="O77" s="295" t="str">
        <x:v>Quy định gốc &gt; profile; khi chưa rõ điều kiện thì giữ nguyên; không sinh nội dung.</x:v>
      </x:c>
      <x:c r="P77" s="295" t="str">
        <x:v>PARAGRAPH / RUN / SHAPE tùy thuộc tính</x:v>
      </x:c>
      <x:c r="Q77" s="295" t="str">
        <x:v>Xác định đúng khối Số thứ tự văn bản; đọc giá trị thực; đối chiếu điều kiện; không sửa nội dung khi thiếu nguồn.</x:v>
      </x:c>
      <x:c r="R77" s="295" t="str">
        <x:v>Phụ lục I, Phần I, II.3.c</x:v>
      </x:c>
      <x:c r="S77" s="295" t="str">
        <x:v>https://datafiles.chinhphu.vn/cpp/files/vbpq/2020/03/30.signed.pdf</x:v>
      </x:c>
      <x:c r="T77" s="295" t="str">
        <x:v>CÓ</x:v>
      </x:c>
      <x:c r="U77" s="295" t="str">
        <x:v>CHECK_ONLY</x:v>
      </x:c>
      <x:c r="V77" s="295" t="str"/>
    </x:row>
    <x:row r="78" ht="28" customHeight="1">
      <x:c r="A78" s="295" t="n">
        <x:v>73</x:v>
      </x:c>
      <x:c r="B78" s="295" t="str">
        <x:v>ND30.D.SK.SO_VAN_BAN.NGHIENG</x:v>
      </x:c>
      <x:c r="C78" s="295" t="str">
        <x:v>ND30.D.SK.SO_VAN_BAN</x:v>
      </x:c>
      <x:c r="D78" s="295" t="str">
        <x:v>Số và ký hiệu</x:v>
      </x:c>
      <x:c r="E78" s="295" t="str">
        <x:v>Số thứ tự văn bản</x:v>
      </x:c>
      <x:c r="F78" s="295" t="str">
        <x:v>In nghiêng</x:v>
      </x:c>
      <x:c r="G78" s="295" t="str">
        <x:v>BOOLEAN</x:v>
      </x:c>
      <x:c r="H78" s="295"/>
      <x:c r="I78" s="296" t="b">
        <x:v>0</x:v>
      </x:c>
      <x:c r="J78" s="295" t="str">
        <x:v>Đúng giá trị/giới hạn riêng</x:v>
      </x:c>
      <x:c r="K78" s="296" t="b">
        <x:v>0</x:v>
      </x:c>
      <x:c r="L78" s="295" t="str">
        <x:v>PROFILE_CO_GIA_TRI_CHUA_DUYET</x:v>
      </x:c>
      <x:c r="M78" s="295" t="str">
        <x:v>DOI_CHIEU_CU_THE</x:v>
      </x:c>
      <x:c r="N78" s="295" t="str">
        <x:v>Có số/ký hiệu văn bản; chỉ định dạng, không tự cấp số hoặc ký hiệu; cần xác minh danh mục viết tắt</x:v>
      </x:c>
      <x:c r="O78" s="295" t="str">
        <x:v>Quy định gốc &gt; profile; khi chưa rõ điều kiện thì giữ nguyên; không sinh nội dung.</x:v>
      </x:c>
      <x:c r="P78" s="295" t="str">
        <x:v>PARAGRAPH / RUN / SHAPE tùy thuộc tính</x:v>
      </x:c>
      <x:c r="Q78" s="295" t="str">
        <x:v>Xác định đúng khối Số thứ tự văn bản; đọc giá trị thực; đối chiếu điều kiện; không sửa nội dung khi thiếu nguồn.</x:v>
      </x:c>
      <x:c r="R78" s="295" t="str">
        <x:v>Phụ lục I, Phần I, II.3.c</x:v>
      </x:c>
      <x:c r="S78" s="295" t="str">
        <x:v>https://datafiles.chinhphu.vn/cpp/files/vbpq/2020/03/30.signed.pdf</x:v>
      </x:c>
      <x:c r="T78" s="295" t="str">
        <x:v>CÓ</x:v>
      </x:c>
      <x:c r="U78" s="295" t="str">
        <x:v>CHECK_ONLY</x:v>
      </x:c>
      <x:c r="V78" s="295" t="str"/>
    </x:row>
    <x:row r="79" ht="28" customHeight="1">
      <x:c r="A79" s="295" t="n">
        <x:v>74</x:v>
      </x:c>
      <x:c r="B79" s="295" t="str">
        <x:v>ND30.D.SK.SO_VAN_BAN.KIEU_CHU</x:v>
      </x:c>
      <x:c r="C79" s="295" t="str">
        <x:v>ND30.D.SK.SO_VAN_BAN</x:v>
      </x:c>
      <x:c r="D79" s="295" t="str">
        <x:v>Số và ký hiệu</x:v>
      </x:c>
      <x:c r="E79" s="295" t="str">
        <x:v>Số thứ tự văn bản</x:v>
      </x:c>
      <x:c r="F79" s="295" t="str">
        <x:v>Kiểu viết hoa/thường</x:v>
      </x:c>
      <x:c r="G79" s="295" t="str">
        <x:v>ENUM</x:v>
      </x:c>
      <x:c r="H79" s="295"/>
      <x:c r="I79" s="295" t="str">
        <x:v>Chữ số Ả Rập</x:v>
      </x:c>
      <x:c r="J79" s="295" t="str">
        <x:v>Đúng giá trị/giới hạn riêng</x:v>
      </x:c>
      <x:c r="K79" s="295" t="str">
        <x:v>Chữ số Ả Rập; không áp dụng quy tắc IN HOA</x:v>
      </x:c>
      <x:c r="L79" s="295" t="str">
        <x:v>PROFILE_CO_GIA_TRI_CHUA_DUYET</x:v>
      </x:c>
      <x:c r="M79" s="295" t="str">
        <x:v>DOI_CHIEU_CU_THE</x:v>
      </x:c>
      <x:c r="N79" s="295" t="str">
        <x:v>Có số/ký hiệu văn bản; chỉ định dạng, không tự cấp số hoặc ký hiệu; cần xác minh danh mục viết tắt</x:v>
      </x:c>
      <x:c r="O79" s="295" t="str">
        <x:v>Quy định gốc &gt; profile; khi chưa rõ điều kiện thì giữ nguyên; không sinh nội dung.</x:v>
      </x:c>
      <x:c r="P79" s="295" t="str">
        <x:v>PARAGRAPH / RUN / SHAPE tùy thuộc tính</x:v>
      </x:c>
      <x:c r="Q79" s="295" t="str">
        <x:v>Xác định đúng khối Số thứ tự văn bản; đọc giá trị thực; đối chiếu điều kiện; không sửa nội dung khi thiếu nguồn.</x:v>
      </x:c>
      <x:c r="R79" s="295" t="str">
        <x:v>Phụ lục I, Phần I, II.3.c</x:v>
      </x:c>
      <x:c r="S79" s="295" t="str">
        <x:v>https://datafiles.chinhphu.vn/cpp/files/vbpq/2020/03/30.signed.pdf</x:v>
      </x:c>
      <x:c r="T79" s="295" t="str">
        <x:v>CÓ</x:v>
      </x:c>
      <x:c r="U79" s="295" t="str">
        <x:v>CHECK_ONLY</x:v>
      </x:c>
      <x:c r="V79" s="295" t="str"/>
    </x:row>
    <x:row r="80" ht="28" customHeight="1">
      <x:c r="A80" s="295" t="n">
        <x:v>75</x:v>
      </x:c>
      <x:c r="B80" s="295" t="str">
        <x:v>ND30.D.SK.SO_VAN_BAN.CAN_NGANG</x:v>
      </x:c>
      <x:c r="C80" s="295" t="str">
        <x:v>ND30.D.SK.SO_VAN_BAN</x:v>
      </x:c>
      <x:c r="D80" s="295" t="str">
        <x:v>Số và ký hiệu</x:v>
      </x:c>
      <x:c r="E80" s="295" t="str">
        <x:v>Số thứ tự văn bản</x:v>
      </x:c>
      <x:c r="F80" s="295" t="str">
        <x:v>Căn ngang</x:v>
      </x:c>
      <x:c r="G80" s="295" t="str">
        <x:v>ENUM</x:v>
      </x:c>
      <x:c r="H80" s="295"/>
      <x:c r="I80" s="295" t="str">
        <x:v>CENTER</x:v>
      </x:c>
      <x:c r="J80" s="295" t="str">
        <x:v>Đúng giá trị/giới hạn riêng</x:v>
      </x:c>
      <x:c r="K80" s="295" t="str">
        <x:v>CENTER</x:v>
      </x:c>
      <x:c r="L80" s="295" t="str">
        <x:v>PROFILE_CO_GIA_TRI_CHUA_DUYET</x:v>
      </x:c>
      <x:c r="M80" s="295" t="str">
        <x:v>DOI_CHIEU_CU_THE</x:v>
      </x:c>
      <x:c r="N80" s="295" t="str">
        <x:v>Có số/ký hiệu văn bản; chỉ định dạng, không tự cấp số hoặc ký hiệu; cần xác minh danh mục viết tắt</x:v>
      </x:c>
      <x:c r="O80" s="295" t="str">
        <x:v>Quy định gốc &gt; profile; khi chưa rõ điều kiện thì giữ nguyên; không sinh nội dung.</x:v>
      </x:c>
      <x:c r="P80" s="295" t="str">
        <x:v>PARAGRAPH / RUN / SHAPE tùy thuộc tính</x:v>
      </x:c>
      <x:c r="Q80" s="295" t="str">
        <x:v>Xác định đúng khối Số thứ tự văn bản; đọc giá trị thực; đối chiếu điều kiện; không sửa nội dung khi thiếu nguồn.</x:v>
      </x:c>
      <x:c r="R80" s="295" t="str">
        <x:v>Phụ lục I, Phần I, II.3.c</x:v>
      </x:c>
      <x:c r="S80" s="295" t="str">
        <x:v>https://datafiles.chinhphu.vn/cpp/files/vbpq/2020/03/30.signed.pdf</x:v>
      </x:c>
      <x:c r="T80" s="295" t="str">
        <x:v>CÓ</x:v>
      </x:c>
      <x:c r="U80" s="295" t="str">
        <x:v>CHECK_ONLY</x:v>
      </x:c>
      <x:c r="V80" s="295" t="str"/>
    </x:row>
    <x:row r="81" ht="28" customHeight="1">
      <x:c r="A81" s="295" t="n">
        <x:v>76</x:v>
      </x:c>
      <x:c r="B81" s="295" t="str">
        <x:v>ND30.D.SK.SO_VAN_BAN.CACH_SAU</x:v>
      </x:c>
      <x:c r="C81" s="295" t="str">
        <x:v>ND30.D.SK.SO_VAN_BAN</x:v>
      </x:c>
      <x:c r="D81" s="295" t="str">
        <x:v>Số và ký hiệu</x:v>
      </x:c>
      <x:c r="E81" s="295" t="str">
        <x:v>Số thứ tự văn bản</x:v>
      </x:c>
      <x:c r="F81" s="295" t="str">
        <x:v>Khoảng cách sau đoạn</x:v>
      </x:c>
      <x:c r="G81" s="295" t="str">
        <x:v>NUMBER</x:v>
      </x:c>
      <x:c r="H81" s="295" t="str">
        <x:v>pt</x:v>
      </x:c>
      <x:c r="I81" s="295" t="str">
        <x:v>CHƯA XÁC MINH RIÊNG</x:v>
      </x:c>
      <x:c r="J81" s="295" t="str">
        <x:v>Không suy ra giới hạn pháp lý</x:v>
      </x:c>
      <x:c r="K81" s="295" t="n">
        <x:v>0</x:v>
      </x:c>
      <x:c r="L81" s="295" t="str">
        <x:v>PROFILE_CHO_RAO_SOAT</x:v>
      </x:c>
      <x:c r="M81" s="295" t="str">
        <x:v>CHUA_DOI_CHIEU_CU_THE</x:v>
      </x:c>
      <x:c r="N81" s="295" t="str">
        <x:v>Có số/ký hiệu văn bản; chỉ định dạng, không tự cấp số hoặc ký hiệu; cần xác minh danh mục viết tắt</x:v>
      </x:c>
      <x:c r="O81" s="295" t="str">
        <x:v>Quy định gốc &gt; profile; khi chưa rõ điều kiện thì giữ nguyên; không sinh nội dung.</x:v>
      </x:c>
      <x:c r="P81" s="295" t="str">
        <x:v>PARAGRAPH / RUN / SHAPE tùy thuộc tính</x:v>
      </x:c>
      <x:c r="Q81" s="295" t="str">
        <x:v>Xác định đúng khối Số thứ tự văn bản; đọc giá trị thực; đối chiếu điều kiện; không sửa nội dung khi thiếu nguồn.</x:v>
      </x:c>
      <x:c r="R81" s="295" t="str">
        <x:v>Chưa có locator xác minh riêng</x:v>
      </x:c>
      <x:c r="S81" s="295" t="str">
        <x:v>https://datafiles.chinhphu.vn/cpp/files/vbpq/2020/03/30.signed.pdf</x:v>
      </x:c>
      <x:c r="T81" s="295" t="str">
        <x:v>CÓ</x:v>
      </x:c>
      <x:c r="U81" s="295" t="str">
        <x:v>CHECK_ONLY</x:v>
      </x:c>
      <x:c r="V81" s="295" t="str">
        <x:v>Không tự chèn đoạn trắng</x:v>
      </x:c>
    </x:row>
    <x:row r="82" ht="28" customHeight="1">
      <x:c r="A82" s="295" t="n">
        <x:v>77</x:v>
      </x:c>
      <x:c r="B82" s="295" t="str">
        <x:v>ND30.D.SK.SO_VAN_BAN.GIAN_DONG</x:v>
      </x:c>
      <x:c r="C82" s="295" t="str">
        <x:v>ND30.D.SK.SO_VAN_BAN</x:v>
      </x:c>
      <x:c r="D82" s="295" t="str">
        <x:v>Số và ký hiệu</x:v>
      </x:c>
      <x:c r="E82" s="295" t="str">
        <x:v>Số thứ tự văn bản</x:v>
      </x:c>
      <x:c r="F82" s="295" t="str">
        <x:v>Giãn dòng</x:v>
      </x:c>
      <x:c r="G82" s="295" t="str">
        <x:v>NUMBER</x:v>
      </x:c>
      <x:c r="H82" s="295" t="str">
        <x:v>lines</x:v>
      </x:c>
      <x:c r="I82" s="295" t="str">
        <x:v>CHƯA XÁC MINH RIÊNG</x:v>
      </x:c>
      <x:c r="J82" s="295" t="str">
        <x:v>Không suy ra giới hạn pháp lý</x:v>
      </x:c>
      <x:c r="K82" s="295" t="str">
        <x:v>SINGLE</x:v>
      </x:c>
      <x:c r="L82" s="295" t="str">
        <x:v>PROFILE_CHO_RAO_SOAT</x:v>
      </x:c>
      <x:c r="M82" s="295" t="str">
        <x:v>CHUA_DOI_CHIEU_CU_THE</x:v>
      </x:c>
      <x:c r="N82" s="295" t="str">
        <x:v>Có số/ký hiệu văn bản; chỉ định dạng, không tự cấp số hoặc ký hiệu; cần xác minh danh mục viết tắt</x:v>
      </x:c>
      <x:c r="O82" s="295" t="str">
        <x:v>Quy định gốc &gt; profile; khi chưa rõ điều kiện thì giữ nguyên; không sinh nội dung.</x:v>
      </x:c>
      <x:c r="P82" s="295" t="str">
        <x:v>PARAGRAPH / RUN / SHAPE tùy thuộc tính</x:v>
      </x:c>
      <x:c r="Q82" s="295" t="str">
        <x:v>Xác định đúng khối Số thứ tự văn bản; đọc giá trị thực; đối chiếu điều kiện; không sửa nội dung khi thiếu nguồn.</x:v>
      </x:c>
      <x:c r="R82" s="295" t="str">
        <x:v>Chưa có locator xác minh riêng</x:v>
      </x:c>
      <x:c r="S82" s="295" t="str">
        <x:v>https://datafiles.chinhphu.vn/cpp/files/vbpq/2020/03/30.signed.pdf</x:v>
      </x:c>
      <x:c r="T82" s="295" t="str">
        <x:v>CÓ</x:v>
      </x:c>
      <x:c r="U82" s="295" t="str">
        <x:v>CHECK_ONLY</x:v>
      </x:c>
      <x:c r="V82" s="295" t="str">
        <x:v>Giãn dòng phần đầu không được tự đồng nhất với thân bài.</x:v>
      </x:c>
    </x:row>
    <x:row r="83" ht="28" customHeight="1">
      <x:c r="A83" s="295" t="n">
        <x:v>78</x:v>
      </x:c>
      <x:c r="B83" s="295" t="str">
        <x:v>ND30.D.SK.SO_VAN_BAN.BAO_VE_NOI_DUNG</x:v>
      </x:c>
      <x:c r="C83" s="295" t="str">
        <x:v>ND30.D.SK.SO_VAN_BAN</x:v>
      </x:c>
      <x:c r="D83" s="295" t="str">
        <x:v>Số và ký hiệu</x:v>
      </x:c>
      <x:c r="E83" s="295" t="str">
        <x:v>Số thứ tự văn bản</x:v>
      </x:c>
      <x:c r="F83" s="295" t="str">
        <x:v>Không tự suy diễn nội dung</x:v>
      </x:c>
      <x:c r="G83" s="295" t="str">
        <x:v>BOOLEAN</x:v>
      </x:c>
      <x:c r="H83" s="295"/>
      <x:c r="I83" s="295" t="str">
        <x:v>CHƯA XÁC MINH RIÊNG</x:v>
      </x:c>
      <x:c r="J83" s="295" t="str">
        <x:v>Không suy ra giới hạn pháp lý</x:v>
      </x:c>
      <x:c r="K83" s="296" t="b">
        <x:v>1</x:v>
      </x:c>
      <x:c r="L83" s="295" t="str">
        <x:v>NOI_DUNG_BAO_VE</x:v>
      </x:c>
      <x:c r="M83" s="295" t="str">
        <x:v>CHUA_DOI_CHIEU_CU_THE</x:v>
      </x:c>
      <x:c r="N83" s="295" t="str">
        <x:v>Có số/ký hiệu văn bản; chỉ định dạng, không tự cấp số hoặc ký hiệu; cần xác minh danh mục viết tắt</x:v>
      </x:c>
      <x:c r="O83" s="295" t="str">
        <x:v>Quy định gốc &gt; profile; khi chưa rõ điều kiện thì giữ nguyên; không sinh nội dung.</x:v>
      </x:c>
      <x:c r="P83" s="295" t="str">
        <x:v>PARAGRAPH / RUN / SHAPE tùy thuộc tính</x:v>
      </x:c>
      <x:c r="Q83" s="295" t="str">
        <x:v>Xác định đúng khối Số thứ tự văn bản; đọc giá trị thực; đối chiếu điều kiện; không sửa nội dung khi thiếu nguồn.</x:v>
      </x:c>
      <x:c r="R83" s="295" t="str">
        <x:v>Chưa có locator xác minh riêng</x:v>
      </x:c>
      <x:c r="S83" s="295" t="str">
        <x:v>https://datafiles.chinhphu.vn/cpp/files/vbpq/2020/03/30.signed.pdf</x:v>
      </x:c>
      <x:c r="T83" s="295" t="str">
        <x:v>CÓ</x:v>
      </x:c>
      <x:c r="U83" s="295" t="str">
        <x:v>CHECK_ONLY</x:v>
      </x:c>
      <x:c r="V83" s="295" t="str">
        <x:v>Chỉ chuẩn hóa hình thức sau khi xác nhận chính xác nội dung, không tự điền số/ngày/người nhận.</x:v>
      </x:c>
    </x:row>
    <x:row r="84" ht="28" customHeight="1">
      <x:c r="A84" s="295" t="n">
        <x:v>79</x:v>
      </x:c>
      <x:c r="B84" s="295" t="str">
        <x:v>ND30.D.SK.SO_VAN_BAN.SO_0</x:v>
      </x:c>
      <x:c r="C84" s="295" t="str">
        <x:v>ND30.D.SK.SO_VAN_BAN</x:v>
      </x:c>
      <x:c r="D84" s="295" t="str">
        <x:v>Số và ký hiệu</x:v>
      </x:c>
      <x:c r="E84" s="295" t="str">
        <x:v>Số thứ tự văn bản</x:v>
      </x:c>
      <x:c r="F84" s="295" t="str">
        <x:v>Bổ sung số 0 khi số văn bản &lt; 10</x:v>
      </x:c>
      <x:c r="G84" s="295" t="str">
        <x:v>TEXT</x:v>
      </x:c>
      <x:c r="H84" s="295"/>
      <x:c r="I84" s="295" t="str">
        <x:v>Có, theo quy định</x:v>
      </x:c>
      <x:c r="J84" s="295" t="str">
        <x:v>Đúng giá trị/giới hạn riêng</x:v>
      </x:c>
      <x:c r="K84" s="295" t="str">
        <x:v>Không tự cấp số</x:v>
      </x:c>
      <x:c r="L84" s="295" t="str">
        <x:v>PROFILE_THEO_NGUON</x:v>
      </x:c>
      <x:c r="M84" s="295" t="str">
        <x:v>DOI_CHIEU_CU_THE</x:v>
      </x:c>
      <x:c r="N84" s="295" t="str">
        <x:v>Có số/ký hiệu văn bản; chỉ định dạng, không tự cấp số hoặc ký hiệu; cần xác minh danh mục viết tắt</x:v>
      </x:c>
      <x:c r="O84" s="295" t="str">
        <x:v>Quy định gốc &gt; profile; khi chưa rõ điều kiện thì giữ nguyên; không sinh nội dung.</x:v>
      </x:c>
      <x:c r="P84" s="295" t="str">
        <x:v>PARAGRAPH / RUN / SHAPE tùy thuộc tính</x:v>
      </x:c>
      <x:c r="Q84" s="295" t="str">
        <x:v>Xác định đúng khối Số thứ tự văn bản; đọc giá trị thực; đối chiếu điều kiện; không sửa nội dung khi thiếu nguồn.</x:v>
      </x:c>
      <x:c r="R84" s="295" t="str">
        <x:v>Phụ lục I, Phần I, II.3.c</x:v>
      </x:c>
      <x:c r="S84" s="295" t="str">
        <x:v>https://datafiles.chinhphu.vn/cpp/files/vbpq/2020/03/30.signed.pdf</x:v>
      </x:c>
      <x:c r="T84" s="295" t="str">
        <x:v>CÓ</x:v>
      </x:c>
      <x:c r="U84" s="295" t="str">
        <x:v>CHECK_ONLY</x:v>
      </x:c>
      <x:c r="V84" s="295" t="str">
        <x:v>Mã rule con chỉ phục vụ AI đọc; không tự tạo thao tác OOXML.</x:v>
      </x:c>
    </x:row>
    <x:row r="85" ht="28" customHeight="1">
      <x:c r="A85" s="295" t="n">
        <x:v>80</x:v>
      </x:c>
      <x:c r="B85" s="295" t="str">
        <x:v>ND30.D.SK.KY_HIEU_LOAI.HIEN_DIEN</x:v>
      </x:c>
      <x:c r="C85" s="295" t="str">
        <x:v>ND30.D.SK.KY_HIEU_LOAI</x:v>
      </x:c>
      <x:c r="D85" s="295" t="str">
        <x:v>Số và ký hiệu</x:v>
      </x:c>
      <x:c r="E85" s="295" t="str">
        <x:v>Ký hiệu tên loại văn bản</x:v>
      </x:c>
      <x:c r="F85" s="295" t="str">
        <x:v>Điều kiện hiện diện</x:v>
      </x:c>
      <x:c r="G85" s="295" t="str">
        <x:v>TEXT</x:v>
      </x:c>
      <x:c r="H85" s="295"/>
      <x:c r="I85" s="295" t="str">
        <x:v>CHƯA XÁC MINH RIÊNG</x:v>
      </x:c>
      <x:c r="J85" s="295" t="str">
        <x:v>Không suy ra giới hạn pháp lý</x:v>
      </x:c>
      <x:c r="K85" s="295" t="str">
        <x:v>Có số/ký hiệu văn bản; chỉ định dạng, không tự cấp số hoặc ký hiệu; cần xác minh danh mục viết tắt</x:v>
      </x:c>
      <x:c r="L85" s="295" t="str">
        <x:v>CHUA_DUYET_DINH_TUYEN</x:v>
      </x:c>
      <x:c r="M85" s="295" t="str">
        <x:v>CHUA_DOI_CHIEU_CU_THE</x:v>
      </x:c>
      <x:c r="N85" s="295" t="str">
        <x:v>Có số/ký hiệu văn bản; chỉ định dạng, không tự cấp số hoặc ký hiệu; cần xác minh danh mục viết tắt</x:v>
      </x:c>
      <x:c r="O85" s="295" t="str">
        <x:v>Quy định gốc &gt; profile; khi chưa rõ điều kiện thì giữ nguyên; không sinh nội dung.</x:v>
      </x:c>
      <x:c r="P85" s="295" t="str">
        <x:v>PARAGRAPH / RUN / SHAPE tùy thuộc tính</x:v>
      </x:c>
      <x:c r="Q85" s="295" t="str">
        <x:v>Xác định đúng khối Ký hiệu tên loại văn bản; đọc giá trị thực; đối chiếu điều kiện; không sửa nội dung khi thiếu nguồn.</x:v>
      </x:c>
      <x:c r="R85" s="295" t="str">
        <x:v>Chưa có locator xác minh riêng</x:v>
      </x:c>
      <x:c r="S85" s="295" t="str">
        <x:v>https://datafiles.chinhphu.vn/cpp/files/vbpq/2020/03/30.signed.pdf</x:v>
      </x:c>
      <x:c r="T85" s="295" t="str">
        <x:v>CÓ</x:v>
      </x:c>
      <x:c r="U85" s="295" t="str">
        <x:v>CHECK_ONLY</x:v>
      </x:c>
      <x:c r="V85" s="295" t="str">
        <x:v>Phải nhận diện chế độ và chủ thể trước khi áp dụng</x:v>
      </x:c>
    </x:row>
    <x:row r="86" ht="28" customHeight="1">
      <x:c r="A86" s="295" t="n">
        <x:v>81</x:v>
      </x:c>
      <x:c r="B86" s="295" t="str">
        <x:v>ND30.D.SK.KY_HIEU_LOAI.PHONG_CHU</x:v>
      </x:c>
      <x:c r="C86" s="295" t="str">
        <x:v>ND30.D.SK.KY_HIEU_LOAI</x:v>
      </x:c>
      <x:c r="D86" s="295" t="str">
        <x:v>Số và ký hiệu</x:v>
      </x:c>
      <x:c r="E86" s="295" t="str">
        <x:v>Ký hiệu tên loại văn bản</x:v>
      </x:c>
      <x:c r="F86" s="295" t="str">
        <x:v>Font chữ</x:v>
      </x:c>
      <x:c r="G86" s="295" t="str">
        <x:v>STRING</x:v>
      </x:c>
      <x:c r="H86" s="295"/>
      <x:c r="I86" s="295" t="str">
        <x:v>Times New Roman</x:v>
      </x:c>
      <x:c r="J86" s="295" t="str">
        <x:v>Đúng giá trị/giới hạn riêng</x:v>
      </x:c>
      <x:c r="K86" s="295" t="str">
        <x:v>Times New Roman</x:v>
      </x:c>
      <x:c r="L86" s="295" t="str">
        <x:v>PROFILE_CO_GIA_TRI_CHUA_DUYET</x:v>
      </x:c>
      <x:c r="M86" s="295" t="str">
        <x:v>DOI_CHIEU_CU_THE</x:v>
      </x:c>
      <x:c r="N86" s="295" t="str">
        <x:v>Có số/ký hiệu văn bản; chỉ định dạng, không tự cấp số hoặc ký hiệu; cần xác minh danh mục viết tắt</x:v>
      </x:c>
      <x:c r="O86" s="295" t="str">
        <x:v>Quy định gốc &gt; profile; khi chưa rõ điều kiện thì giữ nguyên; không sinh nội dung.</x:v>
      </x:c>
      <x:c r="P86" s="295" t="str">
        <x:v>PARAGRAPH / RUN / SHAPE tùy thuộc tính</x:v>
      </x:c>
      <x:c r="Q86" s="295" t="str">
        <x:v>Xác định đúng khối Ký hiệu tên loại văn bản; đọc giá trị thực; đối chiếu điều kiện; không sửa nội dung khi thiếu nguồn.</x:v>
      </x:c>
      <x:c r="R86" s="295" t="str">
        <x:v>Phụ lục I, Phần I, I.4</x:v>
      </x:c>
      <x:c r="S86" s="295" t="str">
        <x:v>https://datafiles.chinhphu.vn/cpp/files/vbpq/2020/03/30.signed.pdf</x:v>
      </x:c>
      <x:c r="T86" s="295" t="str">
        <x:v>CÓ</x:v>
      </x:c>
      <x:c r="U86" s="295" t="str">
        <x:v>CHECK_ONLY</x:v>
      </x:c>
      <x:c r="V86" s="295" t="str"/>
    </x:row>
    <x:row r="87" ht="28" customHeight="1">
      <x:c r="A87" s="295" t="n">
        <x:v>82</x:v>
      </x:c>
      <x:c r="B87" s="295" t="str">
        <x:v>ND30.D.SK.KY_HIEU_LOAI.CO_CHU</x:v>
      </x:c>
      <x:c r="C87" s="295" t="str">
        <x:v>ND30.D.SK.KY_HIEU_LOAI</x:v>
      </x:c>
      <x:c r="D87" s="295" t="str">
        <x:v>Số và ký hiệu</x:v>
      </x:c>
      <x:c r="E87" s="295" t="str">
        <x:v>Ký hiệu tên loại văn bản</x:v>
      </x:c>
      <x:c r="F87" s="295" t="str">
        <x:v>Cỡ chữ</x:v>
      </x:c>
      <x:c r="G87" s="295" t="str">
        <x:v>NUMBER_OR_RANGE</x:v>
      </x:c>
      <x:c r="H87" s="295" t="str">
        <x:v>pt</x:v>
      </x:c>
      <x:c r="I87" s="295" t="str">
        <x:v>13</x:v>
      </x:c>
      <x:c r="J87" s="295" t="str">
        <x:v>Đúng giá trị/giới hạn riêng</x:v>
      </x:c>
      <x:c r="K87" s="295" t="n">
        <x:v>13</x:v>
      </x:c>
      <x:c r="L87" s="295" t="str">
        <x:v>PROFILE_CO_GIA_TRI_CHUA_DUYET</x:v>
      </x:c>
      <x:c r="M87" s="295" t="str">
        <x:v>DOI_CHIEU_CU_THE</x:v>
      </x:c>
      <x:c r="N87" s="295" t="str">
        <x:v>Có số/ký hiệu văn bản; chỉ định dạng, không tự cấp số hoặc ký hiệu; cần xác minh danh mục viết tắt</x:v>
      </x:c>
      <x:c r="O87" s="295" t="str">
        <x:v>Quy định gốc &gt; profile; khi chưa rõ điều kiện thì giữ nguyên; không sinh nội dung.</x:v>
      </x:c>
      <x:c r="P87" s="295" t="str">
        <x:v>PARAGRAPH / RUN / SHAPE tùy thuộc tính</x:v>
      </x:c>
      <x:c r="Q87" s="295" t="str">
        <x:v>Xác định đúng khối Ký hiệu tên loại văn bản; đọc giá trị thực; đối chiếu điều kiện; không sửa nội dung khi thiếu nguồn.</x:v>
      </x:c>
      <x:c r="R87" s="295" t="str">
        <x:v>Phụ lục I, Phần I, II.3; Phụ lục III</x:v>
      </x:c>
      <x:c r="S87" s="295" t="str">
        <x:v>https://datafiles.chinhphu.vn/cpp/files/vbpq/2020/03/30.signed.pdf</x:v>
      </x:c>
      <x:c r="T87" s="295" t="str">
        <x:v>CÓ</x:v>
      </x:c>
      <x:c r="U87" s="295" t="str">
        <x:v>CHECK_ONLY</x:v>
      </x:c>
      <x:c r="V87" s="295" t="str"/>
    </x:row>
    <x:row r="88" ht="28" customHeight="1">
      <x:c r="A88" s="295" t="n">
        <x:v>83</x:v>
      </x:c>
      <x:c r="B88" s="295" t="str">
        <x:v>ND30.D.SK.KY_HIEU_LOAI.DAM</x:v>
      </x:c>
      <x:c r="C88" s="295" t="str">
        <x:v>ND30.D.SK.KY_HIEU_LOAI</x:v>
      </x:c>
      <x:c r="D88" s="295" t="str">
        <x:v>Số và ký hiệu</x:v>
      </x:c>
      <x:c r="E88" s="295" t="str">
        <x:v>Ký hiệu tên loại văn bản</x:v>
      </x:c>
      <x:c r="F88" s="295" t="str">
        <x:v>In đậm</x:v>
      </x:c>
      <x:c r="G88" s="295" t="str">
        <x:v>BOOLEAN</x:v>
      </x:c>
      <x:c r="H88" s="295"/>
      <x:c r="I88" s="296" t="b">
        <x:v>0</x:v>
      </x:c>
      <x:c r="J88" s="295" t="str">
        <x:v>Đúng giá trị/giới hạn riêng</x:v>
      </x:c>
      <x:c r="K88" s="296" t="b">
        <x:v>0</x:v>
      </x:c>
      <x:c r="L88" s="295" t="str">
        <x:v>PROFILE_CO_GIA_TRI_CHUA_DUYET</x:v>
      </x:c>
      <x:c r="M88" s="295" t="str">
        <x:v>DOI_CHIEU_CU_THE</x:v>
      </x:c>
      <x:c r="N88" s="295" t="str">
        <x:v>Có số/ký hiệu văn bản; chỉ định dạng, không tự cấp số hoặc ký hiệu; cần xác minh danh mục viết tắt</x:v>
      </x:c>
      <x:c r="O88" s="295" t="str">
        <x:v>Quy định gốc &gt; profile; khi chưa rõ điều kiện thì giữ nguyên; không sinh nội dung.</x:v>
      </x:c>
      <x:c r="P88" s="295" t="str">
        <x:v>PARAGRAPH / RUN / SHAPE tùy thuộc tính</x:v>
      </x:c>
      <x:c r="Q88" s="295" t="str">
        <x:v>Xác định đúng khối Ký hiệu tên loại văn bản; đọc giá trị thực; đối chiếu điều kiện; không sửa nội dung khi thiếu nguồn.</x:v>
      </x:c>
      <x:c r="R88" s="295" t="str">
        <x:v>Phụ lục I, Phần I, II.3; Phụ lục III</x:v>
      </x:c>
      <x:c r="S88" s="295" t="str">
        <x:v>https://datafiles.chinhphu.vn/cpp/files/vbpq/2020/03/30.signed.pdf</x:v>
      </x:c>
      <x:c r="T88" s="295" t="str">
        <x:v>CÓ</x:v>
      </x:c>
      <x:c r="U88" s="295" t="str">
        <x:v>CHECK_ONLY</x:v>
      </x:c>
      <x:c r="V88" s="295" t="str"/>
    </x:row>
    <x:row r="89" ht="28" customHeight="1">
      <x:c r="A89" s="295" t="n">
        <x:v>84</x:v>
      </x:c>
      <x:c r="B89" s="295" t="str">
        <x:v>ND30.D.SK.KY_HIEU_LOAI.NGHIENG</x:v>
      </x:c>
      <x:c r="C89" s="295" t="str">
        <x:v>ND30.D.SK.KY_HIEU_LOAI</x:v>
      </x:c>
      <x:c r="D89" s="295" t="str">
        <x:v>Số và ký hiệu</x:v>
      </x:c>
      <x:c r="E89" s="295" t="str">
        <x:v>Ký hiệu tên loại văn bản</x:v>
      </x:c>
      <x:c r="F89" s="295" t="str">
        <x:v>In nghiêng</x:v>
      </x:c>
      <x:c r="G89" s="295" t="str">
        <x:v>BOOLEAN</x:v>
      </x:c>
      <x:c r="H89" s="295"/>
      <x:c r="I89" s="296" t="b">
        <x:v>0</x:v>
      </x:c>
      <x:c r="J89" s="295" t="str">
        <x:v>Đúng giá trị/giới hạn riêng</x:v>
      </x:c>
      <x:c r="K89" s="296" t="b">
        <x:v>0</x:v>
      </x:c>
      <x:c r="L89" s="295" t="str">
        <x:v>PROFILE_CO_GIA_TRI_CHUA_DUYET</x:v>
      </x:c>
      <x:c r="M89" s="295" t="str">
        <x:v>DOI_CHIEU_CU_THE</x:v>
      </x:c>
      <x:c r="N89" s="295" t="str">
        <x:v>Có số/ký hiệu văn bản; chỉ định dạng, không tự cấp số hoặc ký hiệu; cần xác minh danh mục viết tắt</x:v>
      </x:c>
      <x:c r="O89" s="295" t="str">
        <x:v>Quy định gốc &gt; profile; khi chưa rõ điều kiện thì giữ nguyên; không sinh nội dung.</x:v>
      </x:c>
      <x:c r="P89" s="295" t="str">
        <x:v>PARAGRAPH / RUN / SHAPE tùy thuộc tính</x:v>
      </x:c>
      <x:c r="Q89" s="295" t="str">
        <x:v>Xác định đúng khối Ký hiệu tên loại văn bản; đọc giá trị thực; đối chiếu điều kiện; không sửa nội dung khi thiếu nguồn.</x:v>
      </x:c>
      <x:c r="R89" s="295" t="str">
        <x:v>Phụ lục I, Phần I, II.3; Phụ lục III</x:v>
      </x:c>
      <x:c r="S89" s="295" t="str">
        <x:v>https://datafiles.chinhphu.vn/cpp/files/vbpq/2020/03/30.signed.pdf</x:v>
      </x:c>
      <x:c r="T89" s="295" t="str">
        <x:v>CÓ</x:v>
      </x:c>
      <x:c r="U89" s="295" t="str">
        <x:v>CHECK_ONLY</x:v>
      </x:c>
      <x:c r="V89" s="295" t="str"/>
    </x:row>
    <x:row r="90" ht="28" customHeight="1">
      <x:c r="A90" s="295" t="n">
        <x:v>85</x:v>
      </x:c>
      <x:c r="B90" s="295" t="str">
        <x:v>ND30.D.SK.KY_HIEU_LOAI.KIEU_CHU</x:v>
      </x:c>
      <x:c r="C90" s="295" t="str">
        <x:v>ND30.D.SK.KY_HIEU_LOAI</x:v>
      </x:c>
      <x:c r="D90" s="295" t="str">
        <x:v>Số và ký hiệu</x:v>
      </x:c>
      <x:c r="E90" s="295" t="str">
        <x:v>Ký hiệu tên loại văn bản</x:v>
      </x:c>
      <x:c r="F90" s="295" t="str">
        <x:v>Kiểu viết hoa/thường</x:v>
      </x:c>
      <x:c r="G90" s="295" t="str">
        <x:v>ENUM</x:v>
      </x:c>
      <x:c r="H90" s="295"/>
      <x:c r="I90" s="295" t="str">
        <x:v>Theo Phụ lục III (giữ mã gốc)</x:v>
      </x:c>
      <x:c r="J90" s="295" t="str">
        <x:v>Đúng giá trị/giới hạn riêng</x:v>
      </x:c>
      <x:c r="K90" s="295" t="str">
        <x:v>GIỮ CHÍNH XÁC KÝ HIỆU CHÍNH THỨC</x:v>
      </x:c>
      <x:c r="L90" s="295" t="str">
        <x:v>PROFILE_CO_GIA_TRI_CHUA_DUYET</x:v>
      </x:c>
      <x:c r="M90" s="295" t="str">
        <x:v>DOI_CHIEU_CU_THE</x:v>
      </x:c>
      <x:c r="N90" s="295" t="str">
        <x:v>Có số/ký hiệu văn bản; chỉ định dạng, không tự cấp số hoặc ký hiệu; cần xác minh danh mục viết tắt</x:v>
      </x:c>
      <x:c r="O90" s="295" t="str">
        <x:v>Quy định gốc &gt; profile; khi chưa rõ điều kiện thì giữ nguyên; không sinh nội dung.</x:v>
      </x:c>
      <x:c r="P90" s="295" t="str">
        <x:v>PARAGRAPH / RUN / SHAPE tùy thuộc tính</x:v>
      </x:c>
      <x:c r="Q90" s="295" t="str">
        <x:v>Xác định đúng khối Ký hiệu tên loại văn bản; đọc giá trị thực; đối chiếu điều kiện; không sửa nội dung khi thiếu nguồn.</x:v>
      </x:c>
      <x:c r="R90" s="295" t="str">
        <x:v>Phụ lục I, Phần I, II.3; Phụ lục III</x:v>
      </x:c>
      <x:c r="S90" s="295" t="str">
        <x:v>https://datafiles.chinhphu.vn/cpp/files/vbpq/2020/03/30.signed.pdf</x:v>
      </x:c>
      <x:c r="T90" s="295" t="str">
        <x:v>CÓ</x:v>
      </x:c>
      <x:c r="U90" s="295" t="str">
        <x:v>CHECK_ONLY</x:v>
      </x:c>
      <x:c r="V90" s="295" t="str"/>
    </x:row>
    <x:row r="91" ht="28" customHeight="1">
      <x:c r="A91" s="295" t="n">
        <x:v>86</x:v>
      </x:c>
      <x:c r="B91" s="295" t="str">
        <x:v>ND30.D.SK.KY_HIEU_LOAI.CAN_NGANG</x:v>
      </x:c>
      <x:c r="C91" s="295" t="str">
        <x:v>ND30.D.SK.KY_HIEU_LOAI</x:v>
      </x:c>
      <x:c r="D91" s="295" t="str">
        <x:v>Số và ký hiệu</x:v>
      </x:c>
      <x:c r="E91" s="295" t="str">
        <x:v>Ký hiệu tên loại văn bản</x:v>
      </x:c>
      <x:c r="F91" s="295" t="str">
        <x:v>Căn ngang</x:v>
      </x:c>
      <x:c r="G91" s="295" t="str">
        <x:v>ENUM</x:v>
      </x:c>
      <x:c r="H91" s="295"/>
      <x:c r="I91" s="295" t="str">
        <x:v>CENTER</x:v>
      </x:c>
      <x:c r="J91" s="295" t="str">
        <x:v>Đúng giá trị/giới hạn riêng</x:v>
      </x:c>
      <x:c r="K91" s="295" t="str">
        <x:v>CENTER</x:v>
      </x:c>
      <x:c r="L91" s="295" t="str">
        <x:v>PROFILE_CO_GIA_TRI_CHUA_DUYET</x:v>
      </x:c>
      <x:c r="M91" s="295" t="str">
        <x:v>DOI_CHIEU_CU_THE</x:v>
      </x:c>
      <x:c r="N91" s="295" t="str">
        <x:v>Có số/ký hiệu văn bản; chỉ định dạng, không tự cấp số hoặc ký hiệu; cần xác minh danh mục viết tắt</x:v>
      </x:c>
      <x:c r="O91" s="295" t="str">
        <x:v>Quy định gốc &gt; profile; khi chưa rõ điều kiện thì giữ nguyên; không sinh nội dung.</x:v>
      </x:c>
      <x:c r="P91" s="295" t="str">
        <x:v>PARAGRAPH / RUN / SHAPE tùy thuộc tính</x:v>
      </x:c>
      <x:c r="Q91" s="295" t="str">
        <x:v>Xác định đúng khối Ký hiệu tên loại văn bản; đọc giá trị thực; đối chiếu điều kiện; không sửa nội dung khi thiếu nguồn.</x:v>
      </x:c>
      <x:c r="R91" s="295" t="str">
        <x:v>Phụ lục I, Phần I, II.3; Phụ lục III</x:v>
      </x:c>
      <x:c r="S91" s="295" t="str">
        <x:v>https://datafiles.chinhphu.vn/cpp/files/vbpq/2020/03/30.signed.pdf</x:v>
      </x:c>
      <x:c r="T91" s="295" t="str">
        <x:v>CÓ</x:v>
      </x:c>
      <x:c r="U91" s="295" t="str">
        <x:v>CHECK_ONLY</x:v>
      </x:c>
      <x:c r="V91" s="295" t="str"/>
    </x:row>
    <x:row r="92" ht="28" customHeight="1">
      <x:c r="A92" s="295" t="n">
        <x:v>87</x:v>
      </x:c>
      <x:c r="B92" s="295" t="str">
        <x:v>ND30.D.SK.KY_HIEU_LOAI.CACH_SAU</x:v>
      </x:c>
      <x:c r="C92" s="295" t="str">
        <x:v>ND30.D.SK.KY_HIEU_LOAI</x:v>
      </x:c>
      <x:c r="D92" s="295" t="str">
        <x:v>Số và ký hiệu</x:v>
      </x:c>
      <x:c r="E92" s="295" t="str">
        <x:v>Ký hiệu tên loại văn bản</x:v>
      </x:c>
      <x:c r="F92" s="295" t="str">
        <x:v>Khoảng cách sau đoạn</x:v>
      </x:c>
      <x:c r="G92" s="295" t="str">
        <x:v>NUMBER</x:v>
      </x:c>
      <x:c r="H92" s="295" t="str">
        <x:v>pt</x:v>
      </x:c>
      <x:c r="I92" s="295" t="str">
        <x:v>CHƯA XÁC MINH RIÊNG</x:v>
      </x:c>
      <x:c r="J92" s="295" t="str">
        <x:v>Không suy ra giới hạn pháp lý</x:v>
      </x:c>
      <x:c r="K92" s="295" t="n">
        <x:v>0</x:v>
      </x:c>
      <x:c r="L92" s="295" t="str">
        <x:v>PROFILE_CHO_RAO_SOAT</x:v>
      </x:c>
      <x:c r="M92" s="295" t="str">
        <x:v>CHUA_DOI_CHIEU_CU_THE</x:v>
      </x:c>
      <x:c r="N92" s="295" t="str">
        <x:v>Có số/ký hiệu văn bản; chỉ định dạng, không tự cấp số hoặc ký hiệu; cần xác minh danh mục viết tắt</x:v>
      </x:c>
      <x:c r="O92" s="295" t="str">
        <x:v>Quy định gốc &gt; profile; khi chưa rõ điều kiện thì giữ nguyên; không sinh nội dung.</x:v>
      </x:c>
      <x:c r="P92" s="295" t="str">
        <x:v>PARAGRAPH / RUN / SHAPE tùy thuộc tính</x:v>
      </x:c>
      <x:c r="Q92" s="295" t="str">
        <x:v>Xác định đúng khối Ký hiệu tên loại văn bản; đọc giá trị thực; đối chiếu điều kiện; không sửa nội dung khi thiếu nguồn.</x:v>
      </x:c>
      <x:c r="R92" s="295" t="str">
        <x:v>Chưa có locator xác minh riêng</x:v>
      </x:c>
      <x:c r="S92" s="295" t="str">
        <x:v>https://datafiles.chinhphu.vn/cpp/files/vbpq/2020/03/30.signed.pdf</x:v>
      </x:c>
      <x:c r="T92" s="295" t="str">
        <x:v>CÓ</x:v>
      </x:c>
      <x:c r="U92" s="295" t="str">
        <x:v>CHECK_ONLY</x:v>
      </x:c>
      <x:c r="V92" s="295" t="str">
        <x:v>Không tự chèn đoạn trắng</x:v>
      </x:c>
    </x:row>
    <x:row r="93" ht="28" customHeight="1">
      <x:c r="A93" s="295" t="n">
        <x:v>88</x:v>
      </x:c>
      <x:c r="B93" s="295" t="str">
        <x:v>ND30.D.SK.KY_HIEU_LOAI.GIAN_DONG</x:v>
      </x:c>
      <x:c r="C93" s="295" t="str">
        <x:v>ND30.D.SK.KY_HIEU_LOAI</x:v>
      </x:c>
      <x:c r="D93" s="295" t="str">
        <x:v>Số và ký hiệu</x:v>
      </x:c>
      <x:c r="E93" s="295" t="str">
        <x:v>Ký hiệu tên loại văn bản</x:v>
      </x:c>
      <x:c r="F93" s="295" t="str">
        <x:v>Giãn dòng</x:v>
      </x:c>
      <x:c r="G93" s="295" t="str">
        <x:v>NUMBER</x:v>
      </x:c>
      <x:c r="H93" s="295" t="str">
        <x:v>lines</x:v>
      </x:c>
      <x:c r="I93" s="295" t="str">
        <x:v>CHƯA XÁC MINH RIÊNG</x:v>
      </x:c>
      <x:c r="J93" s="295" t="str">
        <x:v>Không suy ra giới hạn pháp lý</x:v>
      </x:c>
      <x:c r="K93" s="295" t="str">
        <x:v>SINGLE</x:v>
      </x:c>
      <x:c r="L93" s="295" t="str">
        <x:v>PROFILE_CHO_RAO_SOAT</x:v>
      </x:c>
      <x:c r="M93" s="295" t="str">
        <x:v>CHUA_DOI_CHIEU_CU_THE</x:v>
      </x:c>
      <x:c r="N93" s="295" t="str">
        <x:v>Có số/ký hiệu văn bản; chỉ định dạng, không tự cấp số hoặc ký hiệu; cần xác minh danh mục viết tắt</x:v>
      </x:c>
      <x:c r="O93" s="295" t="str">
        <x:v>Quy định gốc &gt; profile; khi chưa rõ điều kiện thì giữ nguyên; không sinh nội dung.</x:v>
      </x:c>
      <x:c r="P93" s="295" t="str">
        <x:v>PARAGRAPH / RUN / SHAPE tùy thuộc tính</x:v>
      </x:c>
      <x:c r="Q93" s="295" t="str">
        <x:v>Xác định đúng khối Ký hiệu tên loại văn bản; đọc giá trị thực; đối chiếu điều kiện; không sửa nội dung khi thiếu nguồn.</x:v>
      </x:c>
      <x:c r="R93" s="295" t="str">
        <x:v>Chưa có locator xác minh riêng</x:v>
      </x:c>
      <x:c r="S93" s="295" t="str">
        <x:v>https://datafiles.chinhphu.vn/cpp/files/vbpq/2020/03/30.signed.pdf</x:v>
      </x:c>
      <x:c r="T93" s="295" t="str">
        <x:v>CÓ</x:v>
      </x:c>
      <x:c r="U93" s="295" t="str">
        <x:v>CHECK_ONLY</x:v>
      </x:c>
      <x:c r="V93" s="295" t="str">
        <x:v>Giãn dòng phần đầu không được tự đồng nhất với thân bài.</x:v>
      </x:c>
    </x:row>
    <x:row r="94" ht="28" customHeight="1">
      <x:c r="A94" s="295" t="n">
        <x:v>89</x:v>
      </x:c>
      <x:c r="B94" s="295" t="str">
        <x:v>ND30.D.SK.KY_HIEU_CO_QUAN.HIEN_DIEN</x:v>
      </x:c>
      <x:c r="C94" s="295" t="str">
        <x:v>ND30.D.SK.KY_HIEU_CO_QUAN</x:v>
      </x:c>
      <x:c r="D94" s="295" t="str">
        <x:v>Số và ký hiệu</x:v>
      </x:c>
      <x:c r="E94" s="295" t="str">
        <x:v>Ký hiệu cơ quan, tổ chức ban hành</x:v>
      </x:c>
      <x:c r="F94" s="295" t="str">
        <x:v>Điều kiện hiện diện</x:v>
      </x:c>
      <x:c r="G94" s="295" t="str">
        <x:v>TEXT</x:v>
      </x:c>
      <x:c r="H94" s="295"/>
      <x:c r="I94" s="295" t="str">
        <x:v>CHƯA XÁC MINH RIÊNG</x:v>
      </x:c>
      <x:c r="J94" s="295" t="str">
        <x:v>Không suy ra giới hạn pháp lý</x:v>
      </x:c>
      <x:c r="K94" s="295" t="str">
        <x:v>Có số/ký hiệu văn bản; chỉ định dạng, không tự cấp số hoặc ký hiệu; cần xác minh danh mục viết tắt</x:v>
      </x:c>
      <x:c r="L94" s="295" t="str">
        <x:v>CHUA_DUYET_DINH_TUYEN</x:v>
      </x:c>
      <x:c r="M94" s="295" t="str">
        <x:v>CHUA_DOI_CHIEU_CU_THE</x:v>
      </x:c>
      <x:c r="N94" s="295" t="str">
        <x:v>Có số/ký hiệu văn bản; chỉ định dạng, không tự cấp số hoặc ký hiệu; cần xác minh danh mục viết tắt</x:v>
      </x:c>
      <x:c r="O94" s="295" t="str">
        <x:v>Quy định gốc &gt; profile; khi chưa rõ điều kiện thì giữ nguyên; không sinh nội dung.</x:v>
      </x:c>
      <x:c r="P94" s="295" t="str">
        <x:v>PARAGRAPH / RUN / SHAPE tùy thuộc tính</x:v>
      </x:c>
      <x:c r="Q94" s="295" t="str">
        <x:v>Xác định đúng khối Ký hiệu cơ quan, tổ chức ban hành; đọc giá trị thực; đối chiếu điều kiện; không sửa nội dung khi thiếu nguồn.</x:v>
      </x:c>
      <x:c r="R94" s="295" t="str">
        <x:v>Chưa có locator xác minh riêng</x:v>
      </x:c>
      <x:c r="S94" s="295" t="str">
        <x:v>https://datafiles.chinhphu.vn/cpp/files/vbpq/2020/03/30.signed.pdf</x:v>
      </x:c>
      <x:c r="T94" s="295" t="str">
        <x:v>CÓ</x:v>
      </x:c>
      <x:c r="U94" s="295" t="str">
        <x:v>CHECK_ONLY</x:v>
      </x:c>
      <x:c r="V94" s="295" t="str">
        <x:v>Phải nhận diện chế độ và chủ thể trước khi áp dụng</x:v>
      </x:c>
    </x:row>
    <x:row r="95" ht="28" customHeight="1">
      <x:c r="A95" s="295" t="n">
        <x:v>90</x:v>
      </x:c>
      <x:c r="B95" s="295" t="str">
        <x:v>ND30.D.SK.KY_HIEU_CO_QUAN.PHONG_CHU</x:v>
      </x:c>
      <x:c r="C95" s="295" t="str">
        <x:v>ND30.D.SK.KY_HIEU_CO_QUAN</x:v>
      </x:c>
      <x:c r="D95" s="295" t="str">
        <x:v>Số và ký hiệu</x:v>
      </x:c>
      <x:c r="E95" s="295" t="str">
        <x:v>Ký hiệu cơ quan, tổ chức ban hành</x:v>
      </x:c>
      <x:c r="F95" s="295" t="str">
        <x:v>Font chữ</x:v>
      </x:c>
      <x:c r="G95" s="295" t="str">
        <x:v>STRING</x:v>
      </x:c>
      <x:c r="H95" s="295"/>
      <x:c r="I95" s="295" t="str">
        <x:v>Times New Roman</x:v>
      </x:c>
      <x:c r="J95" s="295" t="str">
        <x:v>Đúng giá trị/giới hạn riêng</x:v>
      </x:c>
      <x:c r="K95" s="295" t="str">
        <x:v>Times New Roman</x:v>
      </x:c>
      <x:c r="L95" s="295" t="str">
        <x:v>PROFILE_CO_GIA_TRI_CHUA_DUYET</x:v>
      </x:c>
      <x:c r="M95" s="295" t="str">
        <x:v>DOI_CHIEU_CU_THE</x:v>
      </x:c>
      <x:c r="N95" s="295" t="str">
        <x:v>Có số/ký hiệu văn bản; chỉ định dạng, không tự cấp số hoặc ký hiệu; cần xác minh danh mục viết tắt</x:v>
      </x:c>
      <x:c r="O95" s="295" t="str">
        <x:v>Quy định gốc &gt; profile; khi chưa rõ điều kiện thì giữ nguyên; không sinh nội dung.</x:v>
      </x:c>
      <x:c r="P95" s="295" t="str">
        <x:v>PARAGRAPH / RUN / SHAPE tùy thuộc tính</x:v>
      </x:c>
      <x:c r="Q95" s="295" t="str">
        <x:v>Xác định đúng khối Ký hiệu cơ quan, tổ chức ban hành; đọc giá trị thực; đối chiếu điều kiện; không sửa nội dung khi thiếu nguồn.</x:v>
      </x:c>
      <x:c r="R95" s="295" t="str">
        <x:v>Phụ lục I, Phần I, I.4</x:v>
      </x:c>
      <x:c r="S95" s="295" t="str">
        <x:v>https://datafiles.chinhphu.vn/cpp/files/vbpq/2020/03/30.signed.pdf</x:v>
      </x:c>
      <x:c r="T95" s="295" t="str">
        <x:v>CÓ</x:v>
      </x:c>
      <x:c r="U95" s="295" t="str">
        <x:v>CHECK_ONLY</x:v>
      </x:c>
      <x:c r="V95" s="295" t="str"/>
    </x:row>
    <x:row r="96" ht="28" customHeight="1">
      <x:c r="A96" s="295" t="n">
        <x:v>91</x:v>
      </x:c>
      <x:c r="B96" s="295" t="str">
        <x:v>ND30.D.SK.KY_HIEU_CO_QUAN.CO_CHU</x:v>
      </x:c>
      <x:c r="C96" s="295" t="str">
        <x:v>ND30.D.SK.KY_HIEU_CO_QUAN</x:v>
      </x:c>
      <x:c r="D96" s="295" t="str">
        <x:v>Số và ký hiệu</x:v>
      </x:c>
      <x:c r="E96" s="295" t="str">
        <x:v>Ký hiệu cơ quan, tổ chức ban hành</x:v>
      </x:c>
      <x:c r="F96" s="295" t="str">
        <x:v>Cỡ chữ</x:v>
      </x:c>
      <x:c r="G96" s="295" t="str">
        <x:v>NUMBER_OR_RANGE</x:v>
      </x:c>
      <x:c r="H96" s="295" t="str">
        <x:v>pt</x:v>
      </x:c>
      <x:c r="I96" s="295" t="str">
        <x:v>13</x:v>
      </x:c>
      <x:c r="J96" s="295" t="str">
        <x:v>Đúng giá trị/giới hạn riêng</x:v>
      </x:c>
      <x:c r="K96" s="295" t="n">
        <x:v>13</x:v>
      </x:c>
      <x:c r="L96" s="295" t="str">
        <x:v>PROFILE_CO_GIA_TRI_CHUA_DUYET</x:v>
      </x:c>
      <x:c r="M96" s="295" t="str">
        <x:v>DOI_CHIEU_CU_THE</x:v>
      </x:c>
      <x:c r="N96" s="295" t="str">
        <x:v>Có số/ký hiệu văn bản; chỉ định dạng, không tự cấp số hoặc ký hiệu; cần xác minh danh mục viết tắt</x:v>
      </x:c>
      <x:c r="O96" s="295" t="str">
        <x:v>Quy định gốc &gt; profile; khi chưa rõ điều kiện thì giữ nguyên; không sinh nội dung.</x:v>
      </x:c>
      <x:c r="P96" s="295" t="str">
        <x:v>PARAGRAPH / RUN / SHAPE tùy thuộc tính</x:v>
      </x:c>
      <x:c r="Q96" s="295" t="str">
        <x:v>Xác định đúng khối Ký hiệu cơ quan, tổ chức ban hành; đọc giá trị thực; đối chiếu điều kiện; không sửa nội dung khi thiếu nguồn.</x:v>
      </x:c>
      <x:c r="R96" s="295" t="str">
        <x:v>Phụ lục I, Phần I, II.3</x:v>
      </x:c>
      <x:c r="S96" s="295" t="str">
        <x:v>https://datafiles.chinhphu.vn/cpp/files/vbpq/2020/03/30.signed.pdf</x:v>
      </x:c>
      <x:c r="T96" s="295" t="str">
        <x:v>CÓ</x:v>
      </x:c>
      <x:c r="U96" s="295" t="str">
        <x:v>CHECK_ONLY</x:v>
      </x:c>
      <x:c r="V96" s="295" t="str"/>
    </x:row>
    <x:row r="97" ht="28" customHeight="1">
      <x:c r="A97" s="295" t="n">
        <x:v>92</x:v>
      </x:c>
      <x:c r="B97" s="295" t="str">
        <x:v>ND30.D.SK.KY_HIEU_CO_QUAN.DAM</x:v>
      </x:c>
      <x:c r="C97" s="295" t="str">
        <x:v>ND30.D.SK.KY_HIEU_CO_QUAN</x:v>
      </x:c>
      <x:c r="D97" s="295" t="str">
        <x:v>Số và ký hiệu</x:v>
      </x:c>
      <x:c r="E97" s="295" t="str">
        <x:v>Ký hiệu cơ quan, tổ chức ban hành</x:v>
      </x:c>
      <x:c r="F97" s="295" t="str">
        <x:v>In đậm</x:v>
      </x:c>
      <x:c r="G97" s="295" t="str">
        <x:v>BOOLEAN</x:v>
      </x:c>
      <x:c r="H97" s="295"/>
      <x:c r="I97" s="296" t="b">
        <x:v>0</x:v>
      </x:c>
      <x:c r="J97" s="295" t="str">
        <x:v>Đúng giá trị/giới hạn riêng</x:v>
      </x:c>
      <x:c r="K97" s="296" t="b">
        <x:v>0</x:v>
      </x:c>
      <x:c r="L97" s="295" t="str">
        <x:v>PROFILE_CO_GIA_TRI_CHUA_DUYET</x:v>
      </x:c>
      <x:c r="M97" s="295" t="str">
        <x:v>DOI_CHIEU_CU_THE</x:v>
      </x:c>
      <x:c r="N97" s="295" t="str">
        <x:v>Có số/ký hiệu văn bản; chỉ định dạng, không tự cấp số hoặc ký hiệu; cần xác minh danh mục viết tắt</x:v>
      </x:c>
      <x:c r="O97" s="295" t="str">
        <x:v>Quy định gốc &gt; profile; khi chưa rõ điều kiện thì giữ nguyên; không sinh nội dung.</x:v>
      </x:c>
      <x:c r="P97" s="295" t="str">
        <x:v>PARAGRAPH / RUN / SHAPE tùy thuộc tính</x:v>
      </x:c>
      <x:c r="Q97" s="295" t="str">
        <x:v>Xác định đúng khối Ký hiệu cơ quan, tổ chức ban hành; đọc giá trị thực; đối chiếu điều kiện; không sửa nội dung khi thiếu nguồn.</x:v>
      </x:c>
      <x:c r="R97" s="295" t="str">
        <x:v>Phụ lục I, Phần I, II.3</x:v>
      </x:c>
      <x:c r="S97" s="295" t="str">
        <x:v>https://datafiles.chinhphu.vn/cpp/files/vbpq/2020/03/30.signed.pdf</x:v>
      </x:c>
      <x:c r="T97" s="295" t="str">
        <x:v>CÓ</x:v>
      </x:c>
      <x:c r="U97" s="295" t="str">
        <x:v>CHECK_ONLY</x:v>
      </x:c>
      <x:c r="V97" s="295" t="str"/>
    </x:row>
    <x:row r="98" ht="28" customHeight="1">
      <x:c r="A98" s="295" t="n">
        <x:v>93</x:v>
      </x:c>
      <x:c r="B98" s="295" t="str">
        <x:v>ND30.D.SK.KY_HIEU_CO_QUAN.NGHIENG</x:v>
      </x:c>
      <x:c r="C98" s="295" t="str">
        <x:v>ND30.D.SK.KY_HIEU_CO_QUAN</x:v>
      </x:c>
      <x:c r="D98" s="295" t="str">
        <x:v>Số và ký hiệu</x:v>
      </x:c>
      <x:c r="E98" s="295" t="str">
        <x:v>Ký hiệu cơ quan, tổ chức ban hành</x:v>
      </x:c>
      <x:c r="F98" s="295" t="str">
        <x:v>In nghiêng</x:v>
      </x:c>
      <x:c r="G98" s="295" t="str">
        <x:v>BOOLEAN</x:v>
      </x:c>
      <x:c r="H98" s="295"/>
      <x:c r="I98" s="296" t="b">
        <x:v>0</x:v>
      </x:c>
      <x:c r="J98" s="295" t="str">
        <x:v>Đúng giá trị/giới hạn riêng</x:v>
      </x:c>
      <x:c r="K98" s="296" t="b">
        <x:v>0</x:v>
      </x:c>
      <x:c r="L98" s="295" t="str">
        <x:v>PROFILE_CO_GIA_TRI_CHUA_DUYET</x:v>
      </x:c>
      <x:c r="M98" s="295" t="str">
        <x:v>DOI_CHIEU_CU_THE</x:v>
      </x:c>
      <x:c r="N98" s="295" t="str">
        <x:v>Có số/ký hiệu văn bản; chỉ định dạng, không tự cấp số hoặc ký hiệu; cần xác minh danh mục viết tắt</x:v>
      </x:c>
      <x:c r="O98" s="295" t="str">
        <x:v>Quy định gốc &gt; profile; khi chưa rõ điều kiện thì giữ nguyên; không sinh nội dung.</x:v>
      </x:c>
      <x:c r="P98" s="295" t="str">
        <x:v>PARAGRAPH / RUN / SHAPE tùy thuộc tính</x:v>
      </x:c>
      <x:c r="Q98" s="295" t="str">
        <x:v>Xác định đúng khối Ký hiệu cơ quan, tổ chức ban hành; đọc giá trị thực; đối chiếu điều kiện; không sửa nội dung khi thiếu nguồn.</x:v>
      </x:c>
      <x:c r="R98" s="295" t="str">
        <x:v>Phụ lục I, Phần I, II.3</x:v>
      </x:c>
      <x:c r="S98" s="295" t="str">
        <x:v>https://datafiles.chinhphu.vn/cpp/files/vbpq/2020/03/30.signed.pdf</x:v>
      </x:c>
      <x:c r="T98" s="295" t="str">
        <x:v>CÓ</x:v>
      </x:c>
      <x:c r="U98" s="295" t="str">
        <x:v>CHECK_ONLY</x:v>
      </x:c>
      <x:c r="V98" s="295" t="str"/>
    </x:row>
    <x:row r="99" ht="28" customHeight="1">
      <x:c r="A99" s="295" t="n">
        <x:v>94</x:v>
      </x:c>
      <x:c r="B99" s="295" t="str">
        <x:v>ND30.D.SK.KY_HIEU_CO_QUAN.KIEU_CHU</x:v>
      </x:c>
      <x:c r="C99" s="295" t="str">
        <x:v>ND30.D.SK.KY_HIEU_CO_QUAN</x:v>
      </x:c>
      <x:c r="D99" s="295" t="str">
        <x:v>Số và ký hiệu</x:v>
      </x:c>
      <x:c r="E99" s="295" t="str">
        <x:v>Ký hiệu cơ quan, tổ chức ban hành</x:v>
      </x:c>
      <x:c r="F99" s="295" t="str">
        <x:v>Kiểu viết hoa/thường</x:v>
      </x:c>
      <x:c r="G99" s="295" t="str">
        <x:v>ENUM</x:v>
      </x:c>
      <x:c r="H99" s="295"/>
      <x:c r="I99" s="295" t="str">
        <x:v>Mã chính thức, không tự đặt</x:v>
      </x:c>
      <x:c r="J99" s="295" t="str">
        <x:v>Đúng giá trị/giới hạn riêng</x:v>
      </x:c>
      <x:c r="K99" s="295" t="str">
        <x:v>IN HOA theo mã viết tắt chính thức</x:v>
      </x:c>
      <x:c r="L99" s="295" t="str">
        <x:v>PROFILE_CO_GIA_TRI_CHUA_DUYET</x:v>
      </x:c>
      <x:c r="M99" s="295" t="str">
        <x:v>DOI_CHIEU_CU_THE</x:v>
      </x:c>
      <x:c r="N99" s="295" t="str">
        <x:v>Có số/ký hiệu văn bản; chỉ định dạng, không tự cấp số hoặc ký hiệu; cần xác minh danh mục viết tắt</x:v>
      </x:c>
      <x:c r="O99" s="295" t="str">
        <x:v>Quy định gốc &gt; profile; khi chưa rõ điều kiện thì giữ nguyên; không sinh nội dung.</x:v>
      </x:c>
      <x:c r="P99" s="295" t="str">
        <x:v>PARAGRAPH / RUN / SHAPE tùy thuộc tính</x:v>
      </x:c>
      <x:c r="Q99" s="295" t="str">
        <x:v>Xác định đúng khối Ký hiệu cơ quan, tổ chức ban hành; đọc giá trị thực; đối chiếu điều kiện; không sửa nội dung khi thiếu nguồn.</x:v>
      </x:c>
      <x:c r="R99" s="295" t="str">
        <x:v>Phụ lục I, Phần I, II.3</x:v>
      </x:c>
      <x:c r="S99" s="295" t="str">
        <x:v>https://datafiles.chinhphu.vn/cpp/files/vbpq/2020/03/30.signed.pdf</x:v>
      </x:c>
      <x:c r="T99" s="295" t="str">
        <x:v>CÓ</x:v>
      </x:c>
      <x:c r="U99" s="295" t="str">
        <x:v>CHECK_ONLY</x:v>
      </x:c>
      <x:c r="V99" s="295" t="str"/>
    </x:row>
    <x:row r="100" ht="28" customHeight="1">
      <x:c r="A100" s="295" t="n">
        <x:v>95</x:v>
      </x:c>
      <x:c r="B100" s="295" t="str">
        <x:v>ND30.D.SK.KY_HIEU_CO_QUAN.CAN_NGANG</x:v>
      </x:c>
      <x:c r="C100" s="295" t="str">
        <x:v>ND30.D.SK.KY_HIEU_CO_QUAN</x:v>
      </x:c>
      <x:c r="D100" s="295" t="str">
        <x:v>Số và ký hiệu</x:v>
      </x:c>
      <x:c r="E100" s="295" t="str">
        <x:v>Ký hiệu cơ quan, tổ chức ban hành</x:v>
      </x:c>
      <x:c r="F100" s="295" t="str">
        <x:v>Căn ngang</x:v>
      </x:c>
      <x:c r="G100" s="295" t="str">
        <x:v>ENUM</x:v>
      </x:c>
      <x:c r="H100" s="295"/>
      <x:c r="I100" s="295" t="str">
        <x:v>CENTER</x:v>
      </x:c>
      <x:c r="J100" s="295" t="str">
        <x:v>Đúng giá trị/giới hạn riêng</x:v>
      </x:c>
      <x:c r="K100" s="295" t="str">
        <x:v>CENTER</x:v>
      </x:c>
      <x:c r="L100" s="295" t="str">
        <x:v>PROFILE_CO_GIA_TRI_CHUA_DUYET</x:v>
      </x:c>
      <x:c r="M100" s="295" t="str">
        <x:v>DOI_CHIEU_CU_THE</x:v>
      </x:c>
      <x:c r="N100" s="295" t="str">
        <x:v>Có số/ký hiệu văn bản; chỉ định dạng, không tự cấp số hoặc ký hiệu; cần xác minh danh mục viết tắt</x:v>
      </x:c>
      <x:c r="O100" s="295" t="str">
        <x:v>Quy định gốc &gt; profile; khi chưa rõ điều kiện thì giữ nguyên; không sinh nội dung.</x:v>
      </x:c>
      <x:c r="P100" s="295" t="str">
        <x:v>PARAGRAPH / RUN / SHAPE tùy thuộc tính</x:v>
      </x:c>
      <x:c r="Q100" s="295" t="str">
        <x:v>Xác định đúng khối Ký hiệu cơ quan, tổ chức ban hành; đọc giá trị thực; đối chiếu điều kiện; không sửa nội dung khi thiếu nguồn.</x:v>
      </x:c>
      <x:c r="R100" s="295" t="str">
        <x:v>Phụ lục I, Phần I, II.3</x:v>
      </x:c>
      <x:c r="S100" s="295" t="str">
        <x:v>https://datafiles.chinhphu.vn/cpp/files/vbpq/2020/03/30.signed.pdf</x:v>
      </x:c>
      <x:c r="T100" s="295" t="str">
        <x:v>CÓ</x:v>
      </x:c>
      <x:c r="U100" s="295" t="str">
        <x:v>CHECK_ONLY</x:v>
      </x:c>
      <x:c r="V100" s="295" t="str"/>
    </x:row>
    <x:row r="101" ht="28" customHeight="1">
      <x:c r="A101" s="295" t="n">
        <x:v>96</x:v>
      </x:c>
      <x:c r="B101" s="295" t="str">
        <x:v>ND30.D.SK.KY_HIEU_CO_QUAN.CACH_SAU</x:v>
      </x:c>
      <x:c r="C101" s="295" t="str">
        <x:v>ND30.D.SK.KY_HIEU_CO_QUAN</x:v>
      </x:c>
      <x:c r="D101" s="295" t="str">
        <x:v>Số và ký hiệu</x:v>
      </x:c>
      <x:c r="E101" s="295" t="str">
        <x:v>Ký hiệu cơ quan, tổ chức ban hành</x:v>
      </x:c>
      <x:c r="F101" s="295" t="str">
        <x:v>Khoảng cách sau đoạn</x:v>
      </x:c>
      <x:c r="G101" s="295" t="str">
        <x:v>NUMBER</x:v>
      </x:c>
      <x:c r="H101" s="295" t="str">
        <x:v>pt</x:v>
      </x:c>
      <x:c r="I101" s="295" t="str">
        <x:v>CHƯA XÁC MINH RIÊNG</x:v>
      </x:c>
      <x:c r="J101" s="295" t="str">
        <x:v>Không suy ra giới hạn pháp lý</x:v>
      </x:c>
      <x:c r="K101" s="295" t="n">
        <x:v>0</x:v>
      </x:c>
      <x:c r="L101" s="295" t="str">
        <x:v>PROFILE_CHO_RAO_SOAT</x:v>
      </x:c>
      <x:c r="M101" s="295" t="str">
        <x:v>CHUA_DOI_CHIEU_CU_THE</x:v>
      </x:c>
      <x:c r="N101" s="295" t="str">
        <x:v>Có số/ký hiệu văn bản; chỉ định dạng, không tự cấp số hoặc ký hiệu; cần xác minh danh mục viết tắt</x:v>
      </x:c>
      <x:c r="O101" s="295" t="str">
        <x:v>Quy định gốc &gt; profile; khi chưa rõ điều kiện thì giữ nguyên; không sinh nội dung.</x:v>
      </x:c>
      <x:c r="P101" s="295" t="str">
        <x:v>PARAGRAPH / RUN / SHAPE tùy thuộc tính</x:v>
      </x:c>
      <x:c r="Q101" s="295" t="str">
        <x:v>Xác định đúng khối Ký hiệu cơ quan, tổ chức ban hành; đọc giá trị thực; đối chiếu điều kiện; không sửa nội dung khi thiếu nguồn.</x:v>
      </x:c>
      <x:c r="R101" s="295" t="str">
        <x:v>Chưa có locator xác minh riêng</x:v>
      </x:c>
      <x:c r="S101" s="295" t="str">
        <x:v>https://datafiles.chinhphu.vn/cpp/files/vbpq/2020/03/30.signed.pdf</x:v>
      </x:c>
      <x:c r="T101" s="295" t="str">
        <x:v>CÓ</x:v>
      </x:c>
      <x:c r="U101" s="295" t="str">
        <x:v>CHECK_ONLY</x:v>
      </x:c>
      <x:c r="V101" s="295" t="str">
        <x:v>Không tự chèn đoạn trắng</x:v>
      </x:c>
    </x:row>
    <x:row r="102" ht="28" customHeight="1">
      <x:c r="A102" s="295" t="n">
        <x:v>97</x:v>
      </x:c>
      <x:c r="B102" s="295" t="str">
        <x:v>ND30.D.SK.KY_HIEU_CO_QUAN.GIAN_DONG</x:v>
      </x:c>
      <x:c r="C102" s="295" t="str">
        <x:v>ND30.D.SK.KY_HIEU_CO_QUAN</x:v>
      </x:c>
      <x:c r="D102" s="295" t="str">
        <x:v>Số và ký hiệu</x:v>
      </x:c>
      <x:c r="E102" s="295" t="str">
        <x:v>Ký hiệu cơ quan, tổ chức ban hành</x:v>
      </x:c>
      <x:c r="F102" s="295" t="str">
        <x:v>Giãn dòng</x:v>
      </x:c>
      <x:c r="G102" s="295" t="str">
        <x:v>NUMBER</x:v>
      </x:c>
      <x:c r="H102" s="295" t="str">
        <x:v>lines</x:v>
      </x:c>
      <x:c r="I102" s="295" t="str">
        <x:v>CHƯA XÁC MINH RIÊNG</x:v>
      </x:c>
      <x:c r="J102" s="295" t="str">
        <x:v>Không suy ra giới hạn pháp lý</x:v>
      </x:c>
      <x:c r="K102" s="295" t="str">
        <x:v>SINGLE</x:v>
      </x:c>
      <x:c r="L102" s="295" t="str">
        <x:v>PROFILE_CHO_RAO_SOAT</x:v>
      </x:c>
      <x:c r="M102" s="295" t="str">
        <x:v>CHUA_DOI_CHIEU_CU_THE</x:v>
      </x:c>
      <x:c r="N102" s="295" t="str">
        <x:v>Có số/ký hiệu văn bản; chỉ định dạng, không tự cấp số hoặc ký hiệu; cần xác minh danh mục viết tắt</x:v>
      </x:c>
      <x:c r="O102" s="295" t="str">
        <x:v>Quy định gốc &gt; profile; khi chưa rõ điều kiện thì giữ nguyên; không sinh nội dung.</x:v>
      </x:c>
      <x:c r="P102" s="295" t="str">
        <x:v>PARAGRAPH / RUN / SHAPE tùy thuộc tính</x:v>
      </x:c>
      <x:c r="Q102" s="295" t="str">
        <x:v>Xác định đúng khối Ký hiệu cơ quan, tổ chức ban hành; đọc giá trị thực; đối chiếu điều kiện; không sửa nội dung khi thiếu nguồn.</x:v>
      </x:c>
      <x:c r="R102" s="295" t="str">
        <x:v>Chưa có locator xác minh riêng</x:v>
      </x:c>
      <x:c r="S102" s="295" t="str">
        <x:v>https://datafiles.chinhphu.vn/cpp/files/vbpq/2020/03/30.signed.pdf</x:v>
      </x:c>
      <x:c r="T102" s="295" t="str">
        <x:v>CÓ</x:v>
      </x:c>
      <x:c r="U102" s="295" t="str">
        <x:v>CHECK_ONLY</x:v>
      </x:c>
      <x:c r="V102" s="295" t="str">
        <x:v>Giãn dòng phần đầu không được tự đồng nhất với thân bài.</x:v>
      </x:c>
    </x:row>
    <x:row r="103" ht="28" customHeight="1">
      <x:c r="A103" s="295" t="n">
        <x:v>98</x:v>
      </x:c>
      <x:c r="B103" s="295" t="str">
        <x:v>ND30.D.SK.KY_HIEU_CO_QUAN.BAO_VE_NOI_DUNG</x:v>
      </x:c>
      <x:c r="C103" s="295" t="str">
        <x:v>ND30.D.SK.KY_HIEU_CO_QUAN</x:v>
      </x:c>
      <x:c r="D103" s="295" t="str">
        <x:v>Số và ký hiệu</x:v>
      </x:c>
      <x:c r="E103" s="295" t="str">
        <x:v>Ký hiệu cơ quan, tổ chức ban hành</x:v>
      </x:c>
      <x:c r="F103" s="295" t="str">
        <x:v>Không tự suy diễn nội dung</x:v>
      </x:c>
      <x:c r="G103" s="295" t="str">
        <x:v>BOOLEAN</x:v>
      </x:c>
      <x:c r="H103" s="295"/>
      <x:c r="I103" s="295" t="str">
        <x:v>CHƯA XÁC MINH RIÊNG</x:v>
      </x:c>
      <x:c r="J103" s="295" t="str">
        <x:v>Không suy ra giới hạn pháp lý</x:v>
      </x:c>
      <x:c r="K103" s="296" t="b">
        <x:v>1</x:v>
      </x:c>
      <x:c r="L103" s="295" t="str">
        <x:v>NOI_DUNG_BAO_VE</x:v>
      </x:c>
      <x:c r="M103" s="295" t="str">
        <x:v>CHUA_DOI_CHIEU_CU_THE</x:v>
      </x:c>
      <x:c r="N103" s="295" t="str">
        <x:v>Có số/ký hiệu văn bản; chỉ định dạng, không tự cấp số hoặc ký hiệu; cần xác minh danh mục viết tắt</x:v>
      </x:c>
      <x:c r="O103" s="295" t="str">
        <x:v>Quy định gốc &gt; profile; khi chưa rõ điều kiện thì giữ nguyên; không sinh nội dung.</x:v>
      </x:c>
      <x:c r="P103" s="295" t="str">
        <x:v>PARAGRAPH / RUN / SHAPE tùy thuộc tính</x:v>
      </x:c>
      <x:c r="Q103" s="295" t="str">
        <x:v>Xác định đúng khối Ký hiệu cơ quan, tổ chức ban hành; đọc giá trị thực; đối chiếu điều kiện; không sửa nội dung khi thiếu nguồn.</x:v>
      </x:c>
      <x:c r="R103" s="295" t="str">
        <x:v>Chưa có locator xác minh riêng</x:v>
      </x:c>
      <x:c r="S103" s="295" t="str">
        <x:v>https://datafiles.chinhphu.vn/cpp/files/vbpq/2020/03/30.signed.pdf</x:v>
      </x:c>
      <x:c r="T103" s="295" t="str">
        <x:v>CÓ</x:v>
      </x:c>
      <x:c r="U103" s="295" t="str">
        <x:v>CHECK_ONLY</x:v>
      </x:c>
      <x:c r="V103" s="295" t="str">
        <x:v>Chỉ chuẩn hóa hình thức sau khi xác nhận chính xác nội dung, không tự điền số/ngày/người nhận.</x:v>
      </x:c>
    </x:row>
    <x:row r="104" ht="28" customHeight="1">
      <x:c r="A104" s="295" t="n">
        <x:v>99</x:v>
      </x:c>
      <x:c r="B104" s="295" t="str">
        <x:v>ND30.D.SK.DAU_PHAN_CACH.HIEN_DIEN</x:v>
      </x:c>
      <x:c r="C104" s="295" t="str">
        <x:v>ND30.D.SK.DAU_PHAN_CACH</x:v>
      </x:c>
      <x:c r="D104" s="295" t="str">
        <x:v>Số và ký hiệu</x:v>
      </x:c>
      <x:c r="E104" s="295" t="str">
        <x:v>Dấu phân cách trong số, ký hiệu</x:v>
      </x:c>
      <x:c r="F104" s="295" t="str">
        <x:v>Điều kiện hiện diện</x:v>
      </x:c>
      <x:c r="G104" s="295" t="str">
        <x:v>TEXT</x:v>
      </x:c>
      <x:c r="H104" s="295"/>
      <x:c r="I104" s="295" t="str">
        <x:v>CHƯA XÁC MINH RIÊNG</x:v>
      </x:c>
      <x:c r="J104" s="295" t="str">
        <x:v>Không suy ra giới hạn pháp lý</x:v>
      </x:c>
      <x:c r="K104" s="295" t="str">
        <x:v>Có số/ký hiệu văn bản; chỉ định dạng, không tự cấp số hoặc ký hiệu; cần xác minh danh mục viết tắt</x:v>
      </x:c>
      <x:c r="L104" s="295" t="str">
        <x:v>CHUA_DUYET_DINH_TUYEN</x:v>
      </x:c>
      <x:c r="M104" s="295" t="str">
        <x:v>CHUA_DOI_CHIEU_CU_THE</x:v>
      </x:c>
      <x:c r="N104" s="295" t="str">
        <x:v>Có số/ký hiệu văn bản; chỉ định dạng, không tự cấp số hoặc ký hiệu; cần xác minh danh mục viết tắt</x:v>
      </x:c>
      <x:c r="O104" s="295" t="str">
        <x:v>Quy định gốc &gt; profile; khi chưa rõ điều kiện thì giữ nguyên; không sinh nội dung.</x:v>
      </x:c>
      <x:c r="P104" s="295" t="str">
        <x:v>PARAGRAPH / RUN / SHAPE tùy thuộc tính</x:v>
      </x:c>
      <x:c r="Q104" s="295" t="str">
        <x:v>Xác định đúng khối Dấu phân cách trong số, ký hiệu; đọc giá trị thực; đối chiếu điều kiện; không sửa nội dung khi thiếu nguồn.</x:v>
      </x:c>
      <x:c r="R104" s="295" t="str">
        <x:v>Chưa có locator xác minh riêng</x:v>
      </x:c>
      <x:c r="S104" s="295" t="str">
        <x:v>https://datafiles.chinhphu.vn/cpp/files/vbpq/2020/03/30.signed.pdf</x:v>
      </x:c>
      <x:c r="T104" s="295" t="str">
        <x:v>CÓ</x:v>
      </x:c>
      <x:c r="U104" s="295" t="str">
        <x:v>CHECK_ONLY</x:v>
      </x:c>
      <x:c r="V104" s="295" t="str">
        <x:v>Phải nhận diện chế độ và chủ thể trước khi áp dụng</x:v>
      </x:c>
    </x:row>
    <x:row r="105" ht="28" customHeight="1">
      <x:c r="A105" s="295" t="n">
        <x:v>100</x:v>
      </x:c>
      <x:c r="B105" s="295" t="str">
        <x:v>ND30.D.NG.DIA_DANH.HIEN_DIEN</x:v>
      </x:c>
      <x:c r="C105" s="295" t="str">
        <x:v>ND30.D.NG.DIA_DANH</x:v>
      </x:c>
      <x:c r="D105" s="295" t="str">
        <x:v>Địa danh, ngày tháng</x:v>
      </x:c>
      <x:c r="E105" s="295" t="str">
        <x:v>Địa danh</x:v>
      </x:c>
      <x:c r="F105" s="295" t="str">
        <x:v>Điều kiện hiện diện</x:v>
      </x:c>
      <x:c r="G105" s="295" t="str">
        <x:v>TEXT</x:v>
      </x:c>
      <x:c r="H105" s="295"/>
      <x:c r="I105" s="295" t="str">
        <x:v>CHƯA XÁC MINH RIÊNG</x:v>
      </x:c>
      <x:c r="J105" s="295" t="str">
        <x:v>Không suy ra giới hạn pháp lý</x:v>
      </x:c>
      <x:c r="K105" s="295" t="str">
        <x:v>Văn bản có địa danh và thời gian; không tự sinh ngày/địa danh; đối chiếu thời điểm hiệu lực nguồn</x:v>
      </x:c>
      <x:c r="L105" s="295" t="str">
        <x:v>CHUA_DUYET_DINH_TUYEN</x:v>
      </x:c>
      <x:c r="M105" s="295" t="str">
        <x:v>CHUA_DOI_CHIEU_CU_THE</x:v>
      </x:c>
      <x:c r="N105" s="295" t="str">
        <x:v>Văn bản có địa danh và thời gian; không tự sinh ngày/địa danh; đối chiếu thời điểm hiệu lực nguồn</x:v>
      </x:c>
      <x:c r="O105" s="295" t="str">
        <x:v>Quy định gốc &gt; profile; khi chưa rõ điều kiện thì giữ nguyên; không sinh nội dung.</x:v>
      </x:c>
      <x:c r="P105" s="295" t="str">
        <x:v>PARAGRAPH / RUN / SHAPE tùy thuộc tính</x:v>
      </x:c>
      <x:c r="Q105" s="295" t="str">
        <x:v>Xác định đúng khối Địa danh; đọc giá trị thực; đối chiếu điều kiện; không sửa nội dung khi thiếu nguồn.</x:v>
      </x:c>
      <x:c r="R105" s="295" t="str">
        <x:v>Chưa có locator xác minh riêng</x:v>
      </x:c>
      <x:c r="S105" s="295" t="str">
        <x:v>https://datafiles.chinhphu.vn/cpp/files/vbpq/2020/03/30.signed.pdf</x:v>
      </x:c>
      <x:c r="T105" s="295" t="str">
        <x:v>CÓ</x:v>
      </x:c>
      <x:c r="U105" s="295" t="str">
        <x:v>CHECK_ONLY</x:v>
      </x:c>
      <x:c r="V105" s="295" t="str">
        <x:v>Phải nhận diện chế độ và chủ thể trước khi áp dụng</x:v>
      </x:c>
    </x:row>
    <x:row r="106" ht="28" customHeight="1">
      <x:c r="A106" s="295" t="n">
        <x:v>101</x:v>
      </x:c>
      <x:c r="B106" s="295" t="str">
        <x:v>ND30.D.NG.DIA_DANH.PHONG_CHU</x:v>
      </x:c>
      <x:c r="C106" s="295" t="str">
        <x:v>ND30.D.NG.DIA_DANH</x:v>
      </x:c>
      <x:c r="D106" s="295" t="str">
        <x:v>Địa danh, ngày tháng</x:v>
      </x:c>
      <x:c r="E106" s="295" t="str">
        <x:v>Địa danh</x:v>
      </x:c>
      <x:c r="F106" s="295" t="str">
        <x:v>Font chữ</x:v>
      </x:c>
      <x:c r="G106" s="295" t="str">
        <x:v>STRING</x:v>
      </x:c>
      <x:c r="H106" s="295"/>
      <x:c r="I106" s="295" t="str">
        <x:v>Times New Roman</x:v>
      </x:c>
      <x:c r="J106" s="295" t="str">
        <x:v>Đúng giá trị/giới hạn riêng</x:v>
      </x:c>
      <x:c r="K106" s="295" t="str">
        <x:v>Times New Roman</x:v>
      </x:c>
      <x:c r="L106" s="295" t="str">
        <x:v>PROFILE_CO_GIA_TRI_CHUA_DUYET</x:v>
      </x:c>
      <x:c r="M106" s="295" t="str">
        <x:v>DOI_CHIEU_CU_THE</x:v>
      </x:c>
      <x:c r="N106" s="295" t="str">
        <x:v>Văn bản có địa danh và thời gian; không tự sinh ngày/địa danh; đối chiếu thời điểm hiệu lực nguồn</x:v>
      </x:c>
      <x:c r="O106" s="295" t="str">
        <x:v>Quy định gốc &gt; profile; khi chưa rõ điều kiện thì giữ nguyên; không sinh nội dung.</x:v>
      </x:c>
      <x:c r="P106" s="295" t="str">
        <x:v>PARAGRAPH / RUN / SHAPE tùy thuộc tính</x:v>
      </x:c>
      <x:c r="Q106" s="295" t="str">
        <x:v>Xác định đúng khối Địa danh; đọc giá trị thực; đối chiếu điều kiện; không sửa nội dung khi thiếu nguồn.</x:v>
      </x:c>
      <x:c r="R106" s="295" t="str">
        <x:v>Phụ lục I, Phần I, I.4</x:v>
      </x:c>
      <x:c r="S106" s="295" t="str">
        <x:v>https://datafiles.chinhphu.vn/cpp/files/vbpq/2020/03/30.signed.pdf</x:v>
      </x:c>
      <x:c r="T106" s="295" t="str">
        <x:v>CÓ</x:v>
      </x:c>
      <x:c r="U106" s="295" t="str">
        <x:v>CHECK_ONLY</x:v>
      </x:c>
      <x:c r="V106" s="295" t="str"/>
    </x:row>
    <x:row r="107" ht="28" customHeight="1">
      <x:c r="A107" s="295" t="n">
        <x:v>102</x:v>
      </x:c>
      <x:c r="B107" s="295" t="str">
        <x:v>ND30.D.NG.DIA_DANH.CO_CHU</x:v>
      </x:c>
      <x:c r="C107" s="295" t="str">
        <x:v>ND30.D.NG.DIA_DANH</x:v>
      </x:c>
      <x:c r="D107" s="295" t="str">
        <x:v>Địa danh, ngày tháng</x:v>
      </x:c>
      <x:c r="E107" s="295" t="str">
        <x:v>Địa danh</x:v>
      </x:c>
      <x:c r="F107" s="295" t="str">
        <x:v>Cỡ chữ</x:v>
      </x:c>
      <x:c r="G107" s="295" t="str">
        <x:v>NUMBER_OR_RANGE</x:v>
      </x:c>
      <x:c r="H107" s="295" t="str">
        <x:v>pt</x:v>
      </x:c>
      <x:c r="I107" s="295" t="str">
        <x:v>13–14</x:v>
      </x:c>
      <x:c r="J107" s="295" t="str">
        <x:v>Đúng giá trị/giới hạn riêng</x:v>
      </x:c>
      <x:c r="K107" s="295" t="n">
        <x:v>13</x:v>
      </x:c>
      <x:c r="L107" s="295" t="str">
        <x:v>PROFILE_CO_GIA_TRI_CHUA_DUYET</x:v>
      </x:c>
      <x:c r="M107" s="295" t="str">
        <x:v>DOI_CHIEU_CU_THE</x:v>
      </x:c>
      <x:c r="N107" s="295" t="str">
        <x:v>Văn bản có địa danh và thời gian; không tự sinh ngày/địa danh; đối chiếu thời điểm hiệu lực nguồn</x:v>
      </x:c>
      <x:c r="O107" s="295" t="str">
        <x:v>Quy định gốc &gt; profile; khi chưa rõ điều kiện thì giữ nguyên; không sinh nội dung.</x:v>
      </x:c>
      <x:c r="P107" s="295" t="str">
        <x:v>PARAGRAPH / RUN / SHAPE tùy thuộc tính</x:v>
      </x:c>
      <x:c r="Q107" s="295" t="str">
        <x:v>Xác định đúng khối Địa danh; đọc giá trị thực; đối chiếu điều kiện; không sửa nội dung khi thiếu nguồn.</x:v>
      </x:c>
      <x:c r="R107" s="295" t="str">
        <x:v>Phụ lục I, Phần I, II.4</x:v>
      </x:c>
      <x:c r="S107" s="295" t="str">
        <x:v>https://datafiles.chinhphu.vn/cpp/files/vbpq/2020/03/30.signed.pdf</x:v>
      </x:c>
      <x:c r="T107" s="295" t="str">
        <x:v>CÓ</x:v>
      </x:c>
      <x:c r="U107" s="295" t="str">
        <x:v>CHECK_ONLY</x:v>
      </x:c>
      <x:c r="V107" s="295" t="str"/>
    </x:row>
    <x:row r="108" ht="28" customHeight="1">
      <x:c r="A108" s="295" t="n">
        <x:v>103</x:v>
      </x:c>
      <x:c r="B108" s="295" t="str">
        <x:v>ND30.D.NG.DIA_DANH.DAM</x:v>
      </x:c>
      <x:c r="C108" s="295" t="str">
        <x:v>ND30.D.NG.DIA_DANH</x:v>
      </x:c>
      <x:c r="D108" s="295" t="str">
        <x:v>Địa danh, ngày tháng</x:v>
      </x:c>
      <x:c r="E108" s="295" t="str">
        <x:v>Địa danh</x:v>
      </x:c>
      <x:c r="F108" s="295" t="str">
        <x:v>In đậm</x:v>
      </x:c>
      <x:c r="G108" s="295" t="str">
        <x:v>BOOLEAN</x:v>
      </x:c>
      <x:c r="H108" s="295"/>
      <x:c r="I108" s="296" t="b">
        <x:v>0</x:v>
      </x:c>
      <x:c r="J108" s="295" t="str">
        <x:v>Đúng giá trị/giới hạn riêng</x:v>
      </x:c>
      <x:c r="K108" s="296" t="b">
        <x:v>0</x:v>
      </x:c>
      <x:c r="L108" s="295" t="str">
        <x:v>PROFILE_CO_GIA_TRI_CHUA_DUYET</x:v>
      </x:c>
      <x:c r="M108" s="295" t="str">
        <x:v>DOI_CHIEU_CU_THE</x:v>
      </x:c>
      <x:c r="N108" s="295" t="str">
        <x:v>Văn bản có địa danh và thời gian; không tự sinh ngày/địa danh; đối chiếu thời điểm hiệu lực nguồn</x:v>
      </x:c>
      <x:c r="O108" s="295" t="str">
        <x:v>Quy định gốc &gt; profile; khi chưa rõ điều kiện thì giữ nguyên; không sinh nội dung.</x:v>
      </x:c>
      <x:c r="P108" s="295" t="str">
        <x:v>PARAGRAPH / RUN / SHAPE tùy thuộc tính</x:v>
      </x:c>
      <x:c r="Q108" s="295" t="str">
        <x:v>Xác định đúng khối Địa danh; đọc giá trị thực; đối chiếu điều kiện; không sửa nội dung khi thiếu nguồn.</x:v>
      </x:c>
      <x:c r="R108" s="295" t="str">
        <x:v>Phụ lục I, Phần I, II.4</x:v>
      </x:c>
      <x:c r="S108" s="295" t="str">
        <x:v>https://datafiles.chinhphu.vn/cpp/files/vbpq/2020/03/30.signed.pdf</x:v>
      </x:c>
      <x:c r="T108" s="295" t="str">
        <x:v>CÓ</x:v>
      </x:c>
      <x:c r="U108" s="295" t="str">
        <x:v>CHECK_ONLY</x:v>
      </x:c>
      <x:c r="V108" s="295" t="str"/>
    </x:row>
    <x:row r="109" ht="28" customHeight="1">
      <x:c r="A109" s="295" t="n">
        <x:v>104</x:v>
      </x:c>
      <x:c r="B109" s="295" t="str">
        <x:v>ND30.D.NG.DIA_DANH.NGHIENG</x:v>
      </x:c>
      <x:c r="C109" s="295" t="str">
        <x:v>ND30.D.NG.DIA_DANH</x:v>
      </x:c>
      <x:c r="D109" s="295" t="str">
        <x:v>Địa danh, ngày tháng</x:v>
      </x:c>
      <x:c r="E109" s="295" t="str">
        <x:v>Địa danh</x:v>
      </x:c>
      <x:c r="F109" s="295" t="str">
        <x:v>In nghiêng</x:v>
      </x:c>
      <x:c r="G109" s="295" t="str">
        <x:v>BOOLEAN</x:v>
      </x:c>
      <x:c r="H109" s="295"/>
      <x:c r="I109" s="296" t="b">
        <x:v>1</x:v>
      </x:c>
      <x:c r="J109" s="295" t="str">
        <x:v>Đúng giá trị/giới hạn riêng</x:v>
      </x:c>
      <x:c r="K109" s="296" t="b">
        <x:v>1</x:v>
      </x:c>
      <x:c r="L109" s="295" t="str">
        <x:v>PROFILE_CO_GIA_TRI_CHUA_DUYET</x:v>
      </x:c>
      <x:c r="M109" s="295" t="str">
        <x:v>DOI_CHIEU_CU_THE</x:v>
      </x:c>
      <x:c r="N109" s="295" t="str">
        <x:v>Văn bản có địa danh và thời gian; không tự sinh ngày/địa danh; đối chiếu thời điểm hiệu lực nguồn</x:v>
      </x:c>
      <x:c r="O109" s="295" t="str">
        <x:v>Quy định gốc &gt; profile; khi chưa rõ điều kiện thì giữ nguyên; không sinh nội dung.</x:v>
      </x:c>
      <x:c r="P109" s="295" t="str">
        <x:v>PARAGRAPH / RUN / SHAPE tùy thuộc tính</x:v>
      </x:c>
      <x:c r="Q109" s="295" t="str">
        <x:v>Xác định đúng khối Địa danh; đọc giá trị thực; đối chiếu điều kiện; không sửa nội dung khi thiếu nguồn.</x:v>
      </x:c>
      <x:c r="R109" s="295" t="str">
        <x:v>Phụ lục I, Phần I, II.4</x:v>
      </x:c>
      <x:c r="S109" s="295" t="str">
        <x:v>https://datafiles.chinhphu.vn/cpp/files/vbpq/2020/03/30.signed.pdf</x:v>
      </x:c>
      <x:c r="T109" s="295" t="str">
        <x:v>CÓ</x:v>
      </x:c>
      <x:c r="U109" s="295" t="str">
        <x:v>CHECK_ONLY</x:v>
      </x:c>
      <x:c r="V109" s="295" t="str"/>
    </x:row>
    <x:row r="110" ht="28" customHeight="1">
      <x:c r="A110" s="295" t="n">
        <x:v>105</x:v>
      </x:c>
      <x:c r="B110" s="295" t="str">
        <x:v>ND30.D.NG.DIA_DANH.KIEU_CHU</x:v>
      </x:c>
      <x:c r="C110" s="295" t="str">
        <x:v>ND30.D.NG.DIA_DANH</x:v>
      </x:c>
      <x:c r="D110" s="295" t="str">
        <x:v>Địa danh, ngày tháng</x:v>
      </x:c>
      <x:c r="E110" s="295" t="str">
        <x:v>Địa danh</x:v>
      </x:c>
      <x:c r="F110" s="295" t="str">
        <x:v>Kiểu viết hoa/thường</x:v>
      </x:c>
      <x:c r="G110" s="295" t="str">
        <x:v>ENUM</x:v>
      </x:c>
      <x:c r="H110" s="295"/>
      <x:c r="I110" s="295" t="str">
        <x:v>Địa danh; chữ cái đầu viết hoa</x:v>
      </x:c>
      <x:c r="J110" s="295" t="str">
        <x:v>Đúng giá trị/giới hạn riêng</x:v>
      </x:c>
      <x:c r="K110" s="295" t="str">
        <x:v>Theo số/chữ địa danh</x:v>
      </x:c>
      <x:c r="L110" s="295" t="str">
        <x:v>PROFILE_CO_GIA_TRI_CHUA_DUYET</x:v>
      </x:c>
      <x:c r="M110" s="295" t="str">
        <x:v>DOI_CHIEU_CU_THE</x:v>
      </x:c>
      <x:c r="N110" s="295" t="str">
        <x:v>Văn bản có địa danh và thời gian; không tự sinh ngày/địa danh; đối chiếu thời điểm hiệu lực nguồn</x:v>
      </x:c>
      <x:c r="O110" s="295" t="str">
        <x:v>Quy định gốc &gt; profile; khi chưa rõ điều kiện thì giữ nguyên; không sinh nội dung.</x:v>
      </x:c>
      <x:c r="P110" s="295" t="str">
        <x:v>PARAGRAPH / RUN / SHAPE tùy thuộc tính</x:v>
      </x:c>
      <x:c r="Q110" s="295" t="str">
        <x:v>Xác định đúng khối Địa danh; đọc giá trị thực; đối chiếu điều kiện; không sửa nội dung khi thiếu nguồn.</x:v>
      </x:c>
      <x:c r="R110" s="295" t="str">
        <x:v>Phụ lục I, Phần I, II.4</x:v>
      </x:c>
      <x:c r="S110" s="295" t="str">
        <x:v>https://datafiles.chinhphu.vn/cpp/files/vbpq/2020/03/30.signed.pdf</x:v>
      </x:c>
      <x:c r="T110" s="295" t="str">
        <x:v>CÓ</x:v>
      </x:c>
      <x:c r="U110" s="295" t="str">
        <x:v>CHECK_ONLY</x:v>
      </x:c>
      <x:c r="V110" s="295" t="str"/>
    </x:row>
    <x:row r="111" ht="28" customHeight="1">
      <x:c r="A111" s="295" t="n">
        <x:v>106</x:v>
      </x:c>
      <x:c r="B111" s="295" t="str">
        <x:v>ND30.D.NG.DIA_DANH.CAN_NGANG</x:v>
      </x:c>
      <x:c r="C111" s="295" t="str">
        <x:v>ND30.D.NG.DIA_DANH</x:v>
      </x:c>
      <x:c r="D111" s="295" t="str">
        <x:v>Địa danh, ngày tháng</x:v>
      </x:c>
      <x:c r="E111" s="295" t="str">
        <x:v>Địa danh</x:v>
      </x:c>
      <x:c r="F111" s="295" t="str">
        <x:v>Căn ngang</x:v>
      </x:c>
      <x:c r="G111" s="295" t="str">
        <x:v>ENUM</x:v>
      </x:c>
      <x:c r="H111" s="295"/>
      <x:c r="I111" s="295" t="str">
        <x:v>CENTER</x:v>
      </x:c>
      <x:c r="J111" s="295" t="str">
        <x:v>Đúng giá trị/giới hạn riêng</x:v>
      </x:c>
      <x:c r="K111" s="295" t="str">
        <x:v>CÂN GIỮA TRONG KHỐI PHẢI (không căn phải cứng)</x:v>
      </x:c>
      <x:c r="L111" s="295" t="str">
        <x:v>PROFILE_CO_GIA_TRI_CHUA_DUYET</x:v>
      </x:c>
      <x:c r="M111" s="295" t="str">
        <x:v>DOI_CHIEU_CU_THE</x:v>
      </x:c>
      <x:c r="N111" s="295" t="str">
        <x:v>Văn bản có địa danh và thời gian; không tự sinh ngày/địa danh; đối chiếu thời điểm hiệu lực nguồn</x:v>
      </x:c>
      <x:c r="O111" s="295" t="str">
        <x:v>Quy định gốc &gt; profile; khi chưa rõ điều kiện thì giữ nguyên; không sinh nội dung.</x:v>
      </x:c>
      <x:c r="P111" s="295" t="str">
        <x:v>PARAGRAPH / RUN / SHAPE tùy thuộc tính</x:v>
      </x:c>
      <x:c r="Q111" s="295" t="str">
        <x:v>Xác định đúng khối Địa danh; đọc giá trị thực; đối chiếu điều kiện; không sửa nội dung khi thiếu nguồn.</x:v>
      </x:c>
      <x:c r="R111" s="295" t="str">
        <x:v>Phụ lục I, Phần I, II.4</x:v>
      </x:c>
      <x:c r="S111" s="295" t="str">
        <x:v>https://datafiles.chinhphu.vn/cpp/files/vbpq/2020/03/30.signed.pdf</x:v>
      </x:c>
      <x:c r="T111" s="295" t="str">
        <x:v>CÓ</x:v>
      </x:c>
      <x:c r="U111" s="295" t="str">
        <x:v>CHECK_ONLY</x:v>
      </x:c>
      <x:c r="V111" s="295" t="str"/>
    </x:row>
    <x:row r="112" ht="28" customHeight="1">
      <x:c r="A112" s="295" t="n">
        <x:v>107</x:v>
      </x:c>
      <x:c r="B112" s="295" t="str">
        <x:v>ND30.D.NG.DIA_DANH.CACH_SAU</x:v>
      </x:c>
      <x:c r="C112" s="295" t="str">
        <x:v>ND30.D.NG.DIA_DANH</x:v>
      </x:c>
      <x:c r="D112" s="295" t="str">
        <x:v>Địa danh, ngày tháng</x:v>
      </x:c>
      <x:c r="E112" s="295" t="str">
        <x:v>Địa danh</x:v>
      </x:c>
      <x:c r="F112" s="295" t="str">
        <x:v>Khoảng cách sau đoạn</x:v>
      </x:c>
      <x:c r="G112" s="295" t="str">
        <x:v>NUMBER</x:v>
      </x:c>
      <x:c r="H112" s="295" t="str">
        <x:v>pt</x:v>
      </x:c>
      <x:c r="I112" s="295" t="str">
        <x:v>CHƯA XÁC MINH RIÊNG</x:v>
      </x:c>
      <x:c r="J112" s="295" t="str">
        <x:v>Không suy ra giới hạn pháp lý</x:v>
      </x:c>
      <x:c r="K112" s="295" t="n">
        <x:v>0</x:v>
      </x:c>
      <x:c r="L112" s="295" t="str">
        <x:v>PROFILE_CHO_RAO_SOAT</x:v>
      </x:c>
      <x:c r="M112" s="295" t="str">
        <x:v>CHUA_DOI_CHIEU_CU_THE</x:v>
      </x:c>
      <x:c r="N112" s="295" t="str">
        <x:v>Văn bản có địa danh và thời gian; không tự sinh ngày/địa danh; đối chiếu thời điểm hiệu lực nguồn</x:v>
      </x:c>
      <x:c r="O112" s="295" t="str">
        <x:v>Quy định gốc &gt; profile; khi chưa rõ điều kiện thì giữ nguyên; không sinh nội dung.</x:v>
      </x:c>
      <x:c r="P112" s="295" t="str">
        <x:v>PARAGRAPH / RUN / SHAPE tùy thuộc tính</x:v>
      </x:c>
      <x:c r="Q112" s="295" t="str">
        <x:v>Xác định đúng khối Địa danh; đọc giá trị thực; đối chiếu điều kiện; không sửa nội dung khi thiếu nguồn.</x:v>
      </x:c>
      <x:c r="R112" s="295" t="str">
        <x:v>Chưa có locator xác minh riêng</x:v>
      </x:c>
      <x:c r="S112" s="295" t="str">
        <x:v>https://datafiles.chinhphu.vn/cpp/files/vbpq/2020/03/30.signed.pdf</x:v>
      </x:c>
      <x:c r="T112" s="295" t="str">
        <x:v>CÓ</x:v>
      </x:c>
      <x:c r="U112" s="295" t="str">
        <x:v>CHECK_ONLY</x:v>
      </x:c>
      <x:c r="V112" s="295" t="str">
        <x:v>Không tự chèn đoạn trắng</x:v>
      </x:c>
    </x:row>
    <x:row r="113" ht="28" customHeight="1">
      <x:c r="A113" s="295" t="n">
        <x:v>108</x:v>
      </x:c>
      <x:c r="B113" s="295" t="str">
        <x:v>ND30.D.NG.DIA_DANH.GIAN_DONG</x:v>
      </x:c>
      <x:c r="C113" s="295" t="str">
        <x:v>ND30.D.NG.DIA_DANH</x:v>
      </x:c>
      <x:c r="D113" s="295" t="str">
        <x:v>Địa danh, ngày tháng</x:v>
      </x:c>
      <x:c r="E113" s="295" t="str">
        <x:v>Địa danh</x:v>
      </x:c>
      <x:c r="F113" s="295" t="str">
        <x:v>Giãn dòng</x:v>
      </x:c>
      <x:c r="G113" s="295" t="str">
        <x:v>NUMBER</x:v>
      </x:c>
      <x:c r="H113" s="295" t="str">
        <x:v>lines</x:v>
      </x:c>
      <x:c r="I113" s="295" t="str">
        <x:v>CHƯA XÁC MINH RIÊNG</x:v>
      </x:c>
      <x:c r="J113" s="295" t="str">
        <x:v>Không suy ra giới hạn pháp lý</x:v>
      </x:c>
      <x:c r="K113" s="295" t="str">
        <x:v>SINGLE</x:v>
      </x:c>
      <x:c r="L113" s="295" t="str">
        <x:v>PROFILE_CHO_RAO_SOAT</x:v>
      </x:c>
      <x:c r="M113" s="295" t="str">
        <x:v>CHUA_DOI_CHIEU_CU_THE</x:v>
      </x:c>
      <x:c r="N113" s="295" t="str">
        <x:v>Văn bản có địa danh và thời gian; không tự sinh ngày/địa danh; đối chiếu thời điểm hiệu lực nguồn</x:v>
      </x:c>
      <x:c r="O113" s="295" t="str">
        <x:v>Quy định gốc &gt; profile; khi chưa rõ điều kiện thì giữ nguyên; không sinh nội dung.</x:v>
      </x:c>
      <x:c r="P113" s="295" t="str">
        <x:v>PARAGRAPH / RUN / SHAPE tùy thuộc tính</x:v>
      </x:c>
      <x:c r="Q113" s="295" t="str">
        <x:v>Xác định đúng khối Địa danh; đọc giá trị thực; đối chiếu điều kiện; không sửa nội dung khi thiếu nguồn.</x:v>
      </x:c>
      <x:c r="R113" s="295" t="str">
        <x:v>Chưa có locator xác minh riêng</x:v>
      </x:c>
      <x:c r="S113" s="295" t="str">
        <x:v>https://datafiles.chinhphu.vn/cpp/files/vbpq/2020/03/30.signed.pdf</x:v>
      </x:c>
      <x:c r="T113" s="295" t="str">
        <x:v>CÓ</x:v>
      </x:c>
      <x:c r="U113" s="295" t="str">
        <x:v>CHECK_ONLY</x:v>
      </x:c>
      <x:c r="V113" s="295" t="str">
        <x:v>Giãn dòng phần đầu không được tự đồng nhất với thân bài.</x:v>
      </x:c>
    </x:row>
    <x:row r="114" ht="28" customHeight="1">
      <x:c r="A114" s="295" t="n">
        <x:v>109</x:v>
      </x:c>
      <x:c r="B114" s="295" t="str">
        <x:v>ND30.D.NG.DIA_DANH.BAO_VE_NOI_DUNG</x:v>
      </x:c>
      <x:c r="C114" s="295" t="str">
        <x:v>ND30.D.NG.DIA_DANH</x:v>
      </x:c>
      <x:c r="D114" s="295" t="str">
        <x:v>Địa danh, ngày tháng</x:v>
      </x:c>
      <x:c r="E114" s="295" t="str">
        <x:v>Địa danh</x:v>
      </x:c>
      <x:c r="F114" s="295" t="str">
        <x:v>Không tự suy diễn nội dung</x:v>
      </x:c>
      <x:c r="G114" s="295" t="str">
        <x:v>BOOLEAN</x:v>
      </x:c>
      <x:c r="H114" s="295"/>
      <x:c r="I114" s="295" t="str">
        <x:v>CHƯA XÁC MINH RIÊNG</x:v>
      </x:c>
      <x:c r="J114" s="295" t="str">
        <x:v>Không suy ra giới hạn pháp lý</x:v>
      </x:c>
      <x:c r="K114" s="296" t="b">
        <x:v>1</x:v>
      </x:c>
      <x:c r="L114" s="295" t="str">
        <x:v>NOI_DUNG_BAO_VE</x:v>
      </x:c>
      <x:c r="M114" s="295" t="str">
        <x:v>CHUA_DOI_CHIEU_CU_THE</x:v>
      </x:c>
      <x:c r="N114" s="295" t="str">
        <x:v>Văn bản có địa danh và thời gian; không tự sinh ngày/địa danh; đối chiếu thời điểm hiệu lực nguồn</x:v>
      </x:c>
      <x:c r="O114" s="295" t="str">
        <x:v>Quy định gốc &gt; profile; khi chưa rõ điều kiện thì giữ nguyên; không sinh nội dung.</x:v>
      </x:c>
      <x:c r="P114" s="295" t="str">
        <x:v>PARAGRAPH / RUN / SHAPE tùy thuộc tính</x:v>
      </x:c>
      <x:c r="Q114" s="295" t="str">
        <x:v>Xác định đúng khối Địa danh; đọc giá trị thực; đối chiếu điều kiện; không sửa nội dung khi thiếu nguồn.</x:v>
      </x:c>
      <x:c r="R114" s="295" t="str">
        <x:v>Chưa có locator xác minh riêng</x:v>
      </x:c>
      <x:c r="S114" s="295" t="str">
        <x:v>https://datafiles.chinhphu.vn/cpp/files/vbpq/2020/03/30.signed.pdf</x:v>
      </x:c>
      <x:c r="T114" s="295" t="str">
        <x:v>CÓ</x:v>
      </x:c>
      <x:c r="U114" s="295" t="str">
        <x:v>CHECK_ONLY</x:v>
      </x:c>
      <x:c r="V114" s="295" t="str">
        <x:v>Chỉ chuẩn hóa hình thức sau khi xác nhận chính xác nội dung, không tự điền số/ngày/người nhận.</x:v>
      </x:c>
    </x:row>
    <x:row r="115" ht="28" customHeight="1">
      <x:c r="A115" s="295" t="n">
        <x:v>110</x:v>
      </x:c>
      <x:c r="B115" s="295" t="str">
        <x:v>ND30.D.NG.NGAY.HIEN_DIEN</x:v>
      </x:c>
      <x:c r="C115" s="295" t="str">
        <x:v>ND30.D.NG.NGAY</x:v>
      </x:c>
      <x:c r="D115" s="295" t="str">
        <x:v>Địa danh, ngày tháng</x:v>
      </x:c>
      <x:c r="E115" s="295" t="str">
        <x:v>Ngày</x:v>
      </x:c>
      <x:c r="F115" s="295" t="str">
        <x:v>Điều kiện hiện diện</x:v>
      </x:c>
      <x:c r="G115" s="295" t="str">
        <x:v>TEXT</x:v>
      </x:c>
      <x:c r="H115" s="295"/>
      <x:c r="I115" s="295" t="str">
        <x:v>CHƯA XÁC MINH RIÊNG</x:v>
      </x:c>
      <x:c r="J115" s="295" t="str">
        <x:v>Không suy ra giới hạn pháp lý</x:v>
      </x:c>
      <x:c r="K115" s="295" t="str">
        <x:v>Văn bản có địa danh và thời gian; không tự sinh ngày/địa danh; đối chiếu thời điểm hiệu lực nguồn</x:v>
      </x:c>
      <x:c r="L115" s="295" t="str">
        <x:v>CHUA_DUYET_DINH_TUYEN</x:v>
      </x:c>
      <x:c r="M115" s="295" t="str">
        <x:v>CHUA_DOI_CHIEU_CU_THE</x:v>
      </x:c>
      <x:c r="N115" s="295" t="str">
        <x:v>Văn bản có địa danh và thời gian; không tự sinh ngày/địa danh; đối chiếu thời điểm hiệu lực nguồn</x:v>
      </x:c>
      <x:c r="O115" s="295" t="str">
        <x:v>Quy định gốc &gt; profile; khi chưa rõ điều kiện thì giữ nguyên; không sinh nội dung.</x:v>
      </x:c>
      <x:c r="P115" s="295" t="str">
        <x:v>PARAGRAPH / RUN / SHAPE tùy thuộc tính</x:v>
      </x:c>
      <x:c r="Q115" s="295" t="str">
        <x:v>Xác định đúng khối Ngày; đọc giá trị thực; đối chiếu điều kiện; không sửa nội dung khi thiếu nguồn.</x:v>
      </x:c>
      <x:c r="R115" s="295" t="str">
        <x:v>Chưa có locator xác minh riêng</x:v>
      </x:c>
      <x:c r="S115" s="295" t="str">
        <x:v>https://datafiles.chinhphu.vn/cpp/files/vbpq/2020/03/30.signed.pdf</x:v>
      </x:c>
      <x:c r="T115" s="295" t="str">
        <x:v>CÓ</x:v>
      </x:c>
      <x:c r="U115" s="295" t="str">
        <x:v>CHECK_ONLY</x:v>
      </x:c>
      <x:c r="V115" s="295" t="str">
        <x:v>Phải nhận diện chế độ và chủ thể trước khi áp dụng</x:v>
      </x:c>
    </x:row>
    <x:row r="116" ht="28" customHeight="1">
      <x:c r="A116" s="295" t="n">
        <x:v>111</x:v>
      </x:c>
      <x:c r="B116" s="295" t="str">
        <x:v>ND30.D.NG.NGAY.PHONG_CHU</x:v>
      </x:c>
      <x:c r="C116" s="295" t="str">
        <x:v>ND30.D.NG.NGAY</x:v>
      </x:c>
      <x:c r="D116" s="295" t="str">
        <x:v>Địa danh, ngày tháng</x:v>
      </x:c>
      <x:c r="E116" s="295" t="str">
        <x:v>Ngày</x:v>
      </x:c>
      <x:c r="F116" s="295" t="str">
        <x:v>Font chữ</x:v>
      </x:c>
      <x:c r="G116" s="295" t="str">
        <x:v>STRING</x:v>
      </x:c>
      <x:c r="H116" s="295"/>
      <x:c r="I116" s="295" t="str">
        <x:v>Times New Roman</x:v>
      </x:c>
      <x:c r="J116" s="295" t="str">
        <x:v>Đúng giá trị/giới hạn riêng</x:v>
      </x:c>
      <x:c r="K116" s="295" t="str">
        <x:v>Times New Roman</x:v>
      </x:c>
      <x:c r="L116" s="295" t="str">
        <x:v>PROFILE_CO_GIA_TRI_CHUA_DUYET</x:v>
      </x:c>
      <x:c r="M116" s="295" t="str">
        <x:v>DOI_CHIEU_CU_THE</x:v>
      </x:c>
      <x:c r="N116" s="295" t="str">
        <x:v>Văn bản có địa danh và thời gian; không tự sinh ngày/địa danh; đối chiếu thời điểm hiệu lực nguồn</x:v>
      </x:c>
      <x:c r="O116" s="295" t="str">
        <x:v>Quy định gốc &gt; profile; khi chưa rõ điều kiện thì giữ nguyên; không sinh nội dung.</x:v>
      </x:c>
      <x:c r="P116" s="295" t="str">
        <x:v>PARAGRAPH / RUN / SHAPE tùy thuộc tính</x:v>
      </x:c>
      <x:c r="Q116" s="295" t="str">
        <x:v>Xác định đúng khối Ngày; đọc giá trị thực; đối chiếu điều kiện; không sửa nội dung khi thiếu nguồn.</x:v>
      </x:c>
      <x:c r="R116" s="295" t="str">
        <x:v>Phụ lục I, Phần I, I.4</x:v>
      </x:c>
      <x:c r="S116" s="295" t="str">
        <x:v>https://datafiles.chinhphu.vn/cpp/files/vbpq/2020/03/30.signed.pdf</x:v>
      </x:c>
      <x:c r="T116" s="295" t="str">
        <x:v>CÓ</x:v>
      </x:c>
      <x:c r="U116" s="295" t="str">
        <x:v>CHECK_ONLY</x:v>
      </x:c>
      <x:c r="V116" s="295" t="str"/>
    </x:row>
    <x:row r="117" ht="28" customHeight="1">
      <x:c r="A117" s="295" t="n">
        <x:v>112</x:v>
      </x:c>
      <x:c r="B117" s="295" t="str">
        <x:v>ND30.D.NG.NGAY.CO_CHU</x:v>
      </x:c>
      <x:c r="C117" s="295" t="str">
        <x:v>ND30.D.NG.NGAY</x:v>
      </x:c>
      <x:c r="D117" s="295" t="str">
        <x:v>Địa danh, ngày tháng</x:v>
      </x:c>
      <x:c r="E117" s="295" t="str">
        <x:v>Ngày</x:v>
      </x:c>
      <x:c r="F117" s="295" t="str">
        <x:v>Cỡ chữ</x:v>
      </x:c>
      <x:c r="G117" s="295" t="str">
        <x:v>NUMBER_OR_RANGE</x:v>
      </x:c>
      <x:c r="H117" s="295" t="str">
        <x:v>pt</x:v>
      </x:c>
      <x:c r="I117" s="295" t="str">
        <x:v>13–14</x:v>
      </x:c>
      <x:c r="J117" s="295" t="str">
        <x:v>Đúng giá trị/giới hạn riêng</x:v>
      </x:c>
      <x:c r="K117" s="295" t="n">
        <x:v>13</x:v>
      </x:c>
      <x:c r="L117" s="295" t="str">
        <x:v>PROFILE_CO_GIA_TRI_CHUA_DUYET</x:v>
      </x:c>
      <x:c r="M117" s="295" t="str">
        <x:v>DOI_CHIEU_CU_THE</x:v>
      </x:c>
      <x:c r="N117" s="295" t="str">
        <x:v>Văn bản có địa danh và thời gian; không tự sinh ngày/địa danh; đối chiếu thời điểm hiệu lực nguồn</x:v>
      </x:c>
      <x:c r="O117" s="295" t="str">
        <x:v>Quy định gốc &gt; profile; khi chưa rõ điều kiện thì giữ nguyên; không sinh nội dung.</x:v>
      </x:c>
      <x:c r="P117" s="295" t="str">
        <x:v>PARAGRAPH / RUN / SHAPE tùy thuộc tính</x:v>
      </x:c>
      <x:c r="Q117" s="295" t="str">
        <x:v>Xác định đúng khối Ngày; đọc giá trị thực; đối chiếu điều kiện; không sửa nội dung khi thiếu nguồn.</x:v>
      </x:c>
      <x:c r="R117" s="295" t="str">
        <x:v>Phụ lục I, Phần I, II.4</x:v>
      </x:c>
      <x:c r="S117" s="295" t="str">
        <x:v>https://datafiles.chinhphu.vn/cpp/files/vbpq/2020/03/30.signed.pdf</x:v>
      </x:c>
      <x:c r="T117" s="295" t="str">
        <x:v>CÓ</x:v>
      </x:c>
      <x:c r="U117" s="295" t="str">
        <x:v>CHECK_ONLY</x:v>
      </x:c>
      <x:c r="V117" s="295" t="str"/>
    </x:row>
    <x:row r="118" ht="28" customHeight="1">
      <x:c r="A118" s="295" t="n">
        <x:v>113</x:v>
      </x:c>
      <x:c r="B118" s="295" t="str">
        <x:v>ND30.D.NG.NGAY.DAM</x:v>
      </x:c>
      <x:c r="C118" s="295" t="str">
        <x:v>ND30.D.NG.NGAY</x:v>
      </x:c>
      <x:c r="D118" s="295" t="str">
        <x:v>Địa danh, ngày tháng</x:v>
      </x:c>
      <x:c r="E118" s="295" t="str">
        <x:v>Ngày</x:v>
      </x:c>
      <x:c r="F118" s="295" t="str">
        <x:v>In đậm</x:v>
      </x:c>
      <x:c r="G118" s="295" t="str">
        <x:v>BOOLEAN</x:v>
      </x:c>
      <x:c r="H118" s="295"/>
      <x:c r="I118" s="296" t="b">
        <x:v>0</x:v>
      </x:c>
      <x:c r="J118" s="295" t="str">
        <x:v>Đúng giá trị/giới hạn riêng</x:v>
      </x:c>
      <x:c r="K118" s="296" t="b">
        <x:v>0</x:v>
      </x:c>
      <x:c r="L118" s="295" t="str">
        <x:v>PROFILE_CO_GIA_TRI_CHUA_DUYET</x:v>
      </x:c>
      <x:c r="M118" s="295" t="str">
        <x:v>DOI_CHIEU_CU_THE</x:v>
      </x:c>
      <x:c r="N118" s="295" t="str">
        <x:v>Văn bản có địa danh và thời gian; không tự sinh ngày/địa danh; đối chiếu thời điểm hiệu lực nguồn</x:v>
      </x:c>
      <x:c r="O118" s="295" t="str">
        <x:v>Quy định gốc &gt; profile; khi chưa rõ điều kiện thì giữ nguyên; không sinh nội dung.</x:v>
      </x:c>
      <x:c r="P118" s="295" t="str">
        <x:v>PARAGRAPH / RUN / SHAPE tùy thuộc tính</x:v>
      </x:c>
      <x:c r="Q118" s="295" t="str">
        <x:v>Xác định đúng khối Ngày; đọc giá trị thực; đối chiếu điều kiện; không sửa nội dung khi thiếu nguồn.</x:v>
      </x:c>
      <x:c r="R118" s="295" t="str">
        <x:v>Phụ lục I, Phần I, II.4</x:v>
      </x:c>
      <x:c r="S118" s="295" t="str">
        <x:v>https://datafiles.chinhphu.vn/cpp/files/vbpq/2020/03/30.signed.pdf</x:v>
      </x:c>
      <x:c r="T118" s="295" t="str">
        <x:v>CÓ</x:v>
      </x:c>
      <x:c r="U118" s="295" t="str">
        <x:v>CHECK_ONLY</x:v>
      </x:c>
      <x:c r="V118" s="295" t="str"/>
    </x:row>
    <x:row r="119" ht="28" customHeight="1">
      <x:c r="A119" s="295" t="n">
        <x:v>114</x:v>
      </x:c>
      <x:c r="B119" s="295" t="str">
        <x:v>ND30.D.NG.NGAY.NGHIENG</x:v>
      </x:c>
      <x:c r="C119" s="295" t="str">
        <x:v>ND30.D.NG.NGAY</x:v>
      </x:c>
      <x:c r="D119" s="295" t="str">
        <x:v>Địa danh, ngày tháng</x:v>
      </x:c>
      <x:c r="E119" s="295" t="str">
        <x:v>Ngày</x:v>
      </x:c>
      <x:c r="F119" s="295" t="str">
        <x:v>In nghiêng</x:v>
      </x:c>
      <x:c r="G119" s="295" t="str">
        <x:v>BOOLEAN</x:v>
      </x:c>
      <x:c r="H119" s="295"/>
      <x:c r="I119" s="296" t="b">
        <x:v>1</x:v>
      </x:c>
      <x:c r="J119" s="295" t="str">
        <x:v>Đúng giá trị/giới hạn riêng</x:v>
      </x:c>
      <x:c r="K119" s="296" t="b">
        <x:v>1</x:v>
      </x:c>
      <x:c r="L119" s="295" t="str">
        <x:v>PROFILE_CO_GIA_TRI_CHUA_DUYET</x:v>
      </x:c>
      <x:c r="M119" s="295" t="str">
        <x:v>DOI_CHIEU_CU_THE</x:v>
      </x:c>
      <x:c r="N119" s="295" t="str">
        <x:v>Văn bản có địa danh và thời gian; không tự sinh ngày/địa danh; đối chiếu thời điểm hiệu lực nguồn</x:v>
      </x:c>
      <x:c r="O119" s="295" t="str">
        <x:v>Quy định gốc &gt; profile; khi chưa rõ điều kiện thì giữ nguyên; không sinh nội dung.</x:v>
      </x:c>
      <x:c r="P119" s="295" t="str">
        <x:v>PARAGRAPH / RUN / SHAPE tùy thuộc tính</x:v>
      </x:c>
      <x:c r="Q119" s="295" t="str">
        <x:v>Xác định đúng khối Ngày; đọc giá trị thực; đối chiếu điều kiện; không sửa nội dung khi thiếu nguồn.</x:v>
      </x:c>
      <x:c r="R119" s="295" t="str">
        <x:v>Phụ lục I, Phần I, II.4</x:v>
      </x:c>
      <x:c r="S119" s="295" t="str">
        <x:v>https://datafiles.chinhphu.vn/cpp/files/vbpq/2020/03/30.signed.pdf</x:v>
      </x:c>
      <x:c r="T119" s="295" t="str">
        <x:v>CÓ</x:v>
      </x:c>
      <x:c r="U119" s="295" t="str">
        <x:v>CHECK_ONLY</x:v>
      </x:c>
      <x:c r="V119" s="295" t="str"/>
    </x:row>
    <x:row r="120" ht="28" customHeight="1">
      <x:c r="A120" s="295" t="n">
        <x:v>115</x:v>
      </x:c>
      <x:c r="B120" s="295" t="str">
        <x:v>ND30.D.NG.NGAY.KIEU_CHU</x:v>
      </x:c>
      <x:c r="C120" s="295" t="str">
        <x:v>ND30.D.NG.NGAY</x:v>
      </x:c>
      <x:c r="D120" s="295" t="str">
        <x:v>Địa danh, ngày tháng</x:v>
      </x:c>
      <x:c r="E120" s="295" t="str">
        <x:v>Ngày</x:v>
      </x:c>
      <x:c r="F120" s="295" t="str">
        <x:v>Kiểu viết hoa/thường</x:v>
      </x:c>
      <x:c r="G120" s="295" t="str">
        <x:v>ENUM</x:v>
      </x:c>
      <x:c r="H120" s="295"/>
      <x:c r="I120" s="295" t="str">
        <x:v>Số Ả Rập</x:v>
      </x:c>
      <x:c r="J120" s="295" t="str">
        <x:v>Đúng giá trị/giới hạn riêng</x:v>
      </x:c>
      <x:c r="K120" s="295" t="str">
        <x:v>Theo số/chữ địa danh</x:v>
      </x:c>
      <x:c r="L120" s="295" t="str">
        <x:v>PROFILE_CO_GIA_TRI_CHUA_DUYET</x:v>
      </x:c>
      <x:c r="M120" s="295" t="str">
        <x:v>DOI_CHIEU_CU_THE</x:v>
      </x:c>
      <x:c r="N120" s="295" t="str">
        <x:v>Văn bản có địa danh và thời gian; không tự sinh ngày/địa danh; đối chiếu thời điểm hiệu lực nguồn</x:v>
      </x:c>
      <x:c r="O120" s="295" t="str">
        <x:v>Quy định gốc &gt; profile; khi chưa rõ điều kiện thì giữ nguyên; không sinh nội dung.</x:v>
      </x:c>
      <x:c r="P120" s="295" t="str">
        <x:v>PARAGRAPH / RUN / SHAPE tùy thuộc tính</x:v>
      </x:c>
      <x:c r="Q120" s="295" t="str">
        <x:v>Xác định đúng khối Ngày; đọc giá trị thực; đối chiếu điều kiện; không sửa nội dung khi thiếu nguồn.</x:v>
      </x:c>
      <x:c r="R120" s="295" t="str">
        <x:v>Phụ lục I, Phần I, II.4</x:v>
      </x:c>
      <x:c r="S120" s="295" t="str">
        <x:v>https://datafiles.chinhphu.vn/cpp/files/vbpq/2020/03/30.signed.pdf</x:v>
      </x:c>
      <x:c r="T120" s="295" t="str">
        <x:v>CÓ</x:v>
      </x:c>
      <x:c r="U120" s="295" t="str">
        <x:v>CHECK_ONLY</x:v>
      </x:c>
      <x:c r="V120" s="295" t="str"/>
    </x:row>
    <x:row r="121" ht="28" customHeight="1">
      <x:c r="A121" s="295" t="n">
        <x:v>116</x:v>
      </x:c>
      <x:c r="B121" s="295" t="str">
        <x:v>ND30.D.NG.NGAY.CAN_NGANG</x:v>
      </x:c>
      <x:c r="C121" s="295" t="str">
        <x:v>ND30.D.NG.NGAY</x:v>
      </x:c>
      <x:c r="D121" s="295" t="str">
        <x:v>Địa danh, ngày tháng</x:v>
      </x:c>
      <x:c r="E121" s="295" t="str">
        <x:v>Ngày</x:v>
      </x:c>
      <x:c r="F121" s="295" t="str">
        <x:v>Căn ngang</x:v>
      </x:c>
      <x:c r="G121" s="295" t="str">
        <x:v>ENUM</x:v>
      </x:c>
      <x:c r="H121" s="295"/>
      <x:c r="I121" s="295" t="str">
        <x:v>CENTER</x:v>
      </x:c>
      <x:c r="J121" s="295" t="str">
        <x:v>Đúng giá trị/giới hạn riêng</x:v>
      </x:c>
      <x:c r="K121" s="295" t="str">
        <x:v>CÂN GIỮA TRONG KHỐI PHẢI (không căn phải cứng)</x:v>
      </x:c>
      <x:c r="L121" s="295" t="str">
        <x:v>PROFILE_CO_GIA_TRI_CHUA_DUYET</x:v>
      </x:c>
      <x:c r="M121" s="295" t="str">
        <x:v>DOI_CHIEU_CU_THE</x:v>
      </x:c>
      <x:c r="N121" s="295" t="str">
        <x:v>Văn bản có địa danh và thời gian; không tự sinh ngày/địa danh; đối chiếu thời điểm hiệu lực nguồn</x:v>
      </x:c>
      <x:c r="O121" s="295" t="str">
        <x:v>Quy định gốc &gt; profile; khi chưa rõ điều kiện thì giữ nguyên; không sinh nội dung.</x:v>
      </x:c>
      <x:c r="P121" s="295" t="str">
        <x:v>PARAGRAPH / RUN / SHAPE tùy thuộc tính</x:v>
      </x:c>
      <x:c r="Q121" s="295" t="str">
        <x:v>Xác định đúng khối Ngày; đọc giá trị thực; đối chiếu điều kiện; không sửa nội dung khi thiếu nguồn.</x:v>
      </x:c>
      <x:c r="R121" s="295" t="str">
        <x:v>Phụ lục I, Phần I, II.4</x:v>
      </x:c>
      <x:c r="S121" s="295" t="str">
        <x:v>https://datafiles.chinhphu.vn/cpp/files/vbpq/2020/03/30.signed.pdf</x:v>
      </x:c>
      <x:c r="T121" s="295" t="str">
        <x:v>CÓ</x:v>
      </x:c>
      <x:c r="U121" s="295" t="str">
        <x:v>CHECK_ONLY</x:v>
      </x:c>
      <x:c r="V121" s="295" t="str"/>
    </x:row>
    <x:row r="122" ht="28" customHeight="1">
      <x:c r="A122" s="295" t="n">
        <x:v>117</x:v>
      </x:c>
      <x:c r="B122" s="295" t="str">
        <x:v>ND30.D.NG.NGAY.CACH_SAU</x:v>
      </x:c>
      <x:c r="C122" s="295" t="str">
        <x:v>ND30.D.NG.NGAY</x:v>
      </x:c>
      <x:c r="D122" s="295" t="str">
        <x:v>Địa danh, ngày tháng</x:v>
      </x:c>
      <x:c r="E122" s="295" t="str">
        <x:v>Ngày</x:v>
      </x:c>
      <x:c r="F122" s="295" t="str">
        <x:v>Khoảng cách sau đoạn</x:v>
      </x:c>
      <x:c r="G122" s="295" t="str">
        <x:v>NUMBER</x:v>
      </x:c>
      <x:c r="H122" s="295" t="str">
        <x:v>pt</x:v>
      </x:c>
      <x:c r="I122" s="295" t="str">
        <x:v>CHƯA XÁC MINH RIÊNG</x:v>
      </x:c>
      <x:c r="J122" s="295" t="str">
        <x:v>Không suy ra giới hạn pháp lý</x:v>
      </x:c>
      <x:c r="K122" s="295" t="n">
        <x:v>0</x:v>
      </x:c>
      <x:c r="L122" s="295" t="str">
        <x:v>PROFILE_CHO_RAO_SOAT</x:v>
      </x:c>
      <x:c r="M122" s="295" t="str">
        <x:v>CHUA_DOI_CHIEU_CU_THE</x:v>
      </x:c>
      <x:c r="N122" s="295" t="str">
        <x:v>Văn bản có địa danh và thời gian; không tự sinh ngày/địa danh; đối chiếu thời điểm hiệu lực nguồn</x:v>
      </x:c>
      <x:c r="O122" s="295" t="str">
        <x:v>Quy định gốc &gt; profile; khi chưa rõ điều kiện thì giữ nguyên; không sinh nội dung.</x:v>
      </x:c>
      <x:c r="P122" s="295" t="str">
        <x:v>PARAGRAPH / RUN / SHAPE tùy thuộc tính</x:v>
      </x:c>
      <x:c r="Q122" s="295" t="str">
        <x:v>Xác định đúng khối Ngày; đọc giá trị thực; đối chiếu điều kiện; không sửa nội dung khi thiếu nguồn.</x:v>
      </x:c>
      <x:c r="R122" s="295" t="str">
        <x:v>Chưa có locator xác minh riêng</x:v>
      </x:c>
      <x:c r="S122" s="295" t="str">
        <x:v>https://datafiles.chinhphu.vn/cpp/files/vbpq/2020/03/30.signed.pdf</x:v>
      </x:c>
      <x:c r="T122" s="295" t="str">
        <x:v>CÓ</x:v>
      </x:c>
      <x:c r="U122" s="295" t="str">
        <x:v>CHECK_ONLY</x:v>
      </x:c>
      <x:c r="V122" s="295" t="str">
        <x:v>Không tự chèn đoạn trắng</x:v>
      </x:c>
    </x:row>
    <x:row r="123" ht="28" customHeight="1">
      <x:c r="A123" s="295" t="n">
        <x:v>118</x:v>
      </x:c>
      <x:c r="B123" s="295" t="str">
        <x:v>ND30.D.NG.NGAY.GIAN_DONG</x:v>
      </x:c>
      <x:c r="C123" s="295" t="str">
        <x:v>ND30.D.NG.NGAY</x:v>
      </x:c>
      <x:c r="D123" s="295" t="str">
        <x:v>Địa danh, ngày tháng</x:v>
      </x:c>
      <x:c r="E123" s="295" t="str">
        <x:v>Ngày</x:v>
      </x:c>
      <x:c r="F123" s="295" t="str">
        <x:v>Giãn dòng</x:v>
      </x:c>
      <x:c r="G123" s="295" t="str">
        <x:v>NUMBER</x:v>
      </x:c>
      <x:c r="H123" s="295" t="str">
        <x:v>lines</x:v>
      </x:c>
      <x:c r="I123" s="295" t="str">
        <x:v>CHƯA XÁC MINH RIÊNG</x:v>
      </x:c>
      <x:c r="J123" s="295" t="str">
        <x:v>Không suy ra giới hạn pháp lý</x:v>
      </x:c>
      <x:c r="K123" s="295" t="str">
        <x:v>SINGLE</x:v>
      </x:c>
      <x:c r="L123" s="295" t="str">
        <x:v>PROFILE_CHO_RAO_SOAT</x:v>
      </x:c>
      <x:c r="M123" s="295" t="str">
        <x:v>CHUA_DOI_CHIEU_CU_THE</x:v>
      </x:c>
      <x:c r="N123" s="295" t="str">
        <x:v>Văn bản có địa danh và thời gian; không tự sinh ngày/địa danh; đối chiếu thời điểm hiệu lực nguồn</x:v>
      </x:c>
      <x:c r="O123" s="295" t="str">
        <x:v>Quy định gốc &gt; profile; khi chưa rõ điều kiện thì giữ nguyên; không sinh nội dung.</x:v>
      </x:c>
      <x:c r="P123" s="295" t="str">
        <x:v>PARAGRAPH / RUN / SHAPE tùy thuộc tính</x:v>
      </x:c>
      <x:c r="Q123" s="295" t="str">
        <x:v>Xác định đúng khối Ngày; đọc giá trị thực; đối chiếu điều kiện; không sửa nội dung khi thiếu nguồn.</x:v>
      </x:c>
      <x:c r="R123" s="295" t="str">
        <x:v>Chưa có locator xác minh riêng</x:v>
      </x:c>
      <x:c r="S123" s="295" t="str">
        <x:v>https://datafiles.chinhphu.vn/cpp/files/vbpq/2020/03/30.signed.pdf</x:v>
      </x:c>
      <x:c r="T123" s="295" t="str">
        <x:v>CÓ</x:v>
      </x:c>
      <x:c r="U123" s="295" t="str">
        <x:v>CHECK_ONLY</x:v>
      </x:c>
      <x:c r="V123" s="295" t="str">
        <x:v>Giãn dòng phần đầu không được tự đồng nhất với thân bài.</x:v>
      </x:c>
    </x:row>
    <x:row r="124" ht="28" customHeight="1">
      <x:c r="A124" s="295" t="n">
        <x:v>119</x:v>
      </x:c>
      <x:c r="B124" s="295" t="str">
        <x:v>ND30.D.NG.NGAY.BAO_VE_NOI_DUNG</x:v>
      </x:c>
      <x:c r="C124" s="295" t="str">
        <x:v>ND30.D.NG.NGAY</x:v>
      </x:c>
      <x:c r="D124" s="295" t="str">
        <x:v>Địa danh, ngày tháng</x:v>
      </x:c>
      <x:c r="E124" s="295" t="str">
        <x:v>Ngày</x:v>
      </x:c>
      <x:c r="F124" s="295" t="str">
        <x:v>Không tự suy diễn nội dung</x:v>
      </x:c>
      <x:c r="G124" s="295" t="str">
        <x:v>BOOLEAN</x:v>
      </x:c>
      <x:c r="H124" s="295"/>
      <x:c r="I124" s="295" t="str">
        <x:v>CHƯA XÁC MINH RIÊNG</x:v>
      </x:c>
      <x:c r="J124" s="295" t="str">
        <x:v>Không suy ra giới hạn pháp lý</x:v>
      </x:c>
      <x:c r="K124" s="296" t="b">
        <x:v>1</x:v>
      </x:c>
      <x:c r="L124" s="295" t="str">
        <x:v>NOI_DUNG_BAO_VE</x:v>
      </x:c>
      <x:c r="M124" s="295" t="str">
        <x:v>CHUA_DOI_CHIEU_CU_THE</x:v>
      </x:c>
      <x:c r="N124" s="295" t="str">
        <x:v>Văn bản có địa danh và thời gian; không tự sinh ngày/địa danh; đối chiếu thời điểm hiệu lực nguồn</x:v>
      </x:c>
      <x:c r="O124" s="295" t="str">
        <x:v>Quy định gốc &gt; profile; khi chưa rõ điều kiện thì giữ nguyên; không sinh nội dung.</x:v>
      </x:c>
      <x:c r="P124" s="295" t="str">
        <x:v>PARAGRAPH / RUN / SHAPE tùy thuộc tính</x:v>
      </x:c>
      <x:c r="Q124" s="295" t="str">
        <x:v>Xác định đúng khối Ngày; đọc giá trị thực; đối chiếu điều kiện; không sửa nội dung khi thiếu nguồn.</x:v>
      </x:c>
      <x:c r="R124" s="295" t="str">
        <x:v>Chưa có locator xác minh riêng</x:v>
      </x:c>
      <x:c r="S124" s="295" t="str">
        <x:v>https://datafiles.chinhphu.vn/cpp/files/vbpq/2020/03/30.signed.pdf</x:v>
      </x:c>
      <x:c r="T124" s="295" t="str">
        <x:v>CÓ</x:v>
      </x:c>
      <x:c r="U124" s="295" t="str">
        <x:v>CHECK_ONLY</x:v>
      </x:c>
      <x:c r="V124" s="295" t="str">
        <x:v>Chỉ chuẩn hóa hình thức sau khi xác nhận chính xác nội dung, không tự điền số/ngày/người nhận.</x:v>
      </x:c>
    </x:row>
    <x:row r="125" ht="28" customHeight="1">
      <x:c r="A125" s="295" t="n">
        <x:v>120</x:v>
      </x:c>
      <x:c r="B125" s="295" t="str">
        <x:v>ND30.D.NG.NGAY.SO_0</x:v>
      </x:c>
      <x:c r="C125" s="295" t="str">
        <x:v>ND30.D.NG.NGAY</x:v>
      </x:c>
      <x:c r="D125" s="295" t="str">
        <x:v>Địa danh, ngày tháng</x:v>
      </x:c>
      <x:c r="E125" s="295" t="str">
        <x:v>Ngày</x:v>
      </x:c>
      <x:c r="F125" s="295" t="str">
        <x:v>Thêm số 0 nếu ngày &lt; 10</x:v>
      </x:c>
      <x:c r="G125" s="295" t="str">
        <x:v>TEXT</x:v>
      </x:c>
      <x:c r="H125" s="295"/>
      <x:c r="I125" s="295" t="str">
        <x:v>Có</x:v>
      </x:c>
      <x:c r="J125" s="295" t="str">
        <x:v>Đúng giá trị/giới hạn riêng</x:v>
      </x:c>
      <x:c r="K125" s="295" t="str">
        <x:v>Giữ ngày đã xác minh</x:v>
      </x:c>
      <x:c r="L125" s="295" t="str">
        <x:v>PROFILE_THEO_NGUON</x:v>
      </x:c>
      <x:c r="M125" s="295" t="str">
        <x:v>DOI_CHIEU_CU_THE</x:v>
      </x:c>
      <x:c r="N125" s="295" t="str">
        <x:v>Văn bản có địa danh và thời gian; không tự sinh ngày/địa danh; đối chiếu thời điểm hiệu lực nguồn</x:v>
      </x:c>
      <x:c r="O125" s="295" t="str">
        <x:v>Quy định gốc &gt; profile; khi chưa rõ điều kiện thì giữ nguyên; không sinh nội dung.</x:v>
      </x:c>
      <x:c r="P125" s="295" t="str">
        <x:v>PARAGRAPH / RUN / SHAPE tùy thuộc tính</x:v>
      </x:c>
      <x:c r="Q125" s="295" t="str">
        <x:v>Xác định đúng khối Ngày; đọc giá trị thực; đối chiếu điều kiện; không sửa nội dung khi thiếu nguồn.</x:v>
      </x:c>
      <x:c r="R125" s="295" t="str">
        <x:v>Phụ lục I, Phần I, II.4.b</x:v>
      </x:c>
      <x:c r="S125" s="295" t="str">
        <x:v>https://datafiles.chinhphu.vn/cpp/files/vbpq/2020/03/30.signed.pdf</x:v>
      </x:c>
      <x:c r="T125" s="295" t="str">
        <x:v>CÓ</x:v>
      </x:c>
      <x:c r="U125" s="295" t="str">
        <x:v>CHECK_ONLY</x:v>
      </x:c>
      <x:c r="V125" s="295" t="str">
        <x:v>Mã rule con chỉ phục vụ AI đọc; không tự tạo thao tác OOXML.</x:v>
      </x:c>
    </x:row>
    <x:row r="126" ht="28" customHeight="1">
      <x:c r="A126" s="295" t="n">
        <x:v>121</x:v>
      </x:c>
      <x:c r="B126" s="295" t="str">
        <x:v>ND30.D.NG.THANG.HIEN_DIEN</x:v>
      </x:c>
      <x:c r="C126" s="295" t="str">
        <x:v>ND30.D.NG.THANG</x:v>
      </x:c>
      <x:c r="D126" s="295" t="str">
        <x:v>Địa danh, ngày tháng</x:v>
      </x:c>
      <x:c r="E126" s="295" t="str">
        <x:v>Tháng</x:v>
      </x:c>
      <x:c r="F126" s="295" t="str">
        <x:v>Điều kiện hiện diện</x:v>
      </x:c>
      <x:c r="G126" s="295" t="str">
        <x:v>TEXT</x:v>
      </x:c>
      <x:c r="H126" s="295"/>
      <x:c r="I126" s="295" t="str">
        <x:v>CHƯA XÁC MINH RIÊNG</x:v>
      </x:c>
      <x:c r="J126" s="295" t="str">
        <x:v>Không suy ra giới hạn pháp lý</x:v>
      </x:c>
      <x:c r="K126" s="295" t="str">
        <x:v>Văn bản có địa danh và thời gian; không tự sinh ngày/địa danh; đối chiếu thời điểm hiệu lực nguồn</x:v>
      </x:c>
      <x:c r="L126" s="295" t="str">
        <x:v>CHUA_DUYET_DINH_TUYEN</x:v>
      </x:c>
      <x:c r="M126" s="295" t="str">
        <x:v>CHUA_DOI_CHIEU_CU_THE</x:v>
      </x:c>
      <x:c r="N126" s="295" t="str">
        <x:v>Văn bản có địa danh và thời gian; không tự sinh ngày/địa danh; đối chiếu thời điểm hiệu lực nguồn</x:v>
      </x:c>
      <x:c r="O126" s="295" t="str">
        <x:v>Quy định gốc &gt; profile; khi chưa rõ điều kiện thì giữ nguyên; không sinh nội dung.</x:v>
      </x:c>
      <x:c r="P126" s="295" t="str">
        <x:v>PARAGRAPH / RUN / SHAPE tùy thuộc tính</x:v>
      </x:c>
      <x:c r="Q126" s="295" t="str">
        <x:v>Xác định đúng khối Tháng; đọc giá trị thực; đối chiếu điều kiện; không sửa nội dung khi thiếu nguồn.</x:v>
      </x:c>
      <x:c r="R126" s="295" t="str">
        <x:v>Chưa có locator xác minh riêng</x:v>
      </x:c>
      <x:c r="S126" s="295" t="str">
        <x:v>https://datafiles.chinhphu.vn/cpp/files/vbpq/2020/03/30.signed.pdf</x:v>
      </x:c>
      <x:c r="T126" s="295" t="str">
        <x:v>CÓ</x:v>
      </x:c>
      <x:c r="U126" s="295" t="str">
        <x:v>CHECK_ONLY</x:v>
      </x:c>
      <x:c r="V126" s="295" t="str">
        <x:v>Phải nhận diện chế độ và chủ thể trước khi áp dụng</x:v>
      </x:c>
    </x:row>
    <x:row r="127" ht="28" customHeight="1">
      <x:c r="A127" s="295" t="n">
        <x:v>122</x:v>
      </x:c>
      <x:c r="B127" s="295" t="str">
        <x:v>ND30.D.NG.THANG.PHONG_CHU</x:v>
      </x:c>
      <x:c r="C127" s="295" t="str">
        <x:v>ND30.D.NG.THANG</x:v>
      </x:c>
      <x:c r="D127" s="295" t="str">
        <x:v>Địa danh, ngày tháng</x:v>
      </x:c>
      <x:c r="E127" s="295" t="str">
        <x:v>Tháng</x:v>
      </x:c>
      <x:c r="F127" s="295" t="str">
        <x:v>Font chữ</x:v>
      </x:c>
      <x:c r="G127" s="295" t="str">
        <x:v>STRING</x:v>
      </x:c>
      <x:c r="H127" s="295"/>
      <x:c r="I127" s="295" t="str">
        <x:v>Times New Roman</x:v>
      </x:c>
      <x:c r="J127" s="295" t="str">
        <x:v>Đúng giá trị/giới hạn riêng</x:v>
      </x:c>
      <x:c r="K127" s="295" t="str">
        <x:v>Times New Roman</x:v>
      </x:c>
      <x:c r="L127" s="295" t="str">
        <x:v>PROFILE_CO_GIA_TRI_CHUA_DUYET</x:v>
      </x:c>
      <x:c r="M127" s="295" t="str">
        <x:v>DOI_CHIEU_CU_THE</x:v>
      </x:c>
      <x:c r="N127" s="295" t="str">
        <x:v>Văn bản có địa danh và thời gian; không tự sinh ngày/địa danh; đối chiếu thời điểm hiệu lực nguồn</x:v>
      </x:c>
      <x:c r="O127" s="295" t="str">
        <x:v>Quy định gốc &gt; profile; khi chưa rõ điều kiện thì giữ nguyên; không sinh nội dung.</x:v>
      </x:c>
      <x:c r="P127" s="295" t="str">
        <x:v>PARAGRAPH / RUN / SHAPE tùy thuộc tính</x:v>
      </x:c>
      <x:c r="Q127" s="295" t="str">
        <x:v>Xác định đúng khối Tháng; đọc giá trị thực; đối chiếu điều kiện; không sửa nội dung khi thiếu nguồn.</x:v>
      </x:c>
      <x:c r="R127" s="295" t="str">
        <x:v>Phụ lục I, Phần I, I.4</x:v>
      </x:c>
      <x:c r="S127" s="295" t="str">
        <x:v>https://datafiles.chinhphu.vn/cpp/files/vbpq/2020/03/30.signed.pdf</x:v>
      </x:c>
      <x:c r="T127" s="295" t="str">
        <x:v>CÓ</x:v>
      </x:c>
      <x:c r="U127" s="295" t="str">
        <x:v>CHECK_ONLY</x:v>
      </x:c>
      <x:c r="V127" s="295" t="str"/>
    </x:row>
    <x:row r="128" ht="28" customHeight="1">
      <x:c r="A128" s="295" t="n">
        <x:v>123</x:v>
      </x:c>
      <x:c r="B128" s="295" t="str">
        <x:v>ND30.D.NG.THANG.CO_CHU</x:v>
      </x:c>
      <x:c r="C128" s="295" t="str">
        <x:v>ND30.D.NG.THANG</x:v>
      </x:c>
      <x:c r="D128" s="295" t="str">
        <x:v>Địa danh, ngày tháng</x:v>
      </x:c>
      <x:c r="E128" s="295" t="str">
        <x:v>Tháng</x:v>
      </x:c>
      <x:c r="F128" s="295" t="str">
        <x:v>Cỡ chữ</x:v>
      </x:c>
      <x:c r="G128" s="295" t="str">
        <x:v>NUMBER_OR_RANGE</x:v>
      </x:c>
      <x:c r="H128" s="295" t="str">
        <x:v>pt</x:v>
      </x:c>
      <x:c r="I128" s="295" t="str">
        <x:v>13–14</x:v>
      </x:c>
      <x:c r="J128" s="295" t="str">
        <x:v>Đúng giá trị/giới hạn riêng</x:v>
      </x:c>
      <x:c r="K128" s="295" t="n">
        <x:v>13</x:v>
      </x:c>
      <x:c r="L128" s="295" t="str">
        <x:v>PROFILE_CO_GIA_TRI_CHUA_DUYET</x:v>
      </x:c>
      <x:c r="M128" s="295" t="str">
        <x:v>DOI_CHIEU_CU_THE</x:v>
      </x:c>
      <x:c r="N128" s="295" t="str">
        <x:v>Văn bản có địa danh và thời gian; không tự sinh ngày/địa danh; đối chiếu thời điểm hiệu lực nguồn</x:v>
      </x:c>
      <x:c r="O128" s="295" t="str">
        <x:v>Quy định gốc &gt; profile; khi chưa rõ điều kiện thì giữ nguyên; không sinh nội dung.</x:v>
      </x:c>
      <x:c r="P128" s="295" t="str">
        <x:v>PARAGRAPH / RUN / SHAPE tùy thuộc tính</x:v>
      </x:c>
      <x:c r="Q128" s="295" t="str">
        <x:v>Xác định đúng khối Tháng; đọc giá trị thực; đối chiếu điều kiện; không sửa nội dung khi thiếu nguồn.</x:v>
      </x:c>
      <x:c r="R128" s="295" t="str">
        <x:v>Phụ lục I, Phần I, II.4</x:v>
      </x:c>
      <x:c r="S128" s="295" t="str">
        <x:v>https://datafiles.chinhphu.vn/cpp/files/vbpq/2020/03/30.signed.pdf</x:v>
      </x:c>
      <x:c r="T128" s="295" t="str">
        <x:v>CÓ</x:v>
      </x:c>
      <x:c r="U128" s="295" t="str">
        <x:v>CHECK_ONLY</x:v>
      </x:c>
      <x:c r="V128" s="295" t="str"/>
    </x:row>
    <x:row r="129" ht="28" customHeight="1">
      <x:c r="A129" s="295" t="n">
        <x:v>124</x:v>
      </x:c>
      <x:c r="B129" s="295" t="str">
        <x:v>ND30.D.NG.THANG.DAM</x:v>
      </x:c>
      <x:c r="C129" s="295" t="str">
        <x:v>ND30.D.NG.THANG</x:v>
      </x:c>
      <x:c r="D129" s="295" t="str">
        <x:v>Địa danh, ngày tháng</x:v>
      </x:c>
      <x:c r="E129" s="295" t="str">
        <x:v>Tháng</x:v>
      </x:c>
      <x:c r="F129" s="295" t="str">
        <x:v>In đậm</x:v>
      </x:c>
      <x:c r="G129" s="295" t="str">
        <x:v>BOOLEAN</x:v>
      </x:c>
      <x:c r="H129" s="295"/>
      <x:c r="I129" s="296" t="b">
        <x:v>0</x:v>
      </x:c>
      <x:c r="J129" s="295" t="str">
        <x:v>Đúng giá trị/giới hạn riêng</x:v>
      </x:c>
      <x:c r="K129" s="296" t="b">
        <x:v>0</x:v>
      </x:c>
      <x:c r="L129" s="295" t="str">
        <x:v>PROFILE_CO_GIA_TRI_CHUA_DUYET</x:v>
      </x:c>
      <x:c r="M129" s="295" t="str">
        <x:v>DOI_CHIEU_CU_THE</x:v>
      </x:c>
      <x:c r="N129" s="295" t="str">
        <x:v>Văn bản có địa danh và thời gian; không tự sinh ngày/địa danh; đối chiếu thời điểm hiệu lực nguồn</x:v>
      </x:c>
      <x:c r="O129" s="295" t="str">
        <x:v>Quy định gốc &gt; profile; khi chưa rõ điều kiện thì giữ nguyên; không sinh nội dung.</x:v>
      </x:c>
      <x:c r="P129" s="295" t="str">
        <x:v>PARAGRAPH / RUN / SHAPE tùy thuộc tính</x:v>
      </x:c>
      <x:c r="Q129" s="295" t="str">
        <x:v>Xác định đúng khối Tháng; đọc giá trị thực; đối chiếu điều kiện; không sửa nội dung khi thiếu nguồn.</x:v>
      </x:c>
      <x:c r="R129" s="295" t="str">
        <x:v>Phụ lục I, Phần I, II.4</x:v>
      </x:c>
      <x:c r="S129" s="295" t="str">
        <x:v>https://datafiles.chinhphu.vn/cpp/files/vbpq/2020/03/30.signed.pdf</x:v>
      </x:c>
      <x:c r="T129" s="295" t="str">
        <x:v>CÓ</x:v>
      </x:c>
      <x:c r="U129" s="295" t="str">
        <x:v>CHECK_ONLY</x:v>
      </x:c>
      <x:c r="V129" s="295" t="str"/>
    </x:row>
    <x:row r="130" ht="28" customHeight="1">
      <x:c r="A130" s="295" t="n">
        <x:v>125</x:v>
      </x:c>
      <x:c r="B130" s="295" t="str">
        <x:v>ND30.D.NG.THANG.NGHIENG</x:v>
      </x:c>
      <x:c r="C130" s="295" t="str">
        <x:v>ND30.D.NG.THANG</x:v>
      </x:c>
      <x:c r="D130" s="295" t="str">
        <x:v>Địa danh, ngày tháng</x:v>
      </x:c>
      <x:c r="E130" s="295" t="str">
        <x:v>Tháng</x:v>
      </x:c>
      <x:c r="F130" s="295" t="str">
        <x:v>In nghiêng</x:v>
      </x:c>
      <x:c r="G130" s="295" t="str">
        <x:v>BOOLEAN</x:v>
      </x:c>
      <x:c r="H130" s="295"/>
      <x:c r="I130" s="296" t="b">
        <x:v>1</x:v>
      </x:c>
      <x:c r="J130" s="295" t="str">
        <x:v>Đúng giá trị/giới hạn riêng</x:v>
      </x:c>
      <x:c r="K130" s="296" t="b">
        <x:v>1</x:v>
      </x:c>
      <x:c r="L130" s="295" t="str">
        <x:v>PROFILE_CO_GIA_TRI_CHUA_DUYET</x:v>
      </x:c>
      <x:c r="M130" s="295" t="str">
        <x:v>DOI_CHIEU_CU_THE</x:v>
      </x:c>
      <x:c r="N130" s="295" t="str">
        <x:v>Văn bản có địa danh và thời gian; không tự sinh ngày/địa danh; đối chiếu thời điểm hiệu lực nguồn</x:v>
      </x:c>
      <x:c r="O130" s="295" t="str">
        <x:v>Quy định gốc &gt; profile; khi chưa rõ điều kiện thì giữ nguyên; không sinh nội dung.</x:v>
      </x:c>
      <x:c r="P130" s="295" t="str">
        <x:v>PARAGRAPH / RUN / SHAPE tùy thuộc tính</x:v>
      </x:c>
      <x:c r="Q130" s="295" t="str">
        <x:v>Xác định đúng khối Tháng; đọc giá trị thực; đối chiếu điều kiện; không sửa nội dung khi thiếu nguồn.</x:v>
      </x:c>
      <x:c r="R130" s="295" t="str">
        <x:v>Phụ lục I, Phần I, II.4</x:v>
      </x:c>
      <x:c r="S130" s="295" t="str">
        <x:v>https://datafiles.chinhphu.vn/cpp/files/vbpq/2020/03/30.signed.pdf</x:v>
      </x:c>
      <x:c r="T130" s="295" t="str">
        <x:v>CÓ</x:v>
      </x:c>
      <x:c r="U130" s="295" t="str">
        <x:v>CHECK_ONLY</x:v>
      </x:c>
      <x:c r="V130" s="295" t="str"/>
    </x:row>
    <x:row r="131" ht="28" customHeight="1">
      <x:c r="A131" s="295" t="n">
        <x:v>126</x:v>
      </x:c>
      <x:c r="B131" s="295" t="str">
        <x:v>ND30.D.NG.THANG.KIEU_CHU</x:v>
      </x:c>
      <x:c r="C131" s="295" t="str">
        <x:v>ND30.D.NG.THANG</x:v>
      </x:c>
      <x:c r="D131" s="295" t="str">
        <x:v>Địa danh, ngày tháng</x:v>
      </x:c>
      <x:c r="E131" s="295" t="str">
        <x:v>Tháng</x:v>
      </x:c>
      <x:c r="F131" s="295" t="str">
        <x:v>Kiểu viết hoa/thường</x:v>
      </x:c>
      <x:c r="G131" s="295" t="str">
        <x:v>ENUM</x:v>
      </x:c>
      <x:c r="H131" s="295"/>
      <x:c r="I131" s="295" t="str">
        <x:v>Số Ả Rập</x:v>
      </x:c>
      <x:c r="J131" s="295" t="str">
        <x:v>Đúng giá trị/giới hạn riêng</x:v>
      </x:c>
      <x:c r="K131" s="295" t="str">
        <x:v>Theo số/chữ địa danh</x:v>
      </x:c>
      <x:c r="L131" s="295" t="str">
        <x:v>PROFILE_CO_GIA_TRI_CHUA_DUYET</x:v>
      </x:c>
      <x:c r="M131" s="295" t="str">
        <x:v>DOI_CHIEU_CU_THE</x:v>
      </x:c>
      <x:c r="N131" s="295" t="str">
        <x:v>Văn bản có địa danh và thời gian; không tự sinh ngày/địa danh; đối chiếu thời điểm hiệu lực nguồn</x:v>
      </x:c>
      <x:c r="O131" s="295" t="str">
        <x:v>Quy định gốc &gt; profile; khi chưa rõ điều kiện thì giữ nguyên; không sinh nội dung.</x:v>
      </x:c>
      <x:c r="P131" s="295" t="str">
        <x:v>PARAGRAPH / RUN / SHAPE tùy thuộc tính</x:v>
      </x:c>
      <x:c r="Q131" s="295" t="str">
        <x:v>Xác định đúng khối Tháng; đọc giá trị thực; đối chiếu điều kiện; không sửa nội dung khi thiếu nguồn.</x:v>
      </x:c>
      <x:c r="R131" s="295" t="str">
        <x:v>Phụ lục I, Phần I, II.4</x:v>
      </x:c>
      <x:c r="S131" s="295" t="str">
        <x:v>https://datafiles.chinhphu.vn/cpp/files/vbpq/2020/03/30.signed.pdf</x:v>
      </x:c>
      <x:c r="T131" s="295" t="str">
        <x:v>CÓ</x:v>
      </x:c>
      <x:c r="U131" s="295" t="str">
        <x:v>CHECK_ONLY</x:v>
      </x:c>
      <x:c r="V131" s="295" t="str"/>
    </x:row>
    <x:row r="132" ht="28" customHeight="1">
      <x:c r="A132" s="295" t="n">
        <x:v>127</x:v>
      </x:c>
      <x:c r="B132" s="295" t="str">
        <x:v>ND30.D.NG.THANG.CAN_NGANG</x:v>
      </x:c>
      <x:c r="C132" s="295" t="str">
        <x:v>ND30.D.NG.THANG</x:v>
      </x:c>
      <x:c r="D132" s="295" t="str">
        <x:v>Địa danh, ngày tháng</x:v>
      </x:c>
      <x:c r="E132" s="295" t="str">
        <x:v>Tháng</x:v>
      </x:c>
      <x:c r="F132" s="295" t="str">
        <x:v>Căn ngang</x:v>
      </x:c>
      <x:c r="G132" s="295" t="str">
        <x:v>ENUM</x:v>
      </x:c>
      <x:c r="H132" s="295"/>
      <x:c r="I132" s="295" t="str">
        <x:v>CENTER</x:v>
      </x:c>
      <x:c r="J132" s="295" t="str">
        <x:v>Đúng giá trị/giới hạn riêng</x:v>
      </x:c>
      <x:c r="K132" s="295" t="str">
        <x:v>CÂN GIỮA TRONG KHỐI PHẢI (không căn phải cứng)</x:v>
      </x:c>
      <x:c r="L132" s="295" t="str">
        <x:v>PROFILE_CO_GIA_TRI_CHUA_DUYET</x:v>
      </x:c>
      <x:c r="M132" s="295" t="str">
        <x:v>DOI_CHIEU_CU_THE</x:v>
      </x:c>
      <x:c r="N132" s="295" t="str">
        <x:v>Văn bản có địa danh và thời gian; không tự sinh ngày/địa danh; đối chiếu thời điểm hiệu lực nguồn</x:v>
      </x:c>
      <x:c r="O132" s="295" t="str">
        <x:v>Quy định gốc &gt; profile; khi chưa rõ điều kiện thì giữ nguyên; không sinh nội dung.</x:v>
      </x:c>
      <x:c r="P132" s="295" t="str">
        <x:v>PARAGRAPH / RUN / SHAPE tùy thuộc tính</x:v>
      </x:c>
      <x:c r="Q132" s="295" t="str">
        <x:v>Xác định đúng khối Tháng; đọc giá trị thực; đối chiếu điều kiện; không sửa nội dung khi thiếu nguồn.</x:v>
      </x:c>
      <x:c r="R132" s="295" t="str">
        <x:v>Phụ lục I, Phần I, II.4</x:v>
      </x:c>
      <x:c r="S132" s="295" t="str">
        <x:v>https://datafiles.chinhphu.vn/cpp/files/vbpq/2020/03/30.signed.pdf</x:v>
      </x:c>
      <x:c r="T132" s="295" t="str">
        <x:v>CÓ</x:v>
      </x:c>
      <x:c r="U132" s="295" t="str">
        <x:v>CHECK_ONLY</x:v>
      </x:c>
      <x:c r="V132" s="295" t="str"/>
    </x:row>
    <x:row r="133" ht="28" customHeight="1">
      <x:c r="A133" s="295" t="n">
        <x:v>128</x:v>
      </x:c>
      <x:c r="B133" s="295" t="str">
        <x:v>ND30.D.NG.THANG.CACH_SAU</x:v>
      </x:c>
      <x:c r="C133" s="295" t="str">
        <x:v>ND30.D.NG.THANG</x:v>
      </x:c>
      <x:c r="D133" s="295" t="str">
        <x:v>Địa danh, ngày tháng</x:v>
      </x:c>
      <x:c r="E133" s="295" t="str">
        <x:v>Tháng</x:v>
      </x:c>
      <x:c r="F133" s="295" t="str">
        <x:v>Khoảng cách sau đoạn</x:v>
      </x:c>
      <x:c r="G133" s="295" t="str">
        <x:v>NUMBER</x:v>
      </x:c>
      <x:c r="H133" s="295" t="str">
        <x:v>pt</x:v>
      </x:c>
      <x:c r="I133" s="295" t="str">
        <x:v>CHƯA XÁC MINH RIÊNG</x:v>
      </x:c>
      <x:c r="J133" s="295" t="str">
        <x:v>Không suy ra giới hạn pháp lý</x:v>
      </x:c>
      <x:c r="K133" s="295" t="n">
        <x:v>0</x:v>
      </x:c>
      <x:c r="L133" s="295" t="str">
        <x:v>PROFILE_CHO_RAO_SOAT</x:v>
      </x:c>
      <x:c r="M133" s="295" t="str">
        <x:v>CHUA_DOI_CHIEU_CU_THE</x:v>
      </x:c>
      <x:c r="N133" s="295" t="str">
        <x:v>Văn bản có địa danh và thời gian; không tự sinh ngày/địa danh; đối chiếu thời điểm hiệu lực nguồn</x:v>
      </x:c>
      <x:c r="O133" s="295" t="str">
        <x:v>Quy định gốc &gt; profile; khi chưa rõ điều kiện thì giữ nguyên; không sinh nội dung.</x:v>
      </x:c>
      <x:c r="P133" s="295" t="str">
        <x:v>PARAGRAPH / RUN / SHAPE tùy thuộc tính</x:v>
      </x:c>
      <x:c r="Q133" s="295" t="str">
        <x:v>Xác định đúng khối Tháng; đọc giá trị thực; đối chiếu điều kiện; không sửa nội dung khi thiếu nguồn.</x:v>
      </x:c>
      <x:c r="R133" s="295" t="str">
        <x:v>Chưa có locator xác minh riêng</x:v>
      </x:c>
      <x:c r="S133" s="295" t="str">
        <x:v>https://datafiles.chinhphu.vn/cpp/files/vbpq/2020/03/30.signed.pdf</x:v>
      </x:c>
      <x:c r="T133" s="295" t="str">
        <x:v>CÓ</x:v>
      </x:c>
      <x:c r="U133" s="295" t="str">
        <x:v>CHECK_ONLY</x:v>
      </x:c>
      <x:c r="V133" s="295" t="str">
        <x:v>Không tự chèn đoạn trắng</x:v>
      </x:c>
    </x:row>
    <x:row r="134" ht="28" customHeight="1">
      <x:c r="A134" s="295" t="n">
        <x:v>129</x:v>
      </x:c>
      <x:c r="B134" s="295" t="str">
        <x:v>ND30.D.NG.THANG.GIAN_DONG</x:v>
      </x:c>
      <x:c r="C134" s="295" t="str">
        <x:v>ND30.D.NG.THANG</x:v>
      </x:c>
      <x:c r="D134" s="295" t="str">
        <x:v>Địa danh, ngày tháng</x:v>
      </x:c>
      <x:c r="E134" s="295" t="str">
        <x:v>Tháng</x:v>
      </x:c>
      <x:c r="F134" s="295" t="str">
        <x:v>Giãn dòng</x:v>
      </x:c>
      <x:c r="G134" s="295" t="str">
        <x:v>NUMBER</x:v>
      </x:c>
      <x:c r="H134" s="295" t="str">
        <x:v>lines</x:v>
      </x:c>
      <x:c r="I134" s="295" t="str">
        <x:v>CHƯA XÁC MINH RIÊNG</x:v>
      </x:c>
      <x:c r="J134" s="295" t="str">
        <x:v>Không suy ra giới hạn pháp lý</x:v>
      </x:c>
      <x:c r="K134" s="295" t="str">
        <x:v>SINGLE</x:v>
      </x:c>
      <x:c r="L134" s="295" t="str">
        <x:v>PROFILE_CHO_RAO_SOAT</x:v>
      </x:c>
      <x:c r="M134" s="295" t="str">
        <x:v>CHUA_DOI_CHIEU_CU_THE</x:v>
      </x:c>
      <x:c r="N134" s="295" t="str">
        <x:v>Văn bản có địa danh và thời gian; không tự sinh ngày/địa danh; đối chiếu thời điểm hiệu lực nguồn</x:v>
      </x:c>
      <x:c r="O134" s="295" t="str">
        <x:v>Quy định gốc &gt; profile; khi chưa rõ điều kiện thì giữ nguyên; không sinh nội dung.</x:v>
      </x:c>
      <x:c r="P134" s="295" t="str">
        <x:v>PARAGRAPH / RUN / SHAPE tùy thuộc tính</x:v>
      </x:c>
      <x:c r="Q134" s="295" t="str">
        <x:v>Xác định đúng khối Tháng; đọc giá trị thực; đối chiếu điều kiện; không sửa nội dung khi thiếu nguồn.</x:v>
      </x:c>
      <x:c r="R134" s="295" t="str">
        <x:v>Chưa có locator xác minh riêng</x:v>
      </x:c>
      <x:c r="S134" s="295" t="str">
        <x:v>https://datafiles.chinhphu.vn/cpp/files/vbpq/2020/03/30.signed.pdf</x:v>
      </x:c>
      <x:c r="T134" s="295" t="str">
        <x:v>CÓ</x:v>
      </x:c>
      <x:c r="U134" s="295" t="str">
        <x:v>CHECK_ONLY</x:v>
      </x:c>
      <x:c r="V134" s="295" t="str">
        <x:v>Giãn dòng phần đầu không được tự đồng nhất với thân bài.</x:v>
      </x:c>
    </x:row>
    <x:row r="135" ht="28" customHeight="1">
      <x:c r="A135" s="295" t="n">
        <x:v>130</x:v>
      </x:c>
      <x:c r="B135" s="295" t="str">
        <x:v>ND30.D.NG.THANG.BAO_VE_NOI_DUNG</x:v>
      </x:c>
      <x:c r="C135" s="295" t="str">
        <x:v>ND30.D.NG.THANG</x:v>
      </x:c>
      <x:c r="D135" s="295" t="str">
        <x:v>Địa danh, ngày tháng</x:v>
      </x:c>
      <x:c r="E135" s="295" t="str">
        <x:v>Tháng</x:v>
      </x:c>
      <x:c r="F135" s="295" t="str">
        <x:v>Không tự suy diễn nội dung</x:v>
      </x:c>
      <x:c r="G135" s="295" t="str">
        <x:v>BOOLEAN</x:v>
      </x:c>
      <x:c r="H135" s="295"/>
      <x:c r="I135" s="295" t="str">
        <x:v>CHƯA XÁC MINH RIÊNG</x:v>
      </x:c>
      <x:c r="J135" s="295" t="str">
        <x:v>Không suy ra giới hạn pháp lý</x:v>
      </x:c>
      <x:c r="K135" s="296" t="b">
        <x:v>1</x:v>
      </x:c>
      <x:c r="L135" s="295" t="str">
        <x:v>NOI_DUNG_BAO_VE</x:v>
      </x:c>
      <x:c r="M135" s="295" t="str">
        <x:v>CHUA_DOI_CHIEU_CU_THE</x:v>
      </x:c>
      <x:c r="N135" s="295" t="str">
        <x:v>Văn bản có địa danh và thời gian; không tự sinh ngày/địa danh; đối chiếu thời điểm hiệu lực nguồn</x:v>
      </x:c>
      <x:c r="O135" s="295" t="str">
        <x:v>Quy định gốc &gt; profile; khi chưa rõ điều kiện thì giữ nguyên; không sinh nội dung.</x:v>
      </x:c>
      <x:c r="P135" s="295" t="str">
        <x:v>PARAGRAPH / RUN / SHAPE tùy thuộc tính</x:v>
      </x:c>
      <x:c r="Q135" s="295" t="str">
        <x:v>Xác định đúng khối Tháng; đọc giá trị thực; đối chiếu điều kiện; không sửa nội dung khi thiếu nguồn.</x:v>
      </x:c>
      <x:c r="R135" s="295" t="str">
        <x:v>Chưa có locator xác minh riêng</x:v>
      </x:c>
      <x:c r="S135" s="295" t="str">
        <x:v>https://datafiles.chinhphu.vn/cpp/files/vbpq/2020/03/30.signed.pdf</x:v>
      </x:c>
      <x:c r="T135" s="295" t="str">
        <x:v>CÓ</x:v>
      </x:c>
      <x:c r="U135" s="295" t="str">
        <x:v>CHECK_ONLY</x:v>
      </x:c>
      <x:c r="V135" s="295" t="str">
        <x:v>Chỉ chuẩn hóa hình thức sau khi xác nhận chính xác nội dung, không tự điền số/ngày/người nhận.</x:v>
      </x:c>
    </x:row>
    <x:row r="136" ht="28" customHeight="1">
      <x:c r="A136" s="295" t="n">
        <x:v>131</x:v>
      </x:c>
      <x:c r="B136" s="295" t="str">
        <x:v>ND30.D.NG.THANG.SO_0</x:v>
      </x:c>
      <x:c r="C136" s="295" t="str">
        <x:v>ND30.D.NG.THANG</x:v>
      </x:c>
      <x:c r="D136" s="295" t="str">
        <x:v>Địa danh, ngày tháng</x:v>
      </x:c>
      <x:c r="E136" s="295" t="str">
        <x:v>Tháng</x:v>
      </x:c>
      <x:c r="F136" s="295" t="str">
        <x:v>Thêm số 0 với tháng 1, 2</x:v>
      </x:c>
      <x:c r="G136" s="295" t="str">
        <x:v>TEXT</x:v>
      </x:c>
      <x:c r="H136" s="295"/>
      <x:c r="I136" s="295" t="str">
        <x:v>Có</x:v>
      </x:c>
      <x:c r="J136" s="295" t="str">
        <x:v>Đúng giá trị/giới hạn riêng</x:v>
      </x:c>
      <x:c r="K136" s="295" t="str">
        <x:v>Giữ tháng đã xác minh</x:v>
      </x:c>
      <x:c r="L136" s="295" t="str">
        <x:v>PROFILE_THEO_NGUON</x:v>
      </x:c>
      <x:c r="M136" s="295" t="str">
        <x:v>DOI_CHIEU_CU_THE</x:v>
      </x:c>
      <x:c r="N136" s="295" t="str">
        <x:v>Văn bản có địa danh và thời gian; không tự sinh ngày/địa danh; đối chiếu thời điểm hiệu lực nguồn</x:v>
      </x:c>
      <x:c r="O136" s="295" t="str">
        <x:v>Quy định gốc &gt; profile; khi chưa rõ điều kiện thì giữ nguyên; không sinh nội dung.</x:v>
      </x:c>
      <x:c r="P136" s="295" t="str">
        <x:v>PARAGRAPH / RUN / SHAPE tùy thuộc tính</x:v>
      </x:c>
      <x:c r="Q136" s="295" t="str">
        <x:v>Xác định đúng khối Tháng; đọc giá trị thực; đối chiếu điều kiện; không sửa nội dung khi thiếu nguồn.</x:v>
      </x:c>
      <x:c r="R136" s="295" t="str">
        <x:v>Phụ lục I, Phần I, II.4.b</x:v>
      </x:c>
      <x:c r="S136" s="295" t="str">
        <x:v>https://datafiles.chinhphu.vn/cpp/files/vbpq/2020/03/30.signed.pdf</x:v>
      </x:c>
      <x:c r="T136" s="295" t="str">
        <x:v>CÓ</x:v>
      </x:c>
      <x:c r="U136" s="295" t="str">
        <x:v>CHECK_ONLY</x:v>
      </x:c>
      <x:c r="V136" s="295" t="str">
        <x:v>Mã rule con chỉ phục vụ AI đọc; không tự tạo thao tác OOXML.</x:v>
      </x:c>
    </x:row>
    <x:row r="137" ht="28" customHeight="1">
      <x:c r="A137" s="295" t="n">
        <x:v>132</x:v>
      </x:c>
      <x:c r="B137" s="295" t="str">
        <x:v>ND30.D.NG.NAM.HIEN_DIEN</x:v>
      </x:c>
      <x:c r="C137" s="295" t="str">
        <x:v>ND30.D.NG.NAM</x:v>
      </x:c>
      <x:c r="D137" s="295" t="str">
        <x:v>Địa danh, ngày tháng</x:v>
      </x:c>
      <x:c r="E137" s="295" t="str">
        <x:v>Năm</x:v>
      </x:c>
      <x:c r="F137" s="295" t="str">
        <x:v>Điều kiện hiện diện</x:v>
      </x:c>
      <x:c r="G137" s="295" t="str">
        <x:v>TEXT</x:v>
      </x:c>
      <x:c r="H137" s="295"/>
      <x:c r="I137" s="295" t="str">
        <x:v>CHƯA XÁC MINH RIÊNG</x:v>
      </x:c>
      <x:c r="J137" s="295" t="str">
        <x:v>Không suy ra giới hạn pháp lý</x:v>
      </x:c>
      <x:c r="K137" s="295" t="str">
        <x:v>Văn bản có địa danh và thời gian; không tự sinh ngày/địa danh; đối chiếu thời điểm hiệu lực nguồn</x:v>
      </x:c>
      <x:c r="L137" s="295" t="str">
        <x:v>CHUA_DUYET_DINH_TUYEN</x:v>
      </x:c>
      <x:c r="M137" s="295" t="str">
        <x:v>CHUA_DOI_CHIEU_CU_THE</x:v>
      </x:c>
      <x:c r="N137" s="295" t="str">
        <x:v>Văn bản có địa danh và thời gian; không tự sinh ngày/địa danh; đối chiếu thời điểm hiệu lực nguồn</x:v>
      </x:c>
      <x:c r="O137" s="295" t="str">
        <x:v>Quy định gốc &gt; profile; khi chưa rõ điều kiện thì giữ nguyên; không sinh nội dung.</x:v>
      </x:c>
      <x:c r="P137" s="295" t="str">
        <x:v>PARAGRAPH / RUN / SHAPE tùy thuộc tính</x:v>
      </x:c>
      <x:c r="Q137" s="295" t="str">
        <x:v>Xác định đúng khối Năm; đọc giá trị thực; đối chiếu điều kiện; không sửa nội dung khi thiếu nguồn.</x:v>
      </x:c>
      <x:c r="R137" s="295" t="str">
        <x:v>Chưa có locator xác minh riêng</x:v>
      </x:c>
      <x:c r="S137" s="295" t="str">
        <x:v>https://datafiles.chinhphu.vn/cpp/files/vbpq/2020/03/30.signed.pdf</x:v>
      </x:c>
      <x:c r="T137" s="295" t="str">
        <x:v>CÓ</x:v>
      </x:c>
      <x:c r="U137" s="295" t="str">
        <x:v>CHECK_ONLY</x:v>
      </x:c>
      <x:c r="V137" s="295" t="str">
        <x:v>Phải nhận diện chế độ và chủ thể trước khi áp dụng</x:v>
      </x:c>
    </x:row>
    <x:row r="138" ht="28" customHeight="1">
      <x:c r="A138" s="295" t="n">
        <x:v>133</x:v>
      </x:c>
      <x:c r="B138" s="295" t="str">
        <x:v>ND30.D.NG.NAM.PHONG_CHU</x:v>
      </x:c>
      <x:c r="C138" s="295" t="str">
        <x:v>ND30.D.NG.NAM</x:v>
      </x:c>
      <x:c r="D138" s="295" t="str">
        <x:v>Địa danh, ngày tháng</x:v>
      </x:c>
      <x:c r="E138" s="295" t="str">
        <x:v>Năm</x:v>
      </x:c>
      <x:c r="F138" s="295" t="str">
        <x:v>Font chữ</x:v>
      </x:c>
      <x:c r="G138" s="295" t="str">
        <x:v>STRING</x:v>
      </x:c>
      <x:c r="H138" s="295"/>
      <x:c r="I138" s="295" t="str">
        <x:v>Times New Roman</x:v>
      </x:c>
      <x:c r="J138" s="295" t="str">
        <x:v>Đúng giá trị/giới hạn riêng</x:v>
      </x:c>
      <x:c r="K138" s="295" t="str">
        <x:v>Times New Roman</x:v>
      </x:c>
      <x:c r="L138" s="295" t="str">
        <x:v>PROFILE_CO_GIA_TRI_CHUA_DUYET</x:v>
      </x:c>
      <x:c r="M138" s="295" t="str">
        <x:v>DOI_CHIEU_CU_THE</x:v>
      </x:c>
      <x:c r="N138" s="295" t="str">
        <x:v>Văn bản có địa danh và thời gian; không tự sinh ngày/địa danh; đối chiếu thời điểm hiệu lực nguồn</x:v>
      </x:c>
      <x:c r="O138" s="295" t="str">
        <x:v>Quy định gốc &gt; profile; khi chưa rõ điều kiện thì giữ nguyên; không sinh nội dung.</x:v>
      </x:c>
      <x:c r="P138" s="295" t="str">
        <x:v>PARAGRAPH / RUN / SHAPE tùy thuộc tính</x:v>
      </x:c>
      <x:c r="Q138" s="295" t="str">
        <x:v>Xác định đúng khối Năm; đọc giá trị thực; đối chiếu điều kiện; không sửa nội dung khi thiếu nguồn.</x:v>
      </x:c>
      <x:c r="R138" s="295" t="str">
        <x:v>Phụ lục I, Phần I, I.4</x:v>
      </x:c>
      <x:c r="S138" s="295" t="str">
        <x:v>https://datafiles.chinhphu.vn/cpp/files/vbpq/2020/03/30.signed.pdf</x:v>
      </x:c>
      <x:c r="T138" s="295" t="str">
        <x:v>CÓ</x:v>
      </x:c>
      <x:c r="U138" s="295" t="str">
        <x:v>CHECK_ONLY</x:v>
      </x:c>
      <x:c r="V138" s="295" t="str"/>
    </x:row>
    <x:row r="139" ht="28" customHeight="1">
      <x:c r="A139" s="295" t="n">
        <x:v>134</x:v>
      </x:c>
      <x:c r="B139" s="295" t="str">
        <x:v>ND30.D.NG.NAM.CO_CHU</x:v>
      </x:c>
      <x:c r="C139" s="295" t="str">
        <x:v>ND30.D.NG.NAM</x:v>
      </x:c>
      <x:c r="D139" s="295" t="str">
        <x:v>Địa danh, ngày tháng</x:v>
      </x:c>
      <x:c r="E139" s="295" t="str">
        <x:v>Năm</x:v>
      </x:c>
      <x:c r="F139" s="295" t="str">
        <x:v>Cỡ chữ</x:v>
      </x:c>
      <x:c r="G139" s="295" t="str">
        <x:v>NUMBER_OR_RANGE</x:v>
      </x:c>
      <x:c r="H139" s="295" t="str">
        <x:v>pt</x:v>
      </x:c>
      <x:c r="I139" s="295" t="str">
        <x:v>13–14</x:v>
      </x:c>
      <x:c r="J139" s="295" t="str">
        <x:v>Đúng giá trị/giới hạn riêng</x:v>
      </x:c>
      <x:c r="K139" s="295" t="n">
        <x:v>13</x:v>
      </x:c>
      <x:c r="L139" s="295" t="str">
        <x:v>PROFILE_CO_GIA_TRI_CHUA_DUYET</x:v>
      </x:c>
      <x:c r="M139" s="295" t="str">
        <x:v>DOI_CHIEU_CU_THE</x:v>
      </x:c>
      <x:c r="N139" s="295" t="str">
        <x:v>Văn bản có địa danh và thời gian; không tự sinh ngày/địa danh; đối chiếu thời điểm hiệu lực nguồn</x:v>
      </x:c>
      <x:c r="O139" s="295" t="str">
        <x:v>Quy định gốc &gt; profile; khi chưa rõ điều kiện thì giữ nguyên; không sinh nội dung.</x:v>
      </x:c>
      <x:c r="P139" s="295" t="str">
        <x:v>PARAGRAPH / RUN / SHAPE tùy thuộc tính</x:v>
      </x:c>
      <x:c r="Q139" s="295" t="str">
        <x:v>Xác định đúng khối Năm; đọc giá trị thực; đối chiếu điều kiện; không sửa nội dung khi thiếu nguồn.</x:v>
      </x:c>
      <x:c r="R139" s="295" t="str">
        <x:v>Phụ lục I, Phần I, II.4</x:v>
      </x:c>
      <x:c r="S139" s="295" t="str">
        <x:v>https://datafiles.chinhphu.vn/cpp/files/vbpq/2020/03/30.signed.pdf</x:v>
      </x:c>
      <x:c r="T139" s="295" t="str">
        <x:v>CÓ</x:v>
      </x:c>
      <x:c r="U139" s="295" t="str">
        <x:v>CHECK_ONLY</x:v>
      </x:c>
      <x:c r="V139" s="295" t="str"/>
    </x:row>
    <x:row r="140" ht="28" customHeight="1">
      <x:c r="A140" s="295" t="n">
        <x:v>135</x:v>
      </x:c>
      <x:c r="B140" s="295" t="str">
        <x:v>ND30.D.NG.NAM.DAM</x:v>
      </x:c>
      <x:c r="C140" s="295" t="str">
        <x:v>ND30.D.NG.NAM</x:v>
      </x:c>
      <x:c r="D140" s="295" t="str">
        <x:v>Địa danh, ngày tháng</x:v>
      </x:c>
      <x:c r="E140" s="295" t="str">
        <x:v>Năm</x:v>
      </x:c>
      <x:c r="F140" s="295" t="str">
        <x:v>In đậm</x:v>
      </x:c>
      <x:c r="G140" s="295" t="str">
        <x:v>BOOLEAN</x:v>
      </x:c>
      <x:c r="H140" s="295"/>
      <x:c r="I140" s="296" t="b">
        <x:v>0</x:v>
      </x:c>
      <x:c r="J140" s="295" t="str">
        <x:v>Đúng giá trị/giới hạn riêng</x:v>
      </x:c>
      <x:c r="K140" s="296" t="b">
        <x:v>0</x:v>
      </x:c>
      <x:c r="L140" s="295" t="str">
        <x:v>PROFILE_CO_GIA_TRI_CHUA_DUYET</x:v>
      </x:c>
      <x:c r="M140" s="295" t="str">
        <x:v>DOI_CHIEU_CU_THE</x:v>
      </x:c>
      <x:c r="N140" s="295" t="str">
        <x:v>Văn bản có địa danh và thời gian; không tự sinh ngày/địa danh; đối chiếu thời điểm hiệu lực nguồn</x:v>
      </x:c>
      <x:c r="O140" s="295" t="str">
        <x:v>Quy định gốc &gt; profile; khi chưa rõ điều kiện thì giữ nguyên; không sinh nội dung.</x:v>
      </x:c>
      <x:c r="P140" s="295" t="str">
        <x:v>PARAGRAPH / RUN / SHAPE tùy thuộc tính</x:v>
      </x:c>
      <x:c r="Q140" s="295" t="str">
        <x:v>Xác định đúng khối Năm; đọc giá trị thực; đối chiếu điều kiện; không sửa nội dung khi thiếu nguồn.</x:v>
      </x:c>
      <x:c r="R140" s="295" t="str">
        <x:v>Phụ lục I, Phần I, II.4</x:v>
      </x:c>
      <x:c r="S140" s="295" t="str">
        <x:v>https://datafiles.chinhphu.vn/cpp/files/vbpq/2020/03/30.signed.pdf</x:v>
      </x:c>
      <x:c r="T140" s="295" t="str">
        <x:v>CÓ</x:v>
      </x:c>
      <x:c r="U140" s="295" t="str">
        <x:v>CHECK_ONLY</x:v>
      </x:c>
      <x:c r="V140" s="295" t="str"/>
    </x:row>
    <x:row r="141" ht="28" customHeight="1">
      <x:c r="A141" s="295" t="n">
        <x:v>136</x:v>
      </x:c>
      <x:c r="B141" s="295" t="str">
        <x:v>ND30.D.NG.NAM.NGHIENG</x:v>
      </x:c>
      <x:c r="C141" s="295" t="str">
        <x:v>ND30.D.NG.NAM</x:v>
      </x:c>
      <x:c r="D141" s="295" t="str">
        <x:v>Địa danh, ngày tháng</x:v>
      </x:c>
      <x:c r="E141" s="295" t="str">
        <x:v>Năm</x:v>
      </x:c>
      <x:c r="F141" s="295" t="str">
        <x:v>In nghiêng</x:v>
      </x:c>
      <x:c r="G141" s="295" t="str">
        <x:v>BOOLEAN</x:v>
      </x:c>
      <x:c r="H141" s="295"/>
      <x:c r="I141" s="296" t="b">
        <x:v>1</x:v>
      </x:c>
      <x:c r="J141" s="295" t="str">
        <x:v>Đúng giá trị/giới hạn riêng</x:v>
      </x:c>
      <x:c r="K141" s="296" t="b">
        <x:v>1</x:v>
      </x:c>
      <x:c r="L141" s="295" t="str">
        <x:v>PROFILE_CO_GIA_TRI_CHUA_DUYET</x:v>
      </x:c>
      <x:c r="M141" s="295" t="str">
        <x:v>DOI_CHIEU_CU_THE</x:v>
      </x:c>
      <x:c r="N141" s="295" t="str">
        <x:v>Văn bản có địa danh và thời gian; không tự sinh ngày/địa danh; đối chiếu thời điểm hiệu lực nguồn</x:v>
      </x:c>
      <x:c r="O141" s="295" t="str">
        <x:v>Quy định gốc &gt; profile; khi chưa rõ điều kiện thì giữ nguyên; không sinh nội dung.</x:v>
      </x:c>
      <x:c r="P141" s="295" t="str">
        <x:v>PARAGRAPH / RUN / SHAPE tùy thuộc tính</x:v>
      </x:c>
      <x:c r="Q141" s="295" t="str">
        <x:v>Xác định đúng khối Năm; đọc giá trị thực; đối chiếu điều kiện; không sửa nội dung khi thiếu nguồn.</x:v>
      </x:c>
      <x:c r="R141" s="295" t="str">
        <x:v>Phụ lục I, Phần I, II.4</x:v>
      </x:c>
      <x:c r="S141" s="295" t="str">
        <x:v>https://datafiles.chinhphu.vn/cpp/files/vbpq/2020/03/30.signed.pdf</x:v>
      </x:c>
      <x:c r="T141" s="295" t="str">
        <x:v>CÓ</x:v>
      </x:c>
      <x:c r="U141" s="295" t="str">
        <x:v>CHECK_ONLY</x:v>
      </x:c>
      <x:c r="V141" s="295" t="str"/>
    </x:row>
    <x:row r="142" ht="28" customHeight="1">
      <x:c r="A142" s="295" t="n">
        <x:v>137</x:v>
      </x:c>
      <x:c r="B142" s="295" t="str">
        <x:v>ND30.D.NG.NAM.KIEU_CHU</x:v>
      </x:c>
      <x:c r="C142" s="295" t="str">
        <x:v>ND30.D.NG.NAM</x:v>
      </x:c>
      <x:c r="D142" s="295" t="str">
        <x:v>Địa danh, ngày tháng</x:v>
      </x:c>
      <x:c r="E142" s="295" t="str">
        <x:v>Năm</x:v>
      </x:c>
      <x:c r="F142" s="295" t="str">
        <x:v>Kiểu viết hoa/thường</x:v>
      </x:c>
      <x:c r="G142" s="295" t="str">
        <x:v>ENUM</x:v>
      </x:c>
      <x:c r="H142" s="295"/>
      <x:c r="I142" s="295" t="str">
        <x:v>Số Ả Rập</x:v>
      </x:c>
      <x:c r="J142" s="295" t="str">
        <x:v>Đúng giá trị/giới hạn riêng</x:v>
      </x:c>
      <x:c r="K142" s="295" t="str">
        <x:v>Theo số/chữ địa danh</x:v>
      </x:c>
      <x:c r="L142" s="295" t="str">
        <x:v>PROFILE_CO_GIA_TRI_CHUA_DUYET</x:v>
      </x:c>
      <x:c r="M142" s="295" t="str">
        <x:v>DOI_CHIEU_CU_THE</x:v>
      </x:c>
      <x:c r="N142" s="295" t="str">
        <x:v>Văn bản có địa danh và thời gian; không tự sinh ngày/địa danh; đối chiếu thời điểm hiệu lực nguồn</x:v>
      </x:c>
      <x:c r="O142" s="295" t="str">
        <x:v>Quy định gốc &gt; profile; khi chưa rõ điều kiện thì giữ nguyên; không sinh nội dung.</x:v>
      </x:c>
      <x:c r="P142" s="295" t="str">
        <x:v>PARAGRAPH / RUN / SHAPE tùy thuộc tính</x:v>
      </x:c>
      <x:c r="Q142" s="295" t="str">
        <x:v>Xác định đúng khối Năm; đọc giá trị thực; đối chiếu điều kiện; không sửa nội dung khi thiếu nguồn.</x:v>
      </x:c>
      <x:c r="R142" s="295" t="str">
        <x:v>Phụ lục I, Phần I, II.4</x:v>
      </x:c>
      <x:c r="S142" s="295" t="str">
        <x:v>https://datafiles.chinhphu.vn/cpp/files/vbpq/2020/03/30.signed.pdf</x:v>
      </x:c>
      <x:c r="T142" s="295" t="str">
        <x:v>CÓ</x:v>
      </x:c>
      <x:c r="U142" s="295" t="str">
        <x:v>CHECK_ONLY</x:v>
      </x:c>
      <x:c r="V142" s="295" t="str"/>
    </x:row>
    <x:row r="143" ht="28" customHeight="1">
      <x:c r="A143" s="295" t="n">
        <x:v>138</x:v>
      </x:c>
      <x:c r="B143" s="295" t="str">
        <x:v>ND30.D.NG.NAM.CAN_NGANG</x:v>
      </x:c>
      <x:c r="C143" s="295" t="str">
        <x:v>ND30.D.NG.NAM</x:v>
      </x:c>
      <x:c r="D143" s="295" t="str">
        <x:v>Địa danh, ngày tháng</x:v>
      </x:c>
      <x:c r="E143" s="295" t="str">
        <x:v>Năm</x:v>
      </x:c>
      <x:c r="F143" s="295" t="str">
        <x:v>Căn ngang</x:v>
      </x:c>
      <x:c r="G143" s="295" t="str">
        <x:v>ENUM</x:v>
      </x:c>
      <x:c r="H143" s="295"/>
      <x:c r="I143" s="295" t="str">
        <x:v>CENTER</x:v>
      </x:c>
      <x:c r="J143" s="295" t="str">
        <x:v>Đúng giá trị/giới hạn riêng</x:v>
      </x:c>
      <x:c r="K143" s="295" t="str">
        <x:v>CÂN GIỮA TRONG KHỐI PHẢI (không căn phải cứng)</x:v>
      </x:c>
      <x:c r="L143" s="295" t="str">
        <x:v>PROFILE_CO_GIA_TRI_CHUA_DUYET</x:v>
      </x:c>
      <x:c r="M143" s="295" t="str">
        <x:v>DOI_CHIEU_CU_THE</x:v>
      </x:c>
      <x:c r="N143" s="295" t="str">
        <x:v>Văn bản có địa danh và thời gian; không tự sinh ngày/địa danh; đối chiếu thời điểm hiệu lực nguồn</x:v>
      </x:c>
      <x:c r="O143" s="295" t="str">
        <x:v>Quy định gốc &gt; profile; khi chưa rõ điều kiện thì giữ nguyên; không sinh nội dung.</x:v>
      </x:c>
      <x:c r="P143" s="295" t="str">
        <x:v>PARAGRAPH / RUN / SHAPE tùy thuộc tính</x:v>
      </x:c>
      <x:c r="Q143" s="295" t="str">
        <x:v>Xác định đúng khối Năm; đọc giá trị thực; đối chiếu điều kiện; không sửa nội dung khi thiếu nguồn.</x:v>
      </x:c>
      <x:c r="R143" s="295" t="str">
        <x:v>Phụ lục I, Phần I, II.4</x:v>
      </x:c>
      <x:c r="S143" s="295" t="str">
        <x:v>https://datafiles.chinhphu.vn/cpp/files/vbpq/2020/03/30.signed.pdf</x:v>
      </x:c>
      <x:c r="T143" s="295" t="str">
        <x:v>CÓ</x:v>
      </x:c>
      <x:c r="U143" s="295" t="str">
        <x:v>CHECK_ONLY</x:v>
      </x:c>
      <x:c r="V143" s="295" t="str"/>
    </x:row>
    <x:row r="144" ht="28" customHeight="1">
      <x:c r="A144" s="295" t="n">
        <x:v>139</x:v>
      </x:c>
      <x:c r="B144" s="295" t="str">
        <x:v>ND30.D.NG.NAM.CACH_SAU</x:v>
      </x:c>
      <x:c r="C144" s="295" t="str">
        <x:v>ND30.D.NG.NAM</x:v>
      </x:c>
      <x:c r="D144" s="295" t="str">
        <x:v>Địa danh, ngày tháng</x:v>
      </x:c>
      <x:c r="E144" s="295" t="str">
        <x:v>Năm</x:v>
      </x:c>
      <x:c r="F144" s="295" t="str">
        <x:v>Khoảng cách sau đoạn</x:v>
      </x:c>
      <x:c r="G144" s="295" t="str">
        <x:v>NUMBER</x:v>
      </x:c>
      <x:c r="H144" s="295" t="str">
        <x:v>pt</x:v>
      </x:c>
      <x:c r="I144" s="295" t="str">
        <x:v>CHƯA XÁC MINH RIÊNG</x:v>
      </x:c>
      <x:c r="J144" s="295" t="str">
        <x:v>Không suy ra giới hạn pháp lý</x:v>
      </x:c>
      <x:c r="K144" s="295" t="n">
        <x:v>0</x:v>
      </x:c>
      <x:c r="L144" s="295" t="str">
        <x:v>PROFILE_CHO_RAO_SOAT</x:v>
      </x:c>
      <x:c r="M144" s="295" t="str">
        <x:v>CHUA_DOI_CHIEU_CU_THE</x:v>
      </x:c>
      <x:c r="N144" s="295" t="str">
        <x:v>Văn bản có địa danh và thời gian; không tự sinh ngày/địa danh; đối chiếu thời điểm hiệu lực nguồn</x:v>
      </x:c>
      <x:c r="O144" s="295" t="str">
        <x:v>Quy định gốc &gt; profile; khi chưa rõ điều kiện thì giữ nguyên; không sinh nội dung.</x:v>
      </x:c>
      <x:c r="P144" s="295" t="str">
        <x:v>PARAGRAPH / RUN / SHAPE tùy thuộc tính</x:v>
      </x:c>
      <x:c r="Q144" s="295" t="str">
        <x:v>Xác định đúng khối Năm; đọc giá trị thực; đối chiếu điều kiện; không sửa nội dung khi thiếu nguồn.</x:v>
      </x:c>
      <x:c r="R144" s="295" t="str">
        <x:v>Chưa có locator xác minh riêng</x:v>
      </x:c>
      <x:c r="S144" s="295" t="str">
        <x:v>https://datafiles.chinhphu.vn/cpp/files/vbpq/2020/03/30.signed.pdf</x:v>
      </x:c>
      <x:c r="T144" s="295" t="str">
        <x:v>CÓ</x:v>
      </x:c>
      <x:c r="U144" s="295" t="str">
        <x:v>CHECK_ONLY</x:v>
      </x:c>
      <x:c r="V144" s="295" t="str">
        <x:v>Không tự chèn đoạn trắng</x:v>
      </x:c>
    </x:row>
    <x:row r="145" ht="28" customHeight="1">
      <x:c r="A145" s="295" t="n">
        <x:v>140</x:v>
      </x:c>
      <x:c r="B145" s="295" t="str">
        <x:v>ND30.D.NG.NAM.GIAN_DONG</x:v>
      </x:c>
      <x:c r="C145" s="295" t="str">
        <x:v>ND30.D.NG.NAM</x:v>
      </x:c>
      <x:c r="D145" s="295" t="str">
        <x:v>Địa danh, ngày tháng</x:v>
      </x:c>
      <x:c r="E145" s="295" t="str">
        <x:v>Năm</x:v>
      </x:c>
      <x:c r="F145" s="295" t="str">
        <x:v>Giãn dòng</x:v>
      </x:c>
      <x:c r="G145" s="295" t="str">
        <x:v>NUMBER</x:v>
      </x:c>
      <x:c r="H145" s="295" t="str">
        <x:v>lines</x:v>
      </x:c>
      <x:c r="I145" s="295" t="str">
        <x:v>CHƯA XÁC MINH RIÊNG</x:v>
      </x:c>
      <x:c r="J145" s="295" t="str">
        <x:v>Không suy ra giới hạn pháp lý</x:v>
      </x:c>
      <x:c r="K145" s="295" t="str">
        <x:v>SINGLE</x:v>
      </x:c>
      <x:c r="L145" s="295" t="str">
        <x:v>PROFILE_CHO_RAO_SOAT</x:v>
      </x:c>
      <x:c r="M145" s="295" t="str">
        <x:v>CHUA_DOI_CHIEU_CU_THE</x:v>
      </x:c>
      <x:c r="N145" s="295" t="str">
        <x:v>Văn bản có địa danh và thời gian; không tự sinh ngày/địa danh; đối chiếu thời điểm hiệu lực nguồn</x:v>
      </x:c>
      <x:c r="O145" s="295" t="str">
        <x:v>Quy định gốc &gt; profile; khi chưa rõ điều kiện thì giữ nguyên; không sinh nội dung.</x:v>
      </x:c>
      <x:c r="P145" s="295" t="str">
        <x:v>PARAGRAPH / RUN / SHAPE tùy thuộc tính</x:v>
      </x:c>
      <x:c r="Q145" s="295" t="str">
        <x:v>Xác định đúng khối Năm; đọc giá trị thực; đối chiếu điều kiện; không sửa nội dung khi thiếu nguồn.</x:v>
      </x:c>
      <x:c r="R145" s="295" t="str">
        <x:v>Chưa có locator xác minh riêng</x:v>
      </x:c>
      <x:c r="S145" s="295" t="str">
        <x:v>https://datafiles.chinhphu.vn/cpp/files/vbpq/2020/03/30.signed.pdf</x:v>
      </x:c>
      <x:c r="T145" s="295" t="str">
        <x:v>CÓ</x:v>
      </x:c>
      <x:c r="U145" s="295" t="str">
        <x:v>CHECK_ONLY</x:v>
      </x:c>
      <x:c r="V145" s="295" t="str">
        <x:v>Giãn dòng phần đầu không được tự đồng nhất với thân bài.</x:v>
      </x:c>
    </x:row>
    <x:row r="146" ht="28" customHeight="1">
      <x:c r="A146" s="295" t="n">
        <x:v>141</x:v>
      </x:c>
      <x:c r="B146" s="295" t="str">
        <x:v>ND30.D.NG.NAM.BAO_VE_NOI_DUNG</x:v>
      </x:c>
      <x:c r="C146" s="295" t="str">
        <x:v>ND30.D.NG.NAM</x:v>
      </x:c>
      <x:c r="D146" s="295" t="str">
        <x:v>Địa danh, ngày tháng</x:v>
      </x:c>
      <x:c r="E146" s="295" t="str">
        <x:v>Năm</x:v>
      </x:c>
      <x:c r="F146" s="295" t="str">
        <x:v>Không tự suy diễn nội dung</x:v>
      </x:c>
      <x:c r="G146" s="295" t="str">
        <x:v>BOOLEAN</x:v>
      </x:c>
      <x:c r="H146" s="295"/>
      <x:c r="I146" s="295" t="str">
        <x:v>CHƯA XÁC MINH RIÊNG</x:v>
      </x:c>
      <x:c r="J146" s="295" t="str">
        <x:v>Không suy ra giới hạn pháp lý</x:v>
      </x:c>
      <x:c r="K146" s="296" t="b">
        <x:v>1</x:v>
      </x:c>
      <x:c r="L146" s="295" t="str">
        <x:v>NOI_DUNG_BAO_VE</x:v>
      </x:c>
      <x:c r="M146" s="295" t="str">
        <x:v>CHUA_DOI_CHIEU_CU_THE</x:v>
      </x:c>
      <x:c r="N146" s="295" t="str">
        <x:v>Văn bản có địa danh và thời gian; không tự sinh ngày/địa danh; đối chiếu thời điểm hiệu lực nguồn</x:v>
      </x:c>
      <x:c r="O146" s="295" t="str">
        <x:v>Quy định gốc &gt; profile; khi chưa rõ điều kiện thì giữ nguyên; không sinh nội dung.</x:v>
      </x:c>
      <x:c r="P146" s="295" t="str">
        <x:v>PARAGRAPH / RUN / SHAPE tùy thuộc tính</x:v>
      </x:c>
      <x:c r="Q146" s="295" t="str">
        <x:v>Xác định đúng khối Năm; đọc giá trị thực; đối chiếu điều kiện; không sửa nội dung khi thiếu nguồn.</x:v>
      </x:c>
      <x:c r="R146" s="295" t="str">
        <x:v>Chưa có locator xác minh riêng</x:v>
      </x:c>
      <x:c r="S146" s="295" t="str">
        <x:v>https://datafiles.chinhphu.vn/cpp/files/vbpq/2020/03/30.signed.pdf</x:v>
      </x:c>
      <x:c r="T146" s="295" t="str">
        <x:v>CÓ</x:v>
      </x:c>
      <x:c r="U146" s="295" t="str">
        <x:v>CHECK_ONLY</x:v>
      </x:c>
      <x:c r="V146" s="295" t="str">
        <x:v>Chỉ chuẩn hóa hình thức sau khi xác nhận chính xác nội dung, không tự điền số/ngày/người nhận.</x:v>
      </x:c>
    </x:row>
    <x:row r="147" ht="28" customHeight="1">
      <x:c r="A147" s="295" t="n">
        <x:v>142</x:v>
      </x:c>
      <x:c r="B147" s="295" t="str">
        <x:v>ND30.D.TY.TEN_LOAI.HIEN_DIEN</x:v>
      </x:c>
      <x:c r="C147" s="295" t="str">
        <x:v>ND30.D.TY.TEN_LOAI</x:v>
      </x:c>
      <x:c r="D147" s="295" t="str">
        <x:v>Tên loại / trích yếu</x:v>
      </x:c>
      <x:c r="E147" s="295" t="str">
        <x:v>Tên loại văn bản</x:v>
      </x:c>
      <x:c r="F147" s="295" t="str">
        <x:v>Điều kiện hiện diện</x:v>
      </x:c>
      <x:c r="G147" s="295" t="str">
        <x:v>TEXT</x:v>
      </x:c>
      <x:c r="H147" s="295"/>
      <x:c r="I147" s="295" t="str">
        <x:v>CHƯA XÁC MINH RIÊNG</x:v>
      </x:c>
      <x:c r="J147" s="295" t="str">
        <x:v>Không suy ra giới hạn pháp lý</x:v>
      </x:c>
      <x:c r="K147" s="295" t="str">
        <x:v>Chỉ văn bản có tên loại; KHÔNG tạo dòng CÔNG VĂN cho công văn thông thường</x:v>
      </x:c>
      <x:c r="L147" s="295" t="str">
        <x:v>CHUA_DUYET_DINH_TUYEN</x:v>
      </x:c>
      <x:c r="M147" s="295" t="str">
        <x:v>CHUA_DOI_CHIEU_CU_THE</x:v>
      </x:c>
      <x:c r="N147" s="295" t="str">
        <x:v>Chỉ văn bản có tên loại; KHÔNG tạo dòng CÔNG VĂN cho công văn thông thường</x:v>
      </x:c>
      <x:c r="O147" s="295" t="str">
        <x:v>Quy định gốc &gt; profile; khi chưa rõ điều kiện thì giữ nguyên; không sinh nội dung.</x:v>
      </x:c>
      <x:c r="P147" s="295" t="str">
        <x:v>PARAGRAPH / RUN / SHAPE tùy thuộc tính</x:v>
      </x:c>
      <x:c r="Q147" s="295" t="str">
        <x:v>Xác định đúng khối Tên loại văn bản; đọc giá trị thực; đối chiếu điều kiện; không sửa nội dung khi thiếu nguồn.</x:v>
      </x:c>
      <x:c r="R147" s="295" t="str">
        <x:v>Chưa có locator xác minh riêng</x:v>
      </x:c>
      <x:c r="S147" s="295" t="str">
        <x:v>https://datafiles.chinhphu.vn/cpp/files/vbpq/2020/03/30.signed.pdf</x:v>
      </x:c>
      <x:c r="T147" s="295" t="str">
        <x:v>CÓ</x:v>
      </x:c>
      <x:c r="U147" s="295" t="str">
        <x:v>CHECK_ONLY</x:v>
      </x:c>
      <x:c r="V147" s="295" t="str">
        <x:v>Phải nhận diện chế độ và chủ thể trước khi áp dụng</x:v>
      </x:c>
    </x:row>
    <x:row r="148" ht="28" customHeight="1">
      <x:c r="A148" s="295" t="n">
        <x:v>143</x:v>
      </x:c>
      <x:c r="B148" s="295" t="str">
        <x:v>ND30.D.TY.TEN_LOAI.PHONG_CHU</x:v>
      </x:c>
      <x:c r="C148" s="295" t="str">
        <x:v>ND30.D.TY.TEN_LOAI</x:v>
      </x:c>
      <x:c r="D148" s="295" t="str">
        <x:v>Tên loại / trích yếu</x:v>
      </x:c>
      <x:c r="E148" s="295" t="str">
        <x:v>Tên loại văn bản</x:v>
      </x:c>
      <x:c r="F148" s="295" t="str">
        <x:v>Font chữ</x:v>
      </x:c>
      <x:c r="G148" s="295" t="str">
        <x:v>STRING</x:v>
      </x:c>
      <x:c r="H148" s="295"/>
      <x:c r="I148" s="295" t="str">
        <x:v>Times New Roman</x:v>
      </x:c>
      <x:c r="J148" s="295" t="str">
        <x:v>Đúng giá trị/giới hạn riêng</x:v>
      </x:c>
      <x:c r="K148" s="295" t="str">
        <x:v>Times New Roman</x:v>
      </x:c>
      <x:c r="L148" s="295" t="str">
        <x:v>PROFILE_CO_GIA_TRI_CHUA_DUYET</x:v>
      </x:c>
      <x:c r="M148" s="295" t="str">
        <x:v>DOI_CHIEU_CU_THE</x:v>
      </x:c>
      <x:c r="N148" s="295" t="str">
        <x:v>Chỉ văn bản có tên loại; KHÔNG tạo dòng CÔNG VĂN cho công văn thông thường</x:v>
      </x:c>
      <x:c r="O148" s="295" t="str">
        <x:v>Quy định gốc &gt; profile; khi chưa rõ điều kiện thì giữ nguyên; không sinh nội dung.</x:v>
      </x:c>
      <x:c r="P148" s="295" t="str">
        <x:v>PARAGRAPH / RUN / SHAPE tùy thuộc tính</x:v>
      </x:c>
      <x:c r="Q148" s="295" t="str">
        <x:v>Xác định đúng khối Tên loại văn bản; đọc giá trị thực; đối chiếu điều kiện; không sửa nội dung khi thiếu nguồn.</x:v>
      </x:c>
      <x:c r="R148" s="295" t="str">
        <x:v>Phụ lục I, Phần I, I.4</x:v>
      </x:c>
      <x:c r="S148" s="295" t="str">
        <x:v>https://datafiles.chinhphu.vn/cpp/files/vbpq/2020/03/30.signed.pdf</x:v>
      </x:c>
      <x:c r="T148" s="295" t="str">
        <x:v>CÓ</x:v>
      </x:c>
      <x:c r="U148" s="295" t="str">
        <x:v>CHECK_ONLY</x:v>
      </x:c>
      <x:c r="V148" s="295" t="str"/>
    </x:row>
    <x:row r="149" ht="28" customHeight="1">
      <x:c r="A149" s="295" t="n">
        <x:v>144</x:v>
      </x:c>
      <x:c r="B149" s="295" t="str">
        <x:v>ND30.D.TY.TEN_LOAI.CO_CHU</x:v>
      </x:c>
      <x:c r="C149" s="295" t="str">
        <x:v>ND30.D.TY.TEN_LOAI</x:v>
      </x:c>
      <x:c r="D149" s="295" t="str">
        <x:v>Tên loại / trích yếu</x:v>
      </x:c>
      <x:c r="E149" s="295" t="str">
        <x:v>Tên loại văn bản</x:v>
      </x:c>
      <x:c r="F149" s="295" t="str">
        <x:v>Cỡ chữ</x:v>
      </x:c>
      <x:c r="G149" s="295" t="str">
        <x:v>NUMBER_OR_RANGE</x:v>
      </x:c>
      <x:c r="H149" s="295" t="str">
        <x:v>pt</x:v>
      </x:c>
      <x:c r="I149" s="295" t="str">
        <x:v>13–14</x:v>
      </x:c>
      <x:c r="J149" s="295" t="str">
        <x:v>Đúng giá trị/giới hạn riêng</x:v>
      </x:c>
      <x:c r="K149" s="295" t="n">
        <x:v>14</x:v>
      </x:c>
      <x:c r="L149" s="295" t="str">
        <x:v>PROFILE_CO_GIA_TRI_CHUA_DUYET</x:v>
      </x:c>
      <x:c r="M149" s="295" t="str">
        <x:v>DOI_CHIEU_CU_THE</x:v>
      </x:c>
      <x:c r="N149" s="295" t="str">
        <x:v>Chỉ văn bản có tên loại; KHÔNG tạo dòng CÔNG VĂN cho công văn thông thường</x:v>
      </x:c>
      <x:c r="O149" s="295" t="str">
        <x:v>Quy định gốc &gt; profile; khi chưa rõ điều kiện thì giữ nguyên; không sinh nội dung.</x:v>
      </x:c>
      <x:c r="P149" s="295" t="str">
        <x:v>PARAGRAPH / RUN / SHAPE tùy thuộc tính</x:v>
      </x:c>
      <x:c r="Q149" s="295" t="str">
        <x:v>Xác định đúng khối Tên loại văn bản; đọc giá trị thực; đối chiếu điều kiện; không sửa nội dung khi thiếu nguồn.</x:v>
      </x:c>
      <x:c r="R149" s="295" t="str">
        <x:v>Phụ lục I, Phần I, II.5.b</x:v>
      </x:c>
      <x:c r="S149" s="295" t="str">
        <x:v>https://datafiles.chinhphu.vn/cpp/files/vbpq/2020/03/30.signed.pdf</x:v>
      </x:c>
      <x:c r="T149" s="295" t="str">
        <x:v>CÓ</x:v>
      </x:c>
      <x:c r="U149" s="295" t="str">
        <x:v>CHECK_ONLY</x:v>
      </x:c>
      <x:c r="V149" s="295" t="str"/>
    </x:row>
    <x:row r="150" ht="28" customHeight="1">
      <x:c r="A150" s="295" t="n">
        <x:v>145</x:v>
      </x:c>
      <x:c r="B150" s="295" t="str">
        <x:v>ND30.D.TY.TEN_LOAI.DAM</x:v>
      </x:c>
      <x:c r="C150" s="295" t="str">
        <x:v>ND30.D.TY.TEN_LOAI</x:v>
      </x:c>
      <x:c r="D150" s="295" t="str">
        <x:v>Tên loại / trích yếu</x:v>
      </x:c>
      <x:c r="E150" s="295" t="str">
        <x:v>Tên loại văn bản</x:v>
      </x:c>
      <x:c r="F150" s="295" t="str">
        <x:v>In đậm</x:v>
      </x:c>
      <x:c r="G150" s="295" t="str">
        <x:v>BOOLEAN</x:v>
      </x:c>
      <x:c r="H150" s="295"/>
      <x:c r="I150" s="296" t="b">
        <x:v>1</x:v>
      </x:c>
      <x:c r="J150" s="295" t="str">
        <x:v>Đúng giá trị/giới hạn riêng</x:v>
      </x:c>
      <x:c r="K150" s="296" t="b">
        <x:v>1</x:v>
      </x:c>
      <x:c r="L150" s="295" t="str">
        <x:v>PROFILE_CO_GIA_TRI_CHUA_DUYET</x:v>
      </x:c>
      <x:c r="M150" s="295" t="str">
        <x:v>DOI_CHIEU_CU_THE</x:v>
      </x:c>
      <x:c r="N150" s="295" t="str">
        <x:v>Chỉ văn bản có tên loại; KHÔNG tạo dòng CÔNG VĂN cho công văn thông thường</x:v>
      </x:c>
      <x:c r="O150" s="295" t="str">
        <x:v>Quy định gốc &gt; profile; khi chưa rõ điều kiện thì giữ nguyên; không sinh nội dung.</x:v>
      </x:c>
      <x:c r="P150" s="295" t="str">
        <x:v>PARAGRAPH / RUN / SHAPE tùy thuộc tính</x:v>
      </x:c>
      <x:c r="Q150" s="295" t="str">
        <x:v>Xác định đúng khối Tên loại văn bản; đọc giá trị thực; đối chiếu điều kiện; không sửa nội dung khi thiếu nguồn.</x:v>
      </x:c>
      <x:c r="R150" s="295" t="str">
        <x:v>Phụ lục I, Phần I, II.5.b</x:v>
      </x:c>
      <x:c r="S150" s="295" t="str">
        <x:v>https://datafiles.chinhphu.vn/cpp/files/vbpq/2020/03/30.signed.pdf</x:v>
      </x:c>
      <x:c r="T150" s="295" t="str">
        <x:v>CÓ</x:v>
      </x:c>
      <x:c r="U150" s="295" t="str">
        <x:v>CHECK_ONLY</x:v>
      </x:c>
      <x:c r="V150" s="295" t="str"/>
    </x:row>
    <x:row r="151" ht="28" customHeight="1">
      <x:c r="A151" s="295" t="n">
        <x:v>146</x:v>
      </x:c>
      <x:c r="B151" s="295" t="str">
        <x:v>ND30.D.TY.TEN_LOAI.NGHIENG</x:v>
      </x:c>
      <x:c r="C151" s="295" t="str">
        <x:v>ND30.D.TY.TEN_LOAI</x:v>
      </x:c>
      <x:c r="D151" s="295" t="str">
        <x:v>Tên loại / trích yếu</x:v>
      </x:c>
      <x:c r="E151" s="295" t="str">
        <x:v>Tên loại văn bản</x:v>
      </x:c>
      <x:c r="F151" s="295" t="str">
        <x:v>In nghiêng</x:v>
      </x:c>
      <x:c r="G151" s="295" t="str">
        <x:v>BOOLEAN</x:v>
      </x:c>
      <x:c r="H151" s="295"/>
      <x:c r="I151" s="296" t="b">
        <x:v>0</x:v>
      </x:c>
      <x:c r="J151" s="295" t="str">
        <x:v>Đúng giá trị/giới hạn riêng</x:v>
      </x:c>
      <x:c r="K151" s="296" t="b">
        <x:v>0</x:v>
      </x:c>
      <x:c r="L151" s="295" t="str">
        <x:v>PROFILE_CO_GIA_TRI_CHUA_DUYET</x:v>
      </x:c>
      <x:c r="M151" s="295" t="str">
        <x:v>DOI_CHIEU_CU_THE</x:v>
      </x:c>
      <x:c r="N151" s="295" t="str">
        <x:v>Chỉ văn bản có tên loại; KHÔNG tạo dòng CÔNG VĂN cho công văn thông thường</x:v>
      </x:c>
      <x:c r="O151" s="295" t="str">
        <x:v>Quy định gốc &gt; profile; khi chưa rõ điều kiện thì giữ nguyên; không sinh nội dung.</x:v>
      </x:c>
      <x:c r="P151" s="295" t="str">
        <x:v>PARAGRAPH / RUN / SHAPE tùy thuộc tính</x:v>
      </x:c>
      <x:c r="Q151" s="295" t="str">
        <x:v>Xác định đúng khối Tên loại văn bản; đọc giá trị thực; đối chiếu điều kiện; không sửa nội dung khi thiếu nguồn.</x:v>
      </x:c>
      <x:c r="R151" s="295" t="str">
        <x:v>Phụ lục I, Phần I, II.5.b</x:v>
      </x:c>
      <x:c r="S151" s="295" t="str">
        <x:v>https://datafiles.chinhphu.vn/cpp/files/vbpq/2020/03/30.signed.pdf</x:v>
      </x:c>
      <x:c r="T151" s="295" t="str">
        <x:v>CÓ</x:v>
      </x:c>
      <x:c r="U151" s="295" t="str">
        <x:v>CHECK_ONLY</x:v>
      </x:c>
      <x:c r="V151" s="295" t="str"/>
    </x:row>
    <x:row r="152" ht="28" customHeight="1">
      <x:c r="A152" s="295" t="n">
        <x:v>147</x:v>
      </x:c>
      <x:c r="B152" s="295" t="str">
        <x:v>ND30.D.TY.TEN_LOAI.KIEU_CHU</x:v>
      </x:c>
      <x:c r="C152" s="295" t="str">
        <x:v>ND30.D.TY.TEN_LOAI</x:v>
      </x:c>
      <x:c r="D152" s="295" t="str">
        <x:v>Tên loại / trích yếu</x:v>
      </x:c>
      <x:c r="E152" s="295" t="str">
        <x:v>Tên loại văn bản</x:v>
      </x:c>
      <x:c r="F152" s="295" t="str">
        <x:v>Kiểu viết hoa/thường</x:v>
      </x:c>
      <x:c r="G152" s="295" t="str">
        <x:v>ENUM</x:v>
      </x:c>
      <x:c r="H152" s="295"/>
      <x:c r="I152" s="295" t="str">
        <x:v>IN HOA</x:v>
      </x:c>
      <x:c r="J152" s="295" t="str">
        <x:v>Đúng giá trị/giới hạn riêng</x:v>
      </x:c>
      <x:c r="K152" s="295" t="str">
        <x:v>IN HOA</x:v>
      </x:c>
      <x:c r="L152" s="295" t="str">
        <x:v>PROFILE_CO_GIA_TRI_CHUA_DUYET</x:v>
      </x:c>
      <x:c r="M152" s="295" t="str">
        <x:v>DOI_CHIEU_CU_THE</x:v>
      </x:c>
      <x:c r="N152" s="295" t="str">
        <x:v>Chỉ văn bản có tên loại; KHÔNG tạo dòng CÔNG VĂN cho công văn thông thường</x:v>
      </x:c>
      <x:c r="O152" s="295" t="str">
        <x:v>Quy định gốc &gt; profile; khi chưa rõ điều kiện thì giữ nguyên; không sinh nội dung.</x:v>
      </x:c>
      <x:c r="P152" s="295" t="str">
        <x:v>PARAGRAPH / RUN / SHAPE tùy thuộc tính</x:v>
      </x:c>
      <x:c r="Q152" s="295" t="str">
        <x:v>Xác định đúng khối Tên loại văn bản; đọc giá trị thực; đối chiếu điều kiện; không sửa nội dung khi thiếu nguồn.</x:v>
      </x:c>
      <x:c r="R152" s="295" t="str">
        <x:v>Phụ lục I, Phần I, II.5.b</x:v>
      </x:c>
      <x:c r="S152" s="295" t="str">
        <x:v>https://datafiles.chinhphu.vn/cpp/files/vbpq/2020/03/30.signed.pdf</x:v>
      </x:c>
      <x:c r="T152" s="295" t="str">
        <x:v>CÓ</x:v>
      </x:c>
      <x:c r="U152" s="295" t="str">
        <x:v>CHECK_ONLY</x:v>
      </x:c>
      <x:c r="V152" s="295" t="str"/>
    </x:row>
    <x:row r="153" ht="28" customHeight="1">
      <x:c r="A153" s="295" t="n">
        <x:v>148</x:v>
      </x:c>
      <x:c r="B153" s="295" t="str">
        <x:v>ND30.D.TY.TEN_LOAI.CAN_NGANG</x:v>
      </x:c>
      <x:c r="C153" s="295" t="str">
        <x:v>ND30.D.TY.TEN_LOAI</x:v>
      </x:c>
      <x:c r="D153" s="295" t="str">
        <x:v>Tên loại / trích yếu</x:v>
      </x:c>
      <x:c r="E153" s="295" t="str">
        <x:v>Tên loại văn bản</x:v>
      </x:c>
      <x:c r="F153" s="295" t="str">
        <x:v>Căn ngang</x:v>
      </x:c>
      <x:c r="G153" s="295" t="str">
        <x:v>ENUM</x:v>
      </x:c>
      <x:c r="H153" s="295"/>
      <x:c r="I153" s="295" t="str">
        <x:v>CENTER</x:v>
      </x:c>
      <x:c r="J153" s="295" t="str">
        <x:v>Đúng giá trị/giới hạn riêng</x:v>
      </x:c>
      <x:c r="K153" s="295" t="str">
        <x:v>CENTER</x:v>
      </x:c>
      <x:c r="L153" s="295" t="str">
        <x:v>PROFILE_CO_GIA_TRI_CHUA_DUYET</x:v>
      </x:c>
      <x:c r="M153" s="295" t="str">
        <x:v>DOI_CHIEU_CU_THE</x:v>
      </x:c>
      <x:c r="N153" s="295" t="str">
        <x:v>Chỉ văn bản có tên loại; KHÔNG tạo dòng CÔNG VĂN cho công văn thông thường</x:v>
      </x:c>
      <x:c r="O153" s="295" t="str">
        <x:v>Quy định gốc &gt; profile; khi chưa rõ điều kiện thì giữ nguyên; không sinh nội dung.</x:v>
      </x:c>
      <x:c r="P153" s="295" t="str">
        <x:v>PARAGRAPH / RUN / SHAPE tùy thuộc tính</x:v>
      </x:c>
      <x:c r="Q153" s="295" t="str">
        <x:v>Xác định đúng khối Tên loại văn bản; đọc giá trị thực; đối chiếu điều kiện; không sửa nội dung khi thiếu nguồn.</x:v>
      </x:c>
      <x:c r="R153" s="295" t="str">
        <x:v>Phụ lục I, Phần I, II.5.b</x:v>
      </x:c>
      <x:c r="S153" s="295" t="str">
        <x:v>https://datafiles.chinhphu.vn/cpp/files/vbpq/2020/03/30.signed.pdf</x:v>
      </x:c>
      <x:c r="T153" s="295" t="str">
        <x:v>CÓ</x:v>
      </x:c>
      <x:c r="U153" s="295" t="str">
        <x:v>CHECK_ONLY</x:v>
      </x:c>
      <x:c r="V153" s="295" t="str"/>
    </x:row>
    <x:row r="154" ht="28" customHeight="1">
      <x:c r="A154" s="295" t="n">
        <x:v>149</x:v>
      </x:c>
      <x:c r="B154" s="295" t="str">
        <x:v>ND30.D.TY.TEN_LOAI.CACH_SAU</x:v>
      </x:c>
      <x:c r="C154" s="295" t="str">
        <x:v>ND30.D.TY.TEN_LOAI</x:v>
      </x:c>
      <x:c r="D154" s="295" t="str">
        <x:v>Tên loại / trích yếu</x:v>
      </x:c>
      <x:c r="E154" s="295" t="str">
        <x:v>Tên loại văn bản</x:v>
      </x:c>
      <x:c r="F154" s="295" t="str">
        <x:v>Khoảng cách sau đoạn</x:v>
      </x:c>
      <x:c r="G154" s="295" t="str">
        <x:v>NUMBER</x:v>
      </x:c>
      <x:c r="H154" s="295" t="str">
        <x:v>pt</x:v>
      </x:c>
      <x:c r="I154" s="295" t="str">
        <x:v>CHƯA XÁC MINH RIÊNG</x:v>
      </x:c>
      <x:c r="J154" s="295" t="str">
        <x:v>Không suy ra giới hạn pháp lý</x:v>
      </x:c>
      <x:c r="K154" s="295" t="n">
        <x:v>6</x:v>
      </x:c>
      <x:c r="L154" s="295" t="str">
        <x:v>PROFILE_CHO_RAO_SOAT</x:v>
      </x:c>
      <x:c r="M154" s="295" t="str">
        <x:v>CHUA_DOI_CHIEU_CU_THE</x:v>
      </x:c>
      <x:c r="N154" s="295" t="str">
        <x:v>Chỉ văn bản có tên loại; KHÔNG tạo dòng CÔNG VĂN cho công văn thông thường</x:v>
      </x:c>
      <x:c r="O154" s="295" t="str">
        <x:v>Quy định gốc &gt; profile; khi chưa rõ điều kiện thì giữ nguyên; không sinh nội dung.</x:v>
      </x:c>
      <x:c r="P154" s="295" t="str">
        <x:v>PARAGRAPH / RUN / SHAPE tùy thuộc tính</x:v>
      </x:c>
      <x:c r="Q154" s="295" t="str">
        <x:v>Xác định đúng khối Tên loại văn bản; đọc giá trị thực; đối chiếu điều kiện; không sửa nội dung khi thiếu nguồn.</x:v>
      </x:c>
      <x:c r="R154" s="295" t="str">
        <x:v>Chưa có locator xác minh riêng</x:v>
      </x:c>
      <x:c r="S154" s="295" t="str">
        <x:v>https://datafiles.chinhphu.vn/cpp/files/vbpq/2020/03/30.signed.pdf</x:v>
      </x:c>
      <x:c r="T154" s="295" t="str">
        <x:v>CÓ</x:v>
      </x:c>
      <x:c r="U154" s="295" t="str">
        <x:v>CHECK_ONLY</x:v>
      </x:c>
      <x:c r="V154" s="295" t="str">
        <x:v>Không tự chèn đoạn trắng</x:v>
      </x:c>
    </x:row>
    <x:row r="155" ht="28" customHeight="1">
      <x:c r="A155" s="295" t="n">
        <x:v>150</x:v>
      </x:c>
      <x:c r="B155" s="295" t="str">
        <x:v>ND30.D.TY.TEN_LOAI.GIAN_DONG</x:v>
      </x:c>
      <x:c r="C155" s="295" t="str">
        <x:v>ND30.D.TY.TEN_LOAI</x:v>
      </x:c>
      <x:c r="D155" s="295" t="str">
        <x:v>Tên loại / trích yếu</x:v>
      </x:c>
      <x:c r="E155" s="295" t="str">
        <x:v>Tên loại văn bản</x:v>
      </x:c>
      <x:c r="F155" s="295" t="str">
        <x:v>Giãn dòng</x:v>
      </x:c>
      <x:c r="G155" s="295" t="str">
        <x:v>NUMBER</x:v>
      </x:c>
      <x:c r="H155" s="295" t="str">
        <x:v>lines</x:v>
      </x:c>
      <x:c r="I155" s="295" t="str">
        <x:v>CHƯA XÁC MINH RIÊNG</x:v>
      </x:c>
      <x:c r="J155" s="295" t="str">
        <x:v>Không suy ra giới hạn pháp lý</x:v>
      </x:c>
      <x:c r="K155" s="295" t="str">
        <x:v>SINGLE</x:v>
      </x:c>
      <x:c r="L155" s="295" t="str">
        <x:v>PROFILE_CHO_RAO_SOAT</x:v>
      </x:c>
      <x:c r="M155" s="295" t="str">
        <x:v>CHUA_DOI_CHIEU_CU_THE</x:v>
      </x:c>
      <x:c r="N155" s="295" t="str">
        <x:v>Chỉ văn bản có tên loại; KHÔNG tạo dòng CÔNG VĂN cho công văn thông thường</x:v>
      </x:c>
      <x:c r="O155" s="295" t="str">
        <x:v>Quy định gốc &gt; profile; khi chưa rõ điều kiện thì giữ nguyên; không sinh nội dung.</x:v>
      </x:c>
      <x:c r="P155" s="295" t="str">
        <x:v>PARAGRAPH / RUN / SHAPE tùy thuộc tính</x:v>
      </x:c>
      <x:c r="Q155" s="295" t="str">
        <x:v>Xác định đúng khối Tên loại văn bản; đọc giá trị thực; đối chiếu điều kiện; không sửa nội dung khi thiếu nguồn.</x:v>
      </x:c>
      <x:c r="R155" s="295" t="str">
        <x:v>Chưa có locator xác minh riêng</x:v>
      </x:c>
      <x:c r="S155" s="295" t="str">
        <x:v>https://datafiles.chinhphu.vn/cpp/files/vbpq/2020/03/30.signed.pdf</x:v>
      </x:c>
      <x:c r="T155" s="295" t="str">
        <x:v>CÓ</x:v>
      </x:c>
      <x:c r="U155" s="295" t="str">
        <x:v>CHECK_ONLY</x:v>
      </x:c>
      <x:c r="V155" s="295" t="str">
        <x:v>Giãn dòng phần đầu không được tự đồng nhất với thân bài.</x:v>
      </x:c>
    </x:row>
    <x:row r="156" ht="28" customHeight="1">
      <x:c r="A156" s="295" t="n">
        <x:v>151</x:v>
      </x:c>
      <x:c r="B156" s="295" t="str">
        <x:v>ND30.D.TY.TEN_LOAI.HINH_THUC</x:v>
      </x:c>
      <x:c r="C156" s="295" t="str">
        <x:v>ND30.D.TY.TEN_LOAI</x:v>
      </x:c>
      <x:c r="D156" s="295" t="str">
        <x:v>Tên loại / trích yếu</x:v>
      </x:c>
      <x:c r="E156" s="295" t="str">
        <x:v>Tên loại văn bản</x:v>
      </x:c>
      <x:c r="F156" s="295" t="str">
        <x:v>Phân nhánh tiêu đề</x:v>
      </x:c>
      <x:c r="G156" s="295" t="str">
        <x:v>TEXT</x:v>
      </x:c>
      <x:c r="H156" s="295"/>
      <x:c r="I156" s="295" t="str">
        <x:v>Có tên loại (5a) / Công văn không tên loại (5b)</x:v>
      </x:c>
      <x:c r="J156" s="295" t="str">
        <x:v>Đúng giá trị/giới hạn riêng</x:v>
      </x:c>
      <x:c r="K156" s="295" t="str">
        <x:v>Theo loại văn bản</x:v>
      </x:c>
      <x:c r="L156" s="295" t="str">
        <x:v>PROFILE_THEO_NGUON</x:v>
      </x:c>
      <x:c r="M156" s="295" t="str">
        <x:v>DOI_CHIEU_CU_THE</x:v>
      </x:c>
      <x:c r="N156" s="295" t="str">
        <x:v>Chỉ văn bản có tên loại; KHÔNG tạo dòng CÔNG VĂN cho công văn thông thường</x:v>
      </x:c>
      <x:c r="O156" s="295" t="str">
        <x:v>Quy định gốc &gt; profile; khi chưa rõ điều kiện thì giữ nguyên; không sinh nội dung.</x:v>
      </x:c>
      <x:c r="P156" s="295" t="str">
        <x:v>PARAGRAPH / RUN / SHAPE tùy thuộc tính</x:v>
      </x:c>
      <x:c r="Q156" s="295" t="str">
        <x:v>Xác định đúng khối Tên loại văn bản; đọc giá trị thực; đối chiếu điều kiện; không sửa nội dung khi thiếu nguồn.</x:v>
      </x:c>
      <x:c r="R156" s="295" t="str">
        <x:v>Phụ lục I, Phần I, II.5</x:v>
      </x:c>
      <x:c r="S156" s="295" t="str">
        <x:v>https://datafiles.chinhphu.vn/cpp/files/vbpq/2020/03/30.signed.pdf</x:v>
      </x:c>
      <x:c r="T156" s="295" t="str">
        <x:v>CÓ</x:v>
      </x:c>
      <x:c r="U156" s="295" t="str">
        <x:v>CHECK_ONLY</x:v>
      </x:c>
      <x:c r="V156" s="295" t="str">
        <x:v>Mã rule con chỉ phục vụ AI đọc; không tự tạo thao tác OOXML.</x:v>
      </x:c>
    </x:row>
    <x:row r="157" ht="28" customHeight="1">
      <x:c r="A157" s="295" t="n">
        <x:v>152</x:v>
      </x:c>
      <x:c r="B157" s="295" t="str">
        <x:v>ND30.D.TY.TRICH_YEU.HIEN_DIEN</x:v>
      </x:c>
      <x:c r="C157" s="295" t="str">
        <x:v>ND30.D.TY.TRICH_YEU</x:v>
      </x:c>
      <x:c r="D157" s="295" t="str">
        <x:v>Tên loại / trích yếu</x:v>
      </x:c>
      <x:c r="E157" s="295" t="str">
        <x:v>Trích yếu của văn bản có tên loại</x:v>
      </x:c>
      <x:c r="F157" s="295" t="str">
        <x:v>Điều kiện hiện diện</x:v>
      </x:c>
      <x:c r="G157" s="295" t="str">
        <x:v>TEXT</x:v>
      </x:c>
      <x:c r="H157" s="295"/>
      <x:c r="I157" s="295" t="str">
        <x:v>CHƯA XÁC MINH RIÊNG</x:v>
      </x:c>
      <x:c r="J157" s="295" t="str">
        <x:v>Không suy ra giới hạn pháp lý</x:v>
      </x:c>
      <x:c r="K157" s="295" t="str">
        <x:v>Chỉ văn bản có tên loại, trích yếu ở ô 5a</x:v>
      </x:c>
      <x:c r="L157" s="295" t="str">
        <x:v>CHUA_DUYET_DINH_TUYEN</x:v>
      </x:c>
      <x:c r="M157" s="295" t="str">
        <x:v>CHUA_DOI_CHIEU_CU_THE</x:v>
      </x:c>
      <x:c r="N157" s="295" t="str">
        <x:v>Chỉ văn bản có tên loại, trích yếu ở ô 5a</x:v>
      </x:c>
      <x:c r="O157" s="295" t="str">
        <x:v>Quy định gốc &gt; profile; khi chưa rõ điều kiện thì giữ nguyên; không sinh nội dung.</x:v>
      </x:c>
      <x:c r="P157" s="295" t="str">
        <x:v>PARAGRAPH / RUN / SHAPE tùy thuộc tính</x:v>
      </x:c>
      <x:c r="Q157" s="295" t="str">
        <x:v>Xác định đúng khối Trích yếu của văn bản có tên loại; đọc giá trị thực; đối chiếu điều kiện; không sửa nội dung khi thiếu nguồn.</x:v>
      </x:c>
      <x:c r="R157" s="295" t="str">
        <x:v>Chưa có locator xác minh riêng</x:v>
      </x:c>
      <x:c r="S157" s="295" t="str">
        <x:v>https://datafiles.chinhphu.vn/cpp/files/vbpq/2020/03/30.signed.pdf</x:v>
      </x:c>
      <x:c r="T157" s="295" t="str">
        <x:v>CÓ</x:v>
      </x:c>
      <x:c r="U157" s="295" t="str">
        <x:v>CHECK_ONLY</x:v>
      </x:c>
      <x:c r="V157" s="295" t="str">
        <x:v>Phải nhận diện chế độ và chủ thể trước khi áp dụng</x:v>
      </x:c>
    </x:row>
    <x:row r="158" ht="28" customHeight="1">
      <x:c r="A158" s="295" t="n">
        <x:v>153</x:v>
      </x:c>
      <x:c r="B158" s="295" t="str">
        <x:v>ND30.D.TY.TRICH_YEU.PHONG_CHU</x:v>
      </x:c>
      <x:c r="C158" s="295" t="str">
        <x:v>ND30.D.TY.TRICH_YEU</x:v>
      </x:c>
      <x:c r="D158" s="295" t="str">
        <x:v>Tên loại / trích yếu</x:v>
      </x:c>
      <x:c r="E158" s="295" t="str">
        <x:v>Trích yếu của văn bản có tên loại</x:v>
      </x:c>
      <x:c r="F158" s="295" t="str">
        <x:v>Font chữ</x:v>
      </x:c>
      <x:c r="G158" s="295" t="str">
        <x:v>STRING</x:v>
      </x:c>
      <x:c r="H158" s="295"/>
      <x:c r="I158" s="295" t="str">
        <x:v>Times New Roman</x:v>
      </x:c>
      <x:c r="J158" s="295" t="str">
        <x:v>Đúng giá trị/giới hạn riêng</x:v>
      </x:c>
      <x:c r="K158" s="295" t="str">
        <x:v>Times New Roman</x:v>
      </x:c>
      <x:c r="L158" s="295" t="str">
        <x:v>PROFILE_CO_GIA_TRI_CHUA_DUYET</x:v>
      </x:c>
      <x:c r="M158" s="295" t="str">
        <x:v>DOI_CHIEU_CU_THE</x:v>
      </x:c>
      <x:c r="N158" s="295" t="str">
        <x:v>Chỉ văn bản có tên loại, trích yếu ở ô 5a</x:v>
      </x:c>
      <x:c r="O158" s="295" t="str">
        <x:v>Quy định gốc &gt; profile; khi chưa rõ điều kiện thì giữ nguyên; không sinh nội dung.</x:v>
      </x:c>
      <x:c r="P158" s="295" t="str">
        <x:v>PARAGRAPH / RUN / SHAPE tùy thuộc tính</x:v>
      </x:c>
      <x:c r="Q158" s="295" t="str">
        <x:v>Xác định đúng khối Trích yếu của văn bản có tên loại; đọc giá trị thực; đối chiếu điều kiện; không sửa nội dung khi thiếu nguồn.</x:v>
      </x:c>
      <x:c r="R158" s="295" t="str">
        <x:v>Phụ lục I, Phần I, I.4</x:v>
      </x:c>
      <x:c r="S158" s="295" t="str">
        <x:v>https://datafiles.chinhphu.vn/cpp/files/vbpq/2020/03/30.signed.pdf</x:v>
      </x:c>
      <x:c r="T158" s="295" t="str">
        <x:v>CÓ</x:v>
      </x:c>
      <x:c r="U158" s="295" t="str">
        <x:v>CHECK_ONLY</x:v>
      </x:c>
      <x:c r="V158" s="295" t="str"/>
    </x:row>
    <x:row r="159" ht="28" customHeight="1">
      <x:c r="A159" s="295" t="n">
        <x:v>154</x:v>
      </x:c>
      <x:c r="B159" s="295" t="str">
        <x:v>ND30.D.TY.TRICH_YEU.CO_CHU</x:v>
      </x:c>
      <x:c r="C159" s="295" t="str">
        <x:v>ND30.D.TY.TRICH_YEU</x:v>
      </x:c>
      <x:c r="D159" s="295" t="str">
        <x:v>Tên loại / trích yếu</x:v>
      </x:c>
      <x:c r="E159" s="295" t="str">
        <x:v>Trích yếu của văn bản có tên loại</x:v>
      </x:c>
      <x:c r="F159" s="295" t="str">
        <x:v>Cỡ chữ</x:v>
      </x:c>
      <x:c r="G159" s="295" t="str">
        <x:v>NUMBER_OR_RANGE</x:v>
      </x:c>
      <x:c r="H159" s="295" t="str">
        <x:v>pt</x:v>
      </x:c>
      <x:c r="I159" s="295" t="str">
        <x:v>13–14</x:v>
      </x:c>
      <x:c r="J159" s="295" t="str">
        <x:v>Đúng giá trị/giới hạn riêng</x:v>
      </x:c>
      <x:c r="K159" s="295" t="n">
        <x:v>14</x:v>
      </x:c>
      <x:c r="L159" s="295" t="str">
        <x:v>PROFILE_CO_GIA_TRI_CHUA_DUYET</x:v>
      </x:c>
      <x:c r="M159" s="295" t="str">
        <x:v>DOI_CHIEU_CU_THE</x:v>
      </x:c>
      <x:c r="N159" s="295" t="str">
        <x:v>Chỉ văn bản có tên loại, trích yếu ở ô 5a</x:v>
      </x:c>
      <x:c r="O159" s="295" t="str">
        <x:v>Quy định gốc &gt; profile; khi chưa rõ điều kiện thì giữ nguyên; không sinh nội dung.</x:v>
      </x:c>
      <x:c r="P159" s="295" t="str">
        <x:v>PARAGRAPH / RUN / SHAPE tùy thuộc tính</x:v>
      </x:c>
      <x:c r="Q159" s="295" t="str">
        <x:v>Xác định đúng khối Trích yếu của văn bản có tên loại; đọc giá trị thực; đối chiếu điều kiện; không sửa nội dung khi thiếu nguồn.</x:v>
      </x:c>
      <x:c r="R159" s="295" t="str">
        <x:v>Phụ lục I, Phần I, II.5.b</x:v>
      </x:c>
      <x:c r="S159" s="295" t="str">
        <x:v>https://datafiles.chinhphu.vn/cpp/files/vbpq/2020/03/30.signed.pdf</x:v>
      </x:c>
      <x:c r="T159" s="295" t="str">
        <x:v>CÓ</x:v>
      </x:c>
      <x:c r="U159" s="295" t="str">
        <x:v>CHECK_ONLY</x:v>
      </x:c>
      <x:c r="V159" s="295" t="str"/>
    </x:row>
    <x:row r="160" ht="28" customHeight="1">
      <x:c r="A160" s="295" t="n">
        <x:v>155</x:v>
      </x:c>
      <x:c r="B160" s="295" t="str">
        <x:v>ND30.D.TY.TRICH_YEU.DAM</x:v>
      </x:c>
      <x:c r="C160" s="295" t="str">
        <x:v>ND30.D.TY.TRICH_YEU</x:v>
      </x:c>
      <x:c r="D160" s="295" t="str">
        <x:v>Tên loại / trích yếu</x:v>
      </x:c>
      <x:c r="E160" s="295" t="str">
        <x:v>Trích yếu của văn bản có tên loại</x:v>
      </x:c>
      <x:c r="F160" s="295" t="str">
        <x:v>In đậm</x:v>
      </x:c>
      <x:c r="G160" s="295" t="str">
        <x:v>BOOLEAN</x:v>
      </x:c>
      <x:c r="H160" s="295"/>
      <x:c r="I160" s="296" t="b">
        <x:v>1</x:v>
      </x:c>
      <x:c r="J160" s="295" t="str">
        <x:v>Đúng giá trị/giới hạn riêng</x:v>
      </x:c>
      <x:c r="K160" s="296" t="b">
        <x:v>1</x:v>
      </x:c>
      <x:c r="L160" s="295" t="str">
        <x:v>PROFILE_CO_GIA_TRI_CHUA_DUYET</x:v>
      </x:c>
      <x:c r="M160" s="295" t="str">
        <x:v>DOI_CHIEU_CU_THE</x:v>
      </x:c>
      <x:c r="N160" s="295" t="str">
        <x:v>Chỉ văn bản có tên loại, trích yếu ở ô 5a</x:v>
      </x:c>
      <x:c r="O160" s="295" t="str">
        <x:v>Quy định gốc &gt; profile; khi chưa rõ điều kiện thì giữ nguyên; không sinh nội dung.</x:v>
      </x:c>
      <x:c r="P160" s="295" t="str">
        <x:v>PARAGRAPH / RUN / SHAPE tùy thuộc tính</x:v>
      </x:c>
      <x:c r="Q160" s="295" t="str">
        <x:v>Xác định đúng khối Trích yếu của văn bản có tên loại; đọc giá trị thực; đối chiếu điều kiện; không sửa nội dung khi thiếu nguồn.</x:v>
      </x:c>
      <x:c r="R160" s="295" t="str">
        <x:v>Phụ lục I, Phần I, II.5.b</x:v>
      </x:c>
      <x:c r="S160" s="295" t="str">
        <x:v>https://datafiles.chinhphu.vn/cpp/files/vbpq/2020/03/30.signed.pdf</x:v>
      </x:c>
      <x:c r="T160" s="295" t="str">
        <x:v>CÓ</x:v>
      </x:c>
      <x:c r="U160" s="295" t="str">
        <x:v>CHECK_ONLY</x:v>
      </x:c>
      <x:c r="V160" s="295" t="str"/>
    </x:row>
    <x:row r="161" ht="28" customHeight="1">
      <x:c r="A161" s="295" t="n">
        <x:v>156</x:v>
      </x:c>
      <x:c r="B161" s="295" t="str">
        <x:v>ND30.D.TY.TRICH_YEU.NGHIENG</x:v>
      </x:c>
      <x:c r="C161" s="295" t="str">
        <x:v>ND30.D.TY.TRICH_YEU</x:v>
      </x:c>
      <x:c r="D161" s="295" t="str">
        <x:v>Tên loại / trích yếu</x:v>
      </x:c>
      <x:c r="E161" s="295" t="str">
        <x:v>Trích yếu của văn bản có tên loại</x:v>
      </x:c>
      <x:c r="F161" s="295" t="str">
        <x:v>In nghiêng</x:v>
      </x:c>
      <x:c r="G161" s="295" t="str">
        <x:v>BOOLEAN</x:v>
      </x:c>
      <x:c r="H161" s="295"/>
      <x:c r="I161" s="296" t="b">
        <x:v>0</x:v>
      </x:c>
      <x:c r="J161" s="295" t="str">
        <x:v>Đúng giá trị/giới hạn riêng</x:v>
      </x:c>
      <x:c r="K161" s="296" t="b">
        <x:v>0</x:v>
      </x:c>
      <x:c r="L161" s="295" t="str">
        <x:v>PROFILE_CO_GIA_TRI_CHUA_DUYET</x:v>
      </x:c>
      <x:c r="M161" s="295" t="str">
        <x:v>DOI_CHIEU_CU_THE</x:v>
      </x:c>
      <x:c r="N161" s="295" t="str">
        <x:v>Chỉ văn bản có tên loại, trích yếu ở ô 5a</x:v>
      </x:c>
      <x:c r="O161" s="295" t="str">
        <x:v>Quy định gốc &gt; profile; khi chưa rõ điều kiện thì giữ nguyên; không sinh nội dung.</x:v>
      </x:c>
      <x:c r="P161" s="295" t="str">
        <x:v>PARAGRAPH / RUN / SHAPE tùy thuộc tính</x:v>
      </x:c>
      <x:c r="Q161" s="295" t="str">
        <x:v>Xác định đúng khối Trích yếu của văn bản có tên loại; đọc giá trị thực; đối chiếu điều kiện; không sửa nội dung khi thiếu nguồn.</x:v>
      </x:c>
      <x:c r="R161" s="295" t="str">
        <x:v>Phụ lục I, Phần I, II.5.b</x:v>
      </x:c>
      <x:c r="S161" s="295" t="str">
        <x:v>https://datafiles.chinhphu.vn/cpp/files/vbpq/2020/03/30.signed.pdf</x:v>
      </x:c>
      <x:c r="T161" s="295" t="str">
        <x:v>CÓ</x:v>
      </x:c>
      <x:c r="U161" s="295" t="str">
        <x:v>CHECK_ONLY</x:v>
      </x:c>
      <x:c r="V161" s="295" t="str"/>
    </x:row>
    <x:row r="162" ht="28" customHeight="1">
      <x:c r="A162" s="295" t="n">
        <x:v>157</x:v>
      </x:c>
      <x:c r="B162" s="295" t="str">
        <x:v>ND30.D.TY.TRICH_YEU.KIEU_CHU</x:v>
      </x:c>
      <x:c r="C162" s="295" t="str">
        <x:v>ND30.D.TY.TRICH_YEU</x:v>
      </x:c>
      <x:c r="D162" s="295" t="str">
        <x:v>Tên loại / trích yếu</x:v>
      </x:c>
      <x:c r="E162" s="295" t="str">
        <x:v>Trích yếu của văn bản có tên loại</x:v>
      </x:c>
      <x:c r="F162" s="295" t="str">
        <x:v>Kiểu viết hoa/thường</x:v>
      </x:c>
      <x:c r="G162" s="295" t="str">
        <x:v>ENUM</x:v>
      </x:c>
      <x:c r="H162" s="295"/>
      <x:c r="I162" s="295" t="str">
        <x:v>In thường</x:v>
      </x:c>
      <x:c r="J162" s="295" t="str">
        <x:v>Đúng giá trị/giới hạn riêng</x:v>
      </x:c>
      <x:c r="K162" s="295" t="str">
        <x:v>In thường</x:v>
      </x:c>
      <x:c r="L162" s="295" t="str">
        <x:v>PROFILE_CO_GIA_TRI_CHUA_DUYET</x:v>
      </x:c>
      <x:c r="M162" s="295" t="str">
        <x:v>DOI_CHIEU_CU_THE</x:v>
      </x:c>
      <x:c r="N162" s="295" t="str">
        <x:v>Chỉ văn bản có tên loại, trích yếu ở ô 5a</x:v>
      </x:c>
      <x:c r="O162" s="295" t="str">
        <x:v>Quy định gốc &gt; profile; khi chưa rõ điều kiện thì giữ nguyên; không sinh nội dung.</x:v>
      </x:c>
      <x:c r="P162" s="295" t="str">
        <x:v>PARAGRAPH / RUN / SHAPE tùy thuộc tính</x:v>
      </x:c>
      <x:c r="Q162" s="295" t="str">
        <x:v>Xác định đúng khối Trích yếu của văn bản có tên loại; đọc giá trị thực; đối chiếu điều kiện; không sửa nội dung khi thiếu nguồn.</x:v>
      </x:c>
      <x:c r="R162" s="295" t="str">
        <x:v>Phụ lục I, Phần I, II.5.b</x:v>
      </x:c>
      <x:c r="S162" s="295" t="str">
        <x:v>https://datafiles.chinhphu.vn/cpp/files/vbpq/2020/03/30.signed.pdf</x:v>
      </x:c>
      <x:c r="T162" s="295" t="str">
        <x:v>CÓ</x:v>
      </x:c>
      <x:c r="U162" s="295" t="str">
        <x:v>CHECK_ONLY</x:v>
      </x:c>
      <x:c r="V162" s="295" t="str"/>
    </x:row>
    <x:row r="163" ht="28" customHeight="1">
      <x:c r="A163" s="295" t="n">
        <x:v>158</x:v>
      </x:c>
      <x:c r="B163" s="295" t="str">
        <x:v>ND30.D.TY.TRICH_YEU.CAN_NGANG</x:v>
      </x:c>
      <x:c r="C163" s="295" t="str">
        <x:v>ND30.D.TY.TRICH_YEU</x:v>
      </x:c>
      <x:c r="D163" s="295" t="str">
        <x:v>Tên loại / trích yếu</x:v>
      </x:c>
      <x:c r="E163" s="295" t="str">
        <x:v>Trích yếu của văn bản có tên loại</x:v>
      </x:c>
      <x:c r="F163" s="295" t="str">
        <x:v>Căn ngang</x:v>
      </x:c>
      <x:c r="G163" s="295" t="str">
        <x:v>ENUM</x:v>
      </x:c>
      <x:c r="H163" s="295"/>
      <x:c r="I163" s="295" t="str">
        <x:v>CENTER</x:v>
      </x:c>
      <x:c r="J163" s="295" t="str">
        <x:v>Đúng giá trị/giới hạn riêng</x:v>
      </x:c>
      <x:c r="K163" s="295" t="str">
        <x:v>CENTER</x:v>
      </x:c>
      <x:c r="L163" s="295" t="str">
        <x:v>PROFILE_CO_GIA_TRI_CHUA_DUYET</x:v>
      </x:c>
      <x:c r="M163" s="295" t="str">
        <x:v>DOI_CHIEU_CU_THE</x:v>
      </x:c>
      <x:c r="N163" s="295" t="str">
        <x:v>Chỉ văn bản có tên loại, trích yếu ở ô 5a</x:v>
      </x:c>
      <x:c r="O163" s="295" t="str">
        <x:v>Quy định gốc &gt; profile; khi chưa rõ điều kiện thì giữ nguyên; không sinh nội dung.</x:v>
      </x:c>
      <x:c r="P163" s="295" t="str">
        <x:v>PARAGRAPH / RUN / SHAPE tùy thuộc tính</x:v>
      </x:c>
      <x:c r="Q163" s="295" t="str">
        <x:v>Xác định đúng khối Trích yếu của văn bản có tên loại; đọc giá trị thực; đối chiếu điều kiện; không sửa nội dung khi thiếu nguồn.</x:v>
      </x:c>
      <x:c r="R163" s="295" t="str">
        <x:v>Phụ lục I, Phần I, II.5.b</x:v>
      </x:c>
      <x:c r="S163" s="295" t="str">
        <x:v>https://datafiles.chinhphu.vn/cpp/files/vbpq/2020/03/30.signed.pdf</x:v>
      </x:c>
      <x:c r="T163" s="295" t="str">
        <x:v>CÓ</x:v>
      </x:c>
      <x:c r="U163" s="295" t="str">
        <x:v>CHECK_ONLY</x:v>
      </x:c>
      <x:c r="V163" s="295" t="str"/>
    </x:row>
    <x:row r="164" ht="28" customHeight="1">
      <x:c r="A164" s="295" t="n">
        <x:v>159</x:v>
      </x:c>
      <x:c r="B164" s="295" t="str">
        <x:v>ND30.D.TY.TRICH_YEU.CACH_SAU</x:v>
      </x:c>
      <x:c r="C164" s="295" t="str">
        <x:v>ND30.D.TY.TRICH_YEU</x:v>
      </x:c>
      <x:c r="D164" s="295" t="str">
        <x:v>Tên loại / trích yếu</x:v>
      </x:c>
      <x:c r="E164" s="295" t="str">
        <x:v>Trích yếu của văn bản có tên loại</x:v>
      </x:c>
      <x:c r="F164" s="295" t="str">
        <x:v>Khoảng cách sau đoạn</x:v>
      </x:c>
      <x:c r="G164" s="295" t="str">
        <x:v>NUMBER</x:v>
      </x:c>
      <x:c r="H164" s="295" t="str">
        <x:v>pt</x:v>
      </x:c>
      <x:c r="I164" s="295" t="str">
        <x:v>CHƯA XÁC MINH RIÊNG</x:v>
      </x:c>
      <x:c r="J164" s="295" t="str">
        <x:v>Không suy ra giới hạn pháp lý</x:v>
      </x:c>
      <x:c r="K164" s="295" t="n">
        <x:v>6</x:v>
      </x:c>
      <x:c r="L164" s="295" t="str">
        <x:v>PROFILE_CHO_RAO_SOAT</x:v>
      </x:c>
      <x:c r="M164" s="295" t="str">
        <x:v>CHUA_DOI_CHIEU_CU_THE</x:v>
      </x:c>
      <x:c r="N164" s="295" t="str">
        <x:v>Chỉ văn bản có tên loại, trích yếu ở ô 5a</x:v>
      </x:c>
      <x:c r="O164" s="295" t="str">
        <x:v>Quy định gốc &gt; profile; khi chưa rõ điều kiện thì giữ nguyên; không sinh nội dung.</x:v>
      </x:c>
      <x:c r="P164" s="295" t="str">
        <x:v>PARAGRAPH / RUN / SHAPE tùy thuộc tính</x:v>
      </x:c>
      <x:c r="Q164" s="295" t="str">
        <x:v>Xác định đúng khối Trích yếu của văn bản có tên loại; đọc giá trị thực; đối chiếu điều kiện; không sửa nội dung khi thiếu nguồn.</x:v>
      </x:c>
      <x:c r="R164" s="295" t="str">
        <x:v>Chưa có locator xác minh riêng</x:v>
      </x:c>
      <x:c r="S164" s="295" t="str">
        <x:v>https://datafiles.chinhphu.vn/cpp/files/vbpq/2020/03/30.signed.pdf</x:v>
      </x:c>
      <x:c r="T164" s="295" t="str">
        <x:v>CÓ</x:v>
      </x:c>
      <x:c r="U164" s="295" t="str">
        <x:v>CHECK_ONLY</x:v>
      </x:c>
      <x:c r="V164" s="295" t="str">
        <x:v>Không tự chèn đoạn trắng</x:v>
      </x:c>
    </x:row>
    <x:row r="165" ht="28" customHeight="1">
      <x:c r="A165" s="295" t="n">
        <x:v>160</x:v>
      </x:c>
      <x:c r="B165" s="295" t="str">
        <x:v>ND30.D.TY.TRICH_YEU.GIAN_DONG</x:v>
      </x:c>
      <x:c r="C165" s="295" t="str">
        <x:v>ND30.D.TY.TRICH_YEU</x:v>
      </x:c>
      <x:c r="D165" s="295" t="str">
        <x:v>Tên loại / trích yếu</x:v>
      </x:c>
      <x:c r="E165" s="295" t="str">
        <x:v>Trích yếu của văn bản có tên loại</x:v>
      </x:c>
      <x:c r="F165" s="295" t="str">
        <x:v>Giãn dòng</x:v>
      </x:c>
      <x:c r="G165" s="295" t="str">
        <x:v>NUMBER</x:v>
      </x:c>
      <x:c r="H165" s="295" t="str">
        <x:v>lines</x:v>
      </x:c>
      <x:c r="I165" s="295" t="str">
        <x:v>CHƯA XÁC MINH RIÊNG</x:v>
      </x:c>
      <x:c r="J165" s="295" t="str">
        <x:v>Không suy ra giới hạn pháp lý</x:v>
      </x:c>
      <x:c r="K165" s="295" t="str">
        <x:v>SINGLE</x:v>
      </x:c>
      <x:c r="L165" s="295" t="str">
        <x:v>PROFILE_CHO_RAO_SOAT</x:v>
      </x:c>
      <x:c r="M165" s="295" t="str">
        <x:v>CHUA_DOI_CHIEU_CU_THE</x:v>
      </x:c>
      <x:c r="N165" s="295" t="str">
        <x:v>Chỉ văn bản có tên loại, trích yếu ở ô 5a</x:v>
      </x:c>
      <x:c r="O165" s="295" t="str">
        <x:v>Quy định gốc &gt; profile; khi chưa rõ điều kiện thì giữ nguyên; không sinh nội dung.</x:v>
      </x:c>
      <x:c r="P165" s="295" t="str">
        <x:v>PARAGRAPH / RUN / SHAPE tùy thuộc tính</x:v>
      </x:c>
      <x:c r="Q165" s="295" t="str">
        <x:v>Xác định đúng khối Trích yếu của văn bản có tên loại; đọc giá trị thực; đối chiếu điều kiện; không sửa nội dung khi thiếu nguồn.</x:v>
      </x:c>
      <x:c r="R165" s="295" t="str">
        <x:v>Chưa có locator xác minh riêng</x:v>
      </x:c>
      <x:c r="S165" s="295" t="str">
        <x:v>https://datafiles.chinhphu.vn/cpp/files/vbpq/2020/03/30.signed.pdf</x:v>
      </x:c>
      <x:c r="T165" s="295" t="str">
        <x:v>CÓ</x:v>
      </x:c>
      <x:c r="U165" s="295" t="str">
        <x:v>CHECK_ONLY</x:v>
      </x:c>
      <x:c r="V165" s="295" t="str">
        <x:v>Giãn dòng phần đầu không được tự đồng nhất với thân bài.</x:v>
      </x:c>
    </x:row>
    <x:row r="166" ht="28" customHeight="1">
      <x:c r="A166" s="295" t="n">
        <x:v>161</x:v>
      </x:c>
      <x:c r="B166" s="295" t="str">
        <x:v>ND30.D.TY.TRICH_YEU.BAO_VE_NOI_DUNG</x:v>
      </x:c>
      <x:c r="C166" s="295" t="str">
        <x:v>ND30.D.TY.TRICH_YEU</x:v>
      </x:c>
      <x:c r="D166" s="295" t="str">
        <x:v>Tên loại / trích yếu</x:v>
      </x:c>
      <x:c r="E166" s="295" t="str">
        <x:v>Trích yếu của văn bản có tên loại</x:v>
      </x:c>
      <x:c r="F166" s="295" t="str">
        <x:v>Không tự suy diễn nội dung</x:v>
      </x:c>
      <x:c r="G166" s="295" t="str">
        <x:v>BOOLEAN</x:v>
      </x:c>
      <x:c r="H166" s="295"/>
      <x:c r="I166" s="295" t="str">
        <x:v>CHƯA XÁC MINH RIÊNG</x:v>
      </x:c>
      <x:c r="J166" s="295" t="str">
        <x:v>Không suy ra giới hạn pháp lý</x:v>
      </x:c>
      <x:c r="K166" s="296" t="b">
        <x:v>1</x:v>
      </x:c>
      <x:c r="L166" s="295" t="str">
        <x:v>NOI_DUNG_BAO_VE</x:v>
      </x:c>
      <x:c r="M166" s="295" t="str">
        <x:v>CHUA_DOI_CHIEU_CU_THE</x:v>
      </x:c>
      <x:c r="N166" s="295" t="str">
        <x:v>Chỉ văn bản có tên loại, trích yếu ở ô 5a</x:v>
      </x:c>
      <x:c r="O166" s="295" t="str">
        <x:v>Quy định gốc &gt; profile; khi chưa rõ điều kiện thì giữ nguyên; không sinh nội dung.</x:v>
      </x:c>
      <x:c r="P166" s="295" t="str">
        <x:v>PARAGRAPH / RUN / SHAPE tùy thuộc tính</x:v>
      </x:c>
      <x:c r="Q166" s="295" t="str">
        <x:v>Xác định đúng khối Trích yếu của văn bản có tên loại; đọc giá trị thực; đối chiếu điều kiện; không sửa nội dung khi thiếu nguồn.</x:v>
      </x:c>
      <x:c r="R166" s="295" t="str">
        <x:v>Chưa có locator xác minh riêng</x:v>
      </x:c>
      <x:c r="S166" s="295" t="str">
        <x:v>https://datafiles.chinhphu.vn/cpp/files/vbpq/2020/03/30.signed.pdf</x:v>
      </x:c>
      <x:c r="T166" s="295" t="str">
        <x:v>CÓ</x:v>
      </x:c>
      <x:c r="U166" s="295" t="str">
        <x:v>CHECK_ONLY</x:v>
      </x:c>
      <x:c r="V166" s="295" t="str">
        <x:v>Chỉ chuẩn hóa hình thức sau khi xác nhận chính xác nội dung, không tự điền số/ngày/người nhận.</x:v>
      </x:c>
    </x:row>
    <x:row r="167" ht="28" customHeight="1">
      <x:c r="A167" s="295" t="n">
        <x:v>162</x:v>
      </x:c>
      <x:c r="B167" s="295" t="str">
        <x:v>ND30.D.TY.DUONG_KE.HIEN_DIEN</x:v>
      </x:c>
      <x:c r="C167" s="295" t="str">
        <x:v>ND30.D.TY.DUONG_KE</x:v>
      </x:c>
      <x:c r="D167" s="295" t="str">
        <x:v>Tên loại / trích yếu</x:v>
      </x:c>
      <x:c r="E167" s="295" t="str">
        <x:v>Đường kẻ dưới trích yếu (khi mẫu yêu cầu)</x:v>
      </x:c>
      <x:c r="F167" s="295" t="str">
        <x:v>Điều kiện hiện diện</x:v>
      </x:c>
      <x:c r="G167" s="295" t="str">
        <x:v>TEXT</x:v>
      </x:c>
      <x:c r="H167" s="295"/>
      <x:c r="I167" s="295" t="str">
        <x:v>CHƯA XÁC MINH RIÊNG</x:v>
      </x:c>
      <x:c r="J167" s="295" t="str">
        <x:v>Không suy ra giới hạn pháp lý</x:v>
      </x:c>
      <x:c r="K167" s="295" t="str">
        <x:v>Chỉ NĐ30 với dạng tên loại/trích yếu 5a</x:v>
      </x:c>
      <x:c r="L167" s="295" t="str">
        <x:v>CHUA_DUYET_DINH_TUYEN</x:v>
      </x:c>
      <x:c r="M167" s="295" t="str">
        <x:v>CHUA_DOI_CHIEU_CU_THE</x:v>
      </x:c>
      <x:c r="N167" s="295" t="str">
        <x:v>Chỉ NĐ30 với dạng tên loại/trích yếu 5a</x:v>
      </x:c>
      <x:c r="O167" s="295" t="str">
        <x:v>Quy định gốc &gt; profile; khi chưa rõ điều kiện thì giữ nguyên; không sinh nội dung.</x:v>
      </x:c>
      <x:c r="P167" s="295" t="str">
        <x:v>PARAGRAPH / RUN / SHAPE tùy thuộc tính</x:v>
      </x:c>
      <x:c r="Q167" s="295" t="str">
        <x:v>Xác định đúng khối Đường kẻ dưới trích yếu (khi mẫu yêu cầu); đọc giá trị thực; đối chiếu điều kiện; không sửa nội dung khi thiếu nguồn.</x:v>
      </x:c>
      <x:c r="R167" s="295" t="str">
        <x:v>Chưa có locator xác minh riêng</x:v>
      </x:c>
      <x:c r="S167" s="295" t="str">
        <x:v>https://datafiles.chinhphu.vn/cpp/files/vbpq/2020/03/30.signed.pdf</x:v>
      </x:c>
      <x:c r="T167" s="295" t="str">
        <x:v>CÓ</x:v>
      </x:c>
      <x:c r="U167" s="295" t="str">
        <x:v>CHECK_ONLY</x:v>
      </x:c>
      <x:c r="V167" s="295" t="str">
        <x:v>Phải nhận diện chế độ và chủ thể trước khi áp dụng</x:v>
      </x:c>
    </x:row>
    <x:row r="168" ht="28" customHeight="1">
      <x:c r="A168" s="295" t="n">
        <x:v>163</x:v>
      </x:c>
      <x:c r="B168" s="295" t="str">
        <x:v>ND30.D.TY.DUONG_KE.KIEU_DUONG</x:v>
      </x:c>
      <x:c r="C168" s="295" t="str">
        <x:v>ND30.D.TY.DUONG_KE</x:v>
      </x:c>
      <x:c r="D168" s="295" t="str">
        <x:v>Tên loại / trích yếu</x:v>
      </x:c>
      <x:c r="E168" s="295" t="str">
        <x:v>Đường kẻ dưới trích yếu (khi mẫu yêu cầu)</x:v>
      </x:c>
      <x:c r="F168" s="295" t="str">
        <x:v>Kiểu kẻ</x:v>
      </x:c>
      <x:c r="G168" s="295" t="str">
        <x:v>TEXT</x:v>
      </x:c>
      <x:c r="H168" s="295"/>
      <x:c r="I168" s="295" t="str">
        <x:v>Nét liền</x:v>
      </x:c>
      <x:c r="J168" s="295" t="str">
        <x:v>Đúng giá trị/giới hạn riêng</x:v>
      </x:c>
      <x:c r="K168" s="295" t="str">
        <x:v>Nét liền</x:v>
      </x:c>
      <x:c r="L168" s="295" t="str">
        <x:v>PROFILE_THEO_NGUON</x:v>
      </x:c>
      <x:c r="M168" s="295" t="str">
        <x:v>DOI_CHIEU_CU_THE</x:v>
      </x:c>
      <x:c r="N168" s="295" t="str">
        <x:v>Chỉ NĐ30 với dạng tên loại/trích yếu 5a</x:v>
      </x:c>
      <x:c r="O168" s="295" t="str">
        <x:v>Quy định gốc &gt; profile; khi chưa rõ điều kiện thì giữ nguyên; không sinh nội dung.</x:v>
      </x:c>
      <x:c r="P168" s="295" t="str">
        <x:v>PARAGRAPH / RUN / SHAPE tùy thuộc tính</x:v>
      </x:c>
      <x:c r="Q168" s="295" t="str">
        <x:v>Xác định đúng khối Đường kẻ dưới trích yếu (khi mẫu yêu cầu); đọc giá trị thực; đối chiếu điều kiện; không sửa nội dung khi thiếu nguồn.</x:v>
      </x:c>
      <x:c r="R168" s="295" t="str">
        <x:v>Phụ lục I, Phần I, II.5.b</x:v>
      </x:c>
      <x:c r="S168" s="295" t="str">
        <x:v>https://datafiles.chinhphu.vn/cpp/files/vbpq/2020/03/30.signed.pdf</x:v>
      </x:c>
      <x:c r="T168" s="295" t="str">
        <x:v>CÓ</x:v>
      </x:c>
      <x:c r="U168" s="295" t="str">
        <x:v>CHECK_ONLY</x:v>
      </x:c>
      <x:c r="V168" s="295" t="str">
        <x:v>Mã rule con chỉ phục vụ AI đọc; không tự tạo thao tác OOXML.</x:v>
      </x:c>
    </x:row>
    <x:row r="169" ht="28" customHeight="1">
      <x:c r="A169" s="295" t="n">
        <x:v>164</x:v>
      </x:c>
      <x:c r="B169" s="295" t="str">
        <x:v>ND30.D.TY.DUONG_KE.DO_DAI</x:v>
      </x:c>
      <x:c r="C169" s="295" t="str">
        <x:v>ND30.D.TY.DUONG_KE</x:v>
      </x:c>
      <x:c r="D169" s="295" t="str">
        <x:v>Tên loại / trích yếu</x:v>
      </x:c>
      <x:c r="E169" s="295" t="str">
        <x:v>Đường kẻ dưới trích yếu (khi mẫu yêu cầu)</x:v>
      </x:c>
      <x:c r="F169" s="295" t="str">
        <x:v>Độ dài theo dòng trích yếu</x:v>
      </x:c>
      <x:c r="G169" s="295" t="str">
        <x:v>TEXT</x:v>
      </x:c>
      <x:c r="H169" s="295"/>
      <x:c r="I169" s="295" t="str">
        <x:v>1/3–1/2 chiều dài dòng chữ</x:v>
      </x:c>
      <x:c r="J169" s="295" t="str">
        <x:v>Đúng giá trị/giới hạn riêng</x:v>
      </x:c>
      <x:c r="K169" s="295" t="str">
        <x:v>PRESERVE</x:v>
      </x:c>
      <x:c r="L169" s="295" t="str">
        <x:v>PROFILE_THEO_NGUON</x:v>
      </x:c>
      <x:c r="M169" s="295" t="str">
        <x:v>DOI_CHIEU_CU_THE</x:v>
      </x:c>
      <x:c r="N169" s="295" t="str">
        <x:v>Chỉ NĐ30 với dạng tên loại/trích yếu 5a</x:v>
      </x:c>
      <x:c r="O169" s="295" t="str">
        <x:v>Quy định gốc &gt; profile; khi chưa rõ điều kiện thì giữ nguyên; không sinh nội dung.</x:v>
      </x:c>
      <x:c r="P169" s="295" t="str">
        <x:v>PARAGRAPH / RUN / SHAPE tùy thuộc tính</x:v>
      </x:c>
      <x:c r="Q169" s="295" t="str">
        <x:v>Xác định đúng khối Đường kẻ dưới trích yếu (khi mẫu yêu cầu); đọc giá trị thực; đối chiếu điều kiện; không sửa nội dung khi thiếu nguồn.</x:v>
      </x:c>
      <x:c r="R169" s="295" t="str">
        <x:v>Phụ lục I, Phần I, II.5.b</x:v>
      </x:c>
      <x:c r="S169" s="295" t="str">
        <x:v>https://datafiles.chinhphu.vn/cpp/files/vbpq/2020/03/30.signed.pdf</x:v>
      </x:c>
      <x:c r="T169" s="295" t="str">
        <x:v>CÓ</x:v>
      </x:c>
      <x:c r="U169" s="295" t="str">
        <x:v>CHECK_ONLY</x:v>
      </x:c>
      <x:c r="V169" s="295" t="str">
        <x:v>Mã rule con chỉ phục vụ AI đọc; không tự tạo thao tác OOXML.</x:v>
      </x:c>
    </x:row>
    <x:row r="170" ht="28" customHeight="1">
      <x:c r="A170" s="295" t="n">
        <x:v>165</x:v>
      </x:c>
      <x:c r="B170" s="295" t="str">
        <x:v>ND30.D.TY.DUONG_KE.CAN_DUONG</x:v>
      </x:c>
      <x:c r="C170" s="295" t="str">
        <x:v>ND30.D.TY.DUONG_KE</x:v>
      </x:c>
      <x:c r="D170" s="295" t="str">
        <x:v>Tên loại / trích yếu</x:v>
      </x:c>
      <x:c r="E170" s="295" t="str">
        <x:v>Đường kẻ dưới trích yếu (khi mẫu yêu cầu)</x:v>
      </x:c>
      <x:c r="F170" s="295" t="str">
        <x:v>Vị trí ngang</x:v>
      </x:c>
      <x:c r="G170" s="295" t="str">
        <x:v>TEXT</x:v>
      </x:c>
      <x:c r="H170" s="295"/>
      <x:c r="I170" s="295" t="str">
        <x:v>Giữa dưới trích yếu</x:v>
      </x:c>
      <x:c r="J170" s="295" t="str">
        <x:v>Đúng giá trị/giới hạn riêng</x:v>
      </x:c>
      <x:c r="K170" s="295" t="str">
        <x:v>CENTER</x:v>
      </x:c>
      <x:c r="L170" s="295" t="str">
        <x:v>PROFILE_THEO_NGUON</x:v>
      </x:c>
      <x:c r="M170" s="295" t="str">
        <x:v>DOI_CHIEU_CU_THE</x:v>
      </x:c>
      <x:c r="N170" s="295" t="str">
        <x:v>Chỉ NĐ30 với dạng tên loại/trích yếu 5a</x:v>
      </x:c>
      <x:c r="O170" s="295" t="str">
        <x:v>Quy định gốc &gt; profile; khi chưa rõ điều kiện thì giữ nguyên; không sinh nội dung.</x:v>
      </x:c>
      <x:c r="P170" s="295" t="str">
        <x:v>PARAGRAPH / RUN / SHAPE tùy thuộc tính</x:v>
      </x:c>
      <x:c r="Q170" s="295" t="str">
        <x:v>Xác định đúng khối Đường kẻ dưới trích yếu (khi mẫu yêu cầu); đọc giá trị thực; đối chiếu điều kiện; không sửa nội dung khi thiếu nguồn.</x:v>
      </x:c>
      <x:c r="R170" s="295" t="str">
        <x:v>Phụ lục I, Phần I, II.5.b</x:v>
      </x:c>
      <x:c r="S170" s="295" t="str">
        <x:v>https://datafiles.chinhphu.vn/cpp/files/vbpq/2020/03/30.signed.pdf</x:v>
      </x:c>
      <x:c r="T170" s="295" t="str">
        <x:v>CÓ</x:v>
      </x:c>
      <x:c r="U170" s="295" t="str">
        <x:v>CHECK_ONLY</x:v>
      </x:c>
      <x:c r="V170" s="295" t="str">
        <x:v>Mã rule con chỉ phục vụ AI đọc; không tự tạo thao tác OOXML.</x:v>
      </x:c>
    </x:row>
    <x:row r="171" ht="28" customHeight="1">
      <x:c r="A171" s="295" t="n">
        <x:v>166</x:v>
      </x:c>
      <x:c r="B171" s="295" t="str">
        <x:v>ND30.D.TY.NHAN_VV.HIEN_DIEN</x:v>
      </x:c>
      <x:c r="C171" s="295" t="str">
        <x:v>ND30.D.TY.NHAN_VV</x:v>
      </x:c>
      <x:c r="D171" s="295" t="str">
        <x:v>Tên loại / trích yếu</x:v>
      </x:c>
      <x:c r="E171" s="295" t="str">
        <x:v>Cụm V/v đầu trích yếu công văn</x:v>
      </x:c>
      <x:c r="F171" s="295" t="str">
        <x:v>Điều kiện hiện diện</x:v>
      </x:c>
      <x:c r="G171" s="295" t="str">
        <x:v>TEXT</x:v>
      </x:c>
      <x:c r="H171" s="295"/>
      <x:c r="I171" s="295" t="str">
        <x:v>CHƯA XÁC MINH RIÊNG</x:v>
      </x:c>
      <x:c r="J171" s="295" t="str">
        <x:v>Không suy ra giới hạn pháp lý</x:v>
      </x:c>
      <x:c r="K171" s="295" t="str">
        <x:v>Chỉ công văn NĐ30; ô 5b; không áp dụng cho văn bản có tên loại</x:v>
      </x:c>
      <x:c r="L171" s="295" t="str">
        <x:v>CHUA_DUYET_DINH_TUYEN</x:v>
      </x:c>
      <x:c r="M171" s="295" t="str">
        <x:v>CHUA_DOI_CHIEU_CU_THE</x:v>
      </x:c>
      <x:c r="N171" s="295" t="str">
        <x:v>Chỉ công văn NĐ30; ô 5b; không áp dụng cho văn bản có tên loại</x:v>
      </x:c>
      <x:c r="O171" s="295" t="str">
        <x:v>Quy định gốc &gt; profile; khi chưa rõ điều kiện thì giữ nguyên; không sinh nội dung.</x:v>
      </x:c>
      <x:c r="P171" s="295" t="str">
        <x:v>PARAGRAPH / RUN / SHAPE tùy thuộc tính</x:v>
      </x:c>
      <x:c r="Q171" s="295" t="str">
        <x:v>Xác định đúng khối Cụm V/v đầu trích yếu công văn; đọc giá trị thực; đối chiếu điều kiện; không sửa nội dung khi thiếu nguồn.</x:v>
      </x:c>
      <x:c r="R171" s="295" t="str">
        <x:v>Chưa có locator xác minh riêng</x:v>
      </x:c>
      <x:c r="S171" s="295" t="str">
        <x:v>https://datafiles.chinhphu.vn/cpp/files/vbpq/2020/03/30.signed.pdf</x:v>
      </x:c>
      <x:c r="T171" s="295" t="str">
        <x:v>CÓ</x:v>
      </x:c>
      <x:c r="U171" s="295" t="str">
        <x:v>CHECK_ONLY</x:v>
      </x:c>
      <x:c r="V171" s="295" t="str">
        <x:v>Phải nhận diện chế độ và chủ thể trước khi áp dụng</x:v>
      </x:c>
    </x:row>
    <x:row r="172" ht="28" customHeight="1">
      <x:c r="A172" s="295" t="n">
        <x:v>167</x:v>
      </x:c>
      <x:c r="B172" s="295" t="str">
        <x:v>ND30.D.TY.NHAN_VV.PHONG_CHU</x:v>
      </x:c>
      <x:c r="C172" s="295" t="str">
        <x:v>ND30.D.TY.NHAN_VV</x:v>
      </x:c>
      <x:c r="D172" s="295" t="str">
        <x:v>Tên loại / trích yếu</x:v>
      </x:c>
      <x:c r="E172" s="295" t="str">
        <x:v>Cụm V/v đầu trích yếu công văn</x:v>
      </x:c>
      <x:c r="F172" s="295" t="str">
        <x:v>Font chữ</x:v>
      </x:c>
      <x:c r="G172" s="295" t="str">
        <x:v>STRING</x:v>
      </x:c>
      <x:c r="H172" s="295"/>
      <x:c r="I172" s="295" t="str">
        <x:v>Times New Roman</x:v>
      </x:c>
      <x:c r="J172" s="295" t="str">
        <x:v>Đúng giá trị/giới hạn riêng</x:v>
      </x:c>
      <x:c r="K172" s="295" t="str">
        <x:v>Times New Roman</x:v>
      </x:c>
      <x:c r="L172" s="295" t="str">
        <x:v>PROFILE_CO_GIA_TRI_CHUA_DUYET</x:v>
      </x:c>
      <x:c r="M172" s="295" t="str">
        <x:v>DOI_CHIEU_CU_THE</x:v>
      </x:c>
      <x:c r="N172" s="295" t="str">
        <x:v>Chỉ công văn NĐ30; ô 5b; không áp dụng cho văn bản có tên loại</x:v>
      </x:c>
      <x:c r="O172" s="295" t="str">
        <x:v>Quy định gốc &gt; profile; khi chưa rõ điều kiện thì giữ nguyên; không sinh nội dung.</x:v>
      </x:c>
      <x:c r="P172" s="295" t="str">
        <x:v>PARAGRAPH / RUN / SHAPE tùy thuộc tính</x:v>
      </x:c>
      <x:c r="Q172" s="295" t="str">
        <x:v>Xác định đúng khối Cụm V/v đầu trích yếu công văn; đọc giá trị thực; đối chiếu điều kiện; không sửa nội dung khi thiếu nguồn.</x:v>
      </x:c>
      <x:c r="R172" s="295" t="str">
        <x:v>Phụ lục I, Phần I, I.4</x:v>
      </x:c>
      <x:c r="S172" s="295" t="str">
        <x:v>https://datafiles.chinhphu.vn/cpp/files/vbpq/2020/03/30.signed.pdf</x:v>
      </x:c>
      <x:c r="T172" s="295" t="str">
        <x:v>CÓ</x:v>
      </x:c>
      <x:c r="U172" s="295" t="str">
        <x:v>CHECK_ONLY</x:v>
      </x:c>
      <x:c r="V172" s="295" t="str"/>
    </x:row>
    <x:row r="173" ht="28" customHeight="1">
      <x:c r="A173" s="295" t="n">
        <x:v>168</x:v>
      </x:c>
      <x:c r="B173" s="295" t="str">
        <x:v>ND30.D.TY.NHAN_VV.CO_CHU</x:v>
      </x:c>
      <x:c r="C173" s="295" t="str">
        <x:v>ND30.D.TY.NHAN_VV</x:v>
      </x:c>
      <x:c r="D173" s="295" t="str">
        <x:v>Tên loại / trích yếu</x:v>
      </x:c>
      <x:c r="E173" s="295" t="str">
        <x:v>Cụm V/v đầu trích yếu công văn</x:v>
      </x:c>
      <x:c r="F173" s="295" t="str">
        <x:v>Cỡ chữ</x:v>
      </x:c>
      <x:c r="G173" s="295" t="str">
        <x:v>NUMBER_OR_RANGE</x:v>
      </x:c>
      <x:c r="H173" s="295" t="str">
        <x:v>pt</x:v>
      </x:c>
      <x:c r="I173" s="295" t="str">
        <x:v>12–13</x:v>
      </x:c>
      <x:c r="J173" s="295" t="str">
        <x:v>Đúng giá trị/giới hạn riêng</x:v>
      </x:c>
      <x:c r="K173" s="295" t="n">
        <x:v>13</x:v>
      </x:c>
      <x:c r="L173" s="295" t="str">
        <x:v>PROFILE_CO_GIA_TRI_CHUA_DUYET</x:v>
      </x:c>
      <x:c r="M173" s="295" t="str">
        <x:v>DOI_CHIEU_CU_THE</x:v>
      </x:c>
      <x:c r="N173" s="295" t="str">
        <x:v>Chỉ công văn NĐ30; ô 5b; không áp dụng cho văn bản có tên loại</x:v>
      </x:c>
      <x:c r="O173" s="295" t="str">
        <x:v>Quy định gốc &gt; profile; khi chưa rõ điều kiện thì giữ nguyên; không sinh nội dung.</x:v>
      </x:c>
      <x:c r="P173" s="295" t="str">
        <x:v>PARAGRAPH / RUN / SHAPE tùy thuộc tính</x:v>
      </x:c>
      <x:c r="Q173" s="295" t="str">
        <x:v>Xác định đúng khối Cụm V/v đầu trích yếu công văn; đọc giá trị thực; đối chiếu điều kiện; không sửa nội dung khi thiếu nguồn.</x:v>
      </x:c>
      <x:c r="R173" s="295" t="str">
        <x:v>Phụ lục I, Phần I, II.5.b</x:v>
      </x:c>
      <x:c r="S173" s="295" t="str">
        <x:v>https://datafiles.chinhphu.vn/cpp/files/vbpq/2020/03/30.signed.pdf</x:v>
      </x:c>
      <x:c r="T173" s="295" t="str">
        <x:v>CÓ</x:v>
      </x:c>
      <x:c r="U173" s="295" t="str">
        <x:v>CHECK_ONLY</x:v>
      </x:c>
      <x:c r="V173" s="295" t="str"/>
    </x:row>
    <x:row r="174" ht="28" customHeight="1">
      <x:c r="A174" s="295" t="n">
        <x:v>169</x:v>
      </x:c>
      <x:c r="B174" s="295" t="str">
        <x:v>ND30.D.TY.NHAN_VV.DAM</x:v>
      </x:c>
      <x:c r="C174" s="295" t="str">
        <x:v>ND30.D.TY.NHAN_VV</x:v>
      </x:c>
      <x:c r="D174" s="295" t="str">
        <x:v>Tên loại / trích yếu</x:v>
      </x:c>
      <x:c r="E174" s="295" t="str">
        <x:v>Cụm V/v đầu trích yếu công văn</x:v>
      </x:c>
      <x:c r="F174" s="295" t="str">
        <x:v>In đậm</x:v>
      </x:c>
      <x:c r="G174" s="295" t="str">
        <x:v>BOOLEAN</x:v>
      </x:c>
      <x:c r="H174" s="295"/>
      <x:c r="I174" s="296" t="b">
        <x:v>0</x:v>
      </x:c>
      <x:c r="J174" s="295" t="str">
        <x:v>Đúng giá trị/giới hạn riêng</x:v>
      </x:c>
      <x:c r="K174" s="296" t="b">
        <x:v>0</x:v>
      </x:c>
      <x:c r="L174" s="295" t="str">
        <x:v>PROFILE_CO_GIA_TRI_CHUA_DUYET</x:v>
      </x:c>
      <x:c r="M174" s="295" t="str">
        <x:v>DOI_CHIEU_CU_THE</x:v>
      </x:c>
      <x:c r="N174" s="295" t="str">
        <x:v>Chỉ công văn NĐ30; ô 5b; không áp dụng cho văn bản có tên loại</x:v>
      </x:c>
      <x:c r="O174" s="295" t="str">
        <x:v>Quy định gốc &gt; profile; khi chưa rõ điều kiện thì giữ nguyên; không sinh nội dung.</x:v>
      </x:c>
      <x:c r="P174" s="295" t="str">
        <x:v>PARAGRAPH / RUN / SHAPE tùy thuộc tính</x:v>
      </x:c>
      <x:c r="Q174" s="295" t="str">
        <x:v>Xác định đúng khối Cụm V/v đầu trích yếu công văn; đọc giá trị thực; đối chiếu điều kiện; không sửa nội dung khi thiếu nguồn.</x:v>
      </x:c>
      <x:c r="R174" s="295" t="str">
        <x:v>Phụ lục I, Phần I, II.5.b</x:v>
      </x:c>
      <x:c r="S174" s="295" t="str">
        <x:v>https://datafiles.chinhphu.vn/cpp/files/vbpq/2020/03/30.signed.pdf</x:v>
      </x:c>
      <x:c r="T174" s="295" t="str">
        <x:v>CÓ</x:v>
      </x:c>
      <x:c r="U174" s="295" t="str">
        <x:v>CHECK_ONLY</x:v>
      </x:c>
      <x:c r="V174" s="295" t="str"/>
    </x:row>
    <x:row r="175" ht="28" customHeight="1">
      <x:c r="A175" s="295" t="n">
        <x:v>170</x:v>
      </x:c>
      <x:c r="B175" s="295" t="str">
        <x:v>ND30.D.TY.NHAN_VV.NGHIENG</x:v>
      </x:c>
      <x:c r="C175" s="295" t="str">
        <x:v>ND30.D.TY.NHAN_VV</x:v>
      </x:c>
      <x:c r="D175" s="295" t="str">
        <x:v>Tên loại / trích yếu</x:v>
      </x:c>
      <x:c r="E175" s="295" t="str">
        <x:v>Cụm V/v đầu trích yếu công văn</x:v>
      </x:c>
      <x:c r="F175" s="295" t="str">
        <x:v>In nghiêng</x:v>
      </x:c>
      <x:c r="G175" s="295" t="str">
        <x:v>BOOLEAN</x:v>
      </x:c>
      <x:c r="H175" s="295"/>
      <x:c r="I175" s="296" t="b">
        <x:v>0</x:v>
      </x:c>
      <x:c r="J175" s="295" t="str">
        <x:v>Đúng giá trị/giới hạn riêng</x:v>
      </x:c>
      <x:c r="K175" s="296" t="b">
        <x:v>0</x:v>
      </x:c>
      <x:c r="L175" s="295" t="str">
        <x:v>PROFILE_CO_GIA_TRI_CHUA_DUYET</x:v>
      </x:c>
      <x:c r="M175" s="295" t="str">
        <x:v>DOI_CHIEU_CU_THE</x:v>
      </x:c>
      <x:c r="N175" s="295" t="str">
        <x:v>Chỉ công văn NĐ30; ô 5b; không áp dụng cho văn bản có tên loại</x:v>
      </x:c>
      <x:c r="O175" s="295" t="str">
        <x:v>Quy định gốc &gt; profile; khi chưa rõ điều kiện thì giữ nguyên; không sinh nội dung.</x:v>
      </x:c>
      <x:c r="P175" s="295" t="str">
        <x:v>PARAGRAPH / RUN / SHAPE tùy thuộc tính</x:v>
      </x:c>
      <x:c r="Q175" s="295" t="str">
        <x:v>Xác định đúng khối Cụm V/v đầu trích yếu công văn; đọc giá trị thực; đối chiếu điều kiện; không sửa nội dung khi thiếu nguồn.</x:v>
      </x:c>
      <x:c r="R175" s="295" t="str">
        <x:v>Phụ lục I, Phần I, II.5.b</x:v>
      </x:c>
      <x:c r="S175" s="295" t="str">
        <x:v>https://datafiles.chinhphu.vn/cpp/files/vbpq/2020/03/30.signed.pdf</x:v>
      </x:c>
      <x:c r="T175" s="295" t="str">
        <x:v>CÓ</x:v>
      </x:c>
      <x:c r="U175" s="295" t="str">
        <x:v>CHECK_ONLY</x:v>
      </x:c>
      <x:c r="V175" s="295" t="str"/>
    </x:row>
    <x:row r="176" ht="28" customHeight="1">
      <x:c r="A176" s="295" t="n">
        <x:v>171</x:v>
      </x:c>
      <x:c r="B176" s="295" t="str">
        <x:v>ND30.D.TY.NHAN_VV.KIEU_CHU</x:v>
      </x:c>
      <x:c r="C176" s="295" t="str">
        <x:v>ND30.D.TY.NHAN_VV</x:v>
      </x:c>
      <x:c r="D176" s="295" t="str">
        <x:v>Tên loại / trích yếu</x:v>
      </x:c>
      <x:c r="E176" s="295" t="str">
        <x:v>Cụm V/v đầu trích yếu công văn</x:v>
      </x:c>
      <x:c r="F176" s="295" t="str">
        <x:v>Kiểu viết hoa/thường</x:v>
      </x:c>
      <x:c r="G176" s="295" t="str">
        <x:v>ENUM</x:v>
      </x:c>
      <x:c r="H176" s="295"/>
      <x:c r="I176" s="295" t="str">
        <x:v>V/v</x:v>
      </x:c>
      <x:c r="J176" s="295" t="str">
        <x:v>Đúng giá trị/giới hạn riêng</x:v>
      </x:c>
      <x:c r="K176" s="295"/>
      <x:c r="L176" s="295" t="str">
        <x:v>KHONG_AP_DUNG_HOAC_CHUA_DU_GIA_TRI</x:v>
      </x:c>
      <x:c r="M176" s="295" t="str">
        <x:v>DOI_CHIEU_CU_THE</x:v>
      </x:c>
      <x:c r="N176" s="295" t="str">
        <x:v>Chỉ công văn NĐ30; ô 5b; không áp dụng cho văn bản có tên loại</x:v>
      </x:c>
      <x:c r="O176" s="295" t="str">
        <x:v>Quy định gốc &gt; profile; khi chưa rõ điều kiện thì giữ nguyên; không sinh nội dung.</x:v>
      </x:c>
      <x:c r="P176" s="295" t="str">
        <x:v>PARAGRAPH / RUN / SHAPE tùy thuộc tính</x:v>
      </x:c>
      <x:c r="Q176" s="295" t="str">
        <x:v>Xác định đúng khối Cụm V/v đầu trích yếu công văn; đọc giá trị thực; đối chiếu điều kiện; không sửa nội dung khi thiếu nguồn.</x:v>
      </x:c>
      <x:c r="R176" s="295" t="str">
        <x:v>Phụ lục I, Phần I, II.5.b</x:v>
      </x:c>
      <x:c r="S176" s="295" t="str">
        <x:v>https://datafiles.chinhphu.vn/cpp/files/vbpq/2020/03/30.signed.pdf</x:v>
      </x:c>
      <x:c r="T176" s="295" t="str">
        <x:v>CÓ</x:v>
      </x:c>
      <x:c r="U176" s="295" t="str">
        <x:v>CHECK_ONLY</x:v>
      </x:c>
      <x:c r="V176" s="295" t="str"/>
    </x:row>
    <x:row r="177" ht="28" customHeight="1">
      <x:c r="A177" s="295" t="n">
        <x:v>172</x:v>
      </x:c>
      <x:c r="B177" s="295" t="str">
        <x:v>ND30.D.TY.NHAN_VV.CAN_NGANG</x:v>
      </x:c>
      <x:c r="C177" s="295" t="str">
        <x:v>ND30.D.TY.NHAN_VV</x:v>
      </x:c>
      <x:c r="D177" s="295" t="str">
        <x:v>Tên loại / trích yếu</x:v>
      </x:c>
      <x:c r="E177" s="295" t="str">
        <x:v>Cụm V/v đầu trích yếu công văn</x:v>
      </x:c>
      <x:c r="F177" s="295" t="str">
        <x:v>Căn ngang</x:v>
      </x:c>
      <x:c r="G177" s="295" t="str">
        <x:v>ENUM</x:v>
      </x:c>
      <x:c r="H177" s="295"/>
      <x:c r="I177" s="295" t="str">
        <x:v>CENTER</x:v>
      </x:c>
      <x:c r="J177" s="295" t="str">
        <x:v>Đúng giá trị/giới hạn riêng</x:v>
      </x:c>
      <x:c r="K177" s="295"/>
      <x:c r="L177" s="295" t="str">
        <x:v>KHONG_AP_DUNG_HOAC_CHUA_DU_GIA_TRI</x:v>
      </x:c>
      <x:c r="M177" s="295" t="str">
        <x:v>DOI_CHIEU_CU_THE</x:v>
      </x:c>
      <x:c r="N177" s="295" t="str">
        <x:v>Chỉ công văn NĐ30; ô 5b; không áp dụng cho văn bản có tên loại</x:v>
      </x:c>
      <x:c r="O177" s="295" t="str">
        <x:v>Quy định gốc &gt; profile; khi chưa rõ điều kiện thì giữ nguyên; không sinh nội dung.</x:v>
      </x:c>
      <x:c r="P177" s="295" t="str">
        <x:v>PARAGRAPH / RUN / SHAPE tùy thuộc tính</x:v>
      </x:c>
      <x:c r="Q177" s="295" t="str">
        <x:v>Xác định đúng khối Cụm V/v đầu trích yếu công văn; đọc giá trị thực; đối chiếu điều kiện; không sửa nội dung khi thiếu nguồn.</x:v>
      </x:c>
      <x:c r="R177" s="295" t="str">
        <x:v>Phụ lục I, Phần I, II.5.b</x:v>
      </x:c>
      <x:c r="S177" s="295" t="str">
        <x:v>https://datafiles.chinhphu.vn/cpp/files/vbpq/2020/03/30.signed.pdf</x:v>
      </x:c>
      <x:c r="T177" s="295" t="str">
        <x:v>CÓ</x:v>
      </x:c>
      <x:c r="U177" s="295" t="str">
        <x:v>CHECK_ONLY</x:v>
      </x:c>
      <x:c r="V177" s="295" t="str"/>
    </x:row>
    <x:row r="178" ht="28" customHeight="1">
      <x:c r="A178" s="295" t="n">
        <x:v>173</x:v>
      </x:c>
      <x:c r="B178" s="295" t="str">
        <x:v>ND30.D.TY.NHAN_VV.CACH_SAU</x:v>
      </x:c>
      <x:c r="C178" s="295" t="str">
        <x:v>ND30.D.TY.NHAN_VV</x:v>
      </x:c>
      <x:c r="D178" s="295" t="str">
        <x:v>Tên loại / trích yếu</x:v>
      </x:c>
      <x:c r="E178" s="295" t="str">
        <x:v>Cụm V/v đầu trích yếu công văn</x:v>
      </x:c>
      <x:c r="F178" s="295" t="str">
        <x:v>Khoảng cách sau đoạn</x:v>
      </x:c>
      <x:c r="G178" s="295" t="str">
        <x:v>NUMBER</x:v>
      </x:c>
      <x:c r="H178" s="295" t="str">
        <x:v>pt</x:v>
      </x:c>
      <x:c r="I178" s="295" t="str">
        <x:v>CHƯA XÁC MINH RIÊNG</x:v>
      </x:c>
      <x:c r="J178" s="295" t="str">
        <x:v>Không suy ra giới hạn pháp lý</x:v>
      </x:c>
      <x:c r="K178" s="295" t="n">
        <x:v>6</x:v>
      </x:c>
      <x:c r="L178" s="295" t="str">
        <x:v>PROFILE_CHO_RAO_SOAT</x:v>
      </x:c>
      <x:c r="M178" s="295" t="str">
        <x:v>CHUA_DOI_CHIEU_CU_THE</x:v>
      </x:c>
      <x:c r="N178" s="295" t="str">
        <x:v>Chỉ công văn NĐ30; ô 5b; không áp dụng cho văn bản có tên loại</x:v>
      </x:c>
      <x:c r="O178" s="295" t="str">
        <x:v>Quy định gốc &gt; profile; khi chưa rõ điều kiện thì giữ nguyên; không sinh nội dung.</x:v>
      </x:c>
      <x:c r="P178" s="295" t="str">
        <x:v>PARAGRAPH / RUN / SHAPE tùy thuộc tính</x:v>
      </x:c>
      <x:c r="Q178" s="295" t="str">
        <x:v>Xác định đúng khối Cụm V/v đầu trích yếu công văn; đọc giá trị thực; đối chiếu điều kiện; không sửa nội dung khi thiếu nguồn.</x:v>
      </x:c>
      <x:c r="R178" s="295" t="str">
        <x:v>Chưa có locator xác minh riêng</x:v>
      </x:c>
      <x:c r="S178" s="295" t="str">
        <x:v>https://datafiles.chinhphu.vn/cpp/files/vbpq/2020/03/30.signed.pdf</x:v>
      </x:c>
      <x:c r="T178" s="295" t="str">
        <x:v>CÓ</x:v>
      </x:c>
      <x:c r="U178" s="295" t="str">
        <x:v>CHECK_ONLY</x:v>
      </x:c>
      <x:c r="V178" s="295" t="str">
        <x:v>Không tự chèn đoạn trắng</x:v>
      </x:c>
    </x:row>
    <x:row r="179" ht="28" customHeight="1">
      <x:c r="A179" s="295" t="n">
        <x:v>174</x:v>
      </x:c>
      <x:c r="B179" s="295" t="str">
        <x:v>ND30.D.TY.NHAN_VV.GIAN_DONG</x:v>
      </x:c>
      <x:c r="C179" s="295" t="str">
        <x:v>ND30.D.TY.NHAN_VV</x:v>
      </x:c>
      <x:c r="D179" s="295" t="str">
        <x:v>Tên loại / trích yếu</x:v>
      </x:c>
      <x:c r="E179" s="295" t="str">
        <x:v>Cụm V/v đầu trích yếu công văn</x:v>
      </x:c>
      <x:c r="F179" s="295" t="str">
        <x:v>Giãn dòng</x:v>
      </x:c>
      <x:c r="G179" s="295" t="str">
        <x:v>NUMBER</x:v>
      </x:c>
      <x:c r="H179" s="295" t="str">
        <x:v>lines</x:v>
      </x:c>
      <x:c r="I179" s="295" t="str">
        <x:v>CHƯA XÁC MINH RIÊNG</x:v>
      </x:c>
      <x:c r="J179" s="295" t="str">
        <x:v>Không suy ra giới hạn pháp lý</x:v>
      </x:c>
      <x:c r="K179" s="295" t="str">
        <x:v>SINGLE</x:v>
      </x:c>
      <x:c r="L179" s="295" t="str">
        <x:v>PROFILE_CHO_RAO_SOAT</x:v>
      </x:c>
      <x:c r="M179" s="295" t="str">
        <x:v>CHUA_DOI_CHIEU_CU_THE</x:v>
      </x:c>
      <x:c r="N179" s="295" t="str">
        <x:v>Chỉ công văn NĐ30; ô 5b; không áp dụng cho văn bản có tên loại</x:v>
      </x:c>
      <x:c r="O179" s="295" t="str">
        <x:v>Quy định gốc &gt; profile; khi chưa rõ điều kiện thì giữ nguyên; không sinh nội dung.</x:v>
      </x:c>
      <x:c r="P179" s="295" t="str">
        <x:v>PARAGRAPH / RUN / SHAPE tùy thuộc tính</x:v>
      </x:c>
      <x:c r="Q179" s="295" t="str">
        <x:v>Xác định đúng khối Cụm V/v đầu trích yếu công văn; đọc giá trị thực; đối chiếu điều kiện; không sửa nội dung khi thiếu nguồn.</x:v>
      </x:c>
      <x:c r="R179" s="295" t="str">
        <x:v>Chưa có locator xác minh riêng</x:v>
      </x:c>
      <x:c r="S179" s="295" t="str">
        <x:v>https://datafiles.chinhphu.vn/cpp/files/vbpq/2020/03/30.signed.pdf</x:v>
      </x:c>
      <x:c r="T179" s="295" t="str">
        <x:v>CÓ</x:v>
      </x:c>
      <x:c r="U179" s="295" t="str">
        <x:v>CHECK_ONLY</x:v>
      </x:c>
      <x:c r="V179" s="295" t="str">
        <x:v>Giãn dòng phần đầu không được tự đồng nhất với thân bài.</x:v>
      </x:c>
    </x:row>
    <x:row r="180" ht="28" customHeight="1">
      <x:c r="A180" s="295" t="n">
        <x:v>175</x:v>
      </x:c>
      <x:c r="B180" s="295" t="str">
        <x:v>ND30.D.TY.NHAN_VV.CHUOI_CO_DINH</x:v>
      </x:c>
      <x:c r="C180" s="295" t="str">
        <x:v>ND30.D.TY.NHAN_VV</x:v>
      </x:c>
      <x:c r="D180" s="295" t="str">
        <x:v>Tên loại / trích yếu</x:v>
      </x:c>
      <x:c r="E180" s="295" t="str">
        <x:v>Cụm V/v đầu trích yếu công văn</x:v>
      </x:c>
      <x:c r="F180" s="295" t="str">
        <x:v>Nhãn hoặc chuỗi cố định</x:v>
      </x:c>
      <x:c r="G180" s="295" t="str">
        <x:v>TEXT</x:v>
      </x:c>
      <x:c r="H180" s="295"/>
      <x:c r="I180" s="295" t="str">
        <x:v>V/v</x:v>
      </x:c>
      <x:c r="J180" s="295" t="str">
        <x:v>Đúng giá trị/giới hạn riêng</x:v>
      </x:c>
      <x:c r="K180" s="295" t="str">
        <x:v>V/v</x:v>
      </x:c>
      <x:c r="L180" s="295" t="str">
        <x:v>PROFILE_CO_GIA_TRI_HOP_LE</x:v>
      </x:c>
      <x:c r="M180" s="295" t="str">
        <x:v>DOI_CHIEU_CU_THE</x:v>
      </x:c>
      <x:c r="N180" s="295" t="str">
        <x:v>Chỉ công văn NĐ30; ô 5b; không áp dụng cho văn bản có tên loại</x:v>
      </x:c>
      <x:c r="O180" s="295" t="str">
        <x:v>Quy định gốc &gt; profile; khi chưa rõ điều kiện thì giữ nguyên; không sinh nội dung.</x:v>
      </x:c>
      <x:c r="P180" s="295" t="str">
        <x:v>PARAGRAPH / RUN / SHAPE tùy thuộc tính</x:v>
      </x:c>
      <x:c r="Q180" s="295" t="str">
        <x:v>Xác định đúng khối Cụm V/v đầu trích yếu công văn; đọc giá trị thực; đối chiếu điều kiện; không sửa nội dung khi thiếu nguồn.</x:v>
      </x:c>
      <x:c r="R180" s="295" t="str">
        <x:v>Phụ lục I, Phần I, II.1-5</x:v>
      </x:c>
      <x:c r="S180" s="295" t="str">
        <x:v>https://datafiles.chinhphu.vn/cpp/files/vbpq/2020/03/30.signed.pdf</x:v>
      </x:c>
      <x:c r="T180" s="295" t="str">
        <x:v>CÓ</x:v>
      </x:c>
      <x:c r="U180" s="295" t="str">
        <x:v>CHECK_ONLY</x:v>
      </x:c>
      <x:c r="V180" s="295" t="str">
        <x:v>Không thêm nhãn khi thành phần không xuất hiện</x:v>
      </x:c>
    </x:row>
    <x:row r="181" ht="28" customHeight="1">
      <x:c r="A181" s="295" t="n">
        <x:v>176</x:v>
      </x:c>
      <x:c r="B181" s="295" t="str">
        <x:v>ND30.D.TY.TRICH_YEU_CV.HIEN_DIEN</x:v>
      </x:c>
      <x:c r="C181" s="295" t="str">
        <x:v>ND30.D.TY.TRICH_YEU_CV</x:v>
      </x:c>
      <x:c r="D181" s="295" t="str">
        <x:v>Tên loại / trích yếu</x:v>
      </x:c>
      <x:c r="E181" s="295" t="str">
        <x:v>Nội dung trích yếu công văn</x:v>
      </x:c>
      <x:c r="F181" s="295" t="str">
        <x:v>Điều kiện hiện diện</x:v>
      </x:c>
      <x:c r="G181" s="295" t="str">
        <x:v>TEXT</x:v>
      </x:c>
      <x:c r="H181" s="295"/>
      <x:c r="I181" s="295" t="str">
        <x:v>CHƯA XÁC MINH RIÊNG</x:v>
      </x:c>
      <x:c r="J181" s="295" t="str">
        <x:v>Không suy ra giới hạn pháp lý</x:v>
      </x:c>
      <x:c r="K181" s="295" t="str">
        <x:v>Chỉ công văn; ô 5b; không xuất hiện cùng tên loại 5a</x:v>
      </x:c>
      <x:c r="L181" s="295" t="str">
        <x:v>CHUA_DUYET_DINH_TUYEN</x:v>
      </x:c>
      <x:c r="M181" s="295" t="str">
        <x:v>CHUA_DOI_CHIEU_CU_THE</x:v>
      </x:c>
      <x:c r="N181" s="295" t="str">
        <x:v>Chỉ công văn; ô 5b; không xuất hiện cùng tên loại 5a</x:v>
      </x:c>
      <x:c r="O181" s="295" t="str">
        <x:v>Quy định gốc &gt; profile; khi chưa rõ điều kiện thì giữ nguyên; không sinh nội dung.</x:v>
      </x:c>
      <x:c r="P181" s="295" t="str">
        <x:v>PARAGRAPH / RUN / SHAPE tùy thuộc tính</x:v>
      </x:c>
      <x:c r="Q181" s="295" t="str">
        <x:v>Xác định đúng khối Nội dung trích yếu công văn; đọc giá trị thực; đối chiếu điều kiện; không sửa nội dung khi thiếu nguồn.</x:v>
      </x:c>
      <x:c r="R181" s="295" t="str">
        <x:v>Chưa có locator xác minh riêng</x:v>
      </x:c>
      <x:c r="S181" s="295" t="str">
        <x:v>https://datafiles.chinhphu.vn/cpp/files/vbpq/2020/03/30.signed.pdf</x:v>
      </x:c>
      <x:c r="T181" s="295" t="str">
        <x:v>CÓ</x:v>
      </x:c>
      <x:c r="U181" s="295" t="str">
        <x:v>CHECK_ONLY</x:v>
      </x:c>
      <x:c r="V181" s="295" t="str">
        <x:v>Phải nhận diện chế độ và chủ thể trước khi áp dụng</x:v>
      </x:c>
    </x:row>
    <x:row r="182" ht="28" customHeight="1">
      <x:c r="A182" s="295" t="n">
        <x:v>177</x:v>
      </x:c>
      <x:c r="B182" s="295" t="str">
        <x:v>ND30.D.TY.TRICH_YEU_CV.PHONG_CHU</x:v>
      </x:c>
      <x:c r="C182" s="295" t="str">
        <x:v>ND30.D.TY.TRICH_YEU_CV</x:v>
      </x:c>
      <x:c r="D182" s="295" t="str">
        <x:v>Tên loại / trích yếu</x:v>
      </x:c>
      <x:c r="E182" s="295" t="str">
        <x:v>Nội dung trích yếu công văn</x:v>
      </x:c>
      <x:c r="F182" s="295" t="str">
        <x:v>Font chữ</x:v>
      </x:c>
      <x:c r="G182" s="295" t="str">
        <x:v>STRING</x:v>
      </x:c>
      <x:c r="H182" s="295"/>
      <x:c r="I182" s="295" t="str">
        <x:v>Times New Roman</x:v>
      </x:c>
      <x:c r="J182" s="295" t="str">
        <x:v>Đúng giá trị/giới hạn riêng</x:v>
      </x:c>
      <x:c r="K182" s="295" t="str">
        <x:v>Times New Roman</x:v>
      </x:c>
      <x:c r="L182" s="295" t="str">
        <x:v>PROFILE_CO_GIA_TRI_CHUA_DUYET</x:v>
      </x:c>
      <x:c r="M182" s="295" t="str">
        <x:v>DOI_CHIEU_CU_THE</x:v>
      </x:c>
      <x:c r="N182" s="295" t="str">
        <x:v>Chỉ công văn; ô 5b; không xuất hiện cùng tên loại 5a</x:v>
      </x:c>
      <x:c r="O182" s="295" t="str">
        <x:v>Quy định gốc &gt; profile; khi chưa rõ điều kiện thì giữ nguyên; không sinh nội dung.</x:v>
      </x:c>
      <x:c r="P182" s="295" t="str">
        <x:v>PARAGRAPH / RUN / SHAPE tùy thuộc tính</x:v>
      </x:c>
      <x:c r="Q182" s="295" t="str">
        <x:v>Xác định đúng khối Nội dung trích yếu công văn; đọc giá trị thực; đối chiếu điều kiện; không sửa nội dung khi thiếu nguồn.</x:v>
      </x:c>
      <x:c r="R182" s="295" t="str">
        <x:v>Phụ lục I, Phần I, I.4</x:v>
      </x:c>
      <x:c r="S182" s="295" t="str">
        <x:v>https://datafiles.chinhphu.vn/cpp/files/vbpq/2020/03/30.signed.pdf</x:v>
      </x:c>
      <x:c r="T182" s="295" t="str">
        <x:v>CÓ</x:v>
      </x:c>
      <x:c r="U182" s="295" t="str">
        <x:v>CHECK_ONLY</x:v>
      </x:c>
      <x:c r="V182" s="295" t="str"/>
    </x:row>
    <x:row r="183" ht="28" customHeight="1">
      <x:c r="A183" s="295" t="n">
        <x:v>178</x:v>
      </x:c>
      <x:c r="B183" s="295" t="str">
        <x:v>ND30.D.TY.TRICH_YEU_CV.CO_CHU</x:v>
      </x:c>
      <x:c r="C183" s="295" t="str">
        <x:v>ND30.D.TY.TRICH_YEU_CV</x:v>
      </x:c>
      <x:c r="D183" s="295" t="str">
        <x:v>Tên loại / trích yếu</x:v>
      </x:c>
      <x:c r="E183" s="295" t="str">
        <x:v>Nội dung trích yếu công văn</x:v>
      </x:c>
      <x:c r="F183" s="295" t="str">
        <x:v>Cỡ chữ</x:v>
      </x:c>
      <x:c r="G183" s="295" t="str">
        <x:v>NUMBER_OR_RANGE</x:v>
      </x:c>
      <x:c r="H183" s="295" t="str">
        <x:v>pt</x:v>
      </x:c>
      <x:c r="I183" s="295" t="str">
        <x:v>12–13</x:v>
      </x:c>
      <x:c r="J183" s="295" t="str">
        <x:v>Đúng giá trị/giới hạn riêng</x:v>
      </x:c>
      <x:c r="K183" s="295" t="n">
        <x:v>13</x:v>
      </x:c>
      <x:c r="L183" s="295" t="str">
        <x:v>PROFILE_CO_GIA_TRI_CHUA_DUYET</x:v>
      </x:c>
      <x:c r="M183" s="295" t="str">
        <x:v>DOI_CHIEU_CU_THE</x:v>
      </x:c>
      <x:c r="N183" s="295" t="str">
        <x:v>Chỉ công văn; ô 5b; không xuất hiện cùng tên loại 5a</x:v>
      </x:c>
      <x:c r="O183" s="295" t="str">
        <x:v>Quy định gốc &gt; profile; khi chưa rõ điều kiện thì giữ nguyên; không sinh nội dung.</x:v>
      </x:c>
      <x:c r="P183" s="295" t="str">
        <x:v>PARAGRAPH / RUN / SHAPE tùy thuộc tính</x:v>
      </x:c>
      <x:c r="Q183" s="295" t="str">
        <x:v>Xác định đúng khối Nội dung trích yếu công văn; đọc giá trị thực; đối chiếu điều kiện; không sửa nội dung khi thiếu nguồn.</x:v>
      </x:c>
      <x:c r="R183" s="295" t="str">
        <x:v>Phụ lục I, Phần I, II.5.b</x:v>
      </x:c>
      <x:c r="S183" s="295" t="str">
        <x:v>https://datafiles.chinhphu.vn/cpp/files/vbpq/2020/03/30.signed.pdf</x:v>
      </x:c>
      <x:c r="T183" s="295" t="str">
        <x:v>CÓ</x:v>
      </x:c>
      <x:c r="U183" s="295" t="str">
        <x:v>CHECK_ONLY</x:v>
      </x:c>
      <x:c r="V183" s="295" t="str"/>
    </x:row>
    <x:row r="184" ht="28" customHeight="1">
      <x:c r="A184" s="295" t="n">
        <x:v>179</x:v>
      </x:c>
      <x:c r="B184" s="295" t="str">
        <x:v>ND30.D.TY.TRICH_YEU_CV.DAM</x:v>
      </x:c>
      <x:c r="C184" s="295" t="str">
        <x:v>ND30.D.TY.TRICH_YEU_CV</x:v>
      </x:c>
      <x:c r="D184" s="295" t="str">
        <x:v>Tên loại / trích yếu</x:v>
      </x:c>
      <x:c r="E184" s="295" t="str">
        <x:v>Nội dung trích yếu công văn</x:v>
      </x:c>
      <x:c r="F184" s="295" t="str">
        <x:v>In đậm</x:v>
      </x:c>
      <x:c r="G184" s="295" t="str">
        <x:v>BOOLEAN</x:v>
      </x:c>
      <x:c r="H184" s="295"/>
      <x:c r="I184" s="296" t="b">
        <x:v>0</x:v>
      </x:c>
      <x:c r="J184" s="295" t="str">
        <x:v>Đúng giá trị/giới hạn riêng</x:v>
      </x:c>
      <x:c r="K184" s="296" t="b">
        <x:v>0</x:v>
      </x:c>
      <x:c r="L184" s="295" t="str">
        <x:v>PROFILE_CO_GIA_TRI_CHUA_DUYET</x:v>
      </x:c>
      <x:c r="M184" s="295" t="str">
        <x:v>DOI_CHIEU_CU_THE</x:v>
      </x:c>
      <x:c r="N184" s="295" t="str">
        <x:v>Chỉ công văn; ô 5b; không xuất hiện cùng tên loại 5a</x:v>
      </x:c>
      <x:c r="O184" s="295" t="str">
        <x:v>Quy định gốc &gt; profile; khi chưa rõ điều kiện thì giữ nguyên; không sinh nội dung.</x:v>
      </x:c>
      <x:c r="P184" s="295" t="str">
        <x:v>PARAGRAPH / RUN / SHAPE tùy thuộc tính</x:v>
      </x:c>
      <x:c r="Q184" s="295" t="str">
        <x:v>Xác định đúng khối Nội dung trích yếu công văn; đọc giá trị thực; đối chiếu điều kiện; không sửa nội dung khi thiếu nguồn.</x:v>
      </x:c>
      <x:c r="R184" s="295" t="str">
        <x:v>Phụ lục I, Phần I, II.5.b</x:v>
      </x:c>
      <x:c r="S184" s="295" t="str">
        <x:v>https://datafiles.chinhphu.vn/cpp/files/vbpq/2020/03/30.signed.pdf</x:v>
      </x:c>
      <x:c r="T184" s="295" t="str">
        <x:v>CÓ</x:v>
      </x:c>
      <x:c r="U184" s="295" t="str">
        <x:v>CHECK_ONLY</x:v>
      </x:c>
      <x:c r="V184" s="295" t="str"/>
    </x:row>
    <x:row r="185" ht="28" customHeight="1">
      <x:c r="A185" s="295" t="n">
        <x:v>180</x:v>
      </x:c>
      <x:c r="B185" s="295" t="str">
        <x:v>ND30.D.TY.TRICH_YEU_CV.NGHIENG</x:v>
      </x:c>
      <x:c r="C185" s="295" t="str">
        <x:v>ND30.D.TY.TRICH_YEU_CV</x:v>
      </x:c>
      <x:c r="D185" s="295" t="str">
        <x:v>Tên loại / trích yếu</x:v>
      </x:c>
      <x:c r="E185" s="295" t="str">
        <x:v>Nội dung trích yếu công văn</x:v>
      </x:c>
      <x:c r="F185" s="295" t="str">
        <x:v>In nghiêng</x:v>
      </x:c>
      <x:c r="G185" s="295" t="str">
        <x:v>BOOLEAN</x:v>
      </x:c>
      <x:c r="H185" s="295"/>
      <x:c r="I185" s="296" t="b">
        <x:v>0</x:v>
      </x:c>
      <x:c r="J185" s="295" t="str">
        <x:v>Đúng giá trị/giới hạn riêng</x:v>
      </x:c>
      <x:c r="K185" s="296" t="b">
        <x:v>0</x:v>
      </x:c>
      <x:c r="L185" s="295" t="str">
        <x:v>PROFILE_CO_GIA_TRI_CHUA_DUYET</x:v>
      </x:c>
      <x:c r="M185" s="295" t="str">
        <x:v>DOI_CHIEU_CU_THE</x:v>
      </x:c>
      <x:c r="N185" s="295" t="str">
        <x:v>Chỉ công văn; ô 5b; không xuất hiện cùng tên loại 5a</x:v>
      </x:c>
      <x:c r="O185" s="295" t="str">
        <x:v>Quy định gốc &gt; profile; khi chưa rõ điều kiện thì giữ nguyên; không sinh nội dung.</x:v>
      </x:c>
      <x:c r="P185" s="295" t="str">
        <x:v>PARAGRAPH / RUN / SHAPE tùy thuộc tính</x:v>
      </x:c>
      <x:c r="Q185" s="295" t="str">
        <x:v>Xác định đúng khối Nội dung trích yếu công văn; đọc giá trị thực; đối chiếu điều kiện; không sửa nội dung khi thiếu nguồn.</x:v>
      </x:c>
      <x:c r="R185" s="295" t="str">
        <x:v>Phụ lục I, Phần I, II.5.b</x:v>
      </x:c>
      <x:c r="S185" s="295" t="str">
        <x:v>https://datafiles.chinhphu.vn/cpp/files/vbpq/2020/03/30.signed.pdf</x:v>
      </x:c>
      <x:c r="T185" s="295" t="str">
        <x:v>CÓ</x:v>
      </x:c>
      <x:c r="U185" s="295" t="str">
        <x:v>CHECK_ONLY</x:v>
      </x:c>
      <x:c r="V185" s="295" t="str"/>
    </x:row>
    <x:row r="186" ht="28" customHeight="1">
      <x:c r="A186" s="295" t="n">
        <x:v>181</x:v>
      </x:c>
      <x:c r="B186" s="295" t="str">
        <x:v>ND30.D.TY.TRICH_YEU_CV.KIEU_CHU</x:v>
      </x:c>
      <x:c r="C186" s="295" t="str">
        <x:v>ND30.D.TY.TRICH_YEU_CV</x:v>
      </x:c>
      <x:c r="D186" s="295" t="str">
        <x:v>Tên loại / trích yếu</x:v>
      </x:c>
      <x:c r="E186" s="295" t="str">
        <x:v>Nội dung trích yếu công văn</x:v>
      </x:c>
      <x:c r="F186" s="295" t="str">
        <x:v>Kiểu viết hoa/thường</x:v>
      </x:c>
      <x:c r="G186" s="295" t="str">
        <x:v>ENUM</x:v>
      </x:c>
      <x:c r="H186" s="295"/>
      <x:c r="I186" s="295" t="str">
        <x:v>In thường</x:v>
      </x:c>
      <x:c r="J186" s="295" t="str">
        <x:v>Đúng giá trị/giới hạn riêng</x:v>
      </x:c>
      <x:c r="K186" s="295" t="str">
        <x:v>In thường</x:v>
      </x:c>
      <x:c r="L186" s="295" t="str">
        <x:v>PROFILE_CO_GIA_TRI_CHUA_DUYET</x:v>
      </x:c>
      <x:c r="M186" s="295" t="str">
        <x:v>DOI_CHIEU_CU_THE</x:v>
      </x:c>
      <x:c r="N186" s="295" t="str">
        <x:v>Chỉ công văn; ô 5b; không xuất hiện cùng tên loại 5a</x:v>
      </x:c>
      <x:c r="O186" s="295" t="str">
        <x:v>Quy định gốc &gt; profile; khi chưa rõ điều kiện thì giữ nguyên; không sinh nội dung.</x:v>
      </x:c>
      <x:c r="P186" s="295" t="str">
        <x:v>PARAGRAPH / RUN / SHAPE tùy thuộc tính</x:v>
      </x:c>
      <x:c r="Q186" s="295" t="str">
        <x:v>Xác định đúng khối Nội dung trích yếu công văn; đọc giá trị thực; đối chiếu điều kiện; không sửa nội dung khi thiếu nguồn.</x:v>
      </x:c>
      <x:c r="R186" s="295" t="str">
        <x:v>Phụ lục I, Phần I, II.5.b</x:v>
      </x:c>
      <x:c r="S186" s="295" t="str">
        <x:v>https://datafiles.chinhphu.vn/cpp/files/vbpq/2020/03/30.signed.pdf</x:v>
      </x:c>
      <x:c r="T186" s="295" t="str">
        <x:v>CÓ</x:v>
      </x:c>
      <x:c r="U186" s="295" t="str">
        <x:v>CHECK_ONLY</x:v>
      </x:c>
      <x:c r="V186" s="295" t="str"/>
    </x:row>
    <x:row r="187" ht="28" customHeight="1">
      <x:c r="A187" s="295" t="n">
        <x:v>182</x:v>
      </x:c>
      <x:c r="B187" s="295" t="str">
        <x:v>ND30.D.TY.TRICH_YEU_CV.CAN_NGANG</x:v>
      </x:c>
      <x:c r="C187" s="295" t="str">
        <x:v>ND30.D.TY.TRICH_YEU_CV</x:v>
      </x:c>
      <x:c r="D187" s="295" t="str">
        <x:v>Tên loại / trích yếu</x:v>
      </x:c>
      <x:c r="E187" s="295" t="str">
        <x:v>Nội dung trích yếu công văn</x:v>
      </x:c>
      <x:c r="F187" s="295" t="str">
        <x:v>Căn ngang</x:v>
      </x:c>
      <x:c r="G187" s="295" t="str">
        <x:v>ENUM</x:v>
      </x:c>
      <x:c r="H187" s="295"/>
      <x:c r="I187" s="295" t="str">
        <x:v>CENTER</x:v>
      </x:c>
      <x:c r="J187" s="295" t="str">
        <x:v>Đúng giá trị/giới hạn riêng</x:v>
      </x:c>
      <x:c r="K187" s="295"/>
      <x:c r="L187" s="295" t="str">
        <x:v>KHONG_AP_DUNG_HOAC_CHUA_DU_GIA_TRI</x:v>
      </x:c>
      <x:c r="M187" s="295" t="str">
        <x:v>DOI_CHIEU_CU_THE</x:v>
      </x:c>
      <x:c r="N187" s="295" t="str">
        <x:v>Chỉ công văn; ô 5b; không xuất hiện cùng tên loại 5a</x:v>
      </x:c>
      <x:c r="O187" s="295" t="str">
        <x:v>Quy định gốc &gt; profile; khi chưa rõ điều kiện thì giữ nguyên; không sinh nội dung.</x:v>
      </x:c>
      <x:c r="P187" s="295" t="str">
        <x:v>PARAGRAPH / RUN / SHAPE tùy thuộc tính</x:v>
      </x:c>
      <x:c r="Q187" s="295" t="str">
        <x:v>Xác định đúng khối Nội dung trích yếu công văn; đọc giá trị thực; đối chiếu điều kiện; không sửa nội dung khi thiếu nguồn.</x:v>
      </x:c>
      <x:c r="R187" s="295" t="str">
        <x:v>Phụ lục I, Phần I, II.5.b</x:v>
      </x:c>
      <x:c r="S187" s="295" t="str">
        <x:v>https://datafiles.chinhphu.vn/cpp/files/vbpq/2020/03/30.signed.pdf</x:v>
      </x:c>
      <x:c r="T187" s="295" t="str">
        <x:v>CÓ</x:v>
      </x:c>
      <x:c r="U187" s="295" t="str">
        <x:v>CHECK_ONLY</x:v>
      </x:c>
      <x:c r="V187" s="295" t="str"/>
    </x:row>
    <x:row r="188" ht="28" customHeight="1">
      <x:c r="A188" s="295" t="n">
        <x:v>183</x:v>
      </x:c>
      <x:c r="B188" s="295" t="str">
        <x:v>ND30.D.TY.TRICH_YEU_CV.CACH_SAU</x:v>
      </x:c>
      <x:c r="C188" s="295" t="str">
        <x:v>ND30.D.TY.TRICH_YEU_CV</x:v>
      </x:c>
      <x:c r="D188" s="295" t="str">
        <x:v>Tên loại / trích yếu</x:v>
      </x:c>
      <x:c r="E188" s="295" t="str">
        <x:v>Nội dung trích yếu công văn</x:v>
      </x:c>
      <x:c r="F188" s="295" t="str">
        <x:v>Khoảng cách sau đoạn</x:v>
      </x:c>
      <x:c r="G188" s="295" t="str">
        <x:v>NUMBER</x:v>
      </x:c>
      <x:c r="H188" s="295" t="str">
        <x:v>pt</x:v>
      </x:c>
      <x:c r="I188" s="295" t="str">
        <x:v>CHƯA XÁC MINH RIÊNG</x:v>
      </x:c>
      <x:c r="J188" s="295" t="str">
        <x:v>Không suy ra giới hạn pháp lý</x:v>
      </x:c>
      <x:c r="K188" s="295" t="n">
        <x:v>6</x:v>
      </x:c>
      <x:c r="L188" s="295" t="str">
        <x:v>PROFILE_CHO_RAO_SOAT</x:v>
      </x:c>
      <x:c r="M188" s="295" t="str">
        <x:v>CHUA_DOI_CHIEU_CU_THE</x:v>
      </x:c>
      <x:c r="N188" s="295" t="str">
        <x:v>Chỉ công văn; ô 5b; không xuất hiện cùng tên loại 5a</x:v>
      </x:c>
      <x:c r="O188" s="295" t="str">
        <x:v>Quy định gốc &gt; profile; khi chưa rõ điều kiện thì giữ nguyên; không sinh nội dung.</x:v>
      </x:c>
      <x:c r="P188" s="295" t="str">
        <x:v>PARAGRAPH / RUN / SHAPE tùy thuộc tính</x:v>
      </x:c>
      <x:c r="Q188" s="295" t="str">
        <x:v>Xác định đúng khối Nội dung trích yếu công văn; đọc giá trị thực; đối chiếu điều kiện; không sửa nội dung khi thiếu nguồn.</x:v>
      </x:c>
      <x:c r="R188" s="295" t="str">
        <x:v>Chưa có locator xác minh riêng</x:v>
      </x:c>
      <x:c r="S188" s="295" t="str">
        <x:v>https://datafiles.chinhphu.vn/cpp/files/vbpq/2020/03/30.signed.pdf</x:v>
      </x:c>
      <x:c r="T188" s="295" t="str">
        <x:v>CÓ</x:v>
      </x:c>
      <x:c r="U188" s="295" t="str">
        <x:v>CHECK_ONLY</x:v>
      </x:c>
      <x:c r="V188" s="295" t="str">
        <x:v>Không tự chèn đoạn trắng</x:v>
      </x:c>
    </x:row>
    <x:row r="189" ht="28" customHeight="1">
      <x:c r="A189" s="295" t="n">
        <x:v>184</x:v>
      </x:c>
      <x:c r="B189" s="295" t="str">
        <x:v>ND30.D.TY.TRICH_YEU_CV.GIAN_DONG</x:v>
      </x:c>
      <x:c r="C189" s="295" t="str">
        <x:v>ND30.D.TY.TRICH_YEU_CV</x:v>
      </x:c>
      <x:c r="D189" s="295" t="str">
        <x:v>Tên loại / trích yếu</x:v>
      </x:c>
      <x:c r="E189" s="295" t="str">
        <x:v>Nội dung trích yếu công văn</x:v>
      </x:c>
      <x:c r="F189" s="295" t="str">
        <x:v>Giãn dòng</x:v>
      </x:c>
      <x:c r="G189" s="295" t="str">
        <x:v>NUMBER</x:v>
      </x:c>
      <x:c r="H189" s="295" t="str">
        <x:v>lines</x:v>
      </x:c>
      <x:c r="I189" s="295" t="str">
        <x:v>CHƯA XÁC MINH RIÊNG</x:v>
      </x:c>
      <x:c r="J189" s="295" t="str">
        <x:v>Không suy ra giới hạn pháp lý</x:v>
      </x:c>
      <x:c r="K189" s="295" t="str">
        <x:v>SINGLE</x:v>
      </x:c>
      <x:c r="L189" s="295" t="str">
        <x:v>PROFILE_CHO_RAO_SOAT</x:v>
      </x:c>
      <x:c r="M189" s="295" t="str">
        <x:v>CHUA_DOI_CHIEU_CU_THE</x:v>
      </x:c>
      <x:c r="N189" s="295" t="str">
        <x:v>Chỉ công văn; ô 5b; không xuất hiện cùng tên loại 5a</x:v>
      </x:c>
      <x:c r="O189" s="295" t="str">
        <x:v>Quy định gốc &gt; profile; khi chưa rõ điều kiện thì giữ nguyên; không sinh nội dung.</x:v>
      </x:c>
      <x:c r="P189" s="295" t="str">
        <x:v>PARAGRAPH / RUN / SHAPE tùy thuộc tính</x:v>
      </x:c>
      <x:c r="Q189" s="295" t="str">
        <x:v>Xác định đúng khối Nội dung trích yếu công văn; đọc giá trị thực; đối chiếu điều kiện; không sửa nội dung khi thiếu nguồn.</x:v>
      </x:c>
      <x:c r="R189" s="295" t="str">
        <x:v>Chưa có locator xác minh riêng</x:v>
      </x:c>
      <x:c r="S189" s="295" t="str">
        <x:v>https://datafiles.chinhphu.vn/cpp/files/vbpq/2020/03/30.signed.pdf</x:v>
      </x:c>
      <x:c r="T189" s="295" t="str">
        <x:v>CÓ</x:v>
      </x:c>
      <x:c r="U189" s="295" t="str">
        <x:v>CHECK_ONLY</x:v>
      </x:c>
      <x:c r="V189" s="295" t="str">
        <x:v>Giãn dòng phần đầu không được tự đồng nhất với thân bài.</x:v>
      </x:c>
    </x:row>
    <x:row r="190" ht="28" customHeight="1">
      <x:c r="A190" s="295" t="n">
        <x:v>185</x:v>
      </x:c>
      <x:c r="B190" s="295" t="str">
        <x:v>ND30.D.TY.TRICH_YEU_CV.BAO_VE_NOI_DUNG</x:v>
      </x:c>
      <x:c r="C190" s="295" t="str">
        <x:v>ND30.D.TY.TRICH_YEU_CV</x:v>
      </x:c>
      <x:c r="D190" s="295" t="str">
        <x:v>Tên loại / trích yếu</x:v>
      </x:c>
      <x:c r="E190" s="295" t="str">
        <x:v>Nội dung trích yếu công văn</x:v>
      </x:c>
      <x:c r="F190" s="295" t="str">
        <x:v>Không tự suy diễn nội dung</x:v>
      </x:c>
      <x:c r="G190" s="295" t="str">
        <x:v>BOOLEAN</x:v>
      </x:c>
      <x:c r="H190" s="295"/>
      <x:c r="I190" s="295" t="str">
        <x:v>CHƯA XÁC MINH RIÊNG</x:v>
      </x:c>
      <x:c r="J190" s="295" t="str">
        <x:v>Không suy ra giới hạn pháp lý</x:v>
      </x:c>
      <x:c r="K190" s="296" t="b">
        <x:v>1</x:v>
      </x:c>
      <x:c r="L190" s="295" t="str">
        <x:v>NOI_DUNG_BAO_VE</x:v>
      </x:c>
      <x:c r="M190" s="295" t="str">
        <x:v>CHUA_DOI_CHIEU_CU_THE</x:v>
      </x:c>
      <x:c r="N190" s="295" t="str">
        <x:v>Chỉ công văn; ô 5b; không xuất hiện cùng tên loại 5a</x:v>
      </x:c>
      <x:c r="O190" s="295" t="str">
        <x:v>Quy định gốc &gt; profile; khi chưa rõ điều kiện thì giữ nguyên; không sinh nội dung.</x:v>
      </x:c>
      <x:c r="P190" s="295" t="str">
        <x:v>PARAGRAPH / RUN / SHAPE tùy thuộc tính</x:v>
      </x:c>
      <x:c r="Q190" s="295" t="str">
        <x:v>Xác định đúng khối Nội dung trích yếu công văn; đọc giá trị thực; đối chiếu điều kiện; không sửa nội dung khi thiếu nguồn.</x:v>
      </x:c>
      <x:c r="R190" s="295" t="str">
        <x:v>Chưa có locator xác minh riêng</x:v>
      </x:c>
      <x:c r="S190" s="295" t="str">
        <x:v>https://datafiles.chinhphu.vn/cpp/files/vbpq/2020/03/30.signed.pdf</x:v>
      </x:c>
      <x:c r="T190" s="295" t="str">
        <x:v>CÓ</x:v>
      </x:c>
      <x:c r="U190" s="295" t="str">
        <x:v>CHECK_ONLY</x:v>
      </x:c>
      <x:c r="V190" s="295" t="str">
        <x:v>Chỉ chuẩn hóa hình thức sau khi xác nhận chính xác nội dung, không tự điền số/ngày/người nhận.</x:v>
      </x:c>
    </x:row>
    <x:row r="191" ht="28" customHeight="1">
      <x:c r="A191" s="295" t="n">
        <x:v>186</x:v>
      </x:c>
      <x:c r="B191" s="295" t="str">
        <x:v>ND30.D.TY.TRICH_YEU_CV.KHOANG_CACH_SO</x:v>
      </x:c>
      <x:c r="C191" s="295" t="str">
        <x:v>ND30.D.TY.TRICH_YEU_CV</x:v>
      </x:c>
      <x:c r="D191" s="295" t="str">
        <x:v>Tên loại / trích yếu</x:v>
      </x:c>
      <x:c r="E191" s="295" t="str">
        <x:v>Nội dung trích yếu công văn</x:v>
      </x:c>
      <x:c r="F191" s="295" t="str">
        <x:v>Khoảng với số/ký hiệu</x:v>
      </x:c>
      <x:c r="G191" s="295" t="str">
        <x:v>NUMBER</x:v>
      </x:c>
      <x:c r="H191" s="295" t="str">
        <x:v>pt</x:v>
      </x:c>
      <x:c r="I191" s="295" t="n">
        <x:v>6</x:v>
      </x:c>
      <x:c r="J191" s="295" t="str">
        <x:v>Đúng giá trị/giới hạn riêng</x:v>
      </x:c>
      <x:c r="K191" s="295" t="n">
        <x:v>6</x:v>
      </x:c>
      <x:c r="L191" s="295" t="str">
        <x:v>PROFILE_THEO_NGUON</x:v>
      </x:c>
      <x:c r="M191" s="295" t="str">
        <x:v>DOI_CHIEU_CU_THE</x:v>
      </x:c>
      <x:c r="N191" s="295" t="str">
        <x:v>Chỉ công văn; ô 5b; không xuất hiện cùng tên loại 5a</x:v>
      </x:c>
      <x:c r="O191" s="295" t="str">
        <x:v>Quy định gốc &gt; profile; khi chưa rõ điều kiện thì giữ nguyên; không sinh nội dung.</x:v>
      </x:c>
      <x:c r="P191" s="295" t="str">
        <x:v>PARAGRAPH / RUN / SHAPE tùy thuộc tính</x:v>
      </x:c>
      <x:c r="Q191" s="295" t="str">
        <x:v>Xác định đúng khối Nội dung trích yếu công văn; đọc giá trị thực; đối chiếu điều kiện; không sửa nội dung khi thiếu nguồn.</x:v>
      </x:c>
      <x:c r="R191" s="295" t="str">
        <x:v>Phụ lục I, Phần I, II.5.b</x:v>
      </x:c>
      <x:c r="S191" s="295" t="str">
        <x:v>https://datafiles.chinhphu.vn/cpp/files/vbpq/2020/03/30.signed.pdf</x:v>
      </x:c>
      <x:c r="T191" s="295" t="str">
        <x:v>CÓ</x:v>
      </x:c>
      <x:c r="U191" s="295" t="str">
        <x:v>CHECK_ONLY</x:v>
      </x:c>
      <x:c r="V191" s="295" t="str">
        <x:v>Mã rule con chỉ phục vụ AI đọc; không tự tạo thao tác OOXML.</x:v>
      </x:c>
    </x:row>
    <x:row r="192" ht="28" customHeight="1">
      <x:c r="A192" s="295" t="n">
        <x:v>187</x:v>
      </x:c>
      <x:c r="B192" s="295" t="str">
        <x:v>ND30.D.NHAN.KINH_GUI.HIEN_DIEN</x:v>
      </x:c>
      <x:c r="C192" s="295" t="str">
        <x:v>ND30.D.NHAN.KINH_GUI</x:v>
      </x:c>
      <x:c r="D192" s="295" t="str">
        <x:v>Người nhận trực tiếp</x:v>
      </x:c>
      <x:c r="E192" s="295" t="str">
        <x:v>Nhãn Kính gửi:</x:v>
      </x:c>
      <x:c r="F192" s="295" t="str">
        <x:v>Điều kiện hiện diện</x:v>
      </x:c>
      <x:c r="G192" s="295" t="str">
        <x:v>TEXT</x:v>
      </x:c>
      <x:c r="H192" s="295"/>
      <x:c r="I192" s="295" t="str">
        <x:v>CHƯA XÁC MINH RIÊNG</x:v>
      </x:c>
      <x:c r="J192" s="295" t="str">
        <x:v>Không suy ra giới hạn pháp lý</x:v>
      </x:c>
      <x:c r="K192" s="295" t="str">
        <x:v>Chỉ văn bản có người nhận trực tiếp và dạng có nhãn Kính gửi theo chế độ tương ứng</x:v>
      </x:c>
      <x:c r="L192" s="295" t="str">
        <x:v>CHUA_DUYET_DINH_TUYEN</x:v>
      </x:c>
      <x:c r="M192" s="295" t="str">
        <x:v>CHUA_DOI_CHIEU_CU_THE</x:v>
      </x:c>
      <x:c r="N192" s="295" t="str">
        <x:v>Chỉ văn bản có người nhận trực tiếp và dạng có nhãn Kính gửi theo chế độ tương ứng</x:v>
      </x:c>
      <x:c r="O192" s="295" t="str">
        <x:v>Quy định gốc &gt; profile; khi chưa rõ điều kiện thì giữ nguyên; không sinh nội dung.</x:v>
      </x:c>
      <x:c r="P192" s="295" t="str">
        <x:v>PARAGRAPH / RUN / SHAPE tùy thuộc tính</x:v>
      </x:c>
      <x:c r="Q192" s="295" t="str">
        <x:v>Xác định đúng khối Nhãn Kính gửi:; đọc giá trị thực; đối chiếu điều kiện; không sửa nội dung khi thiếu nguồn.</x:v>
      </x:c>
      <x:c r="R192" s="295" t="str">
        <x:v>Chưa có locator xác minh riêng</x:v>
      </x:c>
      <x:c r="S192" s="295" t="str">
        <x:v>https://datafiles.chinhphu.vn/cpp/files/vbpq/2020/03/30.signed.pdf</x:v>
      </x:c>
      <x:c r="T192" s="295" t="str">
        <x:v>CÓ</x:v>
      </x:c>
      <x:c r="U192" s="295" t="str">
        <x:v>CHECK_ONLY</x:v>
      </x:c>
      <x:c r="V192" s="295" t="str">
        <x:v>Phải nhận diện chế độ và chủ thể trước khi áp dụng</x:v>
      </x:c>
    </x:row>
    <x:row r="193" ht="28" customHeight="1">
      <x:c r="A193" s="295" t="n">
        <x:v>188</x:v>
      </x:c>
      <x:c r="B193" s="295" t="str">
        <x:v>ND30.D.NHAN.KINH_GUI.PHONG_CHU</x:v>
      </x:c>
      <x:c r="C193" s="295" t="str">
        <x:v>ND30.D.NHAN.KINH_GUI</x:v>
      </x:c>
      <x:c r="D193" s="295" t="str">
        <x:v>Người nhận trực tiếp</x:v>
      </x:c>
      <x:c r="E193" s="295" t="str">
        <x:v>Nhãn Kính gửi:</x:v>
      </x:c>
      <x:c r="F193" s="295" t="str">
        <x:v>Font chữ</x:v>
      </x:c>
      <x:c r="G193" s="295" t="str">
        <x:v>STRING</x:v>
      </x:c>
      <x:c r="H193" s="295"/>
      <x:c r="I193" s="295" t="str">
        <x:v>Times New Roman</x:v>
      </x:c>
      <x:c r="J193" s="295" t="str">
        <x:v>Đúng giá trị/giới hạn riêng</x:v>
      </x:c>
      <x:c r="K193" s="295" t="str">
        <x:v>Times New Roman</x:v>
      </x:c>
      <x:c r="L193" s="295" t="str">
        <x:v>PROFILE_CO_GIA_TRI_CHUA_DUYET</x:v>
      </x:c>
      <x:c r="M193" s="295" t="str">
        <x:v>DOI_CHIEU_CU_THE</x:v>
      </x:c>
      <x:c r="N193" s="295" t="str">
        <x:v>Chỉ văn bản có người nhận trực tiếp và dạng có nhãn Kính gửi theo chế độ tương ứng</x:v>
      </x:c>
      <x:c r="O193" s="295" t="str">
        <x:v>Quy định gốc &gt; profile; khi chưa rõ điều kiện thì giữ nguyên; không sinh nội dung.</x:v>
      </x:c>
      <x:c r="P193" s="295" t="str">
        <x:v>PARAGRAPH / RUN / SHAPE tùy thuộc tính</x:v>
      </x:c>
      <x:c r="Q193" s="295" t="str">
        <x:v>Xác định đúng khối Nhãn Kính gửi:; đọc giá trị thực; đối chiếu điều kiện; không sửa nội dung khi thiếu nguồn.</x:v>
      </x:c>
      <x:c r="R193" s="295" t="str">
        <x:v>Phụ lục I, Phần I, I.4</x:v>
      </x:c>
      <x:c r="S193" s="295" t="str">
        <x:v>https://datafiles.chinhphu.vn/cpp/files/vbpq/2020/03/30.signed.pdf</x:v>
      </x:c>
      <x:c r="T193" s="295" t="str">
        <x:v>CÓ</x:v>
      </x:c>
      <x:c r="U193" s="295" t="str">
        <x:v>CHECK_ONLY</x:v>
      </x:c>
      <x:c r="V193" s="295" t="str"/>
    </x:row>
    <x:row r="194" ht="28" customHeight="1">
      <x:c r="A194" s="295" t="n">
        <x:v>189</x:v>
      </x:c>
      <x:c r="B194" s="295" t="str">
        <x:v>ND30.D.NHAN.KINH_GUI.CO_CHU</x:v>
      </x:c>
      <x:c r="C194" s="295" t="str">
        <x:v>ND30.D.NHAN.KINH_GUI</x:v>
      </x:c>
      <x:c r="D194" s="295" t="str">
        <x:v>Người nhận trực tiếp</x:v>
      </x:c>
      <x:c r="E194" s="295" t="str">
        <x:v>Nhãn Kính gửi:</x:v>
      </x:c>
      <x:c r="F194" s="295" t="str">
        <x:v>Cỡ chữ</x:v>
      </x:c>
      <x:c r="G194" s="295" t="str">
        <x:v>NUMBER_OR_RANGE</x:v>
      </x:c>
      <x:c r="H194" s="295" t="str">
        <x:v>pt</x:v>
      </x:c>
      <x:c r="I194" s="295" t="str">
        <x:v>CHƯA XÁC MINH RIÊNG</x:v>
      </x:c>
      <x:c r="J194" s="295" t="str">
        <x:v>Không suy ra giới hạn pháp lý</x:v>
      </x:c>
      <x:c r="K194" s="295" t="n">
        <x:v>14</x:v>
      </x:c>
      <x:c r="L194" s="295" t="str">
        <x:v>PROFILE_CO_GIA_TRI_CHUA_DUYET</x:v>
      </x:c>
      <x:c r="M194" s="295" t="str">
        <x:v>CHUA_DOI_CHIEU_CU_THE</x:v>
      </x:c>
      <x:c r="N194" s="295" t="str">
        <x:v>Chỉ văn bản có người nhận trực tiếp và dạng có nhãn Kính gửi theo chế độ tương ứng</x:v>
      </x:c>
      <x:c r="O194" s="295" t="str">
        <x:v>Quy định gốc &gt; profile; khi chưa rõ điều kiện thì giữ nguyên; không sinh nội dung.</x:v>
      </x:c>
      <x:c r="P194" s="295" t="str">
        <x:v>PARAGRAPH / RUN / SHAPE tùy thuộc tính</x:v>
      </x:c>
      <x:c r="Q194" s="295" t="str">
        <x:v>Xác định đúng khối Nhãn Kính gửi:; đọc giá trị thực; đối chiếu điều kiện; không sửa nội dung khi thiếu nguồn.</x:v>
      </x:c>
      <x:c r="R194" s="295" t="str">
        <x:v>Chưa có locator xác minh riêng</x:v>
      </x:c>
      <x:c r="S194" s="295" t="str">
        <x:v>https://datafiles.chinhphu.vn/cpp/files/vbpq/2020/03/30.signed.pdf</x:v>
      </x:c>
      <x:c r="T194" s="295" t="str">
        <x:v>CÓ</x:v>
      </x:c>
      <x:c r="U194" s="295" t="str">
        <x:v>CHECK_ONLY</x:v>
      </x:c>
      <x:c r="V194" s="295" t="str"/>
    </x:row>
    <x:row r="195" ht="28" customHeight="1">
      <x:c r="A195" s="295" t="n">
        <x:v>190</x:v>
      </x:c>
      <x:c r="B195" s="295" t="str">
        <x:v>ND30.D.NHAN.KINH_GUI.DAM</x:v>
      </x:c>
      <x:c r="C195" s="295" t="str">
        <x:v>ND30.D.NHAN.KINH_GUI</x:v>
      </x:c>
      <x:c r="D195" s="295" t="str">
        <x:v>Người nhận trực tiếp</x:v>
      </x:c>
      <x:c r="E195" s="295" t="str">
        <x:v>Nhãn Kính gửi:</x:v>
      </x:c>
      <x:c r="F195" s="295" t="str">
        <x:v>In đậm</x:v>
      </x:c>
      <x:c r="G195" s="295" t="str">
        <x:v>BOOLEAN</x:v>
      </x:c>
      <x:c r="H195" s="295"/>
      <x:c r="I195" s="295" t="str">
        <x:v>CHƯA XÁC MINH RIÊNG</x:v>
      </x:c>
      <x:c r="J195" s="295" t="str">
        <x:v>Không suy ra giới hạn pháp lý</x:v>
      </x:c>
      <x:c r="K195" s="296" t="b">
        <x:v>0</x:v>
      </x:c>
      <x:c r="L195" s="295" t="str">
        <x:v>PROFILE_CO_GIA_TRI_CHUA_DUYET</x:v>
      </x:c>
      <x:c r="M195" s="295" t="str">
        <x:v>CHUA_DOI_CHIEU_CU_THE</x:v>
      </x:c>
      <x:c r="N195" s="295" t="str">
        <x:v>Chỉ văn bản có người nhận trực tiếp và dạng có nhãn Kính gửi theo chế độ tương ứng</x:v>
      </x:c>
      <x:c r="O195" s="295" t="str">
        <x:v>Quy định gốc &gt; profile; khi chưa rõ điều kiện thì giữ nguyên; không sinh nội dung.</x:v>
      </x:c>
      <x:c r="P195" s="295" t="str">
        <x:v>PARAGRAPH / RUN / SHAPE tùy thuộc tính</x:v>
      </x:c>
      <x:c r="Q195" s="295" t="str">
        <x:v>Xác định đúng khối Nhãn Kính gửi:; đọc giá trị thực; đối chiếu điều kiện; không sửa nội dung khi thiếu nguồn.</x:v>
      </x:c>
      <x:c r="R195" s="295" t="str">
        <x:v>Chưa có locator xác minh riêng</x:v>
      </x:c>
      <x:c r="S195" s="295" t="str">
        <x:v>https://datafiles.chinhphu.vn/cpp/files/vbpq/2020/03/30.signed.pdf</x:v>
      </x:c>
      <x:c r="T195" s="295" t="str">
        <x:v>CÓ</x:v>
      </x:c>
      <x:c r="U195" s="295" t="str">
        <x:v>CHECK_ONLY</x:v>
      </x:c>
      <x:c r="V195" s="295" t="str"/>
    </x:row>
    <x:row r="196" ht="28" customHeight="1">
      <x:c r="A196" s="295" t="n">
        <x:v>191</x:v>
      </x:c>
      <x:c r="B196" s="295" t="str">
        <x:v>ND30.D.NHAN.KINH_GUI.NGHIENG</x:v>
      </x:c>
      <x:c r="C196" s="295" t="str">
        <x:v>ND30.D.NHAN.KINH_GUI</x:v>
      </x:c>
      <x:c r="D196" s="295" t="str">
        <x:v>Người nhận trực tiếp</x:v>
      </x:c>
      <x:c r="E196" s="295" t="str">
        <x:v>Nhãn Kính gửi:</x:v>
      </x:c>
      <x:c r="F196" s="295" t="str">
        <x:v>In nghiêng</x:v>
      </x:c>
      <x:c r="G196" s="295" t="str">
        <x:v>BOOLEAN</x:v>
      </x:c>
      <x:c r="H196" s="295"/>
      <x:c r="I196" s="295" t="str">
        <x:v>CHƯA XÁC MINH RIÊNG</x:v>
      </x:c>
      <x:c r="J196" s="295" t="str">
        <x:v>Không suy ra giới hạn pháp lý</x:v>
      </x:c>
      <x:c r="K196" s="296" t="b">
        <x:v>0</x:v>
      </x:c>
      <x:c r="L196" s="295" t="str">
        <x:v>PROFILE_CO_GIA_TRI_CHUA_DUYET</x:v>
      </x:c>
      <x:c r="M196" s="295" t="str">
        <x:v>CHUA_DOI_CHIEU_CU_THE</x:v>
      </x:c>
      <x:c r="N196" s="295" t="str">
        <x:v>Chỉ văn bản có người nhận trực tiếp và dạng có nhãn Kính gửi theo chế độ tương ứng</x:v>
      </x:c>
      <x:c r="O196" s="295" t="str">
        <x:v>Quy định gốc &gt; profile; khi chưa rõ điều kiện thì giữ nguyên; không sinh nội dung.</x:v>
      </x:c>
      <x:c r="P196" s="295" t="str">
        <x:v>PARAGRAPH / RUN / SHAPE tùy thuộc tính</x:v>
      </x:c>
      <x:c r="Q196" s="295" t="str">
        <x:v>Xác định đúng khối Nhãn Kính gửi:; đọc giá trị thực; đối chiếu điều kiện; không sửa nội dung khi thiếu nguồn.</x:v>
      </x:c>
      <x:c r="R196" s="295" t="str">
        <x:v>Chưa có locator xác minh riêng</x:v>
      </x:c>
      <x:c r="S196" s="295" t="str">
        <x:v>https://datafiles.chinhphu.vn/cpp/files/vbpq/2020/03/30.signed.pdf</x:v>
      </x:c>
      <x:c r="T196" s="295" t="str">
        <x:v>CÓ</x:v>
      </x:c>
      <x:c r="U196" s="295" t="str">
        <x:v>CHECK_ONLY</x:v>
      </x:c>
      <x:c r="V196" s="295" t="str"/>
    </x:row>
    <x:row r="197" ht="28" customHeight="1">
      <x:c r="A197" s="295" t="n">
        <x:v>192</x:v>
      </x:c>
      <x:c r="B197" s="295" t="str">
        <x:v>ND30.D.NHAN.KINH_GUI.KIEU_CHU</x:v>
      </x:c>
      <x:c r="C197" s="295" t="str">
        <x:v>ND30.D.NHAN.KINH_GUI</x:v>
      </x:c>
      <x:c r="D197" s="295" t="str">
        <x:v>Người nhận trực tiếp</x:v>
      </x:c>
      <x:c r="E197" s="295" t="str">
        <x:v>Nhãn Kính gửi:</x:v>
      </x:c>
      <x:c r="F197" s="295" t="str">
        <x:v>Kiểu viết hoa/thường</x:v>
      </x:c>
      <x:c r="G197" s="295" t="str">
        <x:v>ENUM</x:v>
      </x:c>
      <x:c r="H197" s="295"/>
      <x:c r="I197" s="295" t="str">
        <x:v>CHƯA XÁC MINH RIÊNG</x:v>
      </x:c>
      <x:c r="J197" s="295" t="str">
        <x:v>Không suy ra giới hạn pháp lý</x:v>
      </x:c>
      <x:c r="K197" s="295" t="str">
        <x:v>In thường</x:v>
      </x:c>
      <x:c r="L197" s="295" t="str">
        <x:v>PROFILE_CO_GIA_TRI_CHUA_DUYET</x:v>
      </x:c>
      <x:c r="M197" s="295" t="str">
        <x:v>CHUA_DOI_CHIEU_CU_THE</x:v>
      </x:c>
      <x:c r="N197" s="295" t="str">
        <x:v>Chỉ văn bản có người nhận trực tiếp và dạng có nhãn Kính gửi theo chế độ tương ứng</x:v>
      </x:c>
      <x:c r="O197" s="295" t="str">
        <x:v>Quy định gốc &gt; profile; khi chưa rõ điều kiện thì giữ nguyên; không sinh nội dung.</x:v>
      </x:c>
      <x:c r="P197" s="295" t="str">
        <x:v>PARAGRAPH / RUN / SHAPE tùy thuộc tính</x:v>
      </x:c>
      <x:c r="Q197" s="295" t="str">
        <x:v>Xác định đúng khối Nhãn Kính gửi:; đọc giá trị thực; đối chiếu điều kiện; không sửa nội dung khi thiếu nguồn.</x:v>
      </x:c>
      <x:c r="R197" s="295" t="str">
        <x:v>Chưa có locator xác minh riêng</x:v>
      </x:c>
      <x:c r="S197" s="295" t="str">
        <x:v>https://datafiles.chinhphu.vn/cpp/files/vbpq/2020/03/30.signed.pdf</x:v>
      </x:c>
      <x:c r="T197" s="295" t="str">
        <x:v>CÓ</x:v>
      </x:c>
      <x:c r="U197" s="295" t="str">
        <x:v>CHECK_ONLY</x:v>
      </x:c>
      <x:c r="V197" s="295" t="str"/>
    </x:row>
    <x:row r="198" ht="28" customHeight="1">
      <x:c r="A198" s="295" t="n">
        <x:v>193</x:v>
      </x:c>
      <x:c r="B198" s="295" t="str">
        <x:v>ND30.D.NHAN.KINH_GUI.CAN_NGANG</x:v>
      </x:c>
      <x:c r="C198" s="295" t="str">
        <x:v>ND30.D.NHAN.KINH_GUI</x:v>
      </x:c>
      <x:c r="D198" s="295" t="str">
        <x:v>Người nhận trực tiếp</x:v>
      </x:c>
      <x:c r="E198" s="295" t="str">
        <x:v>Nhãn Kính gửi:</x:v>
      </x:c>
      <x:c r="F198" s="295" t="str">
        <x:v>Căn ngang</x:v>
      </x:c>
      <x:c r="G198" s="295" t="str">
        <x:v>ENUM</x:v>
      </x:c>
      <x:c r="H198" s="295"/>
      <x:c r="I198" s="295" t="str">
        <x:v>CHƯA XÁC MINH RIÊNG</x:v>
      </x:c>
      <x:c r="J198" s="295" t="str">
        <x:v>Không suy ra giới hạn pháp lý</x:v>
      </x:c>
      <x:c r="K198" s="295"/>
      <x:c r="L198" s="295" t="str">
        <x:v>KHONG_AP_DUNG_HOAC_CHUA_DU_GIA_TRI</x:v>
      </x:c>
      <x:c r="M198" s="295" t="str">
        <x:v>CHUA_DOI_CHIEU_CU_THE</x:v>
      </x:c>
      <x:c r="N198" s="295" t="str">
        <x:v>Chỉ văn bản có người nhận trực tiếp và dạng có nhãn Kính gửi theo chế độ tương ứng</x:v>
      </x:c>
      <x:c r="O198" s="295" t="str">
        <x:v>Quy định gốc &gt; profile; khi chưa rõ điều kiện thì giữ nguyên; không sinh nội dung.</x:v>
      </x:c>
      <x:c r="P198" s="295" t="str">
        <x:v>PARAGRAPH / RUN / SHAPE tùy thuộc tính</x:v>
      </x:c>
      <x:c r="Q198" s="295" t="str">
        <x:v>Xác định đúng khối Nhãn Kính gửi:; đọc giá trị thực; đối chiếu điều kiện; không sửa nội dung khi thiếu nguồn.</x:v>
      </x:c>
      <x:c r="R198" s="295" t="str">
        <x:v>Chưa có locator xác minh riêng</x:v>
      </x:c>
      <x:c r="S198" s="295" t="str">
        <x:v>https://datafiles.chinhphu.vn/cpp/files/vbpq/2020/03/30.signed.pdf</x:v>
      </x:c>
      <x:c r="T198" s="295" t="str">
        <x:v>CÓ</x:v>
      </x:c>
      <x:c r="U198" s="295" t="str">
        <x:v>CHECK_ONLY</x:v>
      </x:c>
      <x:c r="V198" s="295" t="str"/>
    </x:row>
    <x:row r="199" ht="28" customHeight="1">
      <x:c r="A199" s="295" t="n">
        <x:v>194</x:v>
      </x:c>
      <x:c r="B199" s="295" t="str">
        <x:v>ND30.D.NHAN.KINH_GUI.CACH_SAU</x:v>
      </x:c>
      <x:c r="C199" s="295" t="str">
        <x:v>ND30.D.NHAN.KINH_GUI</x:v>
      </x:c>
      <x:c r="D199" s="295" t="str">
        <x:v>Người nhận trực tiếp</x:v>
      </x:c>
      <x:c r="E199" s="295" t="str">
        <x:v>Nhãn Kính gửi:</x:v>
      </x:c>
      <x:c r="F199" s="295" t="str">
        <x:v>Khoảng cách sau đoạn</x:v>
      </x:c>
      <x:c r="G199" s="295" t="str">
        <x:v>NUMBER</x:v>
      </x:c>
      <x:c r="H199" s="295" t="str">
        <x:v>pt</x:v>
      </x:c>
      <x:c r="I199" s="295" t="str">
        <x:v>CHƯA XÁC MINH RIÊNG</x:v>
      </x:c>
      <x:c r="J199" s="295" t="str">
        <x:v>Không suy ra giới hạn pháp lý</x:v>
      </x:c>
      <x:c r="K199" s="295" t="n">
        <x:v>3</x:v>
      </x:c>
      <x:c r="L199" s="295" t="str">
        <x:v>PROFILE_CHO_RAO_SOAT</x:v>
      </x:c>
      <x:c r="M199" s="295" t="str">
        <x:v>CHUA_DOI_CHIEU_CU_THE</x:v>
      </x:c>
      <x:c r="N199" s="295" t="str">
        <x:v>Chỉ văn bản có người nhận trực tiếp và dạng có nhãn Kính gửi theo chế độ tương ứng</x:v>
      </x:c>
      <x:c r="O199" s="295" t="str">
        <x:v>Quy định gốc &gt; profile; khi chưa rõ điều kiện thì giữ nguyên; không sinh nội dung.</x:v>
      </x:c>
      <x:c r="P199" s="295" t="str">
        <x:v>PARAGRAPH / RUN / SHAPE tùy thuộc tính</x:v>
      </x:c>
      <x:c r="Q199" s="295" t="str">
        <x:v>Xác định đúng khối Nhãn Kính gửi:; đọc giá trị thực; đối chiếu điều kiện; không sửa nội dung khi thiếu nguồn.</x:v>
      </x:c>
      <x:c r="R199" s="295" t="str">
        <x:v>Chưa có locator xác minh riêng</x:v>
      </x:c>
      <x:c r="S199" s="295" t="str">
        <x:v>https://datafiles.chinhphu.vn/cpp/files/vbpq/2020/03/30.signed.pdf</x:v>
      </x:c>
      <x:c r="T199" s="295" t="str">
        <x:v>CÓ</x:v>
      </x:c>
      <x:c r="U199" s="295" t="str">
        <x:v>CHECK_ONLY</x:v>
      </x:c>
      <x:c r="V199" s="295" t="str">
        <x:v>Không tự chèn đoạn trắng</x:v>
      </x:c>
    </x:row>
    <x:row r="200" ht="28" customHeight="1">
      <x:c r="A200" s="295" t="n">
        <x:v>195</x:v>
      </x:c>
      <x:c r="B200" s="295" t="str">
        <x:v>ND30.D.NHAN.KINH_GUI.GIAN_DONG</x:v>
      </x:c>
      <x:c r="C200" s="295" t="str">
        <x:v>ND30.D.NHAN.KINH_GUI</x:v>
      </x:c>
      <x:c r="D200" s="295" t="str">
        <x:v>Người nhận trực tiếp</x:v>
      </x:c>
      <x:c r="E200" s="295" t="str">
        <x:v>Nhãn Kính gửi:</x:v>
      </x:c>
      <x:c r="F200" s="295" t="str">
        <x:v>Giãn dòng</x:v>
      </x:c>
      <x:c r="G200" s="295" t="str">
        <x:v>NUMBER</x:v>
      </x:c>
      <x:c r="H200" s="295" t="str">
        <x:v>lines</x:v>
      </x:c>
      <x:c r="I200" s="295" t="str">
        <x:v>CHƯA XÁC MINH RIÊNG</x:v>
      </x:c>
      <x:c r="J200" s="295" t="str">
        <x:v>Không suy ra giới hạn pháp lý</x:v>
      </x:c>
      <x:c r="K200" s="295" t="str">
        <x:v>SINGLE</x:v>
      </x:c>
      <x:c r="L200" s="295" t="str">
        <x:v>PROFILE_CHO_RAO_SOAT</x:v>
      </x:c>
      <x:c r="M200" s="295" t="str">
        <x:v>CHUA_DOI_CHIEU_CU_THE</x:v>
      </x:c>
      <x:c r="N200" s="295" t="str">
        <x:v>Chỉ văn bản có người nhận trực tiếp và dạng có nhãn Kính gửi theo chế độ tương ứng</x:v>
      </x:c>
      <x:c r="O200" s="295" t="str">
        <x:v>Quy định gốc &gt; profile; khi chưa rõ điều kiện thì giữ nguyên; không sinh nội dung.</x:v>
      </x:c>
      <x:c r="P200" s="295" t="str">
        <x:v>PARAGRAPH / RUN / SHAPE tùy thuộc tính</x:v>
      </x:c>
      <x:c r="Q200" s="295" t="str">
        <x:v>Xác định đúng khối Nhãn Kính gửi:; đọc giá trị thực; đối chiếu điều kiện; không sửa nội dung khi thiếu nguồn.</x:v>
      </x:c>
      <x:c r="R200" s="295" t="str">
        <x:v>Chưa có locator xác minh riêng</x:v>
      </x:c>
      <x:c r="S200" s="295" t="str">
        <x:v>https://datafiles.chinhphu.vn/cpp/files/vbpq/2020/03/30.signed.pdf</x:v>
      </x:c>
      <x:c r="T200" s="295" t="str">
        <x:v>CÓ</x:v>
      </x:c>
      <x:c r="U200" s="295" t="str">
        <x:v>CHECK_ONLY</x:v>
      </x:c>
      <x:c r="V200" s="295" t="str">
        <x:v>Giãn dòng phần đầu không được tự đồng nhất với thân bài.</x:v>
      </x:c>
    </x:row>
    <x:row r="201" ht="28" customHeight="1">
      <x:c r="A201" s="295" t="n">
        <x:v>196</x:v>
      </x:c>
      <x:c r="B201" s="295" t="str">
        <x:v>ND30.D.NHAN.KINH_GUI.CHUOI_CO_DINH</x:v>
      </x:c>
      <x:c r="C201" s="295" t="str">
        <x:v>ND30.D.NHAN.KINH_GUI</x:v>
      </x:c>
      <x:c r="D201" s="295" t="str">
        <x:v>Người nhận trực tiếp</x:v>
      </x:c>
      <x:c r="E201" s="295" t="str">
        <x:v>Nhãn Kính gửi:</x:v>
      </x:c>
      <x:c r="F201" s="295" t="str">
        <x:v>Nhãn hoặc chuỗi cố định</x:v>
      </x:c>
      <x:c r="G201" s="295" t="str">
        <x:v>TEXT</x:v>
      </x:c>
      <x:c r="H201" s="295"/>
      <x:c r="I201" s="295" t="str">
        <x:v>Kính gửi:</x:v>
      </x:c>
      <x:c r="J201" s="295" t="str">
        <x:v>Đúng giá trị/giới hạn riêng</x:v>
      </x:c>
      <x:c r="K201" s="295" t="str">
        <x:v>Kính gửi:</x:v>
      </x:c>
      <x:c r="L201" s="295" t="str">
        <x:v>PROFILE_CO_GIA_TRI_HOP_LE</x:v>
      </x:c>
      <x:c r="M201" s="295" t="str">
        <x:v>DOI_CHIEU_CU_THE</x:v>
      </x:c>
      <x:c r="N201" s="295" t="str">
        <x:v>Chỉ văn bản có người nhận trực tiếp và dạng có nhãn Kính gửi theo chế độ tương ứng</x:v>
      </x:c>
      <x:c r="O201" s="295" t="str">
        <x:v>Quy định gốc &gt; profile; khi chưa rõ điều kiện thì giữ nguyên; không sinh nội dung.</x:v>
      </x:c>
      <x:c r="P201" s="295" t="str">
        <x:v>PARAGRAPH / RUN / SHAPE tùy thuộc tính</x:v>
      </x:c>
      <x:c r="Q201" s="295" t="str">
        <x:v>Xác định đúng khối Nhãn Kính gửi:; đọc giá trị thực; đối chiếu điều kiện; không sửa nội dung khi thiếu nguồn.</x:v>
      </x:c>
      <x:c r="R201" s="295" t="str">
        <x:v>Phụ lục I, Phần I, II.1-5</x:v>
      </x:c>
      <x:c r="S201" s="295" t="str">
        <x:v>https://datafiles.chinhphu.vn/cpp/files/vbpq/2020/03/30.signed.pdf</x:v>
      </x:c>
      <x:c r="T201" s="295" t="str">
        <x:v>CÓ</x:v>
      </x:c>
      <x:c r="U201" s="295" t="str">
        <x:v>CHECK_ONLY</x:v>
      </x:c>
      <x:c r="V201" s="295" t="str">
        <x:v>Không thêm nhãn khi thành phần không xuất hiện</x:v>
      </x:c>
    </x:row>
    <x:row r="202" ht="28" customHeight="1">
      <x:c r="A202" s="295" t="n">
        <x:v>197</x:v>
      </x:c>
      <x:c r="B202" s="295" t="str">
        <x:v>ND30.D.NHAN.KINH_GUI.VI_TRI</x:v>
      </x:c>
      <x:c r="C202" s="295" t="str">
        <x:v>ND30.D.NHAN.KINH_GUI</x:v>
      </x:c>
      <x:c r="D202" s="295" t="str">
        <x:v>Người nhận trực tiếp</x:v>
      </x:c>
      <x:c r="E202" s="295" t="str">
        <x:v>Nhãn Kính gửi:</x:v>
      </x:c>
      <x:c r="F202" s="295" t="str">
        <x:v>Ô bố cục Kính gửi</x:v>
      </x:c>
      <x:c r="G202" s="295" t="str">
        <x:v>TEXT</x:v>
      </x:c>
      <x:c r="H202" s="295"/>
      <x:c r="I202" s="295" t="str">
        <x:v>9a</x:v>
      </x:c>
      <x:c r="J202" s="295" t="str">
        <x:v>Đúng giá trị/giới hạn riêng</x:v>
      </x:c>
      <x:c r="K202" s="295" t="str">
        <x:v>9a</x:v>
      </x:c>
      <x:c r="L202" s="295" t="str">
        <x:v>PROFILE_THEO_NGUON</x:v>
      </x:c>
      <x:c r="M202" s="295" t="str">
        <x:v>DOI_CHIEU_CU_THE</x:v>
      </x:c>
      <x:c r="N202" s="295" t="str">
        <x:v>Chỉ văn bản có người nhận trực tiếp và dạng có nhãn Kính gửi theo chế độ tương ứng</x:v>
      </x:c>
      <x:c r="O202" s="295" t="str">
        <x:v>Quy định gốc &gt; profile; khi chưa rõ điều kiện thì giữ nguyên; không sinh nội dung.</x:v>
      </x:c>
      <x:c r="P202" s="295" t="str">
        <x:v>PARAGRAPH / RUN / SHAPE tùy thuộc tính</x:v>
      </x:c>
      <x:c r="Q202" s="295" t="str">
        <x:v>Xác định đúng khối Nhãn Kính gửi:; đọc giá trị thực; đối chiếu điều kiện; không sửa nội dung khi thiếu nguồn.</x:v>
      </x:c>
      <x:c r="R202" s="295" t="str">
        <x:v>Phụ lục I, Phần I, II.9</x:v>
      </x:c>
      <x:c r="S202" s="295" t="str">
        <x:v>https://datafiles.chinhphu.vn/cpp/files/vbpq/2020/03/30.signed.pdf</x:v>
      </x:c>
      <x:c r="T202" s="295" t="str">
        <x:v>CÓ</x:v>
      </x:c>
      <x:c r="U202" s="295" t="str">
        <x:v>CHECK_ONLY</x:v>
      </x:c>
      <x:c r="V202" s="295" t="str">
        <x:v>Mã rule con chỉ phục vụ AI đọc; không tự tạo thao tác OOXML.</x:v>
      </x:c>
    </x:row>
    <x:row r="203" ht="28" customHeight="1">
      <x:c r="A203" s="295" t="n">
        <x:v>198</x:v>
      </x:c>
      <x:c r="B203" s="295" t="str">
        <x:v>ND30.D.NHAN.DS_KINH_GUI.HIEN_DIEN</x:v>
      </x:c>
      <x:c r="C203" s="295" t="str">
        <x:v>ND30.D.NHAN.DS_KINH_GUI</x:v>
      </x:c>
      <x:c r="D203" s="295" t="str">
        <x:v>Người nhận trực tiếp</x:v>
      </x:c>
      <x:c r="E203" s="295" t="str">
        <x:v>Danh sách người nhận trực tiếp</x:v>
      </x:c>
      <x:c r="F203" s="295" t="str">
        <x:v>Điều kiện hiện diện</x:v>
      </x:c>
      <x:c r="G203" s="295" t="str">
        <x:v>TEXT</x:v>
      </x:c>
      <x:c r="H203" s="295"/>
      <x:c r="I203" s="295" t="str">
        <x:v>CHƯA XÁC MINH RIÊNG</x:v>
      </x:c>
      <x:c r="J203" s="295" t="str">
        <x:v>Không suy ra giới hạn pháp lý</x:v>
      </x:c>
      <x:c r="K203" s="295" t="str">
        <x:v>Chỉ khi có Kính gửi, danh sách gắn với nhãn</x:v>
      </x:c>
      <x:c r="L203" s="295" t="str">
        <x:v>CHUA_DUYET_DINH_TUYEN</x:v>
      </x:c>
      <x:c r="M203" s="295" t="str">
        <x:v>CHUA_DOI_CHIEU_CU_THE</x:v>
      </x:c>
      <x:c r="N203" s="295" t="str">
        <x:v>Chỉ khi có Kính gửi, danh sách gắn với nhãn</x:v>
      </x:c>
      <x:c r="O203" s="295" t="str">
        <x:v>Quy định gốc &gt; profile; khi chưa rõ điều kiện thì giữ nguyên; không sinh nội dung.</x:v>
      </x:c>
      <x:c r="P203" s="295" t="str">
        <x:v>PARAGRAPH / RUN / SHAPE tùy thuộc tính</x:v>
      </x:c>
      <x:c r="Q203" s="295" t="str">
        <x:v>Xác định đúng khối Danh sách người nhận trực tiếp; đọc giá trị thực; đối chiếu điều kiện; không sửa nội dung khi thiếu nguồn.</x:v>
      </x:c>
      <x:c r="R203" s="295" t="str">
        <x:v>Chưa có locator xác minh riêng</x:v>
      </x:c>
      <x:c r="S203" s="295" t="str">
        <x:v>https://datafiles.chinhphu.vn/cpp/files/vbpq/2020/03/30.signed.pdf</x:v>
      </x:c>
      <x:c r="T203" s="295" t="str">
        <x:v>CÓ</x:v>
      </x:c>
      <x:c r="U203" s="295" t="str">
        <x:v>CHECK_ONLY</x:v>
      </x:c>
      <x:c r="V203" s="295" t="str">
        <x:v>Phải nhận diện chế độ và chủ thể trước khi áp dụng</x:v>
      </x:c>
    </x:row>
    <x:row r="204" ht="28" customHeight="1">
      <x:c r="A204" s="295" t="n">
        <x:v>199</x:v>
      </x:c>
      <x:c r="B204" s="295" t="str">
        <x:v>ND30.D.NHAN.DS_KINH_GUI.PHONG_CHU</x:v>
      </x:c>
      <x:c r="C204" s="295" t="str">
        <x:v>ND30.D.NHAN.DS_KINH_GUI</x:v>
      </x:c>
      <x:c r="D204" s="295" t="str">
        <x:v>Người nhận trực tiếp</x:v>
      </x:c>
      <x:c r="E204" s="295" t="str">
        <x:v>Danh sách người nhận trực tiếp</x:v>
      </x:c>
      <x:c r="F204" s="295" t="str">
        <x:v>Font chữ</x:v>
      </x:c>
      <x:c r="G204" s="295" t="str">
        <x:v>STRING</x:v>
      </x:c>
      <x:c r="H204" s="295"/>
      <x:c r="I204" s="295" t="str">
        <x:v>Times New Roman</x:v>
      </x:c>
      <x:c r="J204" s="295" t="str">
        <x:v>Đúng giá trị/giới hạn riêng</x:v>
      </x:c>
      <x:c r="K204" s="295" t="str">
        <x:v>Times New Roman</x:v>
      </x:c>
      <x:c r="L204" s="295" t="str">
        <x:v>PROFILE_CO_GIA_TRI_CHUA_DUYET</x:v>
      </x:c>
      <x:c r="M204" s="295" t="str">
        <x:v>DOI_CHIEU_CU_THE</x:v>
      </x:c>
      <x:c r="N204" s="295" t="str">
        <x:v>Chỉ khi có Kính gửi, danh sách gắn với nhãn</x:v>
      </x:c>
      <x:c r="O204" s="295" t="str">
        <x:v>Quy định gốc &gt; profile; khi chưa rõ điều kiện thì giữ nguyên; không sinh nội dung.</x:v>
      </x:c>
      <x:c r="P204" s="295" t="str">
        <x:v>PARAGRAPH / RUN / SHAPE tùy thuộc tính</x:v>
      </x:c>
      <x:c r="Q204" s="295" t="str">
        <x:v>Xác định đúng khối Danh sách người nhận trực tiếp; đọc giá trị thực; đối chiếu điều kiện; không sửa nội dung khi thiếu nguồn.</x:v>
      </x:c>
      <x:c r="R204" s="295" t="str">
        <x:v>Phụ lục I, Phần I, I.4</x:v>
      </x:c>
      <x:c r="S204" s="295" t="str">
        <x:v>https://datafiles.chinhphu.vn/cpp/files/vbpq/2020/03/30.signed.pdf</x:v>
      </x:c>
      <x:c r="T204" s="295" t="str">
        <x:v>CÓ</x:v>
      </x:c>
      <x:c r="U204" s="295" t="str">
        <x:v>CHECK_ONLY</x:v>
      </x:c>
      <x:c r="V204" s="295" t="str"/>
    </x:row>
    <x:row r="205" ht="28" customHeight="1">
      <x:c r="A205" s="295" t="n">
        <x:v>200</x:v>
      </x:c>
      <x:c r="B205" s="295" t="str">
        <x:v>ND30.D.NHAN.DS_KINH_GUI.CO_CHU</x:v>
      </x:c>
      <x:c r="C205" s="295" t="str">
        <x:v>ND30.D.NHAN.DS_KINH_GUI</x:v>
      </x:c>
      <x:c r="D205" s="295" t="str">
        <x:v>Người nhận trực tiếp</x:v>
      </x:c>
      <x:c r="E205" s="295" t="str">
        <x:v>Danh sách người nhận trực tiếp</x:v>
      </x:c>
      <x:c r="F205" s="295" t="str">
        <x:v>Cỡ chữ</x:v>
      </x:c>
      <x:c r="G205" s="295" t="str">
        <x:v>NUMBER_OR_RANGE</x:v>
      </x:c>
      <x:c r="H205" s="295" t="str">
        <x:v>pt</x:v>
      </x:c>
      <x:c r="I205" s="295" t="str">
        <x:v>CHƯA XÁC MINH RIÊNG</x:v>
      </x:c>
      <x:c r="J205" s="295" t="str">
        <x:v>Không suy ra giới hạn pháp lý</x:v>
      </x:c>
      <x:c r="K205" s="295" t="n">
        <x:v>14</x:v>
      </x:c>
      <x:c r="L205" s="295" t="str">
        <x:v>PROFILE_CO_GIA_TRI_CHUA_DUYET</x:v>
      </x:c>
      <x:c r="M205" s="295" t="str">
        <x:v>CHUA_DOI_CHIEU_CU_THE</x:v>
      </x:c>
      <x:c r="N205" s="295" t="str">
        <x:v>Chỉ khi có Kính gửi, danh sách gắn với nhãn</x:v>
      </x:c>
      <x:c r="O205" s="295" t="str">
        <x:v>Quy định gốc &gt; profile; khi chưa rõ điều kiện thì giữ nguyên; không sinh nội dung.</x:v>
      </x:c>
      <x:c r="P205" s="295" t="str">
        <x:v>PARAGRAPH / RUN / SHAPE tùy thuộc tính</x:v>
      </x:c>
      <x:c r="Q205" s="295" t="str">
        <x:v>Xác định đúng khối Danh sách người nhận trực tiếp; đọc giá trị thực; đối chiếu điều kiện; không sửa nội dung khi thiếu nguồn.</x:v>
      </x:c>
      <x:c r="R205" s="295" t="str">
        <x:v>Chưa có locator xác minh riêng</x:v>
      </x:c>
      <x:c r="S205" s="295" t="str">
        <x:v>https://datafiles.chinhphu.vn/cpp/files/vbpq/2020/03/30.signed.pdf</x:v>
      </x:c>
      <x:c r="T205" s="295" t="str">
        <x:v>CÓ</x:v>
      </x:c>
      <x:c r="U205" s="295" t="str">
        <x:v>CHECK_ONLY</x:v>
      </x:c>
      <x:c r="V205" s="295" t="str"/>
    </x:row>
    <x:row r="206" ht="28" customHeight="1">
      <x:c r="A206" s="295" t="n">
        <x:v>201</x:v>
      </x:c>
      <x:c r="B206" s="295" t="str">
        <x:v>ND30.D.NHAN.DS_KINH_GUI.DAM</x:v>
      </x:c>
      <x:c r="C206" s="295" t="str">
        <x:v>ND30.D.NHAN.DS_KINH_GUI</x:v>
      </x:c>
      <x:c r="D206" s="295" t="str">
        <x:v>Người nhận trực tiếp</x:v>
      </x:c>
      <x:c r="E206" s="295" t="str">
        <x:v>Danh sách người nhận trực tiếp</x:v>
      </x:c>
      <x:c r="F206" s="295" t="str">
        <x:v>In đậm</x:v>
      </x:c>
      <x:c r="G206" s="295" t="str">
        <x:v>BOOLEAN</x:v>
      </x:c>
      <x:c r="H206" s="295"/>
      <x:c r="I206" s="295" t="str">
        <x:v>CHƯA XÁC MINH RIÊNG</x:v>
      </x:c>
      <x:c r="J206" s="295" t="str">
        <x:v>Không suy ra giới hạn pháp lý</x:v>
      </x:c>
      <x:c r="K206" s="296" t="b">
        <x:v>0</x:v>
      </x:c>
      <x:c r="L206" s="295" t="str">
        <x:v>PROFILE_CO_GIA_TRI_CHUA_DUYET</x:v>
      </x:c>
      <x:c r="M206" s="295" t="str">
        <x:v>CHUA_DOI_CHIEU_CU_THE</x:v>
      </x:c>
      <x:c r="N206" s="295" t="str">
        <x:v>Chỉ khi có Kính gửi, danh sách gắn với nhãn</x:v>
      </x:c>
      <x:c r="O206" s="295" t="str">
        <x:v>Quy định gốc &gt; profile; khi chưa rõ điều kiện thì giữ nguyên; không sinh nội dung.</x:v>
      </x:c>
      <x:c r="P206" s="295" t="str">
        <x:v>PARAGRAPH / RUN / SHAPE tùy thuộc tính</x:v>
      </x:c>
      <x:c r="Q206" s="295" t="str">
        <x:v>Xác định đúng khối Danh sách người nhận trực tiếp; đọc giá trị thực; đối chiếu điều kiện; không sửa nội dung khi thiếu nguồn.</x:v>
      </x:c>
      <x:c r="R206" s="295" t="str">
        <x:v>Chưa có locator xác minh riêng</x:v>
      </x:c>
      <x:c r="S206" s="295" t="str">
        <x:v>https://datafiles.chinhphu.vn/cpp/files/vbpq/2020/03/30.signed.pdf</x:v>
      </x:c>
      <x:c r="T206" s="295" t="str">
        <x:v>CÓ</x:v>
      </x:c>
      <x:c r="U206" s="295" t="str">
        <x:v>CHECK_ONLY</x:v>
      </x:c>
      <x:c r="V206" s="295" t="str"/>
    </x:row>
    <x:row r="207" ht="28" customHeight="1">
      <x:c r="A207" s="295" t="n">
        <x:v>202</x:v>
      </x:c>
      <x:c r="B207" s="295" t="str">
        <x:v>ND30.D.NHAN.DS_KINH_GUI.NGHIENG</x:v>
      </x:c>
      <x:c r="C207" s="295" t="str">
        <x:v>ND30.D.NHAN.DS_KINH_GUI</x:v>
      </x:c>
      <x:c r="D207" s="295" t="str">
        <x:v>Người nhận trực tiếp</x:v>
      </x:c>
      <x:c r="E207" s="295" t="str">
        <x:v>Danh sách người nhận trực tiếp</x:v>
      </x:c>
      <x:c r="F207" s="295" t="str">
        <x:v>In nghiêng</x:v>
      </x:c>
      <x:c r="G207" s="295" t="str">
        <x:v>BOOLEAN</x:v>
      </x:c>
      <x:c r="H207" s="295"/>
      <x:c r="I207" s="295" t="str">
        <x:v>CHƯA XÁC MINH RIÊNG</x:v>
      </x:c>
      <x:c r="J207" s="295" t="str">
        <x:v>Không suy ra giới hạn pháp lý</x:v>
      </x:c>
      <x:c r="K207" s="296" t="b">
        <x:v>0</x:v>
      </x:c>
      <x:c r="L207" s="295" t="str">
        <x:v>PROFILE_CO_GIA_TRI_CHUA_DUYET</x:v>
      </x:c>
      <x:c r="M207" s="295" t="str">
        <x:v>CHUA_DOI_CHIEU_CU_THE</x:v>
      </x:c>
      <x:c r="N207" s="295" t="str">
        <x:v>Chỉ khi có Kính gửi, danh sách gắn với nhãn</x:v>
      </x:c>
      <x:c r="O207" s="295" t="str">
        <x:v>Quy định gốc &gt; profile; khi chưa rõ điều kiện thì giữ nguyên; không sinh nội dung.</x:v>
      </x:c>
      <x:c r="P207" s="295" t="str">
        <x:v>PARAGRAPH / RUN / SHAPE tùy thuộc tính</x:v>
      </x:c>
      <x:c r="Q207" s="295" t="str">
        <x:v>Xác định đúng khối Danh sách người nhận trực tiếp; đọc giá trị thực; đối chiếu điều kiện; không sửa nội dung khi thiếu nguồn.</x:v>
      </x:c>
      <x:c r="R207" s="295" t="str">
        <x:v>Chưa có locator xác minh riêng</x:v>
      </x:c>
      <x:c r="S207" s="295" t="str">
        <x:v>https://datafiles.chinhphu.vn/cpp/files/vbpq/2020/03/30.signed.pdf</x:v>
      </x:c>
      <x:c r="T207" s="295" t="str">
        <x:v>CÓ</x:v>
      </x:c>
      <x:c r="U207" s="295" t="str">
        <x:v>CHECK_ONLY</x:v>
      </x:c>
      <x:c r="V207" s="295" t="str"/>
    </x:row>
    <x:row r="208" ht="28" customHeight="1">
      <x:c r="A208" s="295" t="n">
        <x:v>203</x:v>
      </x:c>
      <x:c r="B208" s="295" t="str">
        <x:v>ND30.D.NHAN.DS_KINH_GUI.KIEU_CHU</x:v>
      </x:c>
      <x:c r="C208" s="295" t="str">
        <x:v>ND30.D.NHAN.DS_KINH_GUI</x:v>
      </x:c>
      <x:c r="D208" s="295" t="str">
        <x:v>Người nhận trực tiếp</x:v>
      </x:c>
      <x:c r="E208" s="295" t="str">
        <x:v>Danh sách người nhận trực tiếp</x:v>
      </x:c>
      <x:c r="F208" s="295" t="str">
        <x:v>Kiểu viết hoa/thường</x:v>
      </x:c>
      <x:c r="G208" s="295" t="str">
        <x:v>ENUM</x:v>
      </x:c>
      <x:c r="H208" s="295"/>
      <x:c r="I208" s="295" t="str">
        <x:v>CHƯA XÁC MINH RIÊNG</x:v>
      </x:c>
      <x:c r="J208" s="295" t="str">
        <x:v>Không suy ra giới hạn pháp lý</x:v>
      </x:c>
      <x:c r="K208" s="295" t="str">
        <x:v>In thường</x:v>
      </x:c>
      <x:c r="L208" s="295" t="str">
        <x:v>PROFILE_CO_GIA_TRI_CHUA_DUYET</x:v>
      </x:c>
      <x:c r="M208" s="295" t="str">
        <x:v>CHUA_DOI_CHIEU_CU_THE</x:v>
      </x:c>
      <x:c r="N208" s="295" t="str">
        <x:v>Chỉ khi có Kính gửi, danh sách gắn với nhãn</x:v>
      </x:c>
      <x:c r="O208" s="295" t="str">
        <x:v>Quy định gốc &gt; profile; khi chưa rõ điều kiện thì giữ nguyên; không sinh nội dung.</x:v>
      </x:c>
      <x:c r="P208" s="295" t="str">
        <x:v>PARAGRAPH / RUN / SHAPE tùy thuộc tính</x:v>
      </x:c>
      <x:c r="Q208" s="295" t="str">
        <x:v>Xác định đúng khối Danh sách người nhận trực tiếp; đọc giá trị thực; đối chiếu điều kiện; không sửa nội dung khi thiếu nguồn.</x:v>
      </x:c>
      <x:c r="R208" s="295" t="str">
        <x:v>Chưa có locator xác minh riêng</x:v>
      </x:c>
      <x:c r="S208" s="295" t="str">
        <x:v>https://datafiles.chinhphu.vn/cpp/files/vbpq/2020/03/30.signed.pdf</x:v>
      </x:c>
      <x:c r="T208" s="295" t="str">
        <x:v>CÓ</x:v>
      </x:c>
      <x:c r="U208" s="295" t="str">
        <x:v>CHECK_ONLY</x:v>
      </x:c>
      <x:c r="V208" s="295" t="str"/>
    </x:row>
    <x:row r="209" ht="28" customHeight="1">
      <x:c r="A209" s="295" t="n">
        <x:v>204</x:v>
      </x:c>
      <x:c r="B209" s="295" t="str">
        <x:v>ND30.D.NHAN.DS_KINH_GUI.CAN_NGANG</x:v>
      </x:c>
      <x:c r="C209" s="295" t="str">
        <x:v>ND30.D.NHAN.DS_KINH_GUI</x:v>
      </x:c>
      <x:c r="D209" s="295" t="str">
        <x:v>Người nhận trực tiếp</x:v>
      </x:c>
      <x:c r="E209" s="295" t="str">
        <x:v>Danh sách người nhận trực tiếp</x:v>
      </x:c>
      <x:c r="F209" s="295" t="str">
        <x:v>Căn ngang</x:v>
      </x:c>
      <x:c r="G209" s="295" t="str">
        <x:v>ENUM</x:v>
      </x:c>
      <x:c r="H209" s="295"/>
      <x:c r="I209" s="295" t="str">
        <x:v>CHƯA XÁC MINH RIÊNG</x:v>
      </x:c>
      <x:c r="J209" s="295" t="str">
        <x:v>Không suy ra giới hạn pháp lý</x:v>
      </x:c>
      <x:c r="K209" s="295"/>
      <x:c r="L209" s="295" t="str">
        <x:v>KHONG_AP_DUNG_HOAC_CHUA_DU_GIA_TRI</x:v>
      </x:c>
      <x:c r="M209" s="295" t="str">
        <x:v>CHUA_DOI_CHIEU_CU_THE</x:v>
      </x:c>
      <x:c r="N209" s="295" t="str">
        <x:v>Chỉ khi có Kính gửi, danh sách gắn với nhãn</x:v>
      </x:c>
      <x:c r="O209" s="295" t="str">
        <x:v>Quy định gốc &gt; profile; khi chưa rõ điều kiện thì giữ nguyên; không sinh nội dung.</x:v>
      </x:c>
      <x:c r="P209" s="295" t="str">
        <x:v>PARAGRAPH / RUN / SHAPE tùy thuộc tính</x:v>
      </x:c>
      <x:c r="Q209" s="295" t="str">
        <x:v>Xác định đúng khối Danh sách người nhận trực tiếp; đọc giá trị thực; đối chiếu điều kiện; không sửa nội dung khi thiếu nguồn.</x:v>
      </x:c>
      <x:c r="R209" s="295" t="str">
        <x:v>Chưa có locator xác minh riêng</x:v>
      </x:c>
      <x:c r="S209" s="295" t="str">
        <x:v>https://datafiles.chinhphu.vn/cpp/files/vbpq/2020/03/30.signed.pdf</x:v>
      </x:c>
      <x:c r="T209" s="295" t="str">
        <x:v>CÓ</x:v>
      </x:c>
      <x:c r="U209" s="295" t="str">
        <x:v>CHECK_ONLY</x:v>
      </x:c>
      <x:c r="V209" s="295" t="str"/>
    </x:row>
    <x:row r="210" ht="28" customHeight="1">
      <x:c r="A210" s="295" t="n">
        <x:v>205</x:v>
      </x:c>
      <x:c r="B210" s="295" t="str">
        <x:v>ND30.D.NHAN.DS_KINH_GUI.CACH_SAU</x:v>
      </x:c>
      <x:c r="C210" s="295" t="str">
        <x:v>ND30.D.NHAN.DS_KINH_GUI</x:v>
      </x:c>
      <x:c r="D210" s="295" t="str">
        <x:v>Người nhận trực tiếp</x:v>
      </x:c>
      <x:c r="E210" s="295" t="str">
        <x:v>Danh sách người nhận trực tiếp</x:v>
      </x:c>
      <x:c r="F210" s="295" t="str">
        <x:v>Khoảng cách sau đoạn</x:v>
      </x:c>
      <x:c r="G210" s="295" t="str">
        <x:v>NUMBER</x:v>
      </x:c>
      <x:c r="H210" s="295" t="str">
        <x:v>pt</x:v>
      </x:c>
      <x:c r="I210" s="295" t="str">
        <x:v>CHƯA XÁC MINH RIÊNG</x:v>
      </x:c>
      <x:c r="J210" s="295" t="str">
        <x:v>Không suy ra giới hạn pháp lý</x:v>
      </x:c>
      <x:c r="K210" s="295" t="n">
        <x:v>3</x:v>
      </x:c>
      <x:c r="L210" s="295" t="str">
        <x:v>PROFILE_CHO_RAO_SOAT</x:v>
      </x:c>
      <x:c r="M210" s="295" t="str">
        <x:v>CHUA_DOI_CHIEU_CU_THE</x:v>
      </x:c>
      <x:c r="N210" s="295" t="str">
        <x:v>Chỉ khi có Kính gửi, danh sách gắn với nhãn</x:v>
      </x:c>
      <x:c r="O210" s="295" t="str">
        <x:v>Quy định gốc &gt; profile; khi chưa rõ điều kiện thì giữ nguyên; không sinh nội dung.</x:v>
      </x:c>
      <x:c r="P210" s="295" t="str">
        <x:v>PARAGRAPH / RUN / SHAPE tùy thuộc tính</x:v>
      </x:c>
      <x:c r="Q210" s="295" t="str">
        <x:v>Xác định đúng khối Danh sách người nhận trực tiếp; đọc giá trị thực; đối chiếu điều kiện; không sửa nội dung khi thiếu nguồn.</x:v>
      </x:c>
      <x:c r="R210" s="295" t="str">
        <x:v>Chưa có locator xác minh riêng</x:v>
      </x:c>
      <x:c r="S210" s="295" t="str">
        <x:v>https://datafiles.chinhphu.vn/cpp/files/vbpq/2020/03/30.signed.pdf</x:v>
      </x:c>
      <x:c r="T210" s="295" t="str">
        <x:v>CÓ</x:v>
      </x:c>
      <x:c r="U210" s="295" t="str">
        <x:v>CHECK_ONLY</x:v>
      </x:c>
      <x:c r="V210" s="295" t="str">
        <x:v>Không tự chèn đoạn trắng</x:v>
      </x:c>
    </x:row>
    <x:row r="211" ht="28" customHeight="1">
      <x:c r="A211" s="295" t="n">
        <x:v>206</x:v>
      </x:c>
      <x:c r="B211" s="295" t="str">
        <x:v>ND30.D.NHAN.DS_KINH_GUI.GIAN_DONG</x:v>
      </x:c>
      <x:c r="C211" s="295" t="str">
        <x:v>ND30.D.NHAN.DS_KINH_GUI</x:v>
      </x:c>
      <x:c r="D211" s="295" t="str">
        <x:v>Người nhận trực tiếp</x:v>
      </x:c>
      <x:c r="E211" s="295" t="str">
        <x:v>Danh sách người nhận trực tiếp</x:v>
      </x:c>
      <x:c r="F211" s="295" t="str">
        <x:v>Giãn dòng</x:v>
      </x:c>
      <x:c r="G211" s="295" t="str">
        <x:v>NUMBER</x:v>
      </x:c>
      <x:c r="H211" s="295" t="str">
        <x:v>lines</x:v>
      </x:c>
      <x:c r="I211" s="295" t="str">
        <x:v>CHƯA XÁC MINH RIÊNG</x:v>
      </x:c>
      <x:c r="J211" s="295" t="str">
        <x:v>Không suy ra giới hạn pháp lý</x:v>
      </x:c>
      <x:c r="K211" s="295" t="str">
        <x:v>SINGLE</x:v>
      </x:c>
      <x:c r="L211" s="295" t="str">
        <x:v>PROFILE_CHO_RAO_SOAT</x:v>
      </x:c>
      <x:c r="M211" s="295" t="str">
        <x:v>CHUA_DOI_CHIEU_CU_THE</x:v>
      </x:c>
      <x:c r="N211" s="295" t="str">
        <x:v>Chỉ khi có Kính gửi, danh sách gắn với nhãn</x:v>
      </x:c>
      <x:c r="O211" s="295" t="str">
        <x:v>Quy định gốc &gt; profile; khi chưa rõ điều kiện thì giữ nguyên; không sinh nội dung.</x:v>
      </x:c>
      <x:c r="P211" s="295" t="str">
        <x:v>PARAGRAPH / RUN / SHAPE tùy thuộc tính</x:v>
      </x:c>
      <x:c r="Q211" s="295" t="str">
        <x:v>Xác định đúng khối Danh sách người nhận trực tiếp; đọc giá trị thực; đối chiếu điều kiện; không sửa nội dung khi thiếu nguồn.</x:v>
      </x:c>
      <x:c r="R211" s="295" t="str">
        <x:v>Chưa có locator xác minh riêng</x:v>
      </x:c>
      <x:c r="S211" s="295" t="str">
        <x:v>https://datafiles.chinhphu.vn/cpp/files/vbpq/2020/03/30.signed.pdf</x:v>
      </x:c>
      <x:c r="T211" s="295" t="str">
        <x:v>CÓ</x:v>
      </x:c>
      <x:c r="U211" s="295" t="str">
        <x:v>CHECK_ONLY</x:v>
      </x:c>
      <x:c r="V211" s="295" t="str">
        <x:v>Giãn dòng phần đầu không được tự đồng nhất với thân bài.</x:v>
      </x:c>
    </x:row>
    <x:row r="212" ht="28" customHeight="1">
      <x:c r="A212" s="295" t="n">
        <x:v>207</x:v>
      </x:c>
      <x:c r="B212" s="295" t="str">
        <x:v>ND30.D.NHAN.DS_KINH_GUI.BAO_VE_NOI_DUNG</x:v>
      </x:c>
      <x:c r="C212" s="295" t="str">
        <x:v>ND30.D.NHAN.DS_KINH_GUI</x:v>
      </x:c>
      <x:c r="D212" s="295" t="str">
        <x:v>Người nhận trực tiếp</x:v>
      </x:c>
      <x:c r="E212" s="295" t="str">
        <x:v>Danh sách người nhận trực tiếp</x:v>
      </x:c>
      <x:c r="F212" s="295" t="str">
        <x:v>Không tự suy diễn nội dung</x:v>
      </x:c>
      <x:c r="G212" s="295" t="str">
        <x:v>BOOLEAN</x:v>
      </x:c>
      <x:c r="H212" s="295"/>
      <x:c r="I212" s="295" t="str">
        <x:v>CHƯA XÁC MINH RIÊNG</x:v>
      </x:c>
      <x:c r="J212" s="295" t="str">
        <x:v>Không suy ra giới hạn pháp lý</x:v>
      </x:c>
      <x:c r="K212" s="296" t="b">
        <x:v>1</x:v>
      </x:c>
      <x:c r="L212" s="295" t="str">
        <x:v>NOI_DUNG_BAO_VE</x:v>
      </x:c>
      <x:c r="M212" s="295" t="str">
        <x:v>CHUA_DOI_CHIEU_CU_THE</x:v>
      </x:c>
      <x:c r="N212" s="295" t="str">
        <x:v>Chỉ khi có Kính gửi, danh sách gắn với nhãn</x:v>
      </x:c>
      <x:c r="O212" s="295" t="str">
        <x:v>Quy định gốc &gt; profile; khi chưa rõ điều kiện thì giữ nguyên; không sinh nội dung.</x:v>
      </x:c>
      <x:c r="P212" s="295" t="str">
        <x:v>PARAGRAPH / RUN / SHAPE tùy thuộc tính</x:v>
      </x:c>
      <x:c r="Q212" s="295" t="str">
        <x:v>Xác định đúng khối Danh sách người nhận trực tiếp; đọc giá trị thực; đối chiếu điều kiện; không sửa nội dung khi thiếu nguồn.</x:v>
      </x:c>
      <x:c r="R212" s="295" t="str">
        <x:v>Chưa có locator xác minh riêng</x:v>
      </x:c>
      <x:c r="S212" s="295" t="str">
        <x:v>https://datafiles.chinhphu.vn/cpp/files/vbpq/2020/03/30.signed.pdf</x:v>
      </x:c>
      <x:c r="T212" s="295" t="str">
        <x:v>CÓ</x:v>
      </x:c>
      <x:c r="U212" s="295" t="str">
        <x:v>CHECK_ONLY</x:v>
      </x:c>
      <x:c r="V212" s="295" t="str">
        <x:v>Chỉ chuẩn hóa hình thức sau khi xác nhận chính xác nội dung, không tự điền số/ngày/người nhận.</x:v>
      </x:c>
    </x:row>
  </x:sheetData>
  <x:mergeCells>
    <x:mergeCell ref="A1:H2"/>
    <x:mergeCell ref="A3:H3"/>
  </x:mergeCells>
  <x:pageMargins left="0.7" right="0.7" top="0.75" bottom="0.75" header="0.3" footer="0.3"/>
  <x:tableParts count="1">
    <x:tablePart xmlns:r="http://schemas.openxmlformats.org/officeDocument/2006/relationships" r:id="R62635793574044d9"/>
  </x:tableParts>
</x:worksheet>
</file>

<file path=xl/worksheets/sheet2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 hidden="0" customWidth="1"/>
    <x:col min="2" max="2" width="46" hidden="0" customWidth="1"/>
    <x:col min="3" max="3" width="40" hidden="0" customWidth="1"/>
    <x:col min="4" max="4" width="23" hidden="0" customWidth="1"/>
    <x:col min="5" max="5" width="36" hidden="0" customWidth="1"/>
    <x:col min="6" max="6" width="24" hidden="0" customWidth="1"/>
    <x:col min="7" max="7" width="16" hidden="0" customWidth="1"/>
    <x:col min="8" max="8" width="11" hidden="0" customWidth="1"/>
    <x:col min="9" max="9" width="38" hidden="0" customWidth="1"/>
    <x:col min="10" max="10" width="23" hidden="0" customWidth="1"/>
    <x:col min="11" max="11" width="34" hidden="0" customWidth="1"/>
    <x:col min="12" max="12" width="26" hidden="0" customWidth="1"/>
    <x:col min="13" max="13" width="24" hidden="0" customWidth="1"/>
    <x:col min="14" max="14" width="56" hidden="0" customWidth="1"/>
    <x:col min="15" max="15" width="51" hidden="0" customWidth="1"/>
    <x:col min="16" max="16" width="27" hidden="0" customWidth="1"/>
    <x:col min="17" max="17" width="62" hidden="0" customWidth="1"/>
    <x:col min="18" max="18" width="32" hidden="0" customWidth="1"/>
    <x:col min="19" max="19" width="51" hidden="0" customWidth="1"/>
    <x:col min="20" max="20" width="19" hidden="0" customWidth="1"/>
    <x:col min="21" max="21" width="18" hidden="0" customWidth="1"/>
    <x:col min="22" max="22" width="53" hidden="0" customWidth="1"/>
  </x:cols>
  <x:sheetData>
    <x:row r="1" ht="23" customHeight="1">
      <x:c r="A1" s="282" t="str">
        <x:v>HD05  |  BỘ RULE CHI TIẾT PHẦN ĐẦU  •  OFFLINE</x:v>
      </x:c>
      <x:c r="B1" s="282"/>
      <x:c r="C1" s="282"/>
      <x:c r="D1" s="282"/>
      <x:c r="E1" s="282"/>
      <x:c r="F1" s="282"/>
      <x:c r="G1" s="282"/>
      <x:c r="H1" s="282"/>
    </x:row>
    <x:row r="2" ht="23" customHeight="1">
      <x:c r="A2" s="282"/>
      <x:c r="B2" s="282"/>
      <x:c r="C2" s="282"/>
      <x:c r="D2" s="282"/>
      <x:c r="E2" s="282"/>
      <x:c r="F2" s="282"/>
      <x:c r="G2" s="282"/>
      <x:c r="H2" s="282"/>
    </x:row>
    <x:row r="3" ht="25" customHeight="1">
      <x:c r="A3" s="284" t="str">
        <x:v>Mỗi dòng = 1 thuộc tính của 1 thành phần | Rule pháp lý, preset và trạng thái tách riêng | Không phân loại sâu theo 209 template</x:v>
      </x:c>
      <x:c r="B3" s="284"/>
      <x:c r="C3" s="284"/>
      <x:c r="D3" s="284"/>
      <x:c r="E3" s="284"/>
      <x:c r="F3" s="284"/>
      <x:c r="G3" s="284"/>
      <x:c r="H3" s="284"/>
    </x:row>
    <x:row r="5" ht="45" customHeight="1">
      <x:c r="A5" s="288" t="str">
        <x:v>STT</x:v>
      </x:c>
      <x:c r="B5" s="288" t="str">
        <x:v>Mã rule con</x:v>
      </x:c>
      <x:c r="C5" s="288" t="str">
        <x:v>Mã trường cha (trong 165 mã)</x:v>
      </x:c>
      <x:c r="D5" s="288" t="str">
        <x:v>Nhóm phần đầu</x:v>
      </x:c>
      <x:c r="E5" s="288" t="str">
        <x:v>Tên thành phần</x:v>
      </x:c>
      <x:c r="F5" s="288" t="str">
        <x:v>Thuộc tính độc lập</x:v>
      </x:c>
      <x:c r="G5" s="288" t="str">
        <x:v>Kiểu giá trị</x:v>
      </x:c>
      <x:c r="H5" s="288" t="str">
        <x:v>Đơn vị</x:v>
      </x:c>
      <x:c r="I5" s="288" t="str">
        <x:v>Giá trị quy định/căn cứ gốc</x:v>
      </x:c>
      <x:c r="J5" s="288" t="str">
        <x:v>Giới hạn / phép so sánh</x:v>
      </x:c>
      <x:c r="K5" s="288" t="str">
        <x:v>Giá trị Profile HTHHMB</x:v>
      </x:c>
      <x:c r="L5" s="288" t="str">
        <x:v>Trạng thái lựa chọn profile</x:v>
      </x:c>
      <x:c r="M5" s="288" t="str">
        <x:v>Trạng thái đối chiếu nguồn</x:v>
      </x:c>
      <x:c r="N5" s="288" t="str">
        <x:v>Điều kiện / trường hợp áp dụng</x:v>
      </x:c>
      <x:c r="O5" s="288" t="str">
        <x:v>Ngoại lệ / thứ tự ưu tiên</x:v>
      </x:c>
      <x:c r="P5" s="288" t="str">
        <x:v>Đối tượng Word</x:v>
      </x:c>
      <x:c r="Q5" s="288" t="str">
        <x:v>Cách ChatGPT nhận diện và kiểm tra</x:v>
      </x:c>
      <x:c r="R5" s="288" t="str">
        <x:v>Điều khoản / phụ lục</x:v>
      </x:c>
      <x:c r="S5" s="288" t="str">
        <x:v>URL nguồn chính thức</x:v>
      </x:c>
      <x:c r="T5" s="288" t="str">
        <x:v>Giữ nguyên nội dung gốc</x:v>
      </x:c>
      <x:c r="U5" s="288" t="str">
        <x:v>Quyền xử lý</x:v>
      </x:c>
      <x:c r="V5" s="288" t="str">
        <x:v>Ghi chú và việc cần xác minh</x:v>
      </x:c>
    </x:row>
    <x:row r="6" ht="28" customHeight="1">
      <x:c r="A6" s="295" t="n">
        <x:v>1</x:v>
      </x:c>
      <x:c r="B6" s="295" t="str">
        <x:v>HD05.D.CQ.CAP_TREN.HIEN_DIEN</x:v>
      </x:c>
      <x:c r="C6" s="295" t="str">
        <x:v>HD05.D.CQ.CAP_TREN</x:v>
      </x:c>
      <x:c r="D6" s="295" t="str">
        <x:v>Cơ quan ban hành</x:v>
      </x:c>
      <x:c r="E6" s="295" t="str">
        <x:v>Tên tổ chức/cơ quan cấp trên khi có</x:v>
      </x:c>
      <x:c r="F6" s="295" t="str">
        <x:v>Điều kiện hiện diện</x:v>
      </x:c>
      <x:c r="G6" s="295" t="str">
        <x:v>TEXT</x:v>
      </x:c>
      <x:c r="H6" s="295"/>
      <x:c r="I6" s="295" t="str">
        <x:v>CHƯA XÁC MINH RIÊNG</x:v>
      </x:c>
      <x:c r="J6" s="295" t="str">
        <x:v>Không suy ra giới hạn pháp lý</x:v>
      </x:c>
      <x:c r="K6" s="295" t="str">
        <x:v>Có cơ quan cấp trên trực tiếp theo chủ thể ban hành; xác minh tên chính thức trước khi dùng</x:v>
      </x:c>
      <x:c r="L6" s="295" t="str">
        <x:v>CHUA_DUYET_DINH_TUYEN</x:v>
      </x:c>
      <x:c r="M6" s="295" t="str">
        <x:v>CHUA_DOI_CHIEU_CU_THE</x:v>
      </x:c>
      <x:c r="N6" s="295" t="str">
        <x:v>Có cơ quan cấp trên trực tiếp theo chủ thể ban hành; xác minh tên chính thức trước khi dùng</x:v>
      </x:c>
      <x:c r="O6" s="295" t="str">
        <x:v>Quy định gốc &gt; profile; khi chưa rõ điều kiện thì giữ nguyên; không sinh nội dung.</x:v>
      </x:c>
      <x:c r="P6" s="295" t="str">
        <x:v>PARAGRAPH / RUN / SHAPE tùy thuộc tính</x:v>
      </x:c>
      <x:c r="Q6" s="295" t="str">
        <x:v>Xác định đúng khối Tên tổ chức/cơ quan cấp trên khi có; đọc giá trị thực; đối chiếu điều kiện; không sửa nội dung khi thiếu nguồn.</x:v>
      </x:c>
      <x:c r="R6" s="295" t="str">
        <x:v>Chưa có locator xác minh riêng</x:v>
      </x:c>
      <x:c r="S6" s="295" t="str">
        <x:v>https://tulieuvankien.dangcongsan.vn/upload/2006988/20260529/HD_05_VPTW_e1550.pdf</x:v>
      </x:c>
      <x:c r="T6" s="295" t="str">
        <x:v>CÓ</x:v>
      </x:c>
      <x:c r="U6" s="295" t="str">
        <x:v>CHECK_ONLY</x:v>
      </x:c>
      <x:c r="V6" s="295" t="str">
        <x:v>Phải nhận diện chế độ và chủ thể trước khi áp dụng Giữ đúng tên chủ thể sau khi có hồ sơ xác minh; không coi tên dự thảo là chính thức.</x:v>
      </x:c>
    </x:row>
    <x:row r="7" ht="28" customHeight="1">
      <x:c r="A7" s="295" t="n">
        <x:v>2</x:v>
      </x:c>
      <x:c r="B7" s="295" t="str">
        <x:v>HD05.D.CQ.CAP_TREN.PHONG_CHU</x:v>
      </x:c>
      <x:c r="C7" s="295" t="str">
        <x:v>HD05.D.CQ.CAP_TREN</x:v>
      </x:c>
      <x:c r="D7" s="295" t="str">
        <x:v>Cơ quan ban hành</x:v>
      </x:c>
      <x:c r="E7" s="295" t="str">
        <x:v>Tên tổ chức/cơ quan cấp trên khi có</x:v>
      </x:c>
      <x:c r="F7" s="295" t="str">
        <x:v>Font chữ</x:v>
      </x:c>
      <x:c r="G7" s="295" t="str">
        <x:v>STRING</x:v>
      </x:c>
      <x:c r="H7" s="295"/>
      <x:c r="I7" s="295" t="str">
        <x:v>Times New Roman</x:v>
      </x:c>
      <x:c r="J7" s="295" t="str">
        <x:v>Đúng giá trị/giới hạn riêng</x:v>
      </x:c>
      <x:c r="K7" s="295" t="str">
        <x:v>Times New Roman</x:v>
      </x:c>
      <x:c r="L7" s="295" t="str">
        <x:v>PROFILE_CO_GIA_TRI_CHUA_DUYET</x:v>
      </x:c>
      <x:c r="M7" s="295" t="str">
        <x:v>DOI_CHIEU_CU_THE</x:v>
      </x:c>
      <x:c r="N7" s="295" t="str">
        <x:v>Có cơ quan cấp trên trực tiếp theo chủ thể ban hành; xác minh tên chính thức trước khi dùng</x:v>
      </x:c>
      <x:c r="O7" s="295" t="str">
        <x:v>Quy định gốc &gt; profile; khi chưa rõ điều kiện thì giữ nguyên; không sinh nội dung.</x:v>
      </x:c>
      <x:c r="P7" s="295" t="str">
        <x:v>PARAGRAPH / RUN / SHAPE tùy thuộc tính</x:v>
      </x:c>
      <x:c r="Q7" s="295" t="str">
        <x:v>Xác định đúng khối Tên tổ chức/cơ quan cấp trên khi có; đọc giá trị thực; đối chiếu điều kiện; không sửa nội dung khi thiếu nguồn.</x:v>
      </x:c>
      <x:c r="R7" s="295" t="str">
        <x:v>Phần II, IV.1</x:v>
      </x:c>
      <x:c r="S7" s="295" t="str">
        <x:v>https://tulieuvankien.dangcongsan.vn/upload/2006988/20260529/HD_05_VPTW_e1550.pdf</x:v>
      </x:c>
      <x:c r="T7" s="295" t="str">
        <x:v>CÓ</x:v>
      </x:c>
      <x:c r="U7" s="295" t="str">
        <x:v>CHECK_ONLY</x:v>
      </x:c>
      <x:c r="V7" s="295" t="str">
        <x:v>Giữ đúng tên chủ thể sau khi có hồ sơ xác minh; không coi tên dự thảo là chính thức.</x:v>
      </x:c>
    </x:row>
    <x:row r="8" ht="28" customHeight="1">
      <x:c r="A8" s="295" t="n">
        <x:v>3</x:v>
      </x:c>
      <x:c r="B8" s="295" t="str">
        <x:v>HD05.D.CQ.CAP_TREN.CO_CHU</x:v>
      </x:c>
      <x:c r="C8" s="295" t="str">
        <x:v>HD05.D.CQ.CAP_TREN</x:v>
      </x:c>
      <x:c r="D8" s="295" t="str">
        <x:v>Cơ quan ban hành</x:v>
      </x:c>
      <x:c r="E8" s="295" t="str">
        <x:v>Tên tổ chức/cơ quan cấp trên khi có</x:v>
      </x:c>
      <x:c r="F8" s="295" t="str">
        <x:v>Cỡ chữ</x:v>
      </x:c>
      <x:c r="G8" s="295" t="str">
        <x:v>NUMBER_OR_RANGE</x:v>
      </x:c>
      <x:c r="H8" s="295" t="str">
        <x:v>pt</x:v>
      </x:c>
      <x:c r="I8" s="295" t="str">
        <x:v>14</x:v>
      </x:c>
      <x:c r="J8" s="295" t="str">
        <x:v>Đúng giá trị/giới hạn riêng</x:v>
      </x:c>
      <x:c r="K8" s="295" t="n">
        <x:v>14</x:v>
      </x:c>
      <x:c r="L8" s="295" t="str">
        <x:v>PROFILE_CO_GIA_TRI_CHUA_DUYET</x:v>
      </x:c>
      <x:c r="M8" s="295" t="str">
        <x:v>DOI_CHIEU_CU_THE</x:v>
      </x:c>
      <x:c r="N8" s="295" t="str">
        <x:v>Có cơ quan cấp trên trực tiếp theo chủ thể ban hành; xác minh tên chính thức trước khi dùng</x:v>
      </x:c>
      <x:c r="O8" s="295" t="str">
        <x:v>Quy định gốc &gt; profile; khi chưa rõ điều kiện thì giữ nguyên; không sinh nội dung.</x:v>
      </x:c>
      <x:c r="P8" s="295" t="str">
        <x:v>PARAGRAPH / RUN / SHAPE tùy thuộc tính</x:v>
      </x:c>
      <x:c r="Q8" s="295" t="str">
        <x:v>Xác định đúng khối Tên tổ chức/cơ quan cấp trên khi có; đọc giá trị thực; đối chiếu điều kiện; không sửa nội dung khi thiếu nguồn.</x:v>
      </x:c>
      <x:c r="R8" s="295" t="str">
        <x:v>Phần II, I.2; Phụ lục 2, TT2</x:v>
      </x:c>
      <x:c r="S8" s="295" t="str">
        <x:v>https://tulieuvankien.dangcongsan.vn/upload/2006988/20260529/HD_05_VPTW_e1550.pdf</x:v>
      </x:c>
      <x:c r="T8" s="295" t="str">
        <x:v>CÓ</x:v>
      </x:c>
      <x:c r="U8" s="295" t="str">
        <x:v>CHECK_ONLY</x:v>
      </x:c>
      <x:c r="V8" s="295" t="str">
        <x:v>Giữ đúng tên chủ thể sau khi có hồ sơ xác minh; không coi tên dự thảo là chính thức.</x:v>
      </x:c>
    </x:row>
    <x:row r="9" ht="28" customHeight="1">
      <x:c r="A9" s="295" t="n">
        <x:v>4</x:v>
      </x:c>
      <x:c r="B9" s="295" t="str">
        <x:v>HD05.D.CQ.CAP_TREN.DAM</x:v>
      </x:c>
      <x:c r="C9" s="295" t="str">
        <x:v>HD05.D.CQ.CAP_TREN</x:v>
      </x:c>
      <x:c r="D9" s="295" t="str">
        <x:v>Cơ quan ban hành</x:v>
      </x:c>
      <x:c r="E9" s="295" t="str">
        <x:v>Tên tổ chức/cơ quan cấp trên khi có</x:v>
      </x:c>
      <x:c r="F9" s="295" t="str">
        <x:v>In đậm</x:v>
      </x:c>
      <x:c r="G9" s="295" t="str">
        <x:v>BOOLEAN</x:v>
      </x:c>
      <x:c r="H9" s="295"/>
      <x:c r="I9" s="296" t="b">
        <x:v>0</x:v>
      </x:c>
      <x:c r="J9" s="295" t="str">
        <x:v>Đúng giá trị/giới hạn riêng</x:v>
      </x:c>
      <x:c r="K9" s="296" t="b">
        <x:v>0</x:v>
      </x:c>
      <x:c r="L9" s="295" t="str">
        <x:v>PROFILE_CO_GIA_TRI_CHUA_DUYET</x:v>
      </x:c>
      <x:c r="M9" s="295" t="str">
        <x:v>DOI_CHIEU_CU_THE</x:v>
      </x:c>
      <x:c r="N9" s="295" t="str">
        <x:v>Có cơ quan cấp trên trực tiếp theo chủ thể ban hành; xác minh tên chính thức trước khi dùng</x:v>
      </x:c>
      <x:c r="O9" s="295" t="str">
        <x:v>Quy định gốc &gt; profile; khi chưa rõ điều kiện thì giữ nguyên; không sinh nội dung.</x:v>
      </x:c>
      <x:c r="P9" s="295" t="str">
        <x:v>PARAGRAPH / RUN / SHAPE tùy thuộc tính</x:v>
      </x:c>
      <x:c r="Q9" s="295" t="str">
        <x:v>Xác định đúng khối Tên tổ chức/cơ quan cấp trên khi có; đọc giá trị thực; đối chiếu điều kiện; không sửa nội dung khi thiếu nguồn.</x:v>
      </x:c>
      <x:c r="R9" s="295" t="str">
        <x:v>Phần II, I.2; Phụ lục 2, TT2</x:v>
      </x:c>
      <x:c r="S9" s="295" t="str">
        <x:v>https://tulieuvankien.dangcongsan.vn/upload/2006988/20260529/HD_05_VPTW_e1550.pdf</x:v>
      </x:c>
      <x:c r="T9" s="295" t="str">
        <x:v>CÓ</x:v>
      </x:c>
      <x:c r="U9" s="295" t="str">
        <x:v>CHECK_ONLY</x:v>
      </x:c>
      <x:c r="V9" s="295" t="str">
        <x:v>Giữ đúng tên chủ thể sau khi có hồ sơ xác minh; không coi tên dự thảo là chính thức.</x:v>
      </x:c>
    </x:row>
    <x:row r="10" ht="28" customHeight="1">
      <x:c r="A10" s="295" t="n">
        <x:v>5</x:v>
      </x:c>
      <x:c r="B10" s="295" t="str">
        <x:v>HD05.D.CQ.CAP_TREN.NGHIENG</x:v>
      </x:c>
      <x:c r="C10" s="295" t="str">
        <x:v>HD05.D.CQ.CAP_TREN</x:v>
      </x:c>
      <x:c r="D10" s="295" t="str">
        <x:v>Cơ quan ban hành</x:v>
      </x:c>
      <x:c r="E10" s="295" t="str">
        <x:v>Tên tổ chức/cơ quan cấp trên khi có</x:v>
      </x:c>
      <x:c r="F10" s="295" t="str">
        <x:v>In nghiêng</x:v>
      </x:c>
      <x:c r="G10" s="295" t="str">
        <x:v>BOOLEAN</x:v>
      </x:c>
      <x:c r="H10" s="295"/>
      <x:c r="I10" s="296" t="b">
        <x:v>0</x:v>
      </x:c>
      <x:c r="J10" s="295" t="str">
        <x:v>Đúng giá trị/giới hạn riêng</x:v>
      </x:c>
      <x:c r="K10" s="296" t="b">
        <x:v>0</x:v>
      </x:c>
      <x:c r="L10" s="295" t="str">
        <x:v>PROFILE_CO_GIA_TRI_CHUA_DUYET</x:v>
      </x:c>
      <x:c r="M10" s="295" t="str">
        <x:v>DOI_CHIEU_CU_THE</x:v>
      </x:c>
      <x:c r="N10" s="295" t="str">
        <x:v>Có cơ quan cấp trên trực tiếp theo chủ thể ban hành; xác minh tên chính thức trước khi dùng</x:v>
      </x:c>
      <x:c r="O10" s="295" t="str">
        <x:v>Quy định gốc &gt; profile; khi chưa rõ điều kiện thì giữ nguyên; không sinh nội dung.</x:v>
      </x:c>
      <x:c r="P10" s="295" t="str">
        <x:v>PARAGRAPH / RUN / SHAPE tùy thuộc tính</x:v>
      </x:c>
      <x:c r="Q10" s="295" t="str">
        <x:v>Xác định đúng khối Tên tổ chức/cơ quan cấp trên khi có; đọc giá trị thực; đối chiếu điều kiện; không sửa nội dung khi thiếu nguồn.</x:v>
      </x:c>
      <x:c r="R10" s="295" t="str">
        <x:v>Phần II, I.2; Phụ lục 2, TT2</x:v>
      </x:c>
      <x:c r="S10" s="295" t="str">
        <x:v>https://tulieuvankien.dangcongsan.vn/upload/2006988/20260529/HD_05_VPTW_e1550.pdf</x:v>
      </x:c>
      <x:c r="T10" s="295" t="str">
        <x:v>CÓ</x:v>
      </x:c>
      <x:c r="U10" s="295" t="str">
        <x:v>CHECK_ONLY</x:v>
      </x:c>
      <x:c r="V10" s="295" t="str">
        <x:v>Giữ đúng tên chủ thể sau khi có hồ sơ xác minh; không coi tên dự thảo là chính thức.</x:v>
      </x:c>
    </x:row>
    <x:row r="11" ht="28" customHeight="1">
      <x:c r="A11" s="295" t="n">
        <x:v>6</x:v>
      </x:c>
      <x:c r="B11" s="295" t="str">
        <x:v>HD05.D.CQ.CAP_TREN.KIEU_CHU</x:v>
      </x:c>
      <x:c r="C11" s="295" t="str">
        <x:v>HD05.D.CQ.CAP_TREN</x:v>
      </x:c>
      <x:c r="D11" s="295" t="str">
        <x:v>Cơ quan ban hành</x:v>
      </x:c>
      <x:c r="E11" s="295" t="str">
        <x:v>Tên tổ chức/cơ quan cấp trên khi có</x:v>
      </x:c>
      <x:c r="F11" s="295" t="str">
        <x:v>Kiểu viết hoa/thường</x:v>
      </x:c>
      <x:c r="G11" s="295" t="str">
        <x:v>ENUM</x:v>
      </x:c>
      <x:c r="H11" s="295"/>
      <x:c r="I11" s="295" t="str">
        <x:v>IN HOA</x:v>
      </x:c>
      <x:c r="J11" s="295" t="str">
        <x:v>Đúng giá trị/giới hạn riêng</x:v>
      </x:c>
      <x:c r="K11" s="295" t="str">
        <x:v>IN HOA</x:v>
      </x:c>
      <x:c r="L11" s="295" t="str">
        <x:v>PROFILE_CHO_XAC_MINH_PHAP_NHAN</x:v>
      </x:c>
      <x:c r="M11" s="295" t="str">
        <x:v>DOI_CHIEU_CU_THE</x:v>
      </x:c>
      <x:c r="N11" s="295" t="str">
        <x:v>Có cơ quan cấp trên trực tiếp theo chủ thể ban hành; xác minh tên chính thức trước khi dùng</x:v>
      </x:c>
      <x:c r="O11" s="295" t="str">
        <x:v>Quy định gốc &gt; profile; khi chưa rõ điều kiện thì giữ nguyên; không sinh nội dung.</x:v>
      </x:c>
      <x:c r="P11" s="295" t="str">
        <x:v>PARAGRAPH / RUN / SHAPE tùy thuộc tính</x:v>
      </x:c>
      <x:c r="Q11" s="295" t="str">
        <x:v>Xác định đúng khối Tên tổ chức/cơ quan cấp trên khi có; đọc giá trị thực; đối chiếu điều kiện; không sửa nội dung khi thiếu nguồn.</x:v>
      </x:c>
      <x:c r="R11" s="295" t="str">
        <x:v>Phần II, I.2; Phụ lục 2, TT2</x:v>
      </x:c>
      <x:c r="S11" s="295" t="str">
        <x:v>https://tulieuvankien.dangcongsan.vn/upload/2006988/20260529/HD_05_VPTW_e1550.pdf</x:v>
      </x:c>
      <x:c r="T11" s="295" t="str">
        <x:v>CÓ</x:v>
      </x:c>
      <x:c r="U11" s="295" t="str">
        <x:v>CHECK_ONLY</x:v>
      </x:c>
      <x:c r="V11" s="295" t="str">
        <x:v>Giữ đúng tên chủ thể sau khi có hồ sơ xác minh; không coi tên dự thảo là chính thức.</x:v>
      </x:c>
    </x:row>
    <x:row r="12" ht="28" customHeight="1">
      <x:c r="A12" s="295" t="n">
        <x:v>7</x:v>
      </x:c>
      <x:c r="B12" s="295" t="str">
        <x:v>HD05.D.CQ.CAP_TREN.CAN_NGANG</x:v>
      </x:c>
      <x:c r="C12" s="295" t="str">
        <x:v>HD05.D.CQ.CAP_TREN</x:v>
      </x:c>
      <x:c r="D12" s="295" t="str">
        <x:v>Cơ quan ban hành</x:v>
      </x:c>
      <x:c r="E12" s="295" t="str">
        <x:v>Tên tổ chức/cơ quan cấp trên khi có</x:v>
      </x:c>
      <x:c r="F12" s="295" t="str">
        <x:v>Căn ngang</x:v>
      </x:c>
      <x:c r="G12" s="295" t="str">
        <x:v>ENUM</x:v>
      </x:c>
      <x:c r="H12" s="295"/>
      <x:c r="I12" s="295" t="str">
        <x:v>CENTER</x:v>
      </x:c>
      <x:c r="J12" s="295" t="str">
        <x:v>Đúng giá trị/giới hạn riêng</x:v>
      </x:c>
      <x:c r="K12" s="295" t="str">
        <x:v>CENTER</x:v>
      </x:c>
      <x:c r="L12" s="295" t="str">
        <x:v>PROFILE_CO_GIA_TRI_CHUA_DUYET</x:v>
      </x:c>
      <x:c r="M12" s="295" t="str">
        <x:v>DOI_CHIEU_CU_THE</x:v>
      </x:c>
      <x:c r="N12" s="295" t="str">
        <x:v>Có cơ quan cấp trên trực tiếp theo chủ thể ban hành; xác minh tên chính thức trước khi dùng</x:v>
      </x:c>
      <x:c r="O12" s="295" t="str">
        <x:v>Quy định gốc &gt; profile; khi chưa rõ điều kiện thì giữ nguyên; không sinh nội dung.</x:v>
      </x:c>
      <x:c r="P12" s="295" t="str">
        <x:v>PARAGRAPH / RUN / SHAPE tùy thuộc tính</x:v>
      </x:c>
      <x:c r="Q12" s="295" t="str">
        <x:v>Xác định đúng khối Tên tổ chức/cơ quan cấp trên khi có; đọc giá trị thực; đối chiếu điều kiện; không sửa nội dung khi thiếu nguồn.</x:v>
      </x:c>
      <x:c r="R12" s="295" t="str">
        <x:v>Phần II, I.2; Phụ lục 2, TT2</x:v>
      </x:c>
      <x:c r="S12" s="295" t="str">
        <x:v>https://tulieuvankien.dangcongsan.vn/upload/2006988/20260529/HD_05_VPTW_e1550.pdf</x:v>
      </x:c>
      <x:c r="T12" s="295" t="str">
        <x:v>CÓ</x:v>
      </x:c>
      <x:c r="U12" s="295" t="str">
        <x:v>CHECK_ONLY</x:v>
      </x:c>
      <x:c r="V12" s="295" t="str">
        <x:v>Giữ đúng tên chủ thể sau khi có hồ sơ xác minh; không coi tên dự thảo là chính thức.</x:v>
      </x:c>
    </x:row>
    <x:row r="13" ht="28" customHeight="1">
      <x:c r="A13" s="295" t="n">
        <x:v>8</x:v>
      </x:c>
      <x:c r="B13" s="295" t="str">
        <x:v>HD05.D.CQ.CAP_TREN.CACH_SAU</x:v>
      </x:c>
      <x:c r="C13" s="295" t="str">
        <x:v>HD05.D.CQ.CAP_TREN</x:v>
      </x:c>
      <x:c r="D13" s="295" t="str">
        <x:v>Cơ quan ban hành</x:v>
      </x:c>
      <x:c r="E13" s="295" t="str">
        <x:v>Tên tổ chức/cơ quan cấp trên khi có</x:v>
      </x:c>
      <x:c r="F13" s="295" t="str">
        <x:v>Khoảng cách sau đoạn</x:v>
      </x:c>
      <x:c r="G13" s="295" t="str">
        <x:v>NUMBER</x:v>
      </x:c>
      <x:c r="H13" s="295" t="str">
        <x:v>pt</x:v>
      </x:c>
      <x:c r="I13" s="295" t="str">
        <x:v>CHƯA XÁC MINH RIÊNG</x:v>
      </x:c>
      <x:c r="J13" s="295" t="str">
        <x:v>Không suy ra giới hạn pháp lý</x:v>
      </x:c>
      <x:c r="K13" s="295" t="n">
        <x:v>0</x:v>
      </x:c>
      <x:c r="L13" s="295" t="str">
        <x:v>PROFILE_CHO_RAO_SOAT</x:v>
      </x:c>
      <x:c r="M13" s="295" t="str">
        <x:v>CHUA_DOI_CHIEU_CU_THE</x:v>
      </x:c>
      <x:c r="N13" s="295" t="str">
        <x:v>Có cơ quan cấp trên trực tiếp theo chủ thể ban hành; xác minh tên chính thức trước khi dùng</x:v>
      </x:c>
      <x:c r="O13" s="295" t="str">
        <x:v>Quy định gốc &gt; profile; khi chưa rõ điều kiện thì giữ nguyên; không sinh nội dung.</x:v>
      </x:c>
      <x:c r="P13" s="295" t="str">
        <x:v>PARAGRAPH / RUN / SHAPE tùy thuộc tính</x:v>
      </x:c>
      <x:c r="Q13" s="295" t="str">
        <x:v>Xác định đúng khối Tên tổ chức/cơ quan cấp trên khi có; đọc giá trị thực; đối chiếu điều kiện; không sửa nội dung khi thiếu nguồn.</x:v>
      </x:c>
      <x:c r="R13" s="295" t="str">
        <x:v>Chưa có locator xác minh riêng</x:v>
      </x:c>
      <x:c r="S13" s="295" t="str">
        <x:v>https://tulieuvankien.dangcongsan.vn/upload/2006988/20260529/HD_05_VPTW_e1550.pdf</x:v>
      </x:c>
      <x:c r="T13" s="295" t="str">
        <x:v>CÓ</x:v>
      </x:c>
      <x:c r="U13" s="295" t="str">
        <x:v>CHECK_ONLY</x:v>
      </x:c>
      <x:c r="V13" s="295" t="str">
        <x:v>Không tự chèn đoạn trắng Giữ đúng tên chủ thể sau khi có hồ sơ xác minh; không coi tên dự thảo là chính thức.</x:v>
      </x:c>
    </x:row>
    <x:row r="14" ht="28" customHeight="1">
      <x:c r="A14" s="295" t="n">
        <x:v>9</x:v>
      </x:c>
      <x:c r="B14" s="295" t="str">
        <x:v>HD05.D.CQ.CAP_TREN.GIAN_DONG</x:v>
      </x:c>
      <x:c r="C14" s="295" t="str">
        <x:v>HD05.D.CQ.CAP_TREN</x:v>
      </x:c>
      <x:c r="D14" s="295" t="str">
        <x:v>Cơ quan ban hành</x:v>
      </x:c>
      <x:c r="E14" s="295" t="str">
        <x:v>Tên tổ chức/cơ quan cấp trên khi có</x:v>
      </x:c>
      <x:c r="F14" s="295" t="str">
        <x:v>Giãn dòng</x:v>
      </x:c>
      <x:c r="G14" s="295" t="str">
        <x:v>NUMBER</x:v>
      </x:c>
      <x:c r="H14" s="295" t="str">
        <x:v>lines</x:v>
      </x:c>
      <x:c r="I14" s="295" t="str">
        <x:v>CHƯA XÁC MINH RIÊNG</x:v>
      </x:c>
      <x:c r="J14" s="295" t="str">
        <x:v>Không suy ra giới hạn pháp lý</x:v>
      </x:c>
      <x:c r="K14" s="295" t="str">
        <x:v>SINGLE</x:v>
      </x:c>
      <x:c r="L14" s="295" t="str">
        <x:v>PROFILE_CHO_RAO_SOAT</x:v>
      </x:c>
      <x:c r="M14" s="295" t="str">
        <x:v>CHUA_DOI_CHIEU_CU_THE</x:v>
      </x:c>
      <x:c r="N14" s="295" t="str">
        <x:v>Có cơ quan cấp trên trực tiếp theo chủ thể ban hành; xác minh tên chính thức trước khi dùng</x:v>
      </x:c>
      <x:c r="O14" s="295" t="str">
        <x:v>Quy định gốc &gt; profile; khi chưa rõ điều kiện thì giữ nguyên; không sinh nội dung.</x:v>
      </x:c>
      <x:c r="P14" s="295" t="str">
        <x:v>PARAGRAPH / RUN / SHAPE tùy thuộc tính</x:v>
      </x:c>
      <x:c r="Q14" s="295" t="str">
        <x:v>Xác định đúng khối Tên tổ chức/cơ quan cấp trên khi có; đọc giá trị thực; đối chiếu điều kiện; không sửa nội dung khi thiếu nguồn.</x:v>
      </x:c>
      <x:c r="R14" s="295" t="str">
        <x:v>Chưa có locator xác minh riêng</x:v>
      </x:c>
      <x:c r="S14" s="295" t="str">
        <x:v>https://tulieuvankien.dangcongsan.vn/upload/2006988/20260529/HD_05_VPTW_e1550.pdf</x:v>
      </x:c>
      <x:c r="T14" s="295" t="str">
        <x:v>CÓ</x:v>
      </x:c>
      <x:c r="U14" s="295" t="str">
        <x:v>CHECK_ONLY</x:v>
      </x:c>
      <x:c r="V14" s="295" t="str">
        <x:v>Giãn dòng phần đầu không được tự đồng nhất với thân bài. Giữ đúng tên chủ thể sau khi có hồ sơ xác minh; không coi tên dự thảo là chính thức.</x:v>
      </x:c>
    </x:row>
    <x:row r="15" ht="28" customHeight="1">
      <x:c r="A15" s="295" t="n">
        <x:v>10</x:v>
      </x:c>
      <x:c r="B15" s="295" t="str">
        <x:v>HD05.D.CQ.CAP_TREN.TEN_CHINH_THUC</x:v>
      </x:c>
      <x:c r="C15" s="295" t="str">
        <x:v>HD05.D.CQ.CAP_TREN</x:v>
      </x:c>
      <x:c r="D15" s="295" t="str">
        <x:v>Cơ quan ban hành</x:v>
      </x:c>
      <x:c r="E15" s="295" t="str">
        <x:v>Tên tổ chức/cơ quan cấp trên khi có</x:v>
      </x:c>
      <x:c r="F15" s="295" t="str">
        <x:v>Tên cơ quan theo hồ sơ</x:v>
      </x:c>
      <x:c r="G15" s="295" t="str">
        <x:v>TEXT</x:v>
      </x:c>
      <x:c r="H15" s="295"/>
      <x:c r="I15" s="295" t="str">
        <x:v>CHƯA XÁC MINH RIÊNG</x:v>
      </x:c>
      <x:c r="J15" s="295" t="str">
        <x:v>Không suy ra giới hạn pháp lý</x:v>
      </x:c>
      <x:c r="K15" s="295" t="str">
        <x:v>ĐẢNG BỘ TỔNG CÔNG TY
BẢO ĐẢM AN TOÀN HÀNG HẢI VIỆT NAM</x:v>
      </x:c>
      <x:c r="L15" s="295" t="str">
        <x:v>CHO_XAC_MINH_TO_CHUC</x:v>
      </x:c>
      <x:c r="M15" s="295" t="str">
        <x:v>CHUA_DOI_CHIEU_CU_THE</x:v>
      </x:c>
      <x:c r="N15" s="295" t="str">
        <x:v>Có cơ quan cấp trên trực tiếp theo chủ thể ban hành; xác minh tên chính thức trước khi dùng</x:v>
      </x:c>
      <x:c r="O15" s="295" t="str">
        <x:v>Quy định gốc &gt; profile; khi chưa rõ điều kiện thì giữ nguyên; không sinh nội dung.</x:v>
      </x:c>
      <x:c r="P15" s="295" t="str">
        <x:v>PARAGRAPH / RUN / SHAPE tùy thuộc tính</x:v>
      </x:c>
      <x:c r="Q15" s="295" t="str">
        <x:v>Xác định đúng khối Tên tổ chức/cơ quan cấp trên khi có; đọc giá trị thực; đối chiếu điều kiện; không sửa nội dung khi thiếu nguồn.</x:v>
      </x:c>
      <x:c r="R15" s="295" t="str">
        <x:v>Chưa có locator xác minh riêng</x:v>
      </x:c>
      <x:c r="S15" s="295" t="str">
        <x:v>https://tulieuvankien.dangcongsan.vn/upload/2006988/20260529/HD_05_VPTW_e1550.pdf</x:v>
      </x:c>
      <x:c r="T15" s="295" t="str">
        <x:v>CÓ</x:v>
      </x:c>
      <x:c r="U15" s="295" t="str">
        <x:v>CHECK_ONLY</x:v>
      </x:c>
      <x:c r="V15" s="295" t="str">
        <x:v>Tên người dùng cung cấp / nguồn tham khảo, không thay thế xác minh tư cách Giữ đúng tên chủ thể sau khi có hồ sơ xác minh; không coi tên dự thảo là chính thức.</x:v>
      </x:c>
    </x:row>
    <x:row r="16" ht="28" customHeight="1">
      <x:c r="A16" s="295" t="n">
        <x:v>11</x:v>
      </x:c>
      <x:c r="B16" s="295" t="str">
        <x:v>HD05.D.CQ.BAN_HANH.HIEN_DIEN</x:v>
      </x:c>
      <x:c r="C16" s="295" t="str">
        <x:v>HD05.D.CQ.BAN_HANH</x:v>
      </x:c>
      <x:c r="D16" s="295" t="str">
        <x:v>Cơ quan ban hành</x:v>
      </x:c>
      <x:c r="E16" s="295" t="str">
        <x:v>Tên tổ chức/cơ quan Đảng ban hành</x:v>
      </x:c>
      <x:c r="F16" s="295" t="str">
        <x:v>Điều kiện hiện diện</x:v>
      </x:c>
      <x:c r="G16" s="295" t="str">
        <x:v>TEXT</x:v>
      </x:c>
      <x:c r="H16" s="295"/>
      <x:c r="I16" s="295" t="str">
        <x:v>CHƯA XÁC MINH RIÊNG</x:v>
      </x:c>
      <x:c r="J16" s="295" t="str">
        <x:v>Không suy ra giới hạn pháp lý</x:v>
      </x:c>
      <x:c r="K16" s="295" t="str">
        <x:v>Chủ thể ban hành được xác định; dùng tên chính thức, không tự suy ra tư cách pháp lý</x:v>
      </x:c>
      <x:c r="L16" s="295" t="str">
        <x:v>CHUA_DUYET_DINH_TUYEN</x:v>
      </x:c>
      <x:c r="M16" s="295" t="str">
        <x:v>CHUA_DOI_CHIEU_CU_THE</x:v>
      </x:c>
      <x:c r="N16" s="295" t="str">
        <x:v>Chủ thể ban hành được xác định; dùng tên chính thức, không tự suy ra tư cách pháp lý</x:v>
      </x:c>
      <x:c r="O16" s="295" t="str">
        <x:v>Quy định gốc &gt; profile; khi chưa rõ điều kiện thì giữ nguyên; không sinh nội dung.</x:v>
      </x:c>
      <x:c r="P16" s="295" t="str">
        <x:v>PARAGRAPH / RUN / SHAPE tùy thuộc tính</x:v>
      </x:c>
      <x:c r="Q16" s="295" t="str">
        <x:v>Xác định đúng khối Tên tổ chức/cơ quan Đảng ban hành; đọc giá trị thực; đối chiếu điều kiện; không sửa nội dung khi thiếu nguồn.</x:v>
      </x:c>
      <x:c r="R16" s="295" t="str">
        <x:v>Chưa có locator xác minh riêng</x:v>
      </x:c>
      <x:c r="S16" s="295" t="str">
        <x:v>https://tulieuvankien.dangcongsan.vn/upload/2006988/20260529/HD_05_VPTW_e1550.pdf</x:v>
      </x:c>
      <x:c r="T16" s="295" t="str">
        <x:v>CÓ</x:v>
      </x:c>
      <x:c r="U16" s="295" t="str">
        <x:v>CHECK_ONLY</x:v>
      </x:c>
      <x:c r="V16" s="295" t="str">
        <x:v>Phải nhận diện chế độ và chủ thể trước khi áp dụng Giữ đúng tên chủ thể sau khi có hồ sơ xác minh; không coi tên dự thảo là chính thức.</x:v>
      </x:c>
    </x:row>
    <x:row r="17" ht="28" customHeight="1">
      <x:c r="A17" s="295" t="n">
        <x:v>12</x:v>
      </x:c>
      <x:c r="B17" s="295" t="str">
        <x:v>HD05.D.CQ.BAN_HANH.PHONG_CHU</x:v>
      </x:c>
      <x:c r="C17" s="295" t="str">
        <x:v>HD05.D.CQ.BAN_HANH</x:v>
      </x:c>
      <x:c r="D17" s="295" t="str">
        <x:v>Cơ quan ban hành</x:v>
      </x:c>
      <x:c r="E17" s="295" t="str">
        <x:v>Tên tổ chức/cơ quan Đảng ban hành</x:v>
      </x:c>
      <x:c r="F17" s="295" t="str">
        <x:v>Font chữ</x:v>
      </x:c>
      <x:c r="G17" s="295" t="str">
        <x:v>STRING</x:v>
      </x:c>
      <x:c r="H17" s="295"/>
      <x:c r="I17" s="295" t="str">
        <x:v>Times New Roman</x:v>
      </x:c>
      <x:c r="J17" s="295" t="str">
        <x:v>Đúng giá trị/giới hạn riêng</x:v>
      </x:c>
      <x:c r="K17" s="295" t="str">
        <x:v>Times New Roman</x:v>
      </x:c>
      <x:c r="L17" s="295" t="str">
        <x:v>PROFILE_CO_GIA_TRI_CHUA_DUYET</x:v>
      </x:c>
      <x:c r="M17" s="295" t="str">
        <x:v>DOI_CHIEU_CU_THE</x:v>
      </x:c>
      <x:c r="N17" s="295" t="str">
        <x:v>Chủ thể ban hành được xác định; dùng tên chính thức, không tự suy ra tư cách pháp lý</x:v>
      </x:c>
      <x:c r="O17" s="295" t="str">
        <x:v>Quy định gốc &gt; profile; khi chưa rõ điều kiện thì giữ nguyên; không sinh nội dung.</x:v>
      </x:c>
      <x:c r="P17" s="295" t="str">
        <x:v>PARAGRAPH / RUN / SHAPE tùy thuộc tính</x:v>
      </x:c>
      <x:c r="Q17" s="295" t="str">
        <x:v>Xác định đúng khối Tên tổ chức/cơ quan Đảng ban hành; đọc giá trị thực; đối chiếu điều kiện; không sửa nội dung khi thiếu nguồn.</x:v>
      </x:c>
      <x:c r="R17" s="295" t="str">
        <x:v>Phần II, IV.1</x:v>
      </x:c>
      <x:c r="S17" s="295" t="str">
        <x:v>https://tulieuvankien.dangcongsan.vn/upload/2006988/20260529/HD_05_VPTW_e1550.pdf</x:v>
      </x:c>
      <x:c r="T17" s="295" t="str">
        <x:v>CÓ</x:v>
      </x:c>
      <x:c r="U17" s="295" t="str">
        <x:v>CHECK_ONLY</x:v>
      </x:c>
      <x:c r="V17" s="295" t="str">
        <x:v>Giữ đúng tên chủ thể sau khi có hồ sơ xác minh; không coi tên dự thảo là chính thức.</x:v>
      </x:c>
    </x:row>
    <x:row r="18" ht="28" customHeight="1">
      <x:c r="A18" s="295" t="n">
        <x:v>13</x:v>
      </x:c>
      <x:c r="B18" s="295" t="str">
        <x:v>HD05.D.CQ.BAN_HANH.CO_CHU</x:v>
      </x:c>
      <x:c r="C18" s="295" t="str">
        <x:v>HD05.D.CQ.BAN_HANH</x:v>
      </x:c>
      <x:c r="D18" s="295" t="str">
        <x:v>Cơ quan ban hành</x:v>
      </x:c>
      <x:c r="E18" s="295" t="str">
        <x:v>Tên tổ chức/cơ quan Đảng ban hành</x:v>
      </x:c>
      <x:c r="F18" s="295" t="str">
        <x:v>Cỡ chữ</x:v>
      </x:c>
      <x:c r="G18" s="295" t="str">
        <x:v>NUMBER_OR_RANGE</x:v>
      </x:c>
      <x:c r="H18" s="295" t="str">
        <x:v>pt</x:v>
      </x:c>
      <x:c r="I18" s="295" t="str">
        <x:v>14</x:v>
      </x:c>
      <x:c r="J18" s="295" t="str">
        <x:v>Đúng giá trị/giới hạn riêng</x:v>
      </x:c>
      <x:c r="K18" s="295" t="n">
        <x:v>14</x:v>
      </x:c>
      <x:c r="L18" s="295" t="str">
        <x:v>PROFILE_CO_GIA_TRI_CHUA_DUYET</x:v>
      </x:c>
      <x:c r="M18" s="295" t="str">
        <x:v>DOI_CHIEU_CU_THE</x:v>
      </x:c>
      <x:c r="N18" s="295" t="str">
        <x:v>Chủ thể ban hành được xác định; dùng tên chính thức, không tự suy ra tư cách pháp lý</x:v>
      </x:c>
      <x:c r="O18" s="295" t="str">
        <x:v>Quy định gốc &gt; profile; khi chưa rõ điều kiện thì giữ nguyên; không sinh nội dung.</x:v>
      </x:c>
      <x:c r="P18" s="295" t="str">
        <x:v>PARAGRAPH / RUN / SHAPE tùy thuộc tính</x:v>
      </x:c>
      <x:c r="Q18" s="295" t="str">
        <x:v>Xác định đúng khối Tên tổ chức/cơ quan Đảng ban hành; đọc giá trị thực; đối chiếu điều kiện; không sửa nội dung khi thiếu nguồn.</x:v>
      </x:c>
      <x:c r="R18" s="295" t="str">
        <x:v>Phần II, I.2; Phụ lục 2, TT2</x:v>
      </x:c>
      <x:c r="S18" s="295" t="str">
        <x:v>https://tulieuvankien.dangcongsan.vn/upload/2006988/20260529/HD_05_VPTW_e1550.pdf</x:v>
      </x:c>
      <x:c r="T18" s="295" t="str">
        <x:v>CÓ</x:v>
      </x:c>
      <x:c r="U18" s="295" t="str">
        <x:v>CHECK_ONLY</x:v>
      </x:c>
      <x:c r="V18" s="295" t="str">
        <x:v>Giữ đúng tên chủ thể sau khi có hồ sơ xác minh; không coi tên dự thảo là chính thức.</x:v>
      </x:c>
    </x:row>
    <x:row r="19" ht="28" customHeight="1">
      <x:c r="A19" s="295" t="n">
        <x:v>14</x:v>
      </x:c>
      <x:c r="B19" s="295" t="str">
        <x:v>HD05.D.CQ.BAN_HANH.DAM</x:v>
      </x:c>
      <x:c r="C19" s="295" t="str">
        <x:v>HD05.D.CQ.BAN_HANH</x:v>
      </x:c>
      <x:c r="D19" s="295" t="str">
        <x:v>Cơ quan ban hành</x:v>
      </x:c>
      <x:c r="E19" s="295" t="str">
        <x:v>Tên tổ chức/cơ quan Đảng ban hành</x:v>
      </x:c>
      <x:c r="F19" s="295" t="str">
        <x:v>In đậm</x:v>
      </x:c>
      <x:c r="G19" s="295" t="str">
        <x:v>BOOLEAN</x:v>
      </x:c>
      <x:c r="H19" s="295"/>
      <x:c r="I19" s="296" t="b">
        <x:v>1</x:v>
      </x:c>
      <x:c r="J19" s="295" t="str">
        <x:v>Đúng giá trị/giới hạn riêng</x:v>
      </x:c>
      <x:c r="K19" s="296" t="b">
        <x:v>1</x:v>
      </x:c>
      <x:c r="L19" s="295" t="str">
        <x:v>PROFILE_CO_GIA_TRI_CHUA_DUYET</x:v>
      </x:c>
      <x:c r="M19" s="295" t="str">
        <x:v>DOI_CHIEU_CU_THE</x:v>
      </x:c>
      <x:c r="N19" s="295" t="str">
        <x:v>Chủ thể ban hành được xác định; dùng tên chính thức, không tự suy ra tư cách pháp lý</x:v>
      </x:c>
      <x:c r="O19" s="295" t="str">
        <x:v>Quy định gốc &gt; profile; khi chưa rõ điều kiện thì giữ nguyên; không sinh nội dung.</x:v>
      </x:c>
      <x:c r="P19" s="295" t="str">
        <x:v>PARAGRAPH / RUN / SHAPE tùy thuộc tính</x:v>
      </x:c>
      <x:c r="Q19" s="295" t="str">
        <x:v>Xác định đúng khối Tên tổ chức/cơ quan Đảng ban hành; đọc giá trị thực; đối chiếu điều kiện; không sửa nội dung khi thiếu nguồn.</x:v>
      </x:c>
      <x:c r="R19" s="295" t="str">
        <x:v>Phần II, I.2; Phụ lục 2, TT2</x:v>
      </x:c>
      <x:c r="S19" s="295" t="str">
        <x:v>https://tulieuvankien.dangcongsan.vn/upload/2006988/20260529/HD_05_VPTW_e1550.pdf</x:v>
      </x:c>
      <x:c r="T19" s="295" t="str">
        <x:v>CÓ</x:v>
      </x:c>
      <x:c r="U19" s="295" t="str">
        <x:v>CHECK_ONLY</x:v>
      </x:c>
      <x:c r="V19" s="295" t="str">
        <x:v>Giữ đúng tên chủ thể sau khi có hồ sơ xác minh; không coi tên dự thảo là chính thức.</x:v>
      </x:c>
    </x:row>
    <x:row r="20" ht="28" customHeight="1">
      <x:c r="A20" s="295" t="n">
        <x:v>15</x:v>
      </x:c>
      <x:c r="B20" s="295" t="str">
        <x:v>HD05.D.CQ.BAN_HANH.NGHIENG</x:v>
      </x:c>
      <x:c r="C20" s="295" t="str">
        <x:v>HD05.D.CQ.BAN_HANH</x:v>
      </x:c>
      <x:c r="D20" s="295" t="str">
        <x:v>Cơ quan ban hành</x:v>
      </x:c>
      <x:c r="E20" s="295" t="str">
        <x:v>Tên tổ chức/cơ quan Đảng ban hành</x:v>
      </x:c>
      <x:c r="F20" s="295" t="str">
        <x:v>In nghiêng</x:v>
      </x:c>
      <x:c r="G20" s="295" t="str">
        <x:v>BOOLEAN</x:v>
      </x:c>
      <x:c r="H20" s="295"/>
      <x:c r="I20" s="296" t="b">
        <x:v>0</x:v>
      </x:c>
      <x:c r="J20" s="295" t="str">
        <x:v>Đúng giá trị/giới hạn riêng</x:v>
      </x:c>
      <x:c r="K20" s="296" t="b">
        <x:v>0</x:v>
      </x:c>
      <x:c r="L20" s="295" t="str">
        <x:v>PROFILE_CO_GIA_TRI_CHUA_DUYET</x:v>
      </x:c>
      <x:c r="M20" s="295" t="str">
        <x:v>DOI_CHIEU_CU_THE</x:v>
      </x:c>
      <x:c r="N20" s="295" t="str">
        <x:v>Chủ thể ban hành được xác định; dùng tên chính thức, không tự suy ra tư cách pháp lý</x:v>
      </x:c>
      <x:c r="O20" s="295" t="str">
        <x:v>Quy định gốc &gt; profile; khi chưa rõ điều kiện thì giữ nguyên; không sinh nội dung.</x:v>
      </x:c>
      <x:c r="P20" s="295" t="str">
        <x:v>PARAGRAPH / RUN / SHAPE tùy thuộc tính</x:v>
      </x:c>
      <x:c r="Q20" s="295" t="str">
        <x:v>Xác định đúng khối Tên tổ chức/cơ quan Đảng ban hành; đọc giá trị thực; đối chiếu điều kiện; không sửa nội dung khi thiếu nguồn.</x:v>
      </x:c>
      <x:c r="R20" s="295" t="str">
        <x:v>Phần II, I.2; Phụ lục 2, TT2</x:v>
      </x:c>
      <x:c r="S20" s="295" t="str">
        <x:v>https://tulieuvankien.dangcongsan.vn/upload/2006988/20260529/HD_05_VPTW_e1550.pdf</x:v>
      </x:c>
      <x:c r="T20" s="295" t="str">
        <x:v>CÓ</x:v>
      </x:c>
      <x:c r="U20" s="295" t="str">
        <x:v>CHECK_ONLY</x:v>
      </x:c>
      <x:c r="V20" s="295" t="str">
        <x:v>Giữ đúng tên chủ thể sau khi có hồ sơ xác minh; không coi tên dự thảo là chính thức.</x:v>
      </x:c>
    </x:row>
    <x:row r="21" ht="28" customHeight="1">
      <x:c r="A21" s="295" t="n">
        <x:v>16</x:v>
      </x:c>
      <x:c r="B21" s="295" t="str">
        <x:v>HD05.D.CQ.BAN_HANH.KIEU_CHU</x:v>
      </x:c>
      <x:c r="C21" s="295" t="str">
        <x:v>HD05.D.CQ.BAN_HANH</x:v>
      </x:c>
      <x:c r="D21" s="295" t="str">
        <x:v>Cơ quan ban hành</x:v>
      </x:c>
      <x:c r="E21" s="295" t="str">
        <x:v>Tên tổ chức/cơ quan Đảng ban hành</x:v>
      </x:c>
      <x:c r="F21" s="295" t="str">
        <x:v>Kiểu viết hoa/thường</x:v>
      </x:c>
      <x:c r="G21" s="295" t="str">
        <x:v>ENUM</x:v>
      </x:c>
      <x:c r="H21" s="295"/>
      <x:c r="I21" s="295" t="str">
        <x:v>IN HOA</x:v>
      </x:c>
      <x:c r="J21" s="295" t="str">
        <x:v>Đúng giá trị/giới hạn riêng</x:v>
      </x:c>
      <x:c r="K21" s="295" t="str">
        <x:v>IN HOA</x:v>
      </x:c>
      <x:c r="L21" s="295" t="str">
        <x:v>PROFILE_CHO_XAC_MINH_PHAP_NHAN</x:v>
      </x:c>
      <x:c r="M21" s="295" t="str">
        <x:v>DOI_CHIEU_CU_THE</x:v>
      </x:c>
      <x:c r="N21" s="295" t="str">
        <x:v>Chủ thể ban hành được xác định; dùng tên chính thức, không tự suy ra tư cách pháp lý</x:v>
      </x:c>
      <x:c r="O21" s="295" t="str">
        <x:v>Quy định gốc &gt; profile; khi chưa rõ điều kiện thì giữ nguyên; không sinh nội dung.</x:v>
      </x:c>
      <x:c r="P21" s="295" t="str">
        <x:v>PARAGRAPH / RUN / SHAPE tùy thuộc tính</x:v>
      </x:c>
      <x:c r="Q21" s="295" t="str">
        <x:v>Xác định đúng khối Tên tổ chức/cơ quan Đảng ban hành; đọc giá trị thực; đối chiếu điều kiện; không sửa nội dung khi thiếu nguồn.</x:v>
      </x:c>
      <x:c r="R21" s="295" t="str">
        <x:v>Phần II, I.2; Phụ lục 2, TT2</x:v>
      </x:c>
      <x:c r="S21" s="295" t="str">
        <x:v>https://tulieuvankien.dangcongsan.vn/upload/2006988/20260529/HD_05_VPTW_e1550.pdf</x:v>
      </x:c>
      <x:c r="T21" s="295" t="str">
        <x:v>CÓ</x:v>
      </x:c>
      <x:c r="U21" s="295" t="str">
        <x:v>CHECK_ONLY</x:v>
      </x:c>
      <x:c r="V21" s="295" t="str">
        <x:v>Giữ đúng tên chủ thể sau khi có hồ sơ xác minh; không coi tên dự thảo là chính thức.</x:v>
      </x:c>
    </x:row>
    <x:row r="22" ht="28" customHeight="1">
      <x:c r="A22" s="295" t="n">
        <x:v>17</x:v>
      </x:c>
      <x:c r="B22" s="295" t="str">
        <x:v>HD05.D.CQ.BAN_HANH.CAN_NGANG</x:v>
      </x:c>
      <x:c r="C22" s="295" t="str">
        <x:v>HD05.D.CQ.BAN_HANH</x:v>
      </x:c>
      <x:c r="D22" s="295" t="str">
        <x:v>Cơ quan ban hành</x:v>
      </x:c>
      <x:c r="E22" s="295" t="str">
        <x:v>Tên tổ chức/cơ quan Đảng ban hành</x:v>
      </x:c>
      <x:c r="F22" s="295" t="str">
        <x:v>Căn ngang</x:v>
      </x:c>
      <x:c r="G22" s="295" t="str">
        <x:v>ENUM</x:v>
      </x:c>
      <x:c r="H22" s="295"/>
      <x:c r="I22" s="295" t="str">
        <x:v>CENTER</x:v>
      </x:c>
      <x:c r="J22" s="295" t="str">
        <x:v>Đúng giá trị/giới hạn riêng</x:v>
      </x:c>
      <x:c r="K22" s="295" t="str">
        <x:v>CENTER</x:v>
      </x:c>
      <x:c r="L22" s="295" t="str">
        <x:v>PROFILE_CO_GIA_TRI_CHUA_DUYET</x:v>
      </x:c>
      <x:c r="M22" s="295" t="str">
        <x:v>DOI_CHIEU_CU_THE</x:v>
      </x:c>
      <x:c r="N22" s="295" t="str">
        <x:v>Chủ thể ban hành được xác định; dùng tên chính thức, không tự suy ra tư cách pháp lý</x:v>
      </x:c>
      <x:c r="O22" s="295" t="str">
        <x:v>Quy định gốc &gt; profile; khi chưa rõ điều kiện thì giữ nguyên; không sinh nội dung.</x:v>
      </x:c>
      <x:c r="P22" s="295" t="str">
        <x:v>PARAGRAPH / RUN / SHAPE tùy thuộc tính</x:v>
      </x:c>
      <x:c r="Q22" s="295" t="str">
        <x:v>Xác định đúng khối Tên tổ chức/cơ quan Đảng ban hành; đọc giá trị thực; đối chiếu điều kiện; không sửa nội dung khi thiếu nguồn.</x:v>
      </x:c>
      <x:c r="R22" s="295" t="str">
        <x:v>Phần II, I.2; Phụ lục 2, TT2</x:v>
      </x:c>
      <x:c r="S22" s="295" t="str">
        <x:v>https://tulieuvankien.dangcongsan.vn/upload/2006988/20260529/HD_05_VPTW_e1550.pdf</x:v>
      </x:c>
      <x:c r="T22" s="295" t="str">
        <x:v>CÓ</x:v>
      </x:c>
      <x:c r="U22" s="295" t="str">
        <x:v>CHECK_ONLY</x:v>
      </x:c>
      <x:c r="V22" s="295" t="str">
        <x:v>Giữ đúng tên chủ thể sau khi có hồ sơ xác minh; không coi tên dự thảo là chính thức.</x:v>
      </x:c>
    </x:row>
    <x:row r="23" ht="28" customHeight="1">
      <x:c r="A23" s="295" t="n">
        <x:v>18</x:v>
      </x:c>
      <x:c r="B23" s="295" t="str">
        <x:v>HD05.D.CQ.BAN_HANH.CACH_SAU</x:v>
      </x:c>
      <x:c r="C23" s="295" t="str">
        <x:v>HD05.D.CQ.BAN_HANH</x:v>
      </x:c>
      <x:c r="D23" s="295" t="str">
        <x:v>Cơ quan ban hành</x:v>
      </x:c>
      <x:c r="E23" s="295" t="str">
        <x:v>Tên tổ chức/cơ quan Đảng ban hành</x:v>
      </x:c>
      <x:c r="F23" s="295" t="str">
        <x:v>Khoảng cách sau đoạn</x:v>
      </x:c>
      <x:c r="G23" s="295" t="str">
        <x:v>NUMBER</x:v>
      </x:c>
      <x:c r="H23" s="295" t="str">
        <x:v>pt</x:v>
      </x:c>
      <x:c r="I23" s="295" t="str">
        <x:v>CHƯA XÁC MINH RIÊNG</x:v>
      </x:c>
      <x:c r="J23" s="295" t="str">
        <x:v>Không suy ra giới hạn pháp lý</x:v>
      </x:c>
      <x:c r="K23" s="295" t="n">
        <x:v>0</x:v>
      </x:c>
      <x:c r="L23" s="295" t="str">
        <x:v>PROFILE_CHO_RAO_SOAT</x:v>
      </x:c>
      <x:c r="M23" s="295" t="str">
        <x:v>CHUA_DOI_CHIEU_CU_THE</x:v>
      </x:c>
      <x:c r="N23" s="295" t="str">
        <x:v>Chủ thể ban hành được xác định; dùng tên chính thức, không tự suy ra tư cách pháp lý</x:v>
      </x:c>
      <x:c r="O23" s="295" t="str">
        <x:v>Quy định gốc &gt; profile; khi chưa rõ điều kiện thì giữ nguyên; không sinh nội dung.</x:v>
      </x:c>
      <x:c r="P23" s="295" t="str">
        <x:v>PARAGRAPH / RUN / SHAPE tùy thuộc tính</x:v>
      </x:c>
      <x:c r="Q23" s="295" t="str">
        <x:v>Xác định đúng khối Tên tổ chức/cơ quan Đảng ban hành; đọc giá trị thực; đối chiếu điều kiện; không sửa nội dung khi thiếu nguồn.</x:v>
      </x:c>
      <x:c r="R23" s="295" t="str">
        <x:v>Chưa có locator xác minh riêng</x:v>
      </x:c>
      <x:c r="S23" s="295" t="str">
        <x:v>https://tulieuvankien.dangcongsan.vn/upload/2006988/20260529/HD_05_VPTW_e1550.pdf</x:v>
      </x:c>
      <x:c r="T23" s="295" t="str">
        <x:v>CÓ</x:v>
      </x:c>
      <x:c r="U23" s="295" t="str">
        <x:v>CHECK_ONLY</x:v>
      </x:c>
      <x:c r="V23" s="295" t="str">
        <x:v>Không tự chèn đoạn trắng Giữ đúng tên chủ thể sau khi có hồ sơ xác minh; không coi tên dự thảo là chính thức.</x:v>
      </x:c>
    </x:row>
    <x:row r="24" ht="28" customHeight="1">
      <x:c r="A24" s="295" t="n">
        <x:v>19</x:v>
      </x:c>
      <x:c r="B24" s="295" t="str">
        <x:v>HD05.D.CQ.BAN_HANH.GIAN_DONG</x:v>
      </x:c>
      <x:c r="C24" s="295" t="str">
        <x:v>HD05.D.CQ.BAN_HANH</x:v>
      </x:c>
      <x:c r="D24" s="295" t="str">
        <x:v>Cơ quan ban hành</x:v>
      </x:c>
      <x:c r="E24" s="295" t="str">
        <x:v>Tên tổ chức/cơ quan Đảng ban hành</x:v>
      </x:c>
      <x:c r="F24" s="295" t="str">
        <x:v>Giãn dòng</x:v>
      </x:c>
      <x:c r="G24" s="295" t="str">
        <x:v>NUMBER</x:v>
      </x:c>
      <x:c r="H24" s="295" t="str">
        <x:v>lines</x:v>
      </x:c>
      <x:c r="I24" s="295" t="str">
        <x:v>CHƯA XÁC MINH RIÊNG</x:v>
      </x:c>
      <x:c r="J24" s="295" t="str">
        <x:v>Không suy ra giới hạn pháp lý</x:v>
      </x:c>
      <x:c r="K24" s="295" t="str">
        <x:v>SINGLE</x:v>
      </x:c>
      <x:c r="L24" s="295" t="str">
        <x:v>PROFILE_CHO_RAO_SOAT</x:v>
      </x:c>
      <x:c r="M24" s="295" t="str">
        <x:v>CHUA_DOI_CHIEU_CU_THE</x:v>
      </x:c>
      <x:c r="N24" s="295" t="str">
        <x:v>Chủ thể ban hành được xác định; dùng tên chính thức, không tự suy ra tư cách pháp lý</x:v>
      </x:c>
      <x:c r="O24" s="295" t="str">
        <x:v>Quy định gốc &gt; profile; khi chưa rõ điều kiện thì giữ nguyên; không sinh nội dung.</x:v>
      </x:c>
      <x:c r="P24" s="295" t="str">
        <x:v>PARAGRAPH / RUN / SHAPE tùy thuộc tính</x:v>
      </x:c>
      <x:c r="Q24" s="295" t="str">
        <x:v>Xác định đúng khối Tên tổ chức/cơ quan Đảng ban hành; đọc giá trị thực; đối chiếu điều kiện; không sửa nội dung khi thiếu nguồn.</x:v>
      </x:c>
      <x:c r="R24" s="295" t="str">
        <x:v>Chưa có locator xác minh riêng</x:v>
      </x:c>
      <x:c r="S24" s="295" t="str">
        <x:v>https://tulieuvankien.dangcongsan.vn/upload/2006988/20260529/HD_05_VPTW_e1550.pdf</x:v>
      </x:c>
      <x:c r="T24" s="295" t="str">
        <x:v>CÓ</x:v>
      </x:c>
      <x:c r="U24" s="295" t="str">
        <x:v>CHECK_ONLY</x:v>
      </x:c>
      <x:c r="V24" s="295" t="str">
        <x:v>Giãn dòng phần đầu không được tự đồng nhất với thân bài. Giữ đúng tên chủ thể sau khi có hồ sơ xác minh; không coi tên dự thảo là chính thức.</x:v>
      </x:c>
    </x:row>
    <x:row r="25" ht="28" customHeight="1">
      <x:c r="A25" s="295" t="n">
        <x:v>20</x:v>
      </x:c>
      <x:c r="B25" s="295" t="str">
        <x:v>HD05.D.CQ.BAN_HANH.TEN_CHINH_THUC</x:v>
      </x:c>
      <x:c r="C25" s="295" t="str">
        <x:v>HD05.D.CQ.BAN_HANH</x:v>
      </x:c>
      <x:c r="D25" s="295" t="str">
        <x:v>Cơ quan ban hành</x:v>
      </x:c>
      <x:c r="E25" s="295" t="str">
        <x:v>Tên tổ chức/cơ quan Đảng ban hành</x:v>
      </x:c>
      <x:c r="F25" s="295" t="str">
        <x:v>Tên cơ quan theo hồ sơ</x:v>
      </x:c>
      <x:c r="G25" s="295" t="str">
        <x:v>TEXT</x:v>
      </x:c>
      <x:c r="H25" s="295"/>
      <x:c r="I25" s="295" t="str">
        <x:v>CHƯA XÁC MINH RIÊNG</x:v>
      </x:c>
      <x:c r="J25" s="295" t="str">
        <x:v>Không suy ra giới hạn pháp lý</x:v>
      </x:c>
      <x:c r="K25" s="295" t="str">
        <x:v>ĐẢNG ỦY CÔNG TY
HOA TIÊU HÀNG HẢI MIỀN BẮC</x:v>
      </x:c>
      <x:c r="L25" s="295" t="str">
        <x:v>CHO_XAC_MINH_TO_CHUC</x:v>
      </x:c>
      <x:c r="M25" s="295" t="str">
        <x:v>CHUA_DOI_CHIEU_CU_THE</x:v>
      </x:c>
      <x:c r="N25" s="295" t="str">
        <x:v>Chủ thể ban hành được xác định; dùng tên chính thức, không tự suy ra tư cách pháp lý</x:v>
      </x:c>
      <x:c r="O25" s="295" t="str">
        <x:v>Quy định gốc &gt; profile; khi chưa rõ điều kiện thì giữ nguyên; không sinh nội dung.</x:v>
      </x:c>
      <x:c r="P25" s="295" t="str">
        <x:v>PARAGRAPH / RUN / SHAPE tùy thuộc tính</x:v>
      </x:c>
      <x:c r="Q25" s="295" t="str">
        <x:v>Xác định đúng khối Tên tổ chức/cơ quan Đảng ban hành; đọc giá trị thực; đối chiếu điều kiện; không sửa nội dung khi thiếu nguồn.</x:v>
      </x:c>
      <x:c r="R25" s="295" t="str">
        <x:v>Chưa có locator xác minh riêng</x:v>
      </x:c>
      <x:c r="S25" s="295" t="str">
        <x:v>https://tulieuvankien.dangcongsan.vn/upload/2006988/20260529/HD_05_VPTW_e1550.pdf</x:v>
      </x:c>
      <x:c r="T25" s="295" t="str">
        <x:v>CÓ</x:v>
      </x:c>
      <x:c r="U25" s="295" t="str">
        <x:v>CHECK_ONLY</x:v>
      </x:c>
      <x:c r="V25" s="295" t="str">
        <x:v>Tên người dùng cung cấp / nguồn tham khảo, không thay thế xác minh tư cách Giữ đúng tên chủ thể sau khi có hồ sơ xác minh; không coi tên dự thảo là chính thức.</x:v>
      </x:c>
    </x:row>
    <x:row r="26" ht="28" customHeight="1">
      <x:c r="A26" s="295" t="n">
        <x:v>21</x:v>
      </x:c>
      <x:c r="B26" s="295" t="str">
        <x:v>HD05.D.CQ.DAU_SAO.HIEN_DIEN</x:v>
      </x:c>
      <x:c r="C26" s="295" t="str">
        <x:v>HD05.D.CQ.DAU_SAO</x:v>
      </x:c>
      <x:c r="D26" s="295" t="str">
        <x:v>Cơ quan ban hành</x:v>
      </x:c>
      <x:c r="E26" s="295" t="str">
        <x:v>Dấu sao * bên dưới tên cơ quan</x:v>
      </x:c>
      <x:c r="F26" s="295" t="str">
        <x:v>Điều kiện hiện diện</x:v>
      </x:c>
      <x:c r="G26" s="295" t="str">
        <x:v>TEXT</x:v>
      </x:c>
      <x:c r="H26" s="295"/>
      <x:c r="I26" s="295" t="str">
        <x:v>CHƯA XÁC MINH RIÊNG</x:v>
      </x:c>
      <x:c r="J26" s="295" t="str">
        <x:v>Không suy ra giới hạn pháp lý</x:v>
      </x:c>
      <x:c r="K26" s="295" t="str">
        <x:v>Chỉ HD05; dấu sao dưới khối tên cơ quan</x:v>
      </x:c>
      <x:c r="L26" s="295" t="str">
        <x:v>CHUA_DUYET_DINH_TUYEN</x:v>
      </x:c>
      <x:c r="M26" s="295" t="str">
        <x:v>CHUA_DOI_CHIEU_CU_THE</x:v>
      </x:c>
      <x:c r="N26" s="295" t="str">
        <x:v>Chỉ HD05; dấu sao dưới khối tên cơ quan</x:v>
      </x:c>
      <x:c r="O26" s="295" t="str">
        <x:v>Quy định gốc &gt; profile; khi chưa rõ điều kiện thì giữ nguyên; không sinh nội dung.</x:v>
      </x:c>
      <x:c r="P26" s="295" t="str">
        <x:v>PARAGRAPH / RUN / SHAPE tùy thuộc tính</x:v>
      </x:c>
      <x:c r="Q26" s="295" t="str">
        <x:v>Xác định đúng khối Dấu sao * bên dưới tên cơ quan; đọc giá trị thực; đối chiếu điều kiện; không sửa nội dung khi thiếu nguồn.</x:v>
      </x:c>
      <x:c r="R26" s="295" t="str">
        <x:v>Chưa có locator xác minh riêng</x:v>
      </x:c>
      <x:c r="S26" s="295" t="str">
        <x:v>https://tulieuvankien.dangcongsan.vn/upload/2006988/20260529/HD_05_VPTW_e1550.pdf</x:v>
      </x:c>
      <x:c r="T26" s="295" t="str">
        <x:v>CÓ</x:v>
      </x:c>
      <x:c r="U26" s="295" t="str">
        <x:v>CHECK_ONLY</x:v>
      </x:c>
      <x:c r="V26" s="295" t="str">
        <x:v>Phải nhận diện chế độ và chủ thể trước khi áp dụng</x:v>
      </x:c>
    </x:row>
    <x:row r="27" ht="28" customHeight="1">
      <x:c r="A27" s="295" t="n">
        <x:v>22</x:v>
      </x:c>
      <x:c r="B27" s="295" t="str">
        <x:v>HD05.D.CQ.DAU_SAO.CHUOI_CO_DINH</x:v>
      </x:c>
      <x:c r="C27" s="295" t="str">
        <x:v>HD05.D.CQ.DAU_SAO</x:v>
      </x:c>
      <x:c r="D27" s="295" t="str">
        <x:v>Cơ quan ban hành</x:v>
      </x:c>
      <x:c r="E27" s="295" t="str">
        <x:v>Dấu sao * bên dưới tên cơ quan</x:v>
      </x:c>
      <x:c r="F27" s="295" t="str">
        <x:v>Nhãn hoặc chuỗi cố định</x:v>
      </x:c>
      <x:c r="G27" s="295" t="str">
        <x:v>TEXT</x:v>
      </x:c>
      <x:c r="H27" s="295"/>
      <x:c r="I27" s="295" t="str">
        <x:v>*</x:v>
      </x:c>
      <x:c r="J27" s="295" t="str">
        <x:v>Đúng giá trị/giới hạn riêng</x:v>
      </x:c>
      <x:c r="K27" s="295" t="str">
        <x:v>*</x:v>
      </x:c>
      <x:c r="L27" s="295" t="str">
        <x:v>PROFILE_CO_GIA_TRI_HOP_LE</x:v>
      </x:c>
      <x:c r="M27" s="295" t="str">
        <x:v>DOI_CHIEU_CU_THE</x:v>
      </x:c>
      <x:c r="N27" s="295" t="str">
        <x:v>Chỉ HD05; dấu sao dưới khối tên cơ quan</x:v>
      </x:c>
      <x:c r="O27" s="295" t="str">
        <x:v>Quy định gốc &gt; profile; khi chưa rõ điều kiện thì giữ nguyên; không sinh nội dung.</x:v>
      </x:c>
      <x:c r="P27" s="295" t="str">
        <x:v>PARAGRAPH / RUN / SHAPE tùy thuộc tính</x:v>
      </x:c>
      <x:c r="Q27" s="295" t="str">
        <x:v>Xác định đúng khối Dấu sao * bên dưới tên cơ quan; đọc giá trị thực; đối chiếu điều kiện; không sửa nội dung khi thiếu nguồn.</x:v>
      </x:c>
      <x:c r="R27" s="295" t="str">
        <x:v>Phần II, I.1-9; Phụ lục 2</x:v>
      </x:c>
      <x:c r="S27" s="295" t="str">
        <x:v>https://tulieuvankien.dangcongsan.vn/upload/2006988/20260529/HD_05_VPTW_e1550.pdf</x:v>
      </x:c>
      <x:c r="T27" s="295" t="str">
        <x:v>CÓ</x:v>
      </x:c>
      <x:c r="U27" s="295" t="str">
        <x:v>CHECK_ONLY</x:v>
      </x:c>
      <x:c r="V27" s="295" t="str">
        <x:v>Không thêm nhãn khi thành phần không xuất hiện</x:v>
      </x:c>
    </x:row>
    <x:row r="28" ht="28" customHeight="1">
      <x:c r="A28" s="295" t="n">
        <x:v>23</x:v>
      </x:c>
      <x:c r="B28" s="295" t="str">
        <x:v>HD05.D.CQ.DAU_SAO.KY_TU</x:v>
      </x:c>
      <x:c r="C28" s="295" t="str">
        <x:v>HD05.D.CQ.DAU_SAO</x:v>
      </x:c>
      <x:c r="D28" s="295" t="str">
        <x:v>Cơ quan ban hành</x:v>
      </x:c>
      <x:c r="E28" s="295" t="str">
        <x:v>Dấu sao * bên dưới tên cơ quan</x:v>
      </x:c>
      <x:c r="F28" s="295" t="str">
        <x:v>Ký tự phân cách</x:v>
      </x:c>
      <x:c r="G28" s="295" t="str">
        <x:v>TEXT</x:v>
      </x:c>
      <x:c r="H28" s="295"/>
      <x:c r="I28" s="295" t="str">
        <x:v>Dấu *</x:v>
      </x:c>
      <x:c r="J28" s="295" t="str">
        <x:v>Đúng giá trị/giới hạn riêng</x:v>
      </x:c>
      <x:c r="K28" s="295" t="str">
        <x:v>*</x:v>
      </x:c>
      <x:c r="L28" s="295" t="str">
        <x:v>PROFILE_THEO_NGUON</x:v>
      </x:c>
      <x:c r="M28" s="295" t="str">
        <x:v>DOI_CHIEU_CU_THE</x:v>
      </x:c>
      <x:c r="N28" s="295" t="str">
        <x:v>Chỉ HD05; dấu sao dưới khối tên cơ quan</x:v>
      </x:c>
      <x:c r="O28" s="295" t="str">
        <x:v>Quy định gốc &gt; profile; khi chưa rõ điều kiện thì giữ nguyên; không sinh nội dung.</x:v>
      </x:c>
      <x:c r="P28" s="295" t="str">
        <x:v>PARAGRAPH / RUN / SHAPE tùy thuộc tính</x:v>
      </x:c>
      <x:c r="Q28" s="295" t="str">
        <x:v>Xác định đúng khối Dấu sao * bên dưới tên cơ quan; đọc giá trị thực; đối chiếu điều kiện; không sửa nội dung khi thiếu nguồn.</x:v>
      </x:c>
      <x:c r="R28" s="295" t="str">
        <x:v>Phần II, I.2.2.1</x:v>
      </x:c>
      <x:c r="S28" s="295" t="str">
        <x:v>https://tulieuvankien.dangcongsan.vn/upload/2006988/20260529/HD_05_VPTW_e1550.pdf</x:v>
      </x:c>
      <x:c r="T28" s="295" t="str">
        <x:v>CÓ</x:v>
      </x:c>
      <x:c r="U28" s="295" t="str">
        <x:v>CHECK_ONLY</x:v>
      </x:c>
      <x:c r="V28" s="295" t="str">
        <x:v>Mã rule con chỉ phục vụ AI đọc; không tự tạo thao tác OOXML.</x:v>
      </x:c>
    </x:row>
    <x:row r="29" ht="28" customHeight="1">
      <x:c r="A29" s="295" t="n">
        <x:v>24</x:v>
      </x:c>
      <x:c r="B29" s="295" t="str">
        <x:v>HD05.D.CQ.DAU_SAO.CAN_DAU</x:v>
      </x:c>
      <x:c r="C29" s="295" t="str">
        <x:v>HD05.D.CQ.DAU_SAO</x:v>
      </x:c>
      <x:c r="D29" s="295" t="str">
        <x:v>Cơ quan ban hành</x:v>
      </x:c>
      <x:c r="E29" s="295" t="str">
        <x:v>Dấu sao * bên dưới tên cơ quan</x:v>
      </x:c>
      <x:c r="F29" s="295" t="str">
        <x:v>Vị trí dấu sao</x:v>
      </x:c>
      <x:c r="G29" s="295" t="str">
        <x:v>TEXT</x:v>
      </x:c>
      <x:c r="H29" s="295"/>
      <x:c r="I29" s="295" t="str">
        <x:v>Giữa dưới tên cơ quan</x:v>
      </x:c>
      <x:c r="J29" s="295" t="str">
        <x:v>Đúng giá trị/giới hạn riêng</x:v>
      </x:c>
      <x:c r="K29" s="295" t="str">
        <x:v>CENTER</x:v>
      </x:c>
      <x:c r="L29" s="295" t="str">
        <x:v>PROFILE_THEO_NGUON</x:v>
      </x:c>
      <x:c r="M29" s="295" t="str">
        <x:v>DOI_CHIEU_CU_THE</x:v>
      </x:c>
      <x:c r="N29" s="295" t="str">
        <x:v>Chỉ HD05; dấu sao dưới khối tên cơ quan</x:v>
      </x:c>
      <x:c r="O29" s="295" t="str">
        <x:v>Quy định gốc &gt; profile; khi chưa rõ điều kiện thì giữ nguyên; không sinh nội dung.</x:v>
      </x:c>
      <x:c r="P29" s="295" t="str">
        <x:v>PARAGRAPH / RUN / SHAPE tùy thuộc tính</x:v>
      </x:c>
      <x:c r="Q29" s="295" t="str">
        <x:v>Xác định đúng khối Dấu sao * bên dưới tên cơ quan; đọc giá trị thực; đối chiếu điều kiện; không sửa nội dung khi thiếu nguồn.</x:v>
      </x:c>
      <x:c r="R29" s="295" t="str">
        <x:v>Phần II, I.2.2.1</x:v>
      </x:c>
      <x:c r="S29" s="295" t="str">
        <x:v>https://tulieuvankien.dangcongsan.vn/upload/2006988/20260529/HD_05_VPTW_e1550.pdf</x:v>
      </x:c>
      <x:c r="T29" s="295" t="str">
        <x:v>CÓ</x:v>
      </x:c>
      <x:c r="U29" s="295" t="str">
        <x:v>CHECK_ONLY</x:v>
      </x:c>
      <x:c r="V29" s="295" t="str">
        <x:v>Mã rule con chỉ phục vụ AI đọc; không tự tạo thao tác OOXML.</x:v>
      </x:c>
    </x:row>
    <x:row r="30" ht="28" customHeight="1">
      <x:c r="A30" s="295" t="n">
        <x:v>25</x:v>
      </x:c>
      <x:c r="B30" s="295" t="str">
        <x:v>HD05.D.CQ.LIEN_CO_QUAN.HIEN_DIEN</x:v>
      </x:c>
      <x:c r="C30" s="295" t="str">
        <x:v>HD05.D.CQ.LIEN_CO_QUAN</x:v>
      </x:c>
      <x:c r="D30" s="295" t="str">
        <x:v>Cơ quan ban hành</x:v>
      </x:c>
      <x:c r="E30" s="295" t="str">
        <x:v>Tên tổ chức, cơ quan liên cơ quan</x:v>
      </x:c>
      <x:c r="F30" s="295" t="str">
        <x:v>Điều kiện hiện diện</x:v>
      </x:c>
      <x:c r="G30" s="295" t="str">
        <x:v>TEXT</x:v>
      </x:c>
      <x:c r="H30" s="295"/>
      <x:c r="I30" s="295" t="str">
        <x:v>CHƯA XÁC MINH RIÊNG</x:v>
      </x:c>
      <x:c r="J30" s="295" t="str">
        <x:v>Không suy ra giới hạn pháp lý</x:v>
      </x:c>
      <x:c r="K30" s="295" t="str">
        <x:v>Chỉ khi có văn bản liên cơ quan; kiểm tra thứ tự và tên các chủ thể</x:v>
      </x:c>
      <x:c r="L30" s="295" t="str">
        <x:v>CHUA_DUYET_DINH_TUYEN</x:v>
      </x:c>
      <x:c r="M30" s="295" t="str">
        <x:v>CHUA_DOI_CHIEU_CU_THE</x:v>
      </x:c>
      <x:c r="N30" s="295" t="str">
        <x:v>Chỉ khi có văn bản liên cơ quan; kiểm tra thứ tự và tên các chủ thể</x:v>
      </x:c>
      <x:c r="O30" s="295" t="str">
        <x:v>Quy định gốc &gt; profile; khi chưa rõ điều kiện thì giữ nguyên; không sinh nội dung.</x:v>
      </x:c>
      <x:c r="P30" s="295" t="str">
        <x:v>PARAGRAPH / RUN / SHAPE tùy thuộc tính</x:v>
      </x:c>
      <x:c r="Q30" s="295" t="str">
        <x:v>Xác định đúng khối Tên tổ chức, cơ quan liên cơ quan; đọc giá trị thực; đối chiếu điều kiện; không sửa nội dung khi thiếu nguồn.</x:v>
      </x:c>
      <x:c r="R30" s="295" t="str">
        <x:v>Chưa có locator xác minh riêng</x:v>
      </x:c>
      <x:c r="S30" s="295" t="str">
        <x:v>https://tulieuvankien.dangcongsan.vn/upload/2006988/20260529/HD_05_VPTW_e1550.pdf</x:v>
      </x:c>
      <x:c r="T30" s="295" t="str">
        <x:v>CÓ</x:v>
      </x:c>
      <x:c r="U30" s="295" t="str">
        <x:v>CHECK_ONLY</x:v>
      </x:c>
      <x:c r="V30" s="295" t="str">
        <x:v>Phải nhận diện chế độ và chủ thể trước khi áp dụng</x:v>
      </x:c>
    </x:row>
    <x:row r="31" ht="28" customHeight="1">
      <x:c r="A31" s="295" t="n">
        <x:v>26</x:v>
      </x:c>
      <x:c r="B31" s="295" t="str">
        <x:v>HD05.D.CQ.LIEN_CO_QUAN.PHONG_CHU</x:v>
      </x:c>
      <x:c r="C31" s="295" t="str">
        <x:v>HD05.D.CQ.LIEN_CO_QUAN</x:v>
      </x:c>
      <x:c r="D31" s="295" t="str">
        <x:v>Cơ quan ban hành</x:v>
      </x:c>
      <x:c r="E31" s="295" t="str">
        <x:v>Tên tổ chức, cơ quan liên cơ quan</x:v>
      </x:c>
      <x:c r="F31" s="295" t="str">
        <x:v>Font chữ</x:v>
      </x:c>
      <x:c r="G31" s="295" t="str">
        <x:v>STRING</x:v>
      </x:c>
      <x:c r="H31" s="295"/>
      <x:c r="I31" s="295" t="str">
        <x:v>Times New Roman</x:v>
      </x:c>
      <x:c r="J31" s="295" t="str">
        <x:v>Đúng giá trị/giới hạn riêng</x:v>
      </x:c>
      <x:c r="K31" s="295" t="str">
        <x:v>Times New Roman</x:v>
      </x:c>
      <x:c r="L31" s="295" t="str">
        <x:v>PROFILE_CO_GIA_TRI_CHUA_DUYET</x:v>
      </x:c>
      <x:c r="M31" s="295" t="str">
        <x:v>DOI_CHIEU_CU_THE</x:v>
      </x:c>
      <x:c r="N31" s="295" t="str">
        <x:v>Chỉ khi có văn bản liên cơ quan; kiểm tra thứ tự và tên các chủ thể</x:v>
      </x:c>
      <x:c r="O31" s="295" t="str">
        <x:v>Quy định gốc &gt; profile; khi chưa rõ điều kiện thì giữ nguyên; không sinh nội dung.</x:v>
      </x:c>
      <x:c r="P31" s="295" t="str">
        <x:v>PARAGRAPH / RUN / SHAPE tùy thuộc tính</x:v>
      </x:c>
      <x:c r="Q31" s="295" t="str">
        <x:v>Xác định đúng khối Tên tổ chức, cơ quan liên cơ quan; đọc giá trị thực; đối chiếu điều kiện; không sửa nội dung khi thiếu nguồn.</x:v>
      </x:c>
      <x:c r="R31" s="295" t="str">
        <x:v>Phần II, IV.1</x:v>
      </x:c>
      <x:c r="S31" s="295" t="str">
        <x:v>https://tulieuvankien.dangcongsan.vn/upload/2006988/20260529/HD_05_VPTW_e1550.pdf</x:v>
      </x:c>
      <x:c r="T31" s="295" t="str">
        <x:v>CÓ</x:v>
      </x:c>
      <x:c r="U31" s="295" t="str">
        <x:v>CHECK_ONLY</x:v>
      </x:c>
      <x:c r="V31" s="295" t="str"/>
    </x:row>
    <x:row r="32" ht="28" customHeight="1">
      <x:c r="A32" s="295" t="n">
        <x:v>27</x:v>
      </x:c>
      <x:c r="B32" s="295" t="str">
        <x:v>HD05.D.CQ.LIEN_CO_QUAN.CO_CHU</x:v>
      </x:c>
      <x:c r="C32" s="295" t="str">
        <x:v>HD05.D.CQ.LIEN_CO_QUAN</x:v>
      </x:c>
      <x:c r="D32" s="295" t="str">
        <x:v>Cơ quan ban hành</x:v>
      </x:c>
      <x:c r="E32" s="295" t="str">
        <x:v>Tên tổ chức, cơ quan liên cơ quan</x:v>
      </x:c>
      <x:c r="F32" s="295" t="str">
        <x:v>Cỡ chữ</x:v>
      </x:c>
      <x:c r="G32" s="295" t="str">
        <x:v>NUMBER_OR_RANGE</x:v>
      </x:c>
      <x:c r="H32" s="295" t="str">
        <x:v>pt</x:v>
      </x:c>
      <x:c r="I32" s="295" t="str">
        <x:v>CHƯA XÁC MINH RIÊNG</x:v>
      </x:c>
      <x:c r="J32" s="295" t="str">
        <x:v>Không suy ra giới hạn pháp lý</x:v>
      </x:c>
      <x:c r="K32" s="295" t="n">
        <x:v>14</x:v>
      </x:c>
      <x:c r="L32" s="295" t="str">
        <x:v>PROFILE_CO_GIA_TRI_CHUA_DUYET</x:v>
      </x:c>
      <x:c r="M32" s="295" t="str">
        <x:v>CHUA_DOI_CHIEU_CU_THE</x:v>
      </x:c>
      <x:c r="N32" s="295" t="str">
        <x:v>Chỉ khi có văn bản liên cơ quan; kiểm tra thứ tự và tên các chủ thể</x:v>
      </x:c>
      <x:c r="O32" s="295" t="str">
        <x:v>Quy định gốc &gt; profile; khi chưa rõ điều kiện thì giữ nguyên; không sinh nội dung.</x:v>
      </x:c>
      <x:c r="P32" s="295" t="str">
        <x:v>PARAGRAPH / RUN / SHAPE tùy thuộc tính</x:v>
      </x:c>
      <x:c r="Q32" s="295" t="str">
        <x:v>Xác định đúng khối Tên tổ chức, cơ quan liên cơ quan; đọc giá trị thực; đối chiếu điều kiện; không sửa nội dung khi thiếu nguồn.</x:v>
      </x:c>
      <x:c r="R32" s="295" t="str">
        <x:v>Chưa có locator xác minh riêng</x:v>
      </x:c>
      <x:c r="S32" s="295" t="str">
        <x:v>https://tulieuvankien.dangcongsan.vn/upload/2006988/20260529/HD_05_VPTW_e1550.pdf</x:v>
      </x:c>
      <x:c r="T32" s="295" t="str">
        <x:v>CÓ</x:v>
      </x:c>
      <x:c r="U32" s="295" t="str">
        <x:v>CHECK_ONLY</x:v>
      </x:c>
      <x:c r="V32" s="295" t="str"/>
    </x:row>
    <x:row r="33" ht="28" customHeight="1">
      <x:c r="A33" s="295" t="n">
        <x:v>28</x:v>
      </x:c>
      <x:c r="B33" s="295" t="str">
        <x:v>HD05.D.CQ.LIEN_CO_QUAN.DAM</x:v>
      </x:c>
      <x:c r="C33" s="295" t="str">
        <x:v>HD05.D.CQ.LIEN_CO_QUAN</x:v>
      </x:c>
      <x:c r="D33" s="295" t="str">
        <x:v>Cơ quan ban hành</x:v>
      </x:c>
      <x:c r="E33" s="295" t="str">
        <x:v>Tên tổ chức, cơ quan liên cơ quan</x:v>
      </x:c>
      <x:c r="F33" s="295" t="str">
        <x:v>In đậm</x:v>
      </x:c>
      <x:c r="G33" s="295" t="str">
        <x:v>BOOLEAN</x:v>
      </x:c>
      <x:c r="H33" s="295"/>
      <x:c r="I33" s="295" t="str">
        <x:v>CHƯA XÁC MINH RIÊNG</x:v>
      </x:c>
      <x:c r="J33" s="295" t="str">
        <x:v>Không suy ra giới hạn pháp lý</x:v>
      </x:c>
      <x:c r="K33" s="296" t="b">
        <x:v>0</x:v>
      </x:c>
      <x:c r="L33" s="295" t="str">
        <x:v>PROFILE_CO_GIA_TRI_CHUA_DUYET</x:v>
      </x:c>
      <x:c r="M33" s="295" t="str">
        <x:v>CHUA_DOI_CHIEU_CU_THE</x:v>
      </x:c>
      <x:c r="N33" s="295" t="str">
        <x:v>Chỉ khi có văn bản liên cơ quan; kiểm tra thứ tự và tên các chủ thể</x:v>
      </x:c>
      <x:c r="O33" s="295" t="str">
        <x:v>Quy định gốc &gt; profile; khi chưa rõ điều kiện thì giữ nguyên; không sinh nội dung.</x:v>
      </x:c>
      <x:c r="P33" s="295" t="str">
        <x:v>PARAGRAPH / RUN / SHAPE tùy thuộc tính</x:v>
      </x:c>
      <x:c r="Q33" s="295" t="str">
        <x:v>Xác định đúng khối Tên tổ chức, cơ quan liên cơ quan; đọc giá trị thực; đối chiếu điều kiện; không sửa nội dung khi thiếu nguồn.</x:v>
      </x:c>
      <x:c r="R33" s="295" t="str">
        <x:v>Chưa có locator xác minh riêng</x:v>
      </x:c>
      <x:c r="S33" s="295" t="str">
        <x:v>https://tulieuvankien.dangcongsan.vn/upload/2006988/20260529/HD_05_VPTW_e1550.pdf</x:v>
      </x:c>
      <x:c r="T33" s="295" t="str">
        <x:v>CÓ</x:v>
      </x:c>
      <x:c r="U33" s="295" t="str">
        <x:v>CHECK_ONLY</x:v>
      </x:c>
      <x:c r="V33" s="295" t="str"/>
    </x:row>
    <x:row r="34" ht="28" customHeight="1">
      <x:c r="A34" s="295" t="n">
        <x:v>29</x:v>
      </x:c>
      <x:c r="B34" s="295" t="str">
        <x:v>HD05.D.CQ.LIEN_CO_QUAN.NGHIENG</x:v>
      </x:c>
      <x:c r="C34" s="295" t="str">
        <x:v>HD05.D.CQ.LIEN_CO_QUAN</x:v>
      </x:c>
      <x:c r="D34" s="295" t="str">
        <x:v>Cơ quan ban hành</x:v>
      </x:c>
      <x:c r="E34" s="295" t="str">
        <x:v>Tên tổ chức, cơ quan liên cơ quan</x:v>
      </x:c>
      <x:c r="F34" s="295" t="str">
        <x:v>In nghiêng</x:v>
      </x:c>
      <x:c r="G34" s="295" t="str">
        <x:v>BOOLEAN</x:v>
      </x:c>
      <x:c r="H34" s="295"/>
      <x:c r="I34" s="295" t="str">
        <x:v>CHƯA XÁC MINH RIÊNG</x:v>
      </x:c>
      <x:c r="J34" s="295" t="str">
        <x:v>Không suy ra giới hạn pháp lý</x:v>
      </x:c>
      <x:c r="K34" s="296" t="b">
        <x:v>0</x:v>
      </x:c>
      <x:c r="L34" s="295" t="str">
        <x:v>PROFILE_CO_GIA_TRI_CHUA_DUYET</x:v>
      </x:c>
      <x:c r="M34" s="295" t="str">
        <x:v>CHUA_DOI_CHIEU_CU_THE</x:v>
      </x:c>
      <x:c r="N34" s="295" t="str">
        <x:v>Chỉ khi có văn bản liên cơ quan; kiểm tra thứ tự và tên các chủ thể</x:v>
      </x:c>
      <x:c r="O34" s="295" t="str">
        <x:v>Quy định gốc &gt; profile; khi chưa rõ điều kiện thì giữ nguyên; không sinh nội dung.</x:v>
      </x:c>
      <x:c r="P34" s="295" t="str">
        <x:v>PARAGRAPH / RUN / SHAPE tùy thuộc tính</x:v>
      </x:c>
      <x:c r="Q34" s="295" t="str">
        <x:v>Xác định đúng khối Tên tổ chức, cơ quan liên cơ quan; đọc giá trị thực; đối chiếu điều kiện; không sửa nội dung khi thiếu nguồn.</x:v>
      </x:c>
      <x:c r="R34" s="295" t="str">
        <x:v>Chưa có locator xác minh riêng</x:v>
      </x:c>
      <x:c r="S34" s="295" t="str">
        <x:v>https://tulieuvankien.dangcongsan.vn/upload/2006988/20260529/HD_05_VPTW_e1550.pdf</x:v>
      </x:c>
      <x:c r="T34" s="295" t="str">
        <x:v>CÓ</x:v>
      </x:c>
      <x:c r="U34" s="295" t="str">
        <x:v>CHECK_ONLY</x:v>
      </x:c>
      <x:c r="V34" s="295" t="str"/>
    </x:row>
    <x:row r="35" ht="28" customHeight="1">
      <x:c r="A35" s="295" t="n">
        <x:v>30</x:v>
      </x:c>
      <x:c r="B35" s="295" t="str">
        <x:v>HD05.D.CQ.LIEN_CO_QUAN.KIEU_CHU</x:v>
      </x:c>
      <x:c r="C35" s="295" t="str">
        <x:v>HD05.D.CQ.LIEN_CO_QUAN</x:v>
      </x:c>
      <x:c r="D35" s="295" t="str">
        <x:v>Cơ quan ban hành</x:v>
      </x:c>
      <x:c r="E35" s="295" t="str">
        <x:v>Tên tổ chức, cơ quan liên cơ quan</x:v>
      </x:c>
      <x:c r="F35" s="295" t="str">
        <x:v>Kiểu viết hoa/thường</x:v>
      </x:c>
      <x:c r="G35" s="295" t="str">
        <x:v>ENUM</x:v>
      </x:c>
      <x:c r="H35" s="295"/>
      <x:c r="I35" s="295" t="str">
        <x:v>CHƯA XÁC MINH RIÊNG</x:v>
      </x:c>
      <x:c r="J35" s="295" t="str">
        <x:v>Không suy ra giới hạn pháp lý</x:v>
      </x:c>
      <x:c r="K35" s="295" t="str">
        <x:v>In hoa</x:v>
      </x:c>
      <x:c r="L35" s="295" t="str">
        <x:v>PROFILE_CHO_XAC_MINH_PHAP_NHAN</x:v>
      </x:c>
      <x:c r="M35" s="295" t="str">
        <x:v>CHUA_DOI_CHIEU_CU_THE</x:v>
      </x:c>
      <x:c r="N35" s="295" t="str">
        <x:v>Chỉ khi có văn bản liên cơ quan; kiểm tra thứ tự và tên các chủ thể</x:v>
      </x:c>
      <x:c r="O35" s="295" t="str">
        <x:v>Quy định gốc &gt; profile; khi chưa rõ điều kiện thì giữ nguyên; không sinh nội dung.</x:v>
      </x:c>
      <x:c r="P35" s="295" t="str">
        <x:v>PARAGRAPH / RUN / SHAPE tùy thuộc tính</x:v>
      </x:c>
      <x:c r="Q35" s="295" t="str">
        <x:v>Xác định đúng khối Tên tổ chức, cơ quan liên cơ quan; đọc giá trị thực; đối chiếu điều kiện; không sửa nội dung khi thiếu nguồn.</x:v>
      </x:c>
      <x:c r="R35" s="295" t="str">
        <x:v>Chưa có locator xác minh riêng</x:v>
      </x:c>
      <x:c r="S35" s="295" t="str">
        <x:v>https://tulieuvankien.dangcongsan.vn/upload/2006988/20260529/HD_05_VPTW_e1550.pdf</x:v>
      </x:c>
      <x:c r="T35" s="295" t="str">
        <x:v>CÓ</x:v>
      </x:c>
      <x:c r="U35" s="295" t="str">
        <x:v>CHECK_ONLY</x:v>
      </x:c>
      <x:c r="V35" s="295" t="str"/>
    </x:row>
    <x:row r="36" ht="28" customHeight="1">
      <x:c r="A36" s="295" t="n">
        <x:v>31</x:v>
      </x:c>
      <x:c r="B36" s="295" t="str">
        <x:v>HD05.D.CQ.LIEN_CO_QUAN.CAN_NGANG</x:v>
      </x:c>
      <x:c r="C36" s="295" t="str">
        <x:v>HD05.D.CQ.LIEN_CO_QUAN</x:v>
      </x:c>
      <x:c r="D36" s="295" t="str">
        <x:v>Cơ quan ban hành</x:v>
      </x:c>
      <x:c r="E36" s="295" t="str">
        <x:v>Tên tổ chức, cơ quan liên cơ quan</x:v>
      </x:c>
      <x:c r="F36" s="295" t="str">
        <x:v>Căn ngang</x:v>
      </x:c>
      <x:c r="G36" s="295" t="str">
        <x:v>ENUM</x:v>
      </x:c>
      <x:c r="H36" s="295"/>
      <x:c r="I36" s="295" t="str">
        <x:v>CHƯA XÁC MINH RIÊNG</x:v>
      </x:c>
      <x:c r="J36" s="295" t="str">
        <x:v>Không suy ra giới hạn pháp lý</x:v>
      </x:c>
      <x:c r="K36" s="295" t="str">
        <x:v>CENTER</x:v>
      </x:c>
      <x:c r="L36" s="295" t="str">
        <x:v>PROFILE_CO_GIA_TRI_CHUA_DUYET</x:v>
      </x:c>
      <x:c r="M36" s="295" t="str">
        <x:v>CHUA_DOI_CHIEU_CU_THE</x:v>
      </x:c>
      <x:c r="N36" s="295" t="str">
        <x:v>Chỉ khi có văn bản liên cơ quan; kiểm tra thứ tự và tên các chủ thể</x:v>
      </x:c>
      <x:c r="O36" s="295" t="str">
        <x:v>Quy định gốc &gt; profile; khi chưa rõ điều kiện thì giữ nguyên; không sinh nội dung.</x:v>
      </x:c>
      <x:c r="P36" s="295" t="str">
        <x:v>PARAGRAPH / RUN / SHAPE tùy thuộc tính</x:v>
      </x:c>
      <x:c r="Q36" s="295" t="str">
        <x:v>Xác định đúng khối Tên tổ chức, cơ quan liên cơ quan; đọc giá trị thực; đối chiếu điều kiện; không sửa nội dung khi thiếu nguồn.</x:v>
      </x:c>
      <x:c r="R36" s="295" t="str">
        <x:v>Chưa có locator xác minh riêng</x:v>
      </x:c>
      <x:c r="S36" s="295" t="str">
        <x:v>https://tulieuvankien.dangcongsan.vn/upload/2006988/20260529/HD_05_VPTW_e1550.pdf</x:v>
      </x:c>
      <x:c r="T36" s="295" t="str">
        <x:v>CÓ</x:v>
      </x:c>
      <x:c r="U36" s="295" t="str">
        <x:v>CHECK_ONLY</x:v>
      </x:c>
      <x:c r="V36" s="295" t="str"/>
    </x:row>
    <x:row r="37" ht="28" customHeight="1">
      <x:c r="A37" s="295" t="n">
        <x:v>32</x:v>
      </x:c>
      <x:c r="B37" s="295" t="str">
        <x:v>HD05.D.CQ.LIEN_CO_QUAN.CACH_SAU</x:v>
      </x:c>
      <x:c r="C37" s="295" t="str">
        <x:v>HD05.D.CQ.LIEN_CO_QUAN</x:v>
      </x:c>
      <x:c r="D37" s="295" t="str">
        <x:v>Cơ quan ban hành</x:v>
      </x:c>
      <x:c r="E37" s="295" t="str">
        <x:v>Tên tổ chức, cơ quan liên cơ quan</x:v>
      </x:c>
      <x:c r="F37" s="295" t="str">
        <x:v>Khoảng cách sau đoạn</x:v>
      </x:c>
      <x:c r="G37" s="295" t="str">
        <x:v>NUMBER</x:v>
      </x:c>
      <x:c r="H37" s="295" t="str">
        <x:v>pt</x:v>
      </x:c>
      <x:c r="I37" s="295" t="str">
        <x:v>CHƯA XÁC MINH RIÊNG</x:v>
      </x:c>
      <x:c r="J37" s="295" t="str">
        <x:v>Không suy ra giới hạn pháp lý</x:v>
      </x:c>
      <x:c r="K37" s="295" t="n">
        <x:v>0</x:v>
      </x:c>
      <x:c r="L37" s="295" t="str">
        <x:v>PROFILE_CHO_RAO_SOAT</x:v>
      </x:c>
      <x:c r="M37" s="295" t="str">
        <x:v>CHUA_DOI_CHIEU_CU_THE</x:v>
      </x:c>
      <x:c r="N37" s="295" t="str">
        <x:v>Chỉ khi có văn bản liên cơ quan; kiểm tra thứ tự và tên các chủ thể</x:v>
      </x:c>
      <x:c r="O37" s="295" t="str">
        <x:v>Quy định gốc &gt; profile; khi chưa rõ điều kiện thì giữ nguyên; không sinh nội dung.</x:v>
      </x:c>
      <x:c r="P37" s="295" t="str">
        <x:v>PARAGRAPH / RUN / SHAPE tùy thuộc tính</x:v>
      </x:c>
      <x:c r="Q37" s="295" t="str">
        <x:v>Xác định đúng khối Tên tổ chức, cơ quan liên cơ quan; đọc giá trị thực; đối chiếu điều kiện; không sửa nội dung khi thiếu nguồn.</x:v>
      </x:c>
      <x:c r="R37" s="295" t="str">
        <x:v>Chưa có locator xác minh riêng</x:v>
      </x:c>
      <x:c r="S37" s="295" t="str">
        <x:v>https://tulieuvankien.dangcongsan.vn/upload/2006988/20260529/HD_05_VPTW_e1550.pdf</x:v>
      </x:c>
      <x:c r="T37" s="295" t="str">
        <x:v>CÓ</x:v>
      </x:c>
      <x:c r="U37" s="295" t="str">
        <x:v>CHECK_ONLY</x:v>
      </x:c>
      <x:c r="V37" s="295" t="str">
        <x:v>Không tự chèn đoạn trắng</x:v>
      </x:c>
    </x:row>
    <x:row r="38" ht="28" customHeight="1">
      <x:c r="A38" s="295" t="n">
        <x:v>33</x:v>
      </x:c>
      <x:c r="B38" s="295" t="str">
        <x:v>HD05.D.CQ.LIEN_CO_QUAN.GIAN_DONG</x:v>
      </x:c>
      <x:c r="C38" s="295" t="str">
        <x:v>HD05.D.CQ.LIEN_CO_QUAN</x:v>
      </x:c>
      <x:c r="D38" s="295" t="str">
        <x:v>Cơ quan ban hành</x:v>
      </x:c>
      <x:c r="E38" s="295" t="str">
        <x:v>Tên tổ chức, cơ quan liên cơ quan</x:v>
      </x:c>
      <x:c r="F38" s="295" t="str">
        <x:v>Giãn dòng</x:v>
      </x:c>
      <x:c r="G38" s="295" t="str">
        <x:v>NUMBER</x:v>
      </x:c>
      <x:c r="H38" s="295" t="str">
        <x:v>lines</x:v>
      </x:c>
      <x:c r="I38" s="295" t="str">
        <x:v>CHƯA XÁC MINH RIÊNG</x:v>
      </x:c>
      <x:c r="J38" s="295" t="str">
        <x:v>Không suy ra giới hạn pháp lý</x:v>
      </x:c>
      <x:c r="K38" s="295" t="str">
        <x:v>SINGLE</x:v>
      </x:c>
      <x:c r="L38" s="295" t="str">
        <x:v>PROFILE_CHO_RAO_SOAT</x:v>
      </x:c>
      <x:c r="M38" s="295" t="str">
        <x:v>CHUA_DOI_CHIEU_CU_THE</x:v>
      </x:c>
      <x:c r="N38" s="295" t="str">
        <x:v>Chỉ khi có văn bản liên cơ quan; kiểm tra thứ tự và tên các chủ thể</x:v>
      </x:c>
      <x:c r="O38" s="295" t="str">
        <x:v>Quy định gốc &gt; profile; khi chưa rõ điều kiện thì giữ nguyên; không sinh nội dung.</x:v>
      </x:c>
      <x:c r="P38" s="295" t="str">
        <x:v>PARAGRAPH / RUN / SHAPE tùy thuộc tính</x:v>
      </x:c>
      <x:c r="Q38" s="295" t="str">
        <x:v>Xác định đúng khối Tên tổ chức, cơ quan liên cơ quan; đọc giá trị thực; đối chiếu điều kiện; không sửa nội dung khi thiếu nguồn.</x:v>
      </x:c>
      <x:c r="R38" s="295" t="str">
        <x:v>Chưa có locator xác minh riêng</x:v>
      </x:c>
      <x:c r="S38" s="295" t="str">
        <x:v>https://tulieuvankien.dangcongsan.vn/upload/2006988/20260529/HD_05_VPTW_e1550.pdf</x:v>
      </x:c>
      <x:c r="T38" s="295" t="str">
        <x:v>CÓ</x:v>
      </x:c>
      <x:c r="U38" s="295" t="str">
        <x:v>CHECK_ONLY</x:v>
      </x:c>
      <x:c r="V38" s="295" t="str">
        <x:v>Giãn dòng phần đầu không được tự đồng nhất với thân bài.</x:v>
      </x:c>
    </x:row>
    <x:row r="39" ht="28" customHeight="1">
      <x:c r="A39" s="295" t="n">
        <x:v>34</x:v>
      </x:c>
      <x:c r="B39" s="295" t="str">
        <x:v>HD05.D.CQ.LIEN_CO_QUAN.TEN_NHIEU_CO_QUAN</x:v>
      </x:c>
      <x:c r="C39" s="295" t="str">
        <x:v>HD05.D.CQ.LIEN_CO_QUAN</x:v>
      </x:c>
      <x:c r="D39" s="295" t="str">
        <x:v>Cơ quan ban hành</x:v>
      </x:c>
      <x:c r="E39" s="295" t="str">
        <x:v>Tên tổ chức, cơ quan liên cơ quan</x:v>
      </x:c>
      <x:c r="F39" s="295" t="str">
        <x:v>Tên các cơ quan liên kết</x:v>
      </x:c>
      <x:c r="G39" s="295" t="str">
        <x:v>TEXT</x:v>
      </x:c>
      <x:c r="H39" s="295"/>
      <x:c r="I39" s="295" t="str">
        <x:v>CHƯA XÁC MINH RIÊNG</x:v>
      </x:c>
      <x:c r="J39" s="295" t="str">
        <x:v>Không suy ra giới hạn pháp lý</x:v>
      </x:c>
      <x:c r="K39" s="295"/>
      <x:c r="L39" s="295" t="str">
        <x:v>KHONG_AP_DUNG_HOAC_CHUA_DU_GIA_TRI</x:v>
      </x:c>
      <x:c r="M39" s="295" t="str">
        <x:v>CHUA_DOI_CHIEU_CU_THE</x:v>
      </x:c>
      <x:c r="N39" s="295" t="str">
        <x:v>Chỉ khi có văn bản liên cơ quan; kiểm tra thứ tự và tên các chủ thể</x:v>
      </x:c>
      <x:c r="O39" s="295" t="str">
        <x:v>Quy định gốc &gt; profile; khi chưa rõ điều kiện thì giữ nguyên; không sinh nội dung.</x:v>
      </x:c>
      <x:c r="P39" s="295" t="str">
        <x:v>PARAGRAPH / RUN / SHAPE tùy thuộc tính</x:v>
      </x:c>
      <x:c r="Q39" s="295" t="str">
        <x:v>Xác định đúng khối Tên tổ chức, cơ quan liên cơ quan; đọc giá trị thực; đối chiếu điều kiện; không sửa nội dung khi thiếu nguồn.</x:v>
      </x:c>
      <x:c r="R39" s="295" t="str">
        <x:v>Chưa có locator xác minh riêng</x:v>
      </x:c>
      <x:c r="S39" s="295" t="str">
        <x:v>https://tulieuvankien.dangcongsan.vn/upload/2006988/20260529/HD_05_VPTW_e1550.pdf</x:v>
      </x:c>
      <x:c r="T39" s="295" t="str">
        <x:v>CÓ</x:v>
      </x:c>
      <x:c r="U39" s="295" t="str">
        <x:v>CHECK_ONLY</x:v>
      </x:c>
      <x:c r="V39" s="295" t="str">
        <x:v>Chỉ phát sinh khi đồng ban hành</x:v>
      </x:c>
    </x:row>
    <x:row r="40" ht="28" customHeight="1">
      <x:c r="A40" s="295" t="n">
        <x:v>35</x:v>
      </x:c>
      <x:c r="B40" s="295" t="str">
        <x:v>HD05.D.CQ.DAI_HOI.HIEN_DIEN</x:v>
      </x:c>
      <x:c r="C40" s="295" t="str">
        <x:v>HD05.D.CQ.DAI_HOI</x:v>
      </x:c>
      <x:c r="D40" s="295" t="str">
        <x:v>Cơ quan ban hành</x:v>
      </x:c>
      <x:c r="E40" s="295" t="str">
        <x:v>Tên đại hội hoặc cơ quan thuộc đại hội</x:v>
      </x:c>
      <x:c r="F40" s="295" t="str">
        <x:v>Điều kiện hiện diện</x:v>
      </x:c>
      <x:c r="G40" s="295" t="str">
        <x:v>TEXT</x:v>
      </x:c>
      <x:c r="H40" s="295"/>
      <x:c r="I40" s="295" t="str">
        <x:v>CHƯA XÁC MINH RIÊNG</x:v>
      </x:c>
      <x:c r="J40" s="295" t="str">
        <x:v>Không suy ra giới hạn pháp lý</x:v>
      </x:c>
      <x:c r="K40" s="295" t="str">
        <x:v>Theo chức năng trường và phạm vi chế độ đã xác định; không suy diễn khi thiếu căn cứ</x:v>
      </x:c>
      <x:c r="L40" s="295" t="str">
        <x:v>CHUA_DUYET_DINH_TUYEN</x:v>
      </x:c>
      <x:c r="M40" s="295" t="str">
        <x:v>CHUA_DOI_CHIEU_CU_THE</x:v>
      </x:c>
      <x:c r="N40" s="295" t="str">
        <x:v>Theo chức năng trường và phạm vi chế độ đã xác định; không suy diễn khi thiếu căn cứ</x:v>
      </x:c>
      <x:c r="O40" s="295" t="str">
        <x:v>Quy định gốc &gt; profile; khi chưa rõ điều kiện thì giữ nguyên; không sinh nội dung.</x:v>
      </x:c>
      <x:c r="P40" s="295" t="str">
        <x:v>PARAGRAPH / RUN / SHAPE tùy thuộc tính</x:v>
      </x:c>
      <x:c r="Q40" s="295" t="str">
        <x:v>Xác định đúng khối Tên đại hội hoặc cơ quan thuộc đại hội; đọc giá trị thực; đối chiếu điều kiện; không sửa nội dung khi thiếu nguồn.</x:v>
      </x:c>
      <x:c r="R40" s="295" t="str">
        <x:v>Chưa có locator xác minh riêng</x:v>
      </x:c>
      <x:c r="S40" s="295" t="str">
        <x:v>https://tulieuvankien.dangcongsan.vn/upload/2006988/20260529/HD_05_VPTW_e1550.pdf</x:v>
      </x:c>
      <x:c r="T40" s="295" t="str">
        <x:v>CÓ</x:v>
      </x:c>
      <x:c r="U40" s="295" t="str">
        <x:v>CHECK_ONLY</x:v>
      </x:c>
      <x:c r="V40" s="295" t="str">
        <x:v>Phải nhận diện chế độ và chủ thể trước khi áp dụng</x:v>
      </x:c>
    </x:row>
    <x:row r="41" ht="28" customHeight="1">
      <x:c r="A41" s="295" t="n">
        <x:v>36</x:v>
      </x:c>
      <x:c r="B41" s="295" t="str">
        <x:v>HD05.D.CQ.DAI_HOI.PHONG_CHU</x:v>
      </x:c>
      <x:c r="C41" s="295" t="str">
        <x:v>HD05.D.CQ.DAI_HOI</x:v>
      </x:c>
      <x:c r="D41" s="295" t="str">
        <x:v>Cơ quan ban hành</x:v>
      </x:c>
      <x:c r="E41" s="295" t="str">
        <x:v>Tên đại hội hoặc cơ quan thuộc đại hội</x:v>
      </x:c>
      <x:c r="F41" s="295" t="str">
        <x:v>Font chữ</x:v>
      </x:c>
      <x:c r="G41" s="295" t="str">
        <x:v>STRING</x:v>
      </x:c>
      <x:c r="H41" s="295"/>
      <x:c r="I41" s="295" t="str">
        <x:v>Times New Roman</x:v>
      </x:c>
      <x:c r="J41" s="295" t="str">
        <x:v>Đúng giá trị/giới hạn riêng</x:v>
      </x:c>
      <x:c r="K41" s="295" t="str">
        <x:v>Times New Roman</x:v>
      </x:c>
      <x:c r="L41" s="295" t="str">
        <x:v>PROFILE_CO_GIA_TRI_CHUA_DUYET</x:v>
      </x:c>
      <x:c r="M41" s="295" t="str">
        <x:v>DOI_CHIEU_CU_THE</x:v>
      </x:c>
      <x:c r="N41" s="295" t="str">
        <x:v>Theo chức năng trường và phạm vi chế độ đã xác định; không suy diễn khi thiếu căn cứ</x:v>
      </x:c>
      <x:c r="O41" s="295" t="str">
        <x:v>Quy định gốc &gt; profile; khi chưa rõ điều kiện thì giữ nguyên; không sinh nội dung.</x:v>
      </x:c>
      <x:c r="P41" s="295" t="str">
        <x:v>PARAGRAPH / RUN / SHAPE tùy thuộc tính</x:v>
      </x:c>
      <x:c r="Q41" s="295" t="str">
        <x:v>Xác định đúng khối Tên đại hội hoặc cơ quan thuộc đại hội; đọc giá trị thực; đối chiếu điều kiện; không sửa nội dung khi thiếu nguồn.</x:v>
      </x:c>
      <x:c r="R41" s="295" t="str">
        <x:v>Phần II, IV.1</x:v>
      </x:c>
      <x:c r="S41" s="295" t="str">
        <x:v>https://tulieuvankien.dangcongsan.vn/upload/2006988/20260529/HD_05_VPTW_e1550.pdf</x:v>
      </x:c>
      <x:c r="T41" s="295" t="str">
        <x:v>CÓ</x:v>
      </x:c>
      <x:c r="U41" s="295" t="str">
        <x:v>CHECK_ONLY</x:v>
      </x:c>
      <x:c r="V41" s="295" t="str"/>
    </x:row>
    <x:row r="42" ht="28" customHeight="1">
      <x:c r="A42" s="295" t="n">
        <x:v>37</x:v>
      </x:c>
      <x:c r="B42" s="295" t="str">
        <x:v>HD05.D.CQ.DAI_HOI.CO_CHU</x:v>
      </x:c>
      <x:c r="C42" s="295" t="str">
        <x:v>HD05.D.CQ.DAI_HOI</x:v>
      </x:c>
      <x:c r="D42" s="295" t="str">
        <x:v>Cơ quan ban hành</x:v>
      </x:c>
      <x:c r="E42" s="295" t="str">
        <x:v>Tên đại hội hoặc cơ quan thuộc đại hội</x:v>
      </x:c>
      <x:c r="F42" s="295" t="str">
        <x:v>Cỡ chữ</x:v>
      </x:c>
      <x:c r="G42" s="295" t="str">
        <x:v>NUMBER_OR_RANGE</x:v>
      </x:c>
      <x:c r="H42" s="295" t="str">
        <x:v>pt</x:v>
      </x:c>
      <x:c r="I42" s="295" t="str">
        <x:v>CHƯA XÁC MINH RIÊNG</x:v>
      </x:c>
      <x:c r="J42" s="295" t="str">
        <x:v>Không suy ra giới hạn pháp lý</x:v>
      </x:c>
      <x:c r="K42" s="295" t="n">
        <x:v>14</x:v>
      </x:c>
      <x:c r="L42" s="295" t="str">
        <x:v>PROFILE_CO_GIA_TRI_CHUA_DUYET</x:v>
      </x:c>
      <x:c r="M42" s="295" t="str">
        <x:v>CHUA_DOI_CHIEU_CU_THE</x:v>
      </x:c>
      <x:c r="N42" s="295" t="str">
        <x:v>Theo chức năng trường và phạm vi chế độ đã xác định; không suy diễn khi thiếu căn cứ</x:v>
      </x:c>
      <x:c r="O42" s="295" t="str">
        <x:v>Quy định gốc &gt; profile; khi chưa rõ điều kiện thì giữ nguyên; không sinh nội dung.</x:v>
      </x:c>
      <x:c r="P42" s="295" t="str">
        <x:v>PARAGRAPH / RUN / SHAPE tùy thuộc tính</x:v>
      </x:c>
      <x:c r="Q42" s="295" t="str">
        <x:v>Xác định đúng khối Tên đại hội hoặc cơ quan thuộc đại hội; đọc giá trị thực; đối chiếu điều kiện; không sửa nội dung khi thiếu nguồn.</x:v>
      </x:c>
      <x:c r="R42" s="295" t="str">
        <x:v>Chưa có locator xác minh riêng</x:v>
      </x:c>
      <x:c r="S42" s="295" t="str">
        <x:v>https://tulieuvankien.dangcongsan.vn/upload/2006988/20260529/HD_05_VPTW_e1550.pdf</x:v>
      </x:c>
      <x:c r="T42" s="295" t="str">
        <x:v>CÓ</x:v>
      </x:c>
      <x:c r="U42" s="295" t="str">
        <x:v>CHECK_ONLY</x:v>
      </x:c>
      <x:c r="V42" s="295" t="str"/>
    </x:row>
    <x:row r="43" ht="28" customHeight="1">
      <x:c r="A43" s="295" t="n">
        <x:v>38</x:v>
      </x:c>
      <x:c r="B43" s="295" t="str">
        <x:v>HD05.D.CQ.DAI_HOI.DAM</x:v>
      </x:c>
      <x:c r="C43" s="295" t="str">
        <x:v>HD05.D.CQ.DAI_HOI</x:v>
      </x:c>
      <x:c r="D43" s="295" t="str">
        <x:v>Cơ quan ban hành</x:v>
      </x:c>
      <x:c r="E43" s="295" t="str">
        <x:v>Tên đại hội hoặc cơ quan thuộc đại hội</x:v>
      </x:c>
      <x:c r="F43" s="295" t="str">
        <x:v>In đậm</x:v>
      </x:c>
      <x:c r="G43" s="295" t="str">
        <x:v>BOOLEAN</x:v>
      </x:c>
      <x:c r="H43" s="295"/>
      <x:c r="I43" s="295" t="str">
        <x:v>CHƯA XÁC MINH RIÊNG</x:v>
      </x:c>
      <x:c r="J43" s="295" t="str">
        <x:v>Không suy ra giới hạn pháp lý</x:v>
      </x:c>
      <x:c r="K43" s="296" t="b">
        <x:v>0</x:v>
      </x:c>
      <x:c r="L43" s="295" t="str">
        <x:v>PROFILE_CO_GIA_TRI_CHUA_DUYET</x:v>
      </x:c>
      <x:c r="M43" s="295" t="str">
        <x:v>CHUA_DOI_CHIEU_CU_THE</x:v>
      </x:c>
      <x:c r="N43" s="295" t="str">
        <x:v>Theo chức năng trường và phạm vi chế độ đã xác định; không suy diễn khi thiếu căn cứ</x:v>
      </x:c>
      <x:c r="O43" s="295" t="str">
        <x:v>Quy định gốc &gt; profile; khi chưa rõ điều kiện thì giữ nguyên; không sinh nội dung.</x:v>
      </x:c>
      <x:c r="P43" s="295" t="str">
        <x:v>PARAGRAPH / RUN / SHAPE tùy thuộc tính</x:v>
      </x:c>
      <x:c r="Q43" s="295" t="str">
        <x:v>Xác định đúng khối Tên đại hội hoặc cơ quan thuộc đại hội; đọc giá trị thực; đối chiếu điều kiện; không sửa nội dung khi thiếu nguồn.</x:v>
      </x:c>
      <x:c r="R43" s="295" t="str">
        <x:v>Chưa có locator xác minh riêng</x:v>
      </x:c>
      <x:c r="S43" s="295" t="str">
        <x:v>https://tulieuvankien.dangcongsan.vn/upload/2006988/20260529/HD_05_VPTW_e1550.pdf</x:v>
      </x:c>
      <x:c r="T43" s="295" t="str">
        <x:v>CÓ</x:v>
      </x:c>
      <x:c r="U43" s="295" t="str">
        <x:v>CHECK_ONLY</x:v>
      </x:c>
      <x:c r="V43" s="295" t="str"/>
    </x:row>
    <x:row r="44" ht="28" customHeight="1">
      <x:c r="A44" s="295" t="n">
        <x:v>39</x:v>
      </x:c>
      <x:c r="B44" s="295" t="str">
        <x:v>HD05.D.CQ.DAI_HOI.NGHIENG</x:v>
      </x:c>
      <x:c r="C44" s="295" t="str">
        <x:v>HD05.D.CQ.DAI_HOI</x:v>
      </x:c>
      <x:c r="D44" s="295" t="str">
        <x:v>Cơ quan ban hành</x:v>
      </x:c>
      <x:c r="E44" s="295" t="str">
        <x:v>Tên đại hội hoặc cơ quan thuộc đại hội</x:v>
      </x:c>
      <x:c r="F44" s="295" t="str">
        <x:v>In nghiêng</x:v>
      </x:c>
      <x:c r="G44" s="295" t="str">
        <x:v>BOOLEAN</x:v>
      </x:c>
      <x:c r="H44" s="295"/>
      <x:c r="I44" s="295" t="str">
        <x:v>CHƯA XÁC MINH RIÊNG</x:v>
      </x:c>
      <x:c r="J44" s="295" t="str">
        <x:v>Không suy ra giới hạn pháp lý</x:v>
      </x:c>
      <x:c r="K44" s="296" t="b">
        <x:v>0</x:v>
      </x:c>
      <x:c r="L44" s="295" t="str">
        <x:v>PROFILE_CO_GIA_TRI_CHUA_DUYET</x:v>
      </x:c>
      <x:c r="M44" s="295" t="str">
        <x:v>CHUA_DOI_CHIEU_CU_THE</x:v>
      </x:c>
      <x:c r="N44" s="295" t="str">
        <x:v>Theo chức năng trường và phạm vi chế độ đã xác định; không suy diễn khi thiếu căn cứ</x:v>
      </x:c>
      <x:c r="O44" s="295" t="str">
        <x:v>Quy định gốc &gt; profile; khi chưa rõ điều kiện thì giữ nguyên; không sinh nội dung.</x:v>
      </x:c>
      <x:c r="P44" s="295" t="str">
        <x:v>PARAGRAPH / RUN / SHAPE tùy thuộc tính</x:v>
      </x:c>
      <x:c r="Q44" s="295" t="str">
        <x:v>Xác định đúng khối Tên đại hội hoặc cơ quan thuộc đại hội; đọc giá trị thực; đối chiếu điều kiện; không sửa nội dung khi thiếu nguồn.</x:v>
      </x:c>
      <x:c r="R44" s="295" t="str">
        <x:v>Chưa có locator xác minh riêng</x:v>
      </x:c>
      <x:c r="S44" s="295" t="str">
        <x:v>https://tulieuvankien.dangcongsan.vn/upload/2006988/20260529/HD_05_VPTW_e1550.pdf</x:v>
      </x:c>
      <x:c r="T44" s="295" t="str">
        <x:v>CÓ</x:v>
      </x:c>
      <x:c r="U44" s="295" t="str">
        <x:v>CHECK_ONLY</x:v>
      </x:c>
      <x:c r="V44" s="295" t="str"/>
    </x:row>
    <x:row r="45" ht="28" customHeight="1">
      <x:c r="A45" s="295" t="n">
        <x:v>40</x:v>
      </x:c>
      <x:c r="B45" s="295" t="str">
        <x:v>HD05.D.CQ.DAI_HOI.KIEU_CHU</x:v>
      </x:c>
      <x:c r="C45" s="295" t="str">
        <x:v>HD05.D.CQ.DAI_HOI</x:v>
      </x:c>
      <x:c r="D45" s="295" t="str">
        <x:v>Cơ quan ban hành</x:v>
      </x:c>
      <x:c r="E45" s="295" t="str">
        <x:v>Tên đại hội hoặc cơ quan thuộc đại hội</x:v>
      </x:c>
      <x:c r="F45" s="295" t="str">
        <x:v>Kiểu viết hoa/thường</x:v>
      </x:c>
      <x:c r="G45" s="295" t="str">
        <x:v>ENUM</x:v>
      </x:c>
      <x:c r="H45" s="295"/>
      <x:c r="I45" s="295" t="str">
        <x:v>CHƯA XÁC MINH RIÊNG</x:v>
      </x:c>
      <x:c r="J45" s="295" t="str">
        <x:v>Không suy ra giới hạn pháp lý</x:v>
      </x:c>
      <x:c r="K45" s="295" t="str">
        <x:v>In hoa</x:v>
      </x:c>
      <x:c r="L45" s="295" t="str">
        <x:v>PROFILE_CHO_XAC_MINH_PHAP_NHAN</x:v>
      </x:c>
      <x:c r="M45" s="295" t="str">
        <x:v>CHUA_DOI_CHIEU_CU_THE</x:v>
      </x:c>
      <x:c r="N45" s="295" t="str">
        <x:v>Theo chức năng trường và phạm vi chế độ đã xác định; không suy diễn khi thiếu căn cứ</x:v>
      </x:c>
      <x:c r="O45" s="295" t="str">
        <x:v>Quy định gốc &gt; profile; khi chưa rõ điều kiện thì giữ nguyên; không sinh nội dung.</x:v>
      </x:c>
      <x:c r="P45" s="295" t="str">
        <x:v>PARAGRAPH / RUN / SHAPE tùy thuộc tính</x:v>
      </x:c>
      <x:c r="Q45" s="295" t="str">
        <x:v>Xác định đúng khối Tên đại hội hoặc cơ quan thuộc đại hội; đọc giá trị thực; đối chiếu điều kiện; không sửa nội dung khi thiếu nguồn.</x:v>
      </x:c>
      <x:c r="R45" s="295" t="str">
        <x:v>Chưa có locator xác minh riêng</x:v>
      </x:c>
      <x:c r="S45" s="295" t="str">
        <x:v>https://tulieuvankien.dangcongsan.vn/upload/2006988/20260529/HD_05_VPTW_e1550.pdf</x:v>
      </x:c>
      <x:c r="T45" s="295" t="str">
        <x:v>CÓ</x:v>
      </x:c>
      <x:c r="U45" s="295" t="str">
        <x:v>CHECK_ONLY</x:v>
      </x:c>
      <x:c r="V45" s="295" t="str"/>
    </x:row>
    <x:row r="46" ht="28" customHeight="1">
      <x:c r="A46" s="295" t="n">
        <x:v>41</x:v>
      </x:c>
      <x:c r="B46" s="295" t="str">
        <x:v>HD05.D.CQ.DAI_HOI.CAN_NGANG</x:v>
      </x:c>
      <x:c r="C46" s="295" t="str">
        <x:v>HD05.D.CQ.DAI_HOI</x:v>
      </x:c>
      <x:c r="D46" s="295" t="str">
        <x:v>Cơ quan ban hành</x:v>
      </x:c>
      <x:c r="E46" s="295" t="str">
        <x:v>Tên đại hội hoặc cơ quan thuộc đại hội</x:v>
      </x:c>
      <x:c r="F46" s="295" t="str">
        <x:v>Căn ngang</x:v>
      </x:c>
      <x:c r="G46" s="295" t="str">
        <x:v>ENUM</x:v>
      </x:c>
      <x:c r="H46" s="295"/>
      <x:c r="I46" s="295" t="str">
        <x:v>CHƯA XÁC MINH RIÊNG</x:v>
      </x:c>
      <x:c r="J46" s="295" t="str">
        <x:v>Không suy ra giới hạn pháp lý</x:v>
      </x:c>
      <x:c r="K46" s="295" t="str">
        <x:v>CENTER</x:v>
      </x:c>
      <x:c r="L46" s="295" t="str">
        <x:v>PROFILE_CO_GIA_TRI_CHUA_DUYET</x:v>
      </x:c>
      <x:c r="M46" s="295" t="str">
        <x:v>CHUA_DOI_CHIEU_CU_THE</x:v>
      </x:c>
      <x:c r="N46" s="295" t="str">
        <x:v>Theo chức năng trường và phạm vi chế độ đã xác định; không suy diễn khi thiếu căn cứ</x:v>
      </x:c>
      <x:c r="O46" s="295" t="str">
        <x:v>Quy định gốc &gt; profile; khi chưa rõ điều kiện thì giữ nguyên; không sinh nội dung.</x:v>
      </x:c>
      <x:c r="P46" s="295" t="str">
        <x:v>PARAGRAPH / RUN / SHAPE tùy thuộc tính</x:v>
      </x:c>
      <x:c r="Q46" s="295" t="str">
        <x:v>Xác định đúng khối Tên đại hội hoặc cơ quan thuộc đại hội; đọc giá trị thực; đối chiếu điều kiện; không sửa nội dung khi thiếu nguồn.</x:v>
      </x:c>
      <x:c r="R46" s="295" t="str">
        <x:v>Chưa có locator xác minh riêng</x:v>
      </x:c>
      <x:c r="S46" s="295" t="str">
        <x:v>https://tulieuvankien.dangcongsan.vn/upload/2006988/20260529/HD_05_VPTW_e1550.pdf</x:v>
      </x:c>
      <x:c r="T46" s="295" t="str">
        <x:v>CÓ</x:v>
      </x:c>
      <x:c r="U46" s="295" t="str">
        <x:v>CHECK_ONLY</x:v>
      </x:c>
      <x:c r="V46" s="295" t="str"/>
    </x:row>
    <x:row r="47" ht="28" customHeight="1">
      <x:c r="A47" s="295" t="n">
        <x:v>42</x:v>
      </x:c>
      <x:c r="B47" s="295" t="str">
        <x:v>HD05.D.CQ.DAI_HOI.CACH_SAU</x:v>
      </x:c>
      <x:c r="C47" s="295" t="str">
        <x:v>HD05.D.CQ.DAI_HOI</x:v>
      </x:c>
      <x:c r="D47" s="295" t="str">
        <x:v>Cơ quan ban hành</x:v>
      </x:c>
      <x:c r="E47" s="295" t="str">
        <x:v>Tên đại hội hoặc cơ quan thuộc đại hội</x:v>
      </x:c>
      <x:c r="F47" s="295" t="str">
        <x:v>Khoảng cách sau đoạn</x:v>
      </x:c>
      <x:c r="G47" s="295" t="str">
        <x:v>NUMBER</x:v>
      </x:c>
      <x:c r="H47" s="295" t="str">
        <x:v>pt</x:v>
      </x:c>
      <x:c r="I47" s="295" t="str">
        <x:v>CHƯA XÁC MINH RIÊNG</x:v>
      </x:c>
      <x:c r="J47" s="295" t="str">
        <x:v>Không suy ra giới hạn pháp lý</x:v>
      </x:c>
      <x:c r="K47" s="295" t="n">
        <x:v>0</x:v>
      </x:c>
      <x:c r="L47" s="295" t="str">
        <x:v>PROFILE_CHO_RAO_SOAT</x:v>
      </x:c>
      <x:c r="M47" s="295" t="str">
        <x:v>CHUA_DOI_CHIEU_CU_THE</x:v>
      </x:c>
      <x:c r="N47" s="295" t="str">
        <x:v>Theo chức năng trường và phạm vi chế độ đã xác định; không suy diễn khi thiếu căn cứ</x:v>
      </x:c>
      <x:c r="O47" s="295" t="str">
        <x:v>Quy định gốc &gt; profile; khi chưa rõ điều kiện thì giữ nguyên; không sinh nội dung.</x:v>
      </x:c>
      <x:c r="P47" s="295" t="str">
        <x:v>PARAGRAPH / RUN / SHAPE tùy thuộc tính</x:v>
      </x:c>
      <x:c r="Q47" s="295" t="str">
        <x:v>Xác định đúng khối Tên đại hội hoặc cơ quan thuộc đại hội; đọc giá trị thực; đối chiếu điều kiện; không sửa nội dung khi thiếu nguồn.</x:v>
      </x:c>
      <x:c r="R47" s="295" t="str">
        <x:v>Chưa có locator xác minh riêng</x:v>
      </x:c>
      <x:c r="S47" s="295" t="str">
        <x:v>https://tulieuvankien.dangcongsan.vn/upload/2006988/20260529/HD_05_VPTW_e1550.pdf</x:v>
      </x:c>
      <x:c r="T47" s="295" t="str">
        <x:v>CÓ</x:v>
      </x:c>
      <x:c r="U47" s="295" t="str">
        <x:v>CHECK_ONLY</x:v>
      </x:c>
      <x:c r="V47" s="295" t="str">
        <x:v>Không tự chèn đoạn trắng</x:v>
      </x:c>
    </x:row>
    <x:row r="48" ht="28" customHeight="1">
      <x:c r="A48" s="295" t="n">
        <x:v>43</x:v>
      </x:c>
      <x:c r="B48" s="295" t="str">
        <x:v>HD05.D.CQ.DAI_HOI.GIAN_DONG</x:v>
      </x:c>
      <x:c r="C48" s="295" t="str">
        <x:v>HD05.D.CQ.DAI_HOI</x:v>
      </x:c>
      <x:c r="D48" s="295" t="str">
        <x:v>Cơ quan ban hành</x:v>
      </x:c>
      <x:c r="E48" s="295" t="str">
        <x:v>Tên đại hội hoặc cơ quan thuộc đại hội</x:v>
      </x:c>
      <x:c r="F48" s="295" t="str">
        <x:v>Giãn dòng</x:v>
      </x:c>
      <x:c r="G48" s="295" t="str">
        <x:v>NUMBER</x:v>
      </x:c>
      <x:c r="H48" s="295" t="str">
        <x:v>lines</x:v>
      </x:c>
      <x:c r="I48" s="295" t="str">
        <x:v>CHƯA XÁC MINH RIÊNG</x:v>
      </x:c>
      <x:c r="J48" s="295" t="str">
        <x:v>Không suy ra giới hạn pháp lý</x:v>
      </x:c>
      <x:c r="K48" s="295" t="str">
        <x:v>SINGLE</x:v>
      </x:c>
      <x:c r="L48" s="295" t="str">
        <x:v>PROFILE_CHO_RAO_SOAT</x:v>
      </x:c>
      <x:c r="M48" s="295" t="str">
        <x:v>CHUA_DOI_CHIEU_CU_THE</x:v>
      </x:c>
      <x:c r="N48" s="295" t="str">
        <x:v>Theo chức năng trường và phạm vi chế độ đã xác định; không suy diễn khi thiếu căn cứ</x:v>
      </x:c>
      <x:c r="O48" s="295" t="str">
        <x:v>Quy định gốc &gt; profile; khi chưa rõ điều kiện thì giữ nguyên; không sinh nội dung.</x:v>
      </x:c>
      <x:c r="P48" s="295" t="str">
        <x:v>PARAGRAPH / RUN / SHAPE tùy thuộc tính</x:v>
      </x:c>
      <x:c r="Q48" s="295" t="str">
        <x:v>Xác định đúng khối Tên đại hội hoặc cơ quan thuộc đại hội; đọc giá trị thực; đối chiếu điều kiện; không sửa nội dung khi thiếu nguồn.</x:v>
      </x:c>
      <x:c r="R48" s="295" t="str">
        <x:v>Chưa có locator xác minh riêng</x:v>
      </x:c>
      <x:c r="S48" s="295" t="str">
        <x:v>https://tulieuvankien.dangcongsan.vn/upload/2006988/20260529/HD_05_VPTW_e1550.pdf</x:v>
      </x:c>
      <x:c r="T48" s="295" t="str">
        <x:v>CÓ</x:v>
      </x:c>
      <x:c r="U48" s="295" t="str">
        <x:v>CHECK_ONLY</x:v>
      </x:c>
      <x:c r="V48" s="295" t="str">
        <x:v>Giãn dòng phần đầu không được tự đồng nhất với thân bài.</x:v>
      </x:c>
    </x:row>
    <x:row r="49" ht="28" customHeight="1">
      <x:c r="A49" s="295" t="n">
        <x:v>44</x:v>
      </x:c>
      <x:c r="B49" s="295" t="str">
        <x:v>HD05.D.CQ.DAI_HOI.TEN_NHIEU_CO_QUAN</x:v>
      </x:c>
      <x:c r="C49" s="295" t="str">
        <x:v>HD05.D.CQ.DAI_HOI</x:v>
      </x:c>
      <x:c r="D49" s="295" t="str">
        <x:v>Cơ quan ban hành</x:v>
      </x:c>
      <x:c r="E49" s="295" t="str">
        <x:v>Tên đại hội hoặc cơ quan thuộc đại hội</x:v>
      </x:c>
      <x:c r="F49" s="295" t="str">
        <x:v>Tên các cơ quan liên kết</x:v>
      </x:c>
      <x:c r="G49" s="295" t="str">
        <x:v>TEXT</x:v>
      </x:c>
      <x:c r="H49" s="295"/>
      <x:c r="I49" s="295" t="str">
        <x:v>CHƯA XÁC MINH RIÊNG</x:v>
      </x:c>
      <x:c r="J49" s="295" t="str">
        <x:v>Không suy ra giới hạn pháp lý</x:v>
      </x:c>
      <x:c r="K49" s="295"/>
      <x:c r="L49" s="295" t="str">
        <x:v>KHONG_AP_DUNG_HOAC_CHUA_DU_GIA_TRI</x:v>
      </x:c>
      <x:c r="M49" s="295" t="str">
        <x:v>CHUA_DOI_CHIEU_CU_THE</x:v>
      </x:c>
      <x:c r="N49" s="295" t="str">
        <x:v>Theo chức năng trường và phạm vi chế độ đã xác định; không suy diễn khi thiếu căn cứ</x:v>
      </x:c>
      <x:c r="O49" s="295" t="str">
        <x:v>Quy định gốc &gt; profile; khi chưa rõ điều kiện thì giữ nguyên; không sinh nội dung.</x:v>
      </x:c>
      <x:c r="P49" s="295" t="str">
        <x:v>PARAGRAPH / RUN / SHAPE tùy thuộc tính</x:v>
      </x:c>
      <x:c r="Q49" s="295" t="str">
        <x:v>Xác định đúng khối Tên đại hội hoặc cơ quan thuộc đại hội; đọc giá trị thực; đối chiếu điều kiện; không sửa nội dung khi thiếu nguồn.</x:v>
      </x:c>
      <x:c r="R49" s="295" t="str">
        <x:v>Chưa có locator xác minh riêng</x:v>
      </x:c>
      <x:c r="S49" s="295" t="str">
        <x:v>https://tulieuvankien.dangcongsan.vn/upload/2006988/20260529/HD_05_VPTW_e1550.pdf</x:v>
      </x:c>
      <x:c r="T49" s="295" t="str">
        <x:v>CÓ</x:v>
      </x:c>
      <x:c r="U49" s="295" t="str">
        <x:v>CHECK_ONLY</x:v>
      </x:c>
      <x:c r="V49" s="295" t="str">
        <x:v>Chỉ phát sinh khi đồng ban hành</x:v>
      </x:c>
    </x:row>
    <x:row r="50" ht="28" customHeight="1">
      <x:c r="A50" s="295" t="n">
        <x:v>45</x:v>
      </x:c>
      <x:c r="B50" s="295" t="str">
        <x:v>HD05.D.TD.TIEU_DE_DANG.HIEN_DIEN</x:v>
      </x:c>
      <x:c r="C50" s="295" t="str">
        <x:v>HD05.D.TD.TIEU_DE_DANG</x:v>
      </x:c>
      <x:c r="D50" s="295" t="str">
        <x:v>Tiêu đề Đảng</x:v>
      </x:c>
      <x:c r="E50" s="295" t="str">
        <x:v>Dòng ĐẢNG CỘNG SẢN VIỆT NAM</x:v>
      </x:c>
      <x:c r="F50" s="295" t="str">
        <x:v>Điều kiện hiện diện</x:v>
      </x:c>
      <x:c r="G50" s="295" t="str">
        <x:v>TEXT</x:v>
      </x:c>
      <x:c r="H50" s="295"/>
      <x:c r="I50" s="295" t="str">
        <x:v>CHƯA XÁC MINH RIÊNG</x:v>
      </x:c>
      <x:c r="J50" s="295" t="str">
        <x:v>Không suy ra giới hạn pháp lý</x:v>
      </x:c>
      <x:c r="K50" s="295" t="str">
        <x:v>Chỉ HD05; không chèn Tiêu ngữ hành chính</x:v>
      </x:c>
      <x:c r="L50" s="295" t="str">
        <x:v>CHUA_DUYET_DINH_TUYEN</x:v>
      </x:c>
      <x:c r="M50" s="295" t="str">
        <x:v>CHUA_DOI_CHIEU_CU_THE</x:v>
      </x:c>
      <x:c r="N50" s="295" t="str">
        <x:v>Chỉ HD05; không chèn Tiêu ngữ hành chính</x:v>
      </x:c>
      <x:c r="O50" s="295" t="str">
        <x:v>Quy định gốc &gt; profile; khi chưa rõ điều kiện thì giữ nguyên; không sinh nội dung.</x:v>
      </x:c>
      <x:c r="P50" s="295" t="str">
        <x:v>PARAGRAPH / RUN / SHAPE tùy thuộc tính</x:v>
      </x:c>
      <x:c r="Q50" s="295" t="str">
        <x:v>Xác định đúng khối Dòng ĐẢNG CỘNG SẢN VIỆT NAM; đọc giá trị thực; đối chiếu điều kiện; không sửa nội dung khi thiếu nguồn.</x:v>
      </x:c>
      <x:c r="R50" s="295" t="str">
        <x:v>Chưa có locator xác minh riêng</x:v>
      </x:c>
      <x:c r="S50" s="295" t="str">
        <x:v>https://tulieuvankien.dangcongsan.vn/upload/2006988/20260529/HD_05_VPTW_e1550.pdf</x:v>
      </x:c>
      <x:c r="T50" s="295" t="str">
        <x:v>CÓ</x:v>
      </x:c>
      <x:c r="U50" s="295" t="str">
        <x:v>CHECK_ONLY</x:v>
      </x:c>
      <x:c r="V50" s="295" t="str">
        <x:v>Phải nhận diện chế độ và chủ thể trước khi áp dụng</x:v>
      </x:c>
    </x:row>
    <x:row r="51" ht="28" customHeight="1">
      <x:c r="A51" s="295" t="n">
        <x:v>46</x:v>
      </x:c>
      <x:c r="B51" s="295" t="str">
        <x:v>HD05.D.TD.TIEU_DE_DANG.PHONG_CHU</x:v>
      </x:c>
      <x:c r="C51" s="295" t="str">
        <x:v>HD05.D.TD.TIEU_DE_DANG</x:v>
      </x:c>
      <x:c r="D51" s="295" t="str">
        <x:v>Tiêu đề Đảng</x:v>
      </x:c>
      <x:c r="E51" s="295" t="str">
        <x:v>Dòng ĐẢNG CỘNG SẢN VIỆT NAM</x:v>
      </x:c>
      <x:c r="F51" s="295" t="str">
        <x:v>Font chữ</x:v>
      </x:c>
      <x:c r="G51" s="295" t="str">
        <x:v>STRING</x:v>
      </x:c>
      <x:c r="H51" s="295"/>
      <x:c r="I51" s="295" t="str">
        <x:v>Times New Roman</x:v>
      </x:c>
      <x:c r="J51" s="295" t="str">
        <x:v>Đúng giá trị/giới hạn riêng</x:v>
      </x:c>
      <x:c r="K51" s="295" t="str">
        <x:v>Times New Roman</x:v>
      </x:c>
      <x:c r="L51" s="295" t="str">
        <x:v>PROFILE_CO_GIA_TRI_CHUA_DUYET</x:v>
      </x:c>
      <x:c r="M51" s="295" t="str">
        <x:v>DOI_CHIEU_CU_THE</x:v>
      </x:c>
      <x:c r="N51" s="295" t="str">
        <x:v>Chỉ HD05; không chèn Tiêu ngữ hành chính</x:v>
      </x:c>
      <x:c r="O51" s="295" t="str">
        <x:v>Quy định gốc &gt; profile; khi chưa rõ điều kiện thì giữ nguyên; không sinh nội dung.</x:v>
      </x:c>
      <x:c r="P51" s="295" t="str">
        <x:v>PARAGRAPH / RUN / SHAPE tùy thuộc tính</x:v>
      </x:c>
      <x:c r="Q51" s="295" t="str">
        <x:v>Xác định đúng khối Dòng ĐẢNG CỘNG SẢN VIỆT NAM; đọc giá trị thực; đối chiếu điều kiện; không sửa nội dung khi thiếu nguồn.</x:v>
      </x:c>
      <x:c r="R51" s="295" t="str">
        <x:v>Phần II, IV.1</x:v>
      </x:c>
      <x:c r="S51" s="295" t="str">
        <x:v>https://tulieuvankien.dangcongsan.vn/upload/2006988/20260529/HD_05_VPTW_e1550.pdf</x:v>
      </x:c>
      <x:c r="T51" s="295" t="str">
        <x:v>CÓ</x:v>
      </x:c>
      <x:c r="U51" s="295" t="str">
        <x:v>CHECK_ONLY</x:v>
      </x:c>
      <x:c r="V51" s="295" t="str"/>
    </x:row>
    <x:row r="52" ht="28" customHeight="1">
      <x:c r="A52" s="295" t="n">
        <x:v>47</x:v>
      </x:c>
      <x:c r="B52" s="295" t="str">
        <x:v>HD05.D.TD.TIEU_DE_DANG.CO_CHU</x:v>
      </x:c>
      <x:c r="C52" s="295" t="str">
        <x:v>HD05.D.TD.TIEU_DE_DANG</x:v>
      </x:c>
      <x:c r="D52" s="295" t="str">
        <x:v>Tiêu đề Đảng</x:v>
      </x:c>
      <x:c r="E52" s="295" t="str">
        <x:v>Dòng ĐẢNG CỘNG SẢN VIỆT NAM</x:v>
      </x:c>
      <x:c r="F52" s="295" t="str">
        <x:v>Cỡ chữ</x:v>
      </x:c>
      <x:c r="G52" s="295" t="str">
        <x:v>NUMBER_OR_RANGE</x:v>
      </x:c>
      <x:c r="H52" s="295" t="str">
        <x:v>pt</x:v>
      </x:c>
      <x:c r="I52" s="295" t="str">
        <x:v>15</x:v>
      </x:c>
      <x:c r="J52" s="295" t="str">
        <x:v>Đúng giá trị/giới hạn riêng</x:v>
      </x:c>
      <x:c r="K52" s="295" t="n">
        <x:v>15</x:v>
      </x:c>
      <x:c r="L52" s="295" t="str">
        <x:v>PROFILE_CO_GIA_TRI_CHUA_DUYET</x:v>
      </x:c>
      <x:c r="M52" s="295" t="str">
        <x:v>DOI_CHIEU_CU_THE</x:v>
      </x:c>
      <x:c r="N52" s="295" t="str">
        <x:v>Chỉ HD05; không chèn Tiêu ngữ hành chính</x:v>
      </x:c>
      <x:c r="O52" s="295" t="str">
        <x:v>Quy định gốc &gt; profile; khi chưa rõ điều kiện thì giữ nguyên; không sinh nội dung.</x:v>
      </x:c>
      <x:c r="P52" s="295" t="str">
        <x:v>PARAGRAPH / RUN / SHAPE tùy thuộc tính</x:v>
      </x:c>
      <x:c r="Q52" s="295" t="str">
        <x:v>Xác định đúng khối Dòng ĐẢNG CỘNG SẢN VIỆT NAM; đọc giá trị thực; đối chiếu điều kiện; không sửa nội dung khi thiếu nguồn.</x:v>
      </x:c>
      <x:c r="R52" s="295" t="str">
        <x:v>Phần II, I.1; Phụ lục 2, TT1</x:v>
      </x:c>
      <x:c r="S52" s="295" t="str">
        <x:v>https://tulieuvankien.dangcongsan.vn/upload/2006988/20260529/HD_05_VPTW_e1550.pdf</x:v>
      </x:c>
      <x:c r="T52" s="295" t="str">
        <x:v>CÓ</x:v>
      </x:c>
      <x:c r="U52" s="295" t="str">
        <x:v>CHECK_ONLY</x:v>
      </x:c>
      <x:c r="V52" s="295" t="str"/>
    </x:row>
    <x:row r="53" ht="28" customHeight="1">
      <x:c r="A53" s="295" t="n">
        <x:v>48</x:v>
      </x:c>
      <x:c r="B53" s="295" t="str">
        <x:v>HD05.D.TD.TIEU_DE_DANG.DAM</x:v>
      </x:c>
      <x:c r="C53" s="295" t="str">
        <x:v>HD05.D.TD.TIEU_DE_DANG</x:v>
      </x:c>
      <x:c r="D53" s="295" t="str">
        <x:v>Tiêu đề Đảng</x:v>
      </x:c>
      <x:c r="E53" s="295" t="str">
        <x:v>Dòng ĐẢNG CỘNG SẢN VIỆT NAM</x:v>
      </x:c>
      <x:c r="F53" s="295" t="str">
        <x:v>In đậm</x:v>
      </x:c>
      <x:c r="G53" s="295" t="str">
        <x:v>BOOLEAN</x:v>
      </x:c>
      <x:c r="H53" s="295"/>
      <x:c r="I53" s="296" t="b">
        <x:v>1</x:v>
      </x:c>
      <x:c r="J53" s="295" t="str">
        <x:v>Đúng giá trị/giới hạn riêng</x:v>
      </x:c>
      <x:c r="K53" s="296" t="b">
        <x:v>1</x:v>
      </x:c>
      <x:c r="L53" s="295" t="str">
        <x:v>PROFILE_CO_GIA_TRI_CHUA_DUYET</x:v>
      </x:c>
      <x:c r="M53" s="295" t="str">
        <x:v>DOI_CHIEU_CU_THE</x:v>
      </x:c>
      <x:c r="N53" s="295" t="str">
        <x:v>Chỉ HD05; không chèn Tiêu ngữ hành chính</x:v>
      </x:c>
      <x:c r="O53" s="295" t="str">
        <x:v>Quy định gốc &gt; profile; khi chưa rõ điều kiện thì giữ nguyên; không sinh nội dung.</x:v>
      </x:c>
      <x:c r="P53" s="295" t="str">
        <x:v>PARAGRAPH / RUN / SHAPE tùy thuộc tính</x:v>
      </x:c>
      <x:c r="Q53" s="295" t="str">
        <x:v>Xác định đúng khối Dòng ĐẢNG CỘNG SẢN VIỆT NAM; đọc giá trị thực; đối chiếu điều kiện; không sửa nội dung khi thiếu nguồn.</x:v>
      </x:c>
      <x:c r="R53" s="295" t="str">
        <x:v>Phần II, I.1; Phụ lục 2, TT1</x:v>
      </x:c>
      <x:c r="S53" s="295" t="str">
        <x:v>https://tulieuvankien.dangcongsan.vn/upload/2006988/20260529/HD_05_VPTW_e1550.pdf</x:v>
      </x:c>
      <x:c r="T53" s="295" t="str">
        <x:v>CÓ</x:v>
      </x:c>
      <x:c r="U53" s="295" t="str">
        <x:v>CHECK_ONLY</x:v>
      </x:c>
      <x:c r="V53" s="295" t="str"/>
    </x:row>
    <x:row r="54" ht="28" customHeight="1">
      <x:c r="A54" s="295" t="n">
        <x:v>49</x:v>
      </x:c>
      <x:c r="B54" s="295" t="str">
        <x:v>HD05.D.TD.TIEU_DE_DANG.NGHIENG</x:v>
      </x:c>
      <x:c r="C54" s="295" t="str">
        <x:v>HD05.D.TD.TIEU_DE_DANG</x:v>
      </x:c>
      <x:c r="D54" s="295" t="str">
        <x:v>Tiêu đề Đảng</x:v>
      </x:c>
      <x:c r="E54" s="295" t="str">
        <x:v>Dòng ĐẢNG CỘNG SẢN VIỆT NAM</x:v>
      </x:c>
      <x:c r="F54" s="295" t="str">
        <x:v>In nghiêng</x:v>
      </x:c>
      <x:c r="G54" s="295" t="str">
        <x:v>BOOLEAN</x:v>
      </x:c>
      <x:c r="H54" s="295"/>
      <x:c r="I54" s="296" t="b">
        <x:v>0</x:v>
      </x:c>
      <x:c r="J54" s="295" t="str">
        <x:v>Đúng giá trị/giới hạn riêng</x:v>
      </x:c>
      <x:c r="K54" s="296" t="b">
        <x:v>0</x:v>
      </x:c>
      <x:c r="L54" s="295" t="str">
        <x:v>PROFILE_CO_GIA_TRI_CHUA_DUYET</x:v>
      </x:c>
      <x:c r="M54" s="295" t="str">
        <x:v>DOI_CHIEU_CU_THE</x:v>
      </x:c>
      <x:c r="N54" s="295" t="str">
        <x:v>Chỉ HD05; không chèn Tiêu ngữ hành chính</x:v>
      </x:c>
      <x:c r="O54" s="295" t="str">
        <x:v>Quy định gốc &gt; profile; khi chưa rõ điều kiện thì giữ nguyên; không sinh nội dung.</x:v>
      </x:c>
      <x:c r="P54" s="295" t="str">
        <x:v>PARAGRAPH / RUN / SHAPE tùy thuộc tính</x:v>
      </x:c>
      <x:c r="Q54" s="295" t="str">
        <x:v>Xác định đúng khối Dòng ĐẢNG CỘNG SẢN VIỆT NAM; đọc giá trị thực; đối chiếu điều kiện; không sửa nội dung khi thiếu nguồn.</x:v>
      </x:c>
      <x:c r="R54" s="295" t="str">
        <x:v>Phần II, I.1; Phụ lục 2, TT1</x:v>
      </x:c>
      <x:c r="S54" s="295" t="str">
        <x:v>https://tulieuvankien.dangcongsan.vn/upload/2006988/20260529/HD_05_VPTW_e1550.pdf</x:v>
      </x:c>
      <x:c r="T54" s="295" t="str">
        <x:v>CÓ</x:v>
      </x:c>
      <x:c r="U54" s="295" t="str">
        <x:v>CHECK_ONLY</x:v>
      </x:c>
      <x:c r="V54" s="295" t="str"/>
    </x:row>
    <x:row r="55" ht="28" customHeight="1">
      <x:c r="A55" s="295" t="n">
        <x:v>50</x:v>
      </x:c>
      <x:c r="B55" s="295" t="str">
        <x:v>HD05.D.TD.TIEU_DE_DANG.KIEU_CHU</x:v>
      </x:c>
      <x:c r="C55" s="295" t="str">
        <x:v>HD05.D.TD.TIEU_DE_DANG</x:v>
      </x:c>
      <x:c r="D55" s="295" t="str">
        <x:v>Tiêu đề Đảng</x:v>
      </x:c>
      <x:c r="E55" s="295" t="str">
        <x:v>Dòng ĐẢNG CỘNG SẢN VIỆT NAM</x:v>
      </x:c>
      <x:c r="F55" s="295" t="str">
        <x:v>Kiểu viết hoa/thường</x:v>
      </x:c>
      <x:c r="G55" s="295" t="str">
        <x:v>ENUM</x:v>
      </x:c>
      <x:c r="H55" s="295"/>
      <x:c r="I55" s="295" t="str">
        <x:v>IN HOA</x:v>
      </x:c>
      <x:c r="J55" s="295" t="str">
        <x:v>Đúng giá trị/giới hạn riêng</x:v>
      </x:c>
      <x:c r="K55" s="295" t="str">
        <x:v>IN HOA</x:v>
      </x:c>
      <x:c r="L55" s="295" t="str">
        <x:v>PROFILE_CO_GIA_TRI_CHUA_DUYET</x:v>
      </x:c>
      <x:c r="M55" s="295" t="str">
        <x:v>DOI_CHIEU_CU_THE</x:v>
      </x:c>
      <x:c r="N55" s="295" t="str">
        <x:v>Chỉ HD05; không chèn Tiêu ngữ hành chính</x:v>
      </x:c>
      <x:c r="O55" s="295" t="str">
        <x:v>Quy định gốc &gt; profile; khi chưa rõ điều kiện thì giữ nguyên; không sinh nội dung.</x:v>
      </x:c>
      <x:c r="P55" s="295" t="str">
        <x:v>PARAGRAPH / RUN / SHAPE tùy thuộc tính</x:v>
      </x:c>
      <x:c r="Q55" s="295" t="str">
        <x:v>Xác định đúng khối Dòng ĐẢNG CỘNG SẢN VIỆT NAM; đọc giá trị thực; đối chiếu điều kiện; không sửa nội dung khi thiếu nguồn.</x:v>
      </x:c>
      <x:c r="R55" s="295" t="str">
        <x:v>Phần II, I.1; Phụ lục 2, TT1</x:v>
      </x:c>
      <x:c r="S55" s="295" t="str">
        <x:v>https://tulieuvankien.dangcongsan.vn/upload/2006988/20260529/HD_05_VPTW_e1550.pdf</x:v>
      </x:c>
      <x:c r="T55" s="295" t="str">
        <x:v>CÓ</x:v>
      </x:c>
      <x:c r="U55" s="295" t="str">
        <x:v>CHECK_ONLY</x:v>
      </x:c>
      <x:c r="V55" s="295" t="str"/>
    </x:row>
    <x:row r="56" ht="28" customHeight="1">
      <x:c r="A56" s="295" t="n">
        <x:v>51</x:v>
      </x:c>
      <x:c r="B56" s="295" t="str">
        <x:v>HD05.D.TD.TIEU_DE_DANG.CAN_NGANG</x:v>
      </x:c>
      <x:c r="C56" s="295" t="str">
        <x:v>HD05.D.TD.TIEU_DE_DANG</x:v>
      </x:c>
      <x:c r="D56" s="295" t="str">
        <x:v>Tiêu đề Đảng</x:v>
      </x:c>
      <x:c r="E56" s="295" t="str">
        <x:v>Dòng ĐẢNG CỘNG SẢN VIỆT NAM</x:v>
      </x:c>
      <x:c r="F56" s="295" t="str">
        <x:v>Căn ngang</x:v>
      </x:c>
      <x:c r="G56" s="295" t="str">
        <x:v>ENUM</x:v>
      </x:c>
      <x:c r="H56" s="295"/>
      <x:c r="I56" s="295" t="str">
        <x:v>CENTER</x:v>
      </x:c>
      <x:c r="J56" s="295" t="str">
        <x:v>Đúng giá trị/giới hạn riêng</x:v>
      </x:c>
      <x:c r="K56" s="295" t="str">
        <x:v>CENTER</x:v>
      </x:c>
      <x:c r="L56" s="295" t="str">
        <x:v>PROFILE_CO_GIA_TRI_CHUA_DUYET</x:v>
      </x:c>
      <x:c r="M56" s="295" t="str">
        <x:v>DOI_CHIEU_CU_THE</x:v>
      </x:c>
      <x:c r="N56" s="295" t="str">
        <x:v>Chỉ HD05; không chèn Tiêu ngữ hành chính</x:v>
      </x:c>
      <x:c r="O56" s="295" t="str">
        <x:v>Quy định gốc &gt; profile; khi chưa rõ điều kiện thì giữ nguyên; không sinh nội dung.</x:v>
      </x:c>
      <x:c r="P56" s="295" t="str">
        <x:v>PARAGRAPH / RUN / SHAPE tùy thuộc tính</x:v>
      </x:c>
      <x:c r="Q56" s="295" t="str">
        <x:v>Xác định đúng khối Dòng ĐẢNG CỘNG SẢN VIỆT NAM; đọc giá trị thực; đối chiếu điều kiện; không sửa nội dung khi thiếu nguồn.</x:v>
      </x:c>
      <x:c r="R56" s="295" t="str">
        <x:v>Phần II, I.1; Phụ lục 2, TT1</x:v>
      </x:c>
      <x:c r="S56" s="295" t="str">
        <x:v>https://tulieuvankien.dangcongsan.vn/upload/2006988/20260529/HD_05_VPTW_e1550.pdf</x:v>
      </x:c>
      <x:c r="T56" s="295" t="str">
        <x:v>CÓ</x:v>
      </x:c>
      <x:c r="U56" s="295" t="str">
        <x:v>CHECK_ONLY</x:v>
      </x:c>
      <x:c r="V56" s="295" t="str"/>
    </x:row>
    <x:row r="57" ht="28" customHeight="1">
      <x:c r="A57" s="295" t="n">
        <x:v>52</x:v>
      </x:c>
      <x:c r="B57" s="295" t="str">
        <x:v>HD05.D.TD.TIEU_DE_DANG.CACH_SAU</x:v>
      </x:c>
      <x:c r="C57" s="295" t="str">
        <x:v>HD05.D.TD.TIEU_DE_DANG</x:v>
      </x:c>
      <x:c r="D57" s="295" t="str">
        <x:v>Tiêu đề Đảng</x:v>
      </x:c>
      <x:c r="E57" s="295" t="str">
        <x:v>Dòng ĐẢNG CỘNG SẢN VIỆT NAM</x:v>
      </x:c>
      <x:c r="F57" s="295" t="str">
        <x:v>Khoảng cách sau đoạn</x:v>
      </x:c>
      <x:c r="G57" s="295" t="str">
        <x:v>NUMBER</x:v>
      </x:c>
      <x:c r="H57" s="295" t="str">
        <x:v>pt</x:v>
      </x:c>
      <x:c r="I57" s="295" t="str">
        <x:v>CHƯA XÁC MINH RIÊNG</x:v>
      </x:c>
      <x:c r="J57" s="295" t="str">
        <x:v>Không suy ra giới hạn pháp lý</x:v>
      </x:c>
      <x:c r="K57" s="295" t="n">
        <x:v>0</x:v>
      </x:c>
      <x:c r="L57" s="295" t="str">
        <x:v>PROFILE_CHO_RAO_SOAT</x:v>
      </x:c>
      <x:c r="M57" s="295" t="str">
        <x:v>CHUA_DOI_CHIEU_CU_THE</x:v>
      </x:c>
      <x:c r="N57" s="295" t="str">
        <x:v>Chỉ HD05; không chèn Tiêu ngữ hành chính</x:v>
      </x:c>
      <x:c r="O57" s="295" t="str">
        <x:v>Quy định gốc &gt; profile; khi chưa rõ điều kiện thì giữ nguyên; không sinh nội dung.</x:v>
      </x:c>
      <x:c r="P57" s="295" t="str">
        <x:v>PARAGRAPH / RUN / SHAPE tùy thuộc tính</x:v>
      </x:c>
      <x:c r="Q57" s="295" t="str">
        <x:v>Xác định đúng khối Dòng ĐẢNG CỘNG SẢN VIỆT NAM; đọc giá trị thực; đối chiếu điều kiện; không sửa nội dung khi thiếu nguồn.</x:v>
      </x:c>
      <x:c r="R57" s="295" t="str">
        <x:v>Chưa có locator xác minh riêng</x:v>
      </x:c>
      <x:c r="S57" s="295" t="str">
        <x:v>https://tulieuvankien.dangcongsan.vn/upload/2006988/20260529/HD_05_VPTW_e1550.pdf</x:v>
      </x:c>
      <x:c r="T57" s="295" t="str">
        <x:v>CÓ</x:v>
      </x:c>
      <x:c r="U57" s="295" t="str">
        <x:v>CHECK_ONLY</x:v>
      </x:c>
      <x:c r="V57" s="295" t="str">
        <x:v>Không tự chèn đoạn trắng</x:v>
      </x:c>
    </x:row>
    <x:row r="58" ht="28" customHeight="1">
      <x:c r="A58" s="295" t="n">
        <x:v>53</x:v>
      </x:c>
      <x:c r="B58" s="295" t="str">
        <x:v>HD05.D.TD.TIEU_DE_DANG.GIAN_DONG</x:v>
      </x:c>
      <x:c r="C58" s="295" t="str">
        <x:v>HD05.D.TD.TIEU_DE_DANG</x:v>
      </x:c>
      <x:c r="D58" s="295" t="str">
        <x:v>Tiêu đề Đảng</x:v>
      </x:c>
      <x:c r="E58" s="295" t="str">
        <x:v>Dòng ĐẢNG CỘNG SẢN VIỆT NAM</x:v>
      </x:c>
      <x:c r="F58" s="295" t="str">
        <x:v>Giãn dòng</x:v>
      </x:c>
      <x:c r="G58" s="295" t="str">
        <x:v>NUMBER</x:v>
      </x:c>
      <x:c r="H58" s="295" t="str">
        <x:v>lines</x:v>
      </x:c>
      <x:c r="I58" s="295" t="str">
        <x:v>CHƯA XÁC MINH RIÊNG</x:v>
      </x:c>
      <x:c r="J58" s="295" t="str">
        <x:v>Không suy ra giới hạn pháp lý</x:v>
      </x:c>
      <x:c r="K58" s="295" t="str">
        <x:v>SINGLE</x:v>
      </x:c>
      <x:c r="L58" s="295" t="str">
        <x:v>PROFILE_CHO_RAO_SOAT</x:v>
      </x:c>
      <x:c r="M58" s="295" t="str">
        <x:v>CHUA_DOI_CHIEU_CU_THE</x:v>
      </x:c>
      <x:c r="N58" s="295" t="str">
        <x:v>Chỉ HD05; không chèn Tiêu ngữ hành chính</x:v>
      </x:c>
      <x:c r="O58" s="295" t="str">
        <x:v>Quy định gốc &gt; profile; khi chưa rõ điều kiện thì giữ nguyên; không sinh nội dung.</x:v>
      </x:c>
      <x:c r="P58" s="295" t="str">
        <x:v>PARAGRAPH / RUN / SHAPE tùy thuộc tính</x:v>
      </x:c>
      <x:c r="Q58" s="295" t="str">
        <x:v>Xác định đúng khối Dòng ĐẢNG CỘNG SẢN VIỆT NAM; đọc giá trị thực; đối chiếu điều kiện; không sửa nội dung khi thiếu nguồn.</x:v>
      </x:c>
      <x:c r="R58" s="295" t="str">
        <x:v>Chưa có locator xác minh riêng</x:v>
      </x:c>
      <x:c r="S58" s="295" t="str">
        <x:v>https://tulieuvankien.dangcongsan.vn/upload/2006988/20260529/HD_05_VPTW_e1550.pdf</x:v>
      </x:c>
      <x:c r="T58" s="295" t="str">
        <x:v>CÓ</x:v>
      </x:c>
      <x:c r="U58" s="295" t="str">
        <x:v>CHECK_ONLY</x:v>
      </x:c>
      <x:c r="V58" s="295" t="str">
        <x:v>Giãn dòng phần đầu không được tự đồng nhất với thân bài.</x:v>
      </x:c>
    </x:row>
    <x:row r="59" ht="28" customHeight="1">
      <x:c r="A59" s="295" t="n">
        <x:v>54</x:v>
      </x:c>
      <x:c r="B59" s="295" t="str">
        <x:v>HD05.D.TD.TIEU_DE_DANG.CHUOI_CO_DINH</x:v>
      </x:c>
      <x:c r="C59" s="295" t="str">
        <x:v>HD05.D.TD.TIEU_DE_DANG</x:v>
      </x:c>
      <x:c r="D59" s="295" t="str">
        <x:v>Tiêu đề Đảng</x:v>
      </x:c>
      <x:c r="E59" s="295" t="str">
        <x:v>Dòng ĐẢNG CỘNG SẢN VIỆT NAM</x:v>
      </x:c>
      <x:c r="F59" s="295" t="str">
        <x:v>Nhãn hoặc chuỗi cố định</x:v>
      </x:c>
      <x:c r="G59" s="295" t="str">
        <x:v>TEXT</x:v>
      </x:c>
      <x:c r="H59" s="295"/>
      <x:c r="I59" s="295" t="str">
        <x:v>ĐẢNG CỘNG SẢN VIỆT NAM</x:v>
      </x:c>
      <x:c r="J59" s="295" t="str">
        <x:v>Đúng giá trị/giới hạn riêng</x:v>
      </x:c>
      <x:c r="K59" s="295" t="str">
        <x:v>ĐẢNG CỘNG SẢN VIỆT NAM</x:v>
      </x:c>
      <x:c r="L59" s="295" t="str">
        <x:v>PROFILE_CO_GIA_TRI_HOP_LE</x:v>
      </x:c>
      <x:c r="M59" s="295" t="str">
        <x:v>DOI_CHIEU_CU_THE</x:v>
      </x:c>
      <x:c r="N59" s="295" t="str">
        <x:v>Chỉ HD05; không chèn Tiêu ngữ hành chính</x:v>
      </x:c>
      <x:c r="O59" s="295" t="str">
        <x:v>Quy định gốc &gt; profile; khi chưa rõ điều kiện thì giữ nguyên; không sinh nội dung.</x:v>
      </x:c>
      <x:c r="P59" s="295" t="str">
        <x:v>PARAGRAPH / RUN / SHAPE tùy thuộc tính</x:v>
      </x:c>
      <x:c r="Q59" s="295" t="str">
        <x:v>Xác định đúng khối Dòng ĐẢNG CỘNG SẢN VIỆT NAM; đọc giá trị thực; đối chiếu điều kiện; không sửa nội dung khi thiếu nguồn.</x:v>
      </x:c>
      <x:c r="R59" s="295" t="str">
        <x:v>Phần II, I.1-9; Phụ lục 2</x:v>
      </x:c>
      <x:c r="S59" s="295" t="str">
        <x:v>https://tulieuvankien.dangcongsan.vn/upload/2006988/20260529/HD_05_VPTW_e1550.pdf</x:v>
      </x:c>
      <x:c r="T59" s="295" t="str">
        <x:v>CÓ</x:v>
      </x:c>
      <x:c r="U59" s="295" t="str">
        <x:v>CHECK_ONLY</x:v>
      </x:c>
      <x:c r="V59" s="295" t="str">
        <x:v>Không thêm nhãn khi thành phần không xuất hiện</x:v>
      </x:c>
    </x:row>
    <x:row r="60" ht="28" customHeight="1">
      <x:c r="A60" s="295" t="n">
        <x:v>55</x:v>
      </x:c>
      <x:c r="B60" s="295" t="str">
        <x:v>HD05.D.TD.DUONG_KE.HIEN_DIEN</x:v>
      </x:c>
      <x:c r="C60" s="295" t="str">
        <x:v>HD05.D.TD.DUONG_KE</x:v>
      </x:c>
      <x:c r="D60" s="295" t="str">
        <x:v>Tiêu đề Đảng</x:v>
      </x:c>
      <x:c r="E60" s="295" t="str">
        <x:v>Đường kẻ dưới tiêu đề Đảng</x:v>
      </x:c>
      <x:c r="F60" s="295" t="str">
        <x:v>Điều kiện hiện diện</x:v>
      </x:c>
      <x:c r="G60" s="295" t="str">
        <x:v>TEXT</x:v>
      </x:c>
      <x:c r="H60" s="295"/>
      <x:c r="I60" s="295" t="str">
        <x:v>CHƯA XÁC MINH RIÊNG</x:v>
      </x:c>
      <x:c r="J60" s="295" t="str">
        <x:v>Không suy ra giới hạn pháp lý</x:v>
      </x:c>
      <x:c r="K60" s="295" t="str">
        <x:v>Chỉ HD05; đường nét liền dưới tiêu đề Đảng</x:v>
      </x:c>
      <x:c r="L60" s="295" t="str">
        <x:v>CHUA_DUYET_DINH_TUYEN</x:v>
      </x:c>
      <x:c r="M60" s="295" t="str">
        <x:v>CHUA_DOI_CHIEU_CU_THE</x:v>
      </x:c>
      <x:c r="N60" s="295" t="str">
        <x:v>Chỉ HD05; đường nét liền dưới tiêu đề Đảng</x:v>
      </x:c>
      <x:c r="O60" s="295" t="str">
        <x:v>Quy định gốc &gt; profile; khi chưa rõ điều kiện thì giữ nguyên; không sinh nội dung.</x:v>
      </x:c>
      <x:c r="P60" s="295" t="str">
        <x:v>PARAGRAPH / RUN / SHAPE tùy thuộc tính</x:v>
      </x:c>
      <x:c r="Q60" s="295" t="str">
        <x:v>Xác định đúng khối Đường kẻ dưới tiêu đề Đảng; đọc giá trị thực; đối chiếu điều kiện; không sửa nội dung khi thiếu nguồn.</x:v>
      </x:c>
      <x:c r="R60" s="295" t="str">
        <x:v>Chưa có locator xác minh riêng</x:v>
      </x:c>
      <x:c r="S60" s="295" t="str">
        <x:v>https://tulieuvankien.dangcongsan.vn/upload/2006988/20260529/HD_05_VPTW_e1550.pdf</x:v>
      </x:c>
      <x:c r="T60" s="295" t="str">
        <x:v>CÓ</x:v>
      </x:c>
      <x:c r="U60" s="295" t="str">
        <x:v>CHECK_ONLY</x:v>
      </x:c>
      <x:c r="V60" s="295" t="str">
        <x:v>Phải nhận diện chế độ và chủ thể trước khi áp dụng</x:v>
      </x:c>
    </x:row>
    <x:row r="61" ht="28" customHeight="1">
      <x:c r="A61" s="295" t="n">
        <x:v>56</x:v>
      </x:c>
      <x:c r="B61" s="295" t="str">
        <x:v>HD05.D.TD.DUONG_KE.KIEU_DUONG</x:v>
      </x:c>
      <x:c r="C61" s="295" t="str">
        <x:v>HD05.D.TD.DUONG_KE</x:v>
      </x:c>
      <x:c r="D61" s="295" t="str">
        <x:v>Tiêu đề Đảng</x:v>
      </x:c>
      <x:c r="E61" s="295" t="str">
        <x:v>Đường kẻ dưới tiêu đề Đảng</x:v>
      </x:c>
      <x:c r="F61" s="295" t="str">
        <x:v>Kiểu kẻ</x:v>
      </x:c>
      <x:c r="G61" s="295" t="str">
        <x:v>TEXT</x:v>
      </x:c>
      <x:c r="H61" s="295"/>
      <x:c r="I61" s="295" t="str">
        <x:v>Nét liền</x:v>
      </x:c>
      <x:c r="J61" s="295" t="str">
        <x:v>Đúng giá trị/giới hạn riêng</x:v>
      </x:c>
      <x:c r="K61" s="295" t="str">
        <x:v>Nét liền</x:v>
      </x:c>
      <x:c r="L61" s="295" t="str">
        <x:v>PROFILE_THEO_NGUON</x:v>
      </x:c>
      <x:c r="M61" s="295" t="str">
        <x:v>DOI_CHIEU_CU_THE</x:v>
      </x:c>
      <x:c r="N61" s="295" t="str">
        <x:v>Chỉ HD05; đường nét liền dưới tiêu đề Đảng</x:v>
      </x:c>
      <x:c r="O61" s="295" t="str">
        <x:v>Quy định gốc &gt; profile; khi chưa rõ điều kiện thì giữ nguyên; không sinh nội dung.</x:v>
      </x:c>
      <x:c r="P61" s="295" t="str">
        <x:v>PARAGRAPH / RUN / SHAPE tùy thuộc tính</x:v>
      </x:c>
      <x:c r="Q61" s="295" t="str">
        <x:v>Xác định đúng khối Đường kẻ dưới tiêu đề Đảng; đọc giá trị thực; đối chiếu điều kiện; không sửa nội dung khi thiếu nguồn.</x:v>
      </x:c>
      <x:c r="R61" s="295" t="str">
        <x:v>Phần II, I.1.2</x:v>
      </x:c>
      <x:c r="S61" s="295" t="str">
        <x:v>https://tulieuvankien.dangcongsan.vn/upload/2006988/20260529/HD_05_VPTW_e1550.pdf</x:v>
      </x:c>
      <x:c r="T61" s="295" t="str">
        <x:v>CÓ</x:v>
      </x:c>
      <x:c r="U61" s="295" t="str">
        <x:v>CHECK_ONLY</x:v>
      </x:c>
      <x:c r="V61" s="295" t="str">
        <x:v>Mã rule con chỉ phục vụ AI đọc; không tự tạo thao tác OOXML.</x:v>
      </x:c>
    </x:row>
    <x:row r="62" ht="28" customHeight="1">
      <x:c r="A62" s="295" t="n">
        <x:v>57</x:v>
      </x:c>
      <x:c r="B62" s="295" t="str">
        <x:v>HD05.D.TD.DUONG_KE.DO_DAI</x:v>
      </x:c>
      <x:c r="C62" s="295" t="str">
        <x:v>HD05.D.TD.DUONG_KE</x:v>
      </x:c>
      <x:c r="D62" s="295" t="str">
        <x:v>Tiêu đề Đảng</x:v>
      </x:c>
      <x:c r="E62" s="295" t="str">
        <x:v>Đường kẻ dưới tiêu đề Đảng</x:v>
      </x:c>
      <x:c r="F62" s="295" t="str">
        <x:v>Độ dài theo tiêu đề</x:v>
      </x:c>
      <x:c r="G62" s="295" t="str">
        <x:v>TEXT</x:v>
      </x:c>
      <x:c r="H62" s="295"/>
      <x:c r="I62" s="295" t="str">
        <x:v>Bằng chiều dài tiêu đề Đảng</x:v>
      </x:c>
      <x:c r="J62" s="295" t="str">
        <x:v>Đúng giá trị/giới hạn riêng</x:v>
      </x:c>
      <x:c r="K62" s="295" t="str">
        <x:v>PRESERVE</x:v>
      </x:c>
      <x:c r="L62" s="295" t="str">
        <x:v>PROFILE_THEO_NGUON</x:v>
      </x:c>
      <x:c r="M62" s="295" t="str">
        <x:v>DOI_CHIEU_CU_THE</x:v>
      </x:c>
      <x:c r="N62" s="295" t="str">
        <x:v>Chỉ HD05; đường nét liền dưới tiêu đề Đảng</x:v>
      </x:c>
      <x:c r="O62" s="295" t="str">
        <x:v>Quy định gốc &gt; profile; khi chưa rõ điều kiện thì giữ nguyên; không sinh nội dung.</x:v>
      </x:c>
      <x:c r="P62" s="295" t="str">
        <x:v>PARAGRAPH / RUN / SHAPE tùy thuộc tính</x:v>
      </x:c>
      <x:c r="Q62" s="295" t="str">
        <x:v>Xác định đúng khối Đường kẻ dưới tiêu đề Đảng; đọc giá trị thực; đối chiếu điều kiện; không sửa nội dung khi thiếu nguồn.</x:v>
      </x:c>
      <x:c r="R62" s="295" t="str">
        <x:v>Phần II, I.1.2</x:v>
      </x:c>
      <x:c r="S62" s="295" t="str">
        <x:v>https://tulieuvankien.dangcongsan.vn/upload/2006988/20260529/HD_05_VPTW_e1550.pdf</x:v>
      </x:c>
      <x:c r="T62" s="295" t="str">
        <x:v>CÓ</x:v>
      </x:c>
      <x:c r="U62" s="295" t="str">
        <x:v>CHECK_ONLY</x:v>
      </x:c>
      <x:c r="V62" s="295" t="str">
        <x:v>Mã rule con chỉ phục vụ AI đọc; không tự tạo thao tác OOXML.</x:v>
      </x:c>
    </x:row>
    <x:row r="63" ht="28" customHeight="1">
      <x:c r="A63" s="295" t="n">
        <x:v>58</x:v>
      </x:c>
      <x:c r="B63" s="295" t="str">
        <x:v>HD05.D.SK.NHAN_SO.HIEN_DIEN</x:v>
      </x:c>
      <x:c r="C63" s="295" t="str">
        <x:v>HD05.D.SK.NHAN_SO</x:v>
      </x:c>
      <x:c r="D63" s="295" t="str">
        <x:v>Số và ký hiệu</x:v>
      </x:c>
      <x:c r="E63" s="295" t="str">
        <x:v>Nhãn Số</x:v>
      </x:c>
      <x:c r="F63" s="295" t="str">
        <x:v>Điều kiện hiện diện</x:v>
      </x:c>
      <x:c r="G63" s="295" t="str">
        <x:v>TEXT</x:v>
      </x:c>
      <x:c r="H63" s="295"/>
      <x:c r="I63" s="295" t="str">
        <x:v>CHƯA XÁC MINH RIÊNG</x:v>
      </x:c>
      <x:c r="J63" s="295" t="str">
        <x:v>Không suy ra giới hạn pháp lý</x:v>
      </x:c>
      <x:c r="K63" s="295" t="str">
        <x:v>Có số/ký hiệu văn bản; chỉ định dạng, không tự cấp số hoặc ký hiệu; cần xác minh danh mục viết tắt</x:v>
      </x:c>
      <x:c r="L63" s="295" t="str">
        <x:v>CHUA_DUYET_DINH_TUYEN</x:v>
      </x:c>
      <x:c r="M63" s="295" t="str">
        <x:v>CHUA_DOI_CHIEU_CU_THE</x:v>
      </x:c>
      <x:c r="N63" s="295" t="str">
        <x:v>Có số/ký hiệu văn bản; chỉ định dạng, không tự cấp số hoặc ký hiệu; cần xác minh danh mục viết tắt</x:v>
      </x:c>
      <x:c r="O63" s="295" t="str">
        <x:v>Quy định gốc &gt; profile; khi chưa rõ điều kiện thì giữ nguyên; không sinh nội dung.</x:v>
      </x:c>
      <x:c r="P63" s="295" t="str">
        <x:v>PARAGRAPH / RUN / SHAPE tùy thuộc tính</x:v>
      </x:c>
      <x:c r="Q63" s="295" t="str">
        <x:v>Xác định đúng khối Nhãn Số; đọc giá trị thực; đối chiếu điều kiện; không sửa nội dung khi thiếu nguồn.</x:v>
      </x:c>
      <x:c r="R63" s="295" t="str">
        <x:v>Chưa có locator xác minh riêng</x:v>
      </x:c>
      <x:c r="S63" s="295" t="str">
        <x:v>https://tulieuvankien.dangcongsan.vn/upload/2006988/20260529/HD_05_VPTW_e1550.pdf</x:v>
      </x:c>
      <x:c r="T63" s="295" t="str">
        <x:v>CÓ</x:v>
      </x:c>
      <x:c r="U63" s="295" t="str">
        <x:v>CHECK_ONLY</x:v>
      </x:c>
      <x:c r="V63" s="295" t="str">
        <x:v>Phải nhận diện chế độ và chủ thể trước khi áp dụng</x:v>
      </x:c>
    </x:row>
    <x:row r="64" ht="28" customHeight="1">
      <x:c r="A64" s="295" t="n">
        <x:v>59</x:v>
      </x:c>
      <x:c r="B64" s="295" t="str">
        <x:v>HD05.D.SK.NHAN_SO.PHONG_CHU</x:v>
      </x:c>
      <x:c r="C64" s="295" t="str">
        <x:v>HD05.D.SK.NHAN_SO</x:v>
      </x:c>
      <x:c r="D64" s="295" t="str">
        <x:v>Số và ký hiệu</x:v>
      </x:c>
      <x:c r="E64" s="295" t="str">
        <x:v>Nhãn Số</x:v>
      </x:c>
      <x:c r="F64" s="295" t="str">
        <x:v>Font chữ</x:v>
      </x:c>
      <x:c r="G64" s="295" t="str">
        <x:v>STRING</x:v>
      </x:c>
      <x:c r="H64" s="295"/>
      <x:c r="I64" s="295" t="str">
        <x:v>Times New Roman</x:v>
      </x:c>
      <x:c r="J64" s="295" t="str">
        <x:v>Đúng giá trị/giới hạn riêng</x:v>
      </x:c>
      <x:c r="K64" s="295" t="str">
        <x:v>Times New Roman</x:v>
      </x:c>
      <x:c r="L64" s="295" t="str">
        <x:v>PROFILE_CO_GIA_TRI_CHUA_DUYET</x:v>
      </x:c>
      <x:c r="M64" s="295" t="str">
        <x:v>DOI_CHIEU_CU_THE</x:v>
      </x:c>
      <x:c r="N64" s="295" t="str">
        <x:v>Có số/ký hiệu văn bản; chỉ định dạng, không tự cấp số hoặc ký hiệu; cần xác minh danh mục viết tắt</x:v>
      </x:c>
      <x:c r="O64" s="295" t="str">
        <x:v>Quy định gốc &gt; profile; khi chưa rõ điều kiện thì giữ nguyên; không sinh nội dung.</x:v>
      </x:c>
      <x:c r="P64" s="295" t="str">
        <x:v>PARAGRAPH / RUN / SHAPE tùy thuộc tính</x:v>
      </x:c>
      <x:c r="Q64" s="295" t="str">
        <x:v>Xác định đúng khối Nhãn Số; đọc giá trị thực; đối chiếu điều kiện; không sửa nội dung khi thiếu nguồn.</x:v>
      </x:c>
      <x:c r="R64" s="295" t="str">
        <x:v>Phần II, IV.1</x:v>
      </x:c>
      <x:c r="S64" s="295" t="str">
        <x:v>https://tulieuvankien.dangcongsan.vn/upload/2006988/20260529/HD_05_VPTW_e1550.pdf</x:v>
      </x:c>
      <x:c r="T64" s="295" t="str">
        <x:v>CÓ</x:v>
      </x:c>
      <x:c r="U64" s="295" t="str">
        <x:v>CHECK_ONLY</x:v>
      </x:c>
      <x:c r="V64" s="295" t="str"/>
    </x:row>
    <x:row r="65" ht="28" customHeight="1">
      <x:c r="A65" s="295" t="n">
        <x:v>60</x:v>
      </x:c>
      <x:c r="B65" s="295" t="str">
        <x:v>HD05.D.SK.NHAN_SO.CO_CHU</x:v>
      </x:c>
      <x:c r="C65" s="295" t="str">
        <x:v>HD05.D.SK.NHAN_SO</x:v>
      </x:c>
      <x:c r="D65" s="295" t="str">
        <x:v>Số và ký hiệu</x:v>
      </x:c>
      <x:c r="E65" s="295" t="str">
        <x:v>Nhãn Số</x:v>
      </x:c>
      <x:c r="F65" s="295" t="str">
        <x:v>Cỡ chữ</x:v>
      </x:c>
      <x:c r="G65" s="295" t="str">
        <x:v>NUMBER_OR_RANGE</x:v>
      </x:c>
      <x:c r="H65" s="295" t="str">
        <x:v>pt</x:v>
      </x:c>
      <x:c r="I65" s="295" t="str">
        <x:v>14</x:v>
      </x:c>
      <x:c r="J65" s="295" t="str">
        <x:v>Đúng giá trị/giới hạn riêng</x:v>
      </x:c>
      <x:c r="K65" s="295" t="n">
        <x:v>14</x:v>
      </x:c>
      <x:c r="L65" s="295" t="str">
        <x:v>PROFILE_CO_GIA_TRI_CHUA_DUYET</x:v>
      </x:c>
      <x:c r="M65" s="295" t="str">
        <x:v>DOI_CHIEU_CU_THE</x:v>
      </x:c>
      <x:c r="N65" s="295" t="str">
        <x:v>Có số/ký hiệu văn bản; chỉ định dạng, không tự cấp số hoặc ký hiệu; cần xác minh danh mục viết tắt</x:v>
      </x:c>
      <x:c r="O65" s="295" t="str">
        <x:v>Quy định gốc &gt; profile; khi chưa rõ điều kiện thì giữ nguyên; không sinh nội dung.</x:v>
      </x:c>
      <x:c r="P65" s="295" t="str">
        <x:v>PARAGRAPH / RUN / SHAPE tùy thuộc tính</x:v>
      </x:c>
      <x:c r="Q65" s="295" t="str">
        <x:v>Xác định đúng khối Nhãn Số; đọc giá trị thực; đối chiếu điều kiện; không sửa nội dung khi thiếu nguồn.</x:v>
      </x:c>
      <x:c r="R65" s="295" t="str">
        <x:v>Phần II, I.3; Phụ lục 2, TT3</x:v>
      </x:c>
      <x:c r="S65" s="295" t="str">
        <x:v>https://tulieuvankien.dangcongsan.vn/upload/2006988/20260529/HD_05_VPTW_e1550.pdf</x:v>
      </x:c>
      <x:c r="T65" s="295" t="str">
        <x:v>CÓ</x:v>
      </x:c>
      <x:c r="U65" s="295" t="str">
        <x:v>CHECK_ONLY</x:v>
      </x:c>
      <x:c r="V65" s="295" t="str"/>
    </x:row>
    <x:row r="66" ht="28" customHeight="1">
      <x:c r="A66" s="295" t="n">
        <x:v>61</x:v>
      </x:c>
      <x:c r="B66" s="295" t="str">
        <x:v>HD05.D.SK.NHAN_SO.DAM</x:v>
      </x:c>
      <x:c r="C66" s="295" t="str">
        <x:v>HD05.D.SK.NHAN_SO</x:v>
      </x:c>
      <x:c r="D66" s="295" t="str">
        <x:v>Số và ký hiệu</x:v>
      </x:c>
      <x:c r="E66" s="295" t="str">
        <x:v>Nhãn Số</x:v>
      </x:c>
      <x:c r="F66" s="295" t="str">
        <x:v>In đậm</x:v>
      </x:c>
      <x:c r="G66" s="295" t="str">
        <x:v>BOOLEAN</x:v>
      </x:c>
      <x:c r="H66" s="295"/>
      <x:c r="I66" s="296" t="b">
        <x:v>0</x:v>
      </x:c>
      <x:c r="J66" s="295" t="str">
        <x:v>Đúng giá trị/giới hạn riêng</x:v>
      </x:c>
      <x:c r="K66" s="296" t="b">
        <x:v>0</x:v>
      </x:c>
      <x:c r="L66" s="295" t="str">
        <x:v>PROFILE_CO_GIA_TRI_CHUA_DUYET</x:v>
      </x:c>
      <x:c r="M66" s="295" t="str">
        <x:v>DOI_CHIEU_CU_THE</x:v>
      </x:c>
      <x:c r="N66" s="295" t="str">
        <x:v>Có số/ký hiệu văn bản; chỉ định dạng, không tự cấp số hoặc ký hiệu; cần xác minh danh mục viết tắt</x:v>
      </x:c>
      <x:c r="O66" s="295" t="str">
        <x:v>Quy định gốc &gt; profile; khi chưa rõ điều kiện thì giữ nguyên; không sinh nội dung.</x:v>
      </x:c>
      <x:c r="P66" s="295" t="str">
        <x:v>PARAGRAPH / RUN / SHAPE tùy thuộc tính</x:v>
      </x:c>
      <x:c r="Q66" s="295" t="str">
        <x:v>Xác định đúng khối Nhãn Số; đọc giá trị thực; đối chiếu điều kiện; không sửa nội dung khi thiếu nguồn.</x:v>
      </x:c>
      <x:c r="R66" s="295" t="str">
        <x:v>Phần II, I.3; Phụ lục 2, TT3</x:v>
      </x:c>
      <x:c r="S66" s="295" t="str">
        <x:v>https://tulieuvankien.dangcongsan.vn/upload/2006988/20260529/HD_05_VPTW_e1550.pdf</x:v>
      </x:c>
      <x:c r="T66" s="295" t="str">
        <x:v>CÓ</x:v>
      </x:c>
      <x:c r="U66" s="295" t="str">
        <x:v>CHECK_ONLY</x:v>
      </x:c>
      <x:c r="V66" s="295" t="str"/>
    </x:row>
    <x:row r="67" ht="28" customHeight="1">
      <x:c r="A67" s="295" t="n">
        <x:v>62</x:v>
      </x:c>
      <x:c r="B67" s="295" t="str">
        <x:v>HD05.D.SK.NHAN_SO.NGHIENG</x:v>
      </x:c>
      <x:c r="C67" s="295" t="str">
        <x:v>HD05.D.SK.NHAN_SO</x:v>
      </x:c>
      <x:c r="D67" s="295" t="str">
        <x:v>Số và ký hiệu</x:v>
      </x:c>
      <x:c r="E67" s="295" t="str">
        <x:v>Nhãn Số</x:v>
      </x:c>
      <x:c r="F67" s="295" t="str">
        <x:v>In nghiêng</x:v>
      </x:c>
      <x:c r="G67" s="295" t="str">
        <x:v>BOOLEAN</x:v>
      </x:c>
      <x:c r="H67" s="295"/>
      <x:c r="I67" s="296" t="b">
        <x:v>0</x:v>
      </x:c>
      <x:c r="J67" s="295" t="str">
        <x:v>Đúng giá trị/giới hạn riêng</x:v>
      </x:c>
      <x:c r="K67" s="296" t="b">
        <x:v>0</x:v>
      </x:c>
      <x:c r="L67" s="295" t="str">
        <x:v>PROFILE_CO_GIA_TRI_CHUA_DUYET</x:v>
      </x:c>
      <x:c r="M67" s="295" t="str">
        <x:v>DOI_CHIEU_CU_THE</x:v>
      </x:c>
      <x:c r="N67" s="295" t="str">
        <x:v>Có số/ký hiệu văn bản; chỉ định dạng, không tự cấp số hoặc ký hiệu; cần xác minh danh mục viết tắt</x:v>
      </x:c>
      <x:c r="O67" s="295" t="str">
        <x:v>Quy định gốc &gt; profile; khi chưa rõ điều kiện thì giữ nguyên; không sinh nội dung.</x:v>
      </x:c>
      <x:c r="P67" s="295" t="str">
        <x:v>PARAGRAPH / RUN / SHAPE tùy thuộc tính</x:v>
      </x:c>
      <x:c r="Q67" s="295" t="str">
        <x:v>Xác định đúng khối Nhãn Số; đọc giá trị thực; đối chiếu điều kiện; không sửa nội dung khi thiếu nguồn.</x:v>
      </x:c>
      <x:c r="R67" s="295" t="str">
        <x:v>Phần II, I.3; Phụ lục 2, TT3</x:v>
      </x:c>
      <x:c r="S67" s="295" t="str">
        <x:v>https://tulieuvankien.dangcongsan.vn/upload/2006988/20260529/HD_05_VPTW_e1550.pdf</x:v>
      </x:c>
      <x:c r="T67" s="295" t="str">
        <x:v>CÓ</x:v>
      </x:c>
      <x:c r="U67" s="295" t="str">
        <x:v>CHECK_ONLY</x:v>
      </x:c>
      <x:c r="V67" s="295" t="str"/>
    </x:row>
    <x:row r="68" ht="28" customHeight="1">
      <x:c r="A68" s="295" t="n">
        <x:v>63</x:v>
      </x:c>
      <x:c r="B68" s="295" t="str">
        <x:v>HD05.D.SK.NHAN_SO.KIEU_CHU</x:v>
      </x:c>
      <x:c r="C68" s="295" t="str">
        <x:v>HD05.D.SK.NHAN_SO</x:v>
      </x:c>
      <x:c r="D68" s="295" t="str">
        <x:v>Số và ký hiệu</x:v>
      </x:c>
      <x:c r="E68" s="295" t="str">
        <x:v>Nhãn Số</x:v>
      </x:c>
      <x:c r="F68" s="295" t="str">
        <x:v>Kiểu viết hoa/thường</x:v>
      </x:c>
      <x:c r="G68" s="295" t="str">
        <x:v>ENUM</x:v>
      </x:c>
      <x:c r="H68" s="295"/>
      <x:c r="I68" s="295" t="str">
        <x:v>Số (không dấu hai chấm)</x:v>
      </x:c>
      <x:c r="J68" s="295" t="str">
        <x:v>Đúng giá trị/giới hạn riêng</x:v>
      </x:c>
      <x:c r="K68" s="295" t="str">
        <x:v>Viết hoa chữ đầu</x:v>
      </x:c>
      <x:c r="L68" s="295" t="str">
        <x:v>PROFILE_CO_GIA_TRI_CHUA_DUYET</x:v>
      </x:c>
      <x:c r="M68" s="295" t="str">
        <x:v>DOI_CHIEU_CU_THE</x:v>
      </x:c>
      <x:c r="N68" s="295" t="str">
        <x:v>Có số/ký hiệu văn bản; chỉ định dạng, không tự cấp số hoặc ký hiệu; cần xác minh danh mục viết tắt</x:v>
      </x:c>
      <x:c r="O68" s="295" t="str">
        <x:v>Quy định gốc &gt; profile; khi chưa rõ điều kiện thì giữ nguyên; không sinh nội dung.</x:v>
      </x:c>
      <x:c r="P68" s="295" t="str">
        <x:v>PARAGRAPH / RUN / SHAPE tùy thuộc tính</x:v>
      </x:c>
      <x:c r="Q68" s="295" t="str">
        <x:v>Xác định đúng khối Nhãn Số; đọc giá trị thực; đối chiếu điều kiện; không sửa nội dung khi thiếu nguồn.</x:v>
      </x:c>
      <x:c r="R68" s="295" t="str">
        <x:v>Phần II, I.3; Phụ lục 2, TT3</x:v>
      </x:c>
      <x:c r="S68" s="295" t="str">
        <x:v>https://tulieuvankien.dangcongsan.vn/upload/2006988/20260529/HD_05_VPTW_e1550.pdf</x:v>
      </x:c>
      <x:c r="T68" s="295" t="str">
        <x:v>CÓ</x:v>
      </x:c>
      <x:c r="U68" s="295" t="str">
        <x:v>CHECK_ONLY</x:v>
      </x:c>
      <x:c r="V68" s="295" t="str"/>
    </x:row>
    <x:row r="69" ht="28" customHeight="1">
      <x:c r="A69" s="295" t="n">
        <x:v>64</x:v>
      </x:c>
      <x:c r="B69" s="295" t="str">
        <x:v>HD05.D.SK.NHAN_SO.CAN_NGANG</x:v>
      </x:c>
      <x:c r="C69" s="295" t="str">
        <x:v>HD05.D.SK.NHAN_SO</x:v>
      </x:c>
      <x:c r="D69" s="295" t="str">
        <x:v>Số và ký hiệu</x:v>
      </x:c>
      <x:c r="E69" s="295" t="str">
        <x:v>Nhãn Số</x:v>
      </x:c>
      <x:c r="F69" s="295" t="str">
        <x:v>Căn ngang</x:v>
      </x:c>
      <x:c r="G69" s="295" t="str">
        <x:v>ENUM</x:v>
      </x:c>
      <x:c r="H69" s="295"/>
      <x:c r="I69" s="295" t="str">
        <x:v>CENTER</x:v>
      </x:c>
      <x:c r="J69" s="295" t="str">
        <x:v>Đúng giá trị/giới hạn riêng</x:v>
      </x:c>
      <x:c r="K69" s="295" t="str">
        <x:v>CENTER</x:v>
      </x:c>
      <x:c r="L69" s="295" t="str">
        <x:v>PROFILE_CO_GIA_TRI_CHUA_DUYET</x:v>
      </x:c>
      <x:c r="M69" s="295" t="str">
        <x:v>DOI_CHIEU_CU_THE</x:v>
      </x:c>
      <x:c r="N69" s="295" t="str">
        <x:v>Có số/ký hiệu văn bản; chỉ định dạng, không tự cấp số hoặc ký hiệu; cần xác minh danh mục viết tắt</x:v>
      </x:c>
      <x:c r="O69" s="295" t="str">
        <x:v>Quy định gốc &gt; profile; khi chưa rõ điều kiện thì giữ nguyên; không sinh nội dung.</x:v>
      </x:c>
      <x:c r="P69" s="295" t="str">
        <x:v>PARAGRAPH / RUN / SHAPE tùy thuộc tính</x:v>
      </x:c>
      <x:c r="Q69" s="295" t="str">
        <x:v>Xác định đúng khối Nhãn Số; đọc giá trị thực; đối chiếu điều kiện; không sửa nội dung khi thiếu nguồn.</x:v>
      </x:c>
      <x:c r="R69" s="295" t="str">
        <x:v>Phần II, I.3; Phụ lục 2, TT3</x:v>
      </x:c>
      <x:c r="S69" s="295" t="str">
        <x:v>https://tulieuvankien.dangcongsan.vn/upload/2006988/20260529/HD_05_VPTW_e1550.pdf</x:v>
      </x:c>
      <x:c r="T69" s="295" t="str">
        <x:v>CÓ</x:v>
      </x:c>
      <x:c r="U69" s="295" t="str">
        <x:v>CHECK_ONLY</x:v>
      </x:c>
      <x:c r="V69" s="295" t="str"/>
    </x:row>
    <x:row r="70" ht="28" customHeight="1">
      <x:c r="A70" s="295" t="n">
        <x:v>65</x:v>
      </x:c>
      <x:c r="B70" s="295" t="str">
        <x:v>HD05.D.SK.NHAN_SO.CACH_SAU</x:v>
      </x:c>
      <x:c r="C70" s="295" t="str">
        <x:v>HD05.D.SK.NHAN_SO</x:v>
      </x:c>
      <x:c r="D70" s="295" t="str">
        <x:v>Số và ký hiệu</x:v>
      </x:c>
      <x:c r="E70" s="295" t="str">
        <x:v>Nhãn Số</x:v>
      </x:c>
      <x:c r="F70" s="295" t="str">
        <x:v>Khoảng cách sau đoạn</x:v>
      </x:c>
      <x:c r="G70" s="295" t="str">
        <x:v>NUMBER</x:v>
      </x:c>
      <x:c r="H70" s="295" t="str">
        <x:v>pt</x:v>
      </x:c>
      <x:c r="I70" s="295" t="str">
        <x:v>CHƯA XÁC MINH RIÊNG</x:v>
      </x:c>
      <x:c r="J70" s="295" t="str">
        <x:v>Không suy ra giới hạn pháp lý</x:v>
      </x:c>
      <x:c r="K70" s="295" t="n">
        <x:v>0</x:v>
      </x:c>
      <x:c r="L70" s="295" t="str">
        <x:v>PROFILE_CHO_RAO_SOAT</x:v>
      </x:c>
      <x:c r="M70" s="295" t="str">
        <x:v>CHUA_DOI_CHIEU_CU_THE</x:v>
      </x:c>
      <x:c r="N70" s="295" t="str">
        <x:v>Có số/ký hiệu văn bản; chỉ định dạng, không tự cấp số hoặc ký hiệu; cần xác minh danh mục viết tắt</x:v>
      </x:c>
      <x:c r="O70" s="295" t="str">
        <x:v>Quy định gốc &gt; profile; khi chưa rõ điều kiện thì giữ nguyên; không sinh nội dung.</x:v>
      </x:c>
      <x:c r="P70" s="295" t="str">
        <x:v>PARAGRAPH / RUN / SHAPE tùy thuộc tính</x:v>
      </x:c>
      <x:c r="Q70" s="295" t="str">
        <x:v>Xác định đúng khối Nhãn Số; đọc giá trị thực; đối chiếu điều kiện; không sửa nội dung khi thiếu nguồn.</x:v>
      </x:c>
      <x:c r="R70" s="295" t="str">
        <x:v>Chưa có locator xác minh riêng</x:v>
      </x:c>
      <x:c r="S70" s="295" t="str">
        <x:v>https://tulieuvankien.dangcongsan.vn/upload/2006988/20260529/HD_05_VPTW_e1550.pdf</x:v>
      </x:c>
      <x:c r="T70" s="295" t="str">
        <x:v>CÓ</x:v>
      </x:c>
      <x:c r="U70" s="295" t="str">
        <x:v>CHECK_ONLY</x:v>
      </x:c>
      <x:c r="V70" s="295" t="str">
        <x:v>Không tự chèn đoạn trắng</x:v>
      </x:c>
    </x:row>
    <x:row r="71" ht="28" customHeight="1">
      <x:c r="A71" s="295" t="n">
        <x:v>66</x:v>
      </x:c>
      <x:c r="B71" s="295" t="str">
        <x:v>HD05.D.SK.NHAN_SO.GIAN_DONG</x:v>
      </x:c>
      <x:c r="C71" s="295" t="str">
        <x:v>HD05.D.SK.NHAN_SO</x:v>
      </x:c>
      <x:c r="D71" s="295" t="str">
        <x:v>Số và ký hiệu</x:v>
      </x:c>
      <x:c r="E71" s="295" t="str">
        <x:v>Nhãn Số</x:v>
      </x:c>
      <x:c r="F71" s="295" t="str">
        <x:v>Giãn dòng</x:v>
      </x:c>
      <x:c r="G71" s="295" t="str">
        <x:v>NUMBER</x:v>
      </x:c>
      <x:c r="H71" s="295" t="str">
        <x:v>lines</x:v>
      </x:c>
      <x:c r="I71" s="295" t="str">
        <x:v>CHƯA XÁC MINH RIÊNG</x:v>
      </x:c>
      <x:c r="J71" s="295" t="str">
        <x:v>Không suy ra giới hạn pháp lý</x:v>
      </x:c>
      <x:c r="K71" s="295" t="str">
        <x:v>SINGLE</x:v>
      </x:c>
      <x:c r="L71" s="295" t="str">
        <x:v>PROFILE_CHO_RAO_SOAT</x:v>
      </x:c>
      <x:c r="M71" s="295" t="str">
        <x:v>CHUA_DOI_CHIEU_CU_THE</x:v>
      </x:c>
      <x:c r="N71" s="295" t="str">
        <x:v>Có số/ký hiệu văn bản; chỉ định dạng, không tự cấp số hoặc ký hiệu; cần xác minh danh mục viết tắt</x:v>
      </x:c>
      <x:c r="O71" s="295" t="str">
        <x:v>Quy định gốc &gt; profile; khi chưa rõ điều kiện thì giữ nguyên; không sinh nội dung.</x:v>
      </x:c>
      <x:c r="P71" s="295" t="str">
        <x:v>PARAGRAPH / RUN / SHAPE tùy thuộc tính</x:v>
      </x:c>
      <x:c r="Q71" s="295" t="str">
        <x:v>Xác định đúng khối Nhãn Số; đọc giá trị thực; đối chiếu điều kiện; không sửa nội dung khi thiếu nguồn.</x:v>
      </x:c>
      <x:c r="R71" s="295" t="str">
        <x:v>Chưa có locator xác minh riêng</x:v>
      </x:c>
      <x:c r="S71" s="295" t="str">
        <x:v>https://tulieuvankien.dangcongsan.vn/upload/2006988/20260529/HD_05_VPTW_e1550.pdf</x:v>
      </x:c>
      <x:c r="T71" s="295" t="str">
        <x:v>CÓ</x:v>
      </x:c>
      <x:c r="U71" s="295" t="str">
        <x:v>CHECK_ONLY</x:v>
      </x:c>
      <x:c r="V71" s="295" t="str">
        <x:v>Giãn dòng phần đầu không được tự đồng nhất với thân bài.</x:v>
      </x:c>
    </x:row>
    <x:row r="72" ht="28" customHeight="1">
      <x:c r="A72" s="295" t="n">
        <x:v>67</x:v>
      </x:c>
      <x:c r="B72" s="295" t="str">
        <x:v>HD05.D.SK.NHAN_SO.CHUOI_CO_DINH</x:v>
      </x:c>
      <x:c r="C72" s="295" t="str">
        <x:v>HD05.D.SK.NHAN_SO</x:v>
      </x:c>
      <x:c r="D72" s="295" t="str">
        <x:v>Số và ký hiệu</x:v>
      </x:c>
      <x:c r="E72" s="295" t="str">
        <x:v>Nhãn Số</x:v>
      </x:c>
      <x:c r="F72" s="295" t="str">
        <x:v>Nhãn hoặc chuỗi cố định</x:v>
      </x:c>
      <x:c r="G72" s="295" t="str">
        <x:v>TEXT</x:v>
      </x:c>
      <x:c r="H72" s="295"/>
      <x:c r="I72" s="295" t="str">
        <x:v>Số</x:v>
      </x:c>
      <x:c r="J72" s="295" t="str">
        <x:v>Đúng giá trị/giới hạn riêng</x:v>
      </x:c>
      <x:c r="K72" s="295" t="str">
        <x:v>Số</x:v>
      </x:c>
      <x:c r="L72" s="295" t="str">
        <x:v>PROFILE_CO_GIA_TRI_HOP_LE</x:v>
      </x:c>
      <x:c r="M72" s="295" t="str">
        <x:v>DOI_CHIEU_CU_THE</x:v>
      </x:c>
      <x:c r="N72" s="295" t="str">
        <x:v>Có số/ký hiệu văn bản; chỉ định dạng, không tự cấp số hoặc ký hiệu; cần xác minh danh mục viết tắt</x:v>
      </x:c>
      <x:c r="O72" s="295" t="str">
        <x:v>Quy định gốc &gt; profile; khi chưa rõ điều kiện thì giữ nguyên; không sinh nội dung.</x:v>
      </x:c>
      <x:c r="P72" s="295" t="str">
        <x:v>PARAGRAPH / RUN / SHAPE tùy thuộc tính</x:v>
      </x:c>
      <x:c r="Q72" s="295" t="str">
        <x:v>Xác định đúng khối Nhãn Số; đọc giá trị thực; đối chiếu điều kiện; không sửa nội dung khi thiếu nguồn.</x:v>
      </x:c>
      <x:c r="R72" s="295" t="str">
        <x:v>Phần II, I.1-9; Phụ lục 2</x:v>
      </x:c>
      <x:c r="S72" s="295" t="str">
        <x:v>https://tulieuvankien.dangcongsan.vn/upload/2006988/20260529/HD_05_VPTW_e1550.pdf</x:v>
      </x:c>
      <x:c r="T72" s="295" t="str">
        <x:v>CÓ</x:v>
      </x:c>
      <x:c r="U72" s="295" t="str">
        <x:v>CHECK_ONLY</x:v>
      </x:c>
      <x:c r="V72" s="295" t="str">
        <x:v>Không thêm nhãn khi thành phần không xuất hiện</x:v>
      </x:c>
    </x:row>
    <x:row r="73" ht="28" customHeight="1">
      <x:c r="A73" s="295" t="n">
        <x:v>68</x:v>
      </x:c>
      <x:c r="B73" s="295" t="str">
        <x:v>HD05.D.SK.SO_VAN_BAN.HIEN_DIEN</x:v>
      </x:c>
      <x:c r="C73" s="295" t="str">
        <x:v>HD05.D.SK.SO_VAN_BAN</x:v>
      </x:c>
      <x:c r="D73" s="295" t="str">
        <x:v>Số và ký hiệu</x:v>
      </x:c>
      <x:c r="E73" s="295" t="str">
        <x:v>Số thứ tự văn bản</x:v>
      </x:c>
      <x:c r="F73" s="295" t="str">
        <x:v>Điều kiện hiện diện</x:v>
      </x:c>
      <x:c r="G73" s="295" t="str">
        <x:v>TEXT</x:v>
      </x:c>
      <x:c r="H73" s="295"/>
      <x:c r="I73" s="295" t="str">
        <x:v>CHƯA XÁC MINH RIÊNG</x:v>
      </x:c>
      <x:c r="J73" s="295" t="str">
        <x:v>Không suy ra giới hạn pháp lý</x:v>
      </x:c>
      <x:c r="K73" s="295" t="str">
        <x:v>Có số/ký hiệu văn bản; chỉ định dạng, không tự cấp số hoặc ký hiệu; cần xác minh danh mục viết tắt</x:v>
      </x:c>
      <x:c r="L73" s="295" t="str">
        <x:v>CHUA_DUYET_DINH_TUYEN</x:v>
      </x:c>
      <x:c r="M73" s="295" t="str">
        <x:v>CHUA_DOI_CHIEU_CU_THE</x:v>
      </x:c>
      <x:c r="N73" s="295" t="str">
        <x:v>Có số/ký hiệu văn bản; chỉ định dạng, không tự cấp số hoặc ký hiệu; cần xác minh danh mục viết tắt</x:v>
      </x:c>
      <x:c r="O73" s="295" t="str">
        <x:v>Quy định gốc &gt; profile; khi chưa rõ điều kiện thì giữ nguyên; không sinh nội dung.</x:v>
      </x:c>
      <x:c r="P73" s="295" t="str">
        <x:v>PARAGRAPH / RUN / SHAPE tùy thuộc tính</x:v>
      </x:c>
      <x:c r="Q73" s="295" t="str">
        <x:v>Xác định đúng khối Số thứ tự văn bản; đọc giá trị thực; đối chiếu điều kiện; không sửa nội dung khi thiếu nguồn.</x:v>
      </x:c>
      <x:c r="R73" s="295" t="str">
        <x:v>Chưa có locator xác minh riêng</x:v>
      </x:c>
      <x:c r="S73" s="295" t="str">
        <x:v>https://tulieuvankien.dangcongsan.vn/upload/2006988/20260529/HD_05_VPTW_e1550.pdf</x:v>
      </x:c>
      <x:c r="T73" s="295" t="str">
        <x:v>CÓ</x:v>
      </x:c>
      <x:c r="U73" s="295" t="str">
        <x:v>CHECK_ONLY</x:v>
      </x:c>
      <x:c r="V73" s="295" t="str">
        <x:v>Phải nhận diện chế độ và chủ thể trước khi áp dụng</x:v>
      </x:c>
    </x:row>
    <x:row r="74" ht="28" customHeight="1">
      <x:c r="A74" s="295" t="n">
        <x:v>69</x:v>
      </x:c>
      <x:c r="B74" s="295" t="str">
        <x:v>HD05.D.SK.SO_VAN_BAN.PHONG_CHU</x:v>
      </x:c>
      <x:c r="C74" s="295" t="str">
        <x:v>HD05.D.SK.SO_VAN_BAN</x:v>
      </x:c>
      <x:c r="D74" s="295" t="str">
        <x:v>Số và ký hiệu</x:v>
      </x:c>
      <x:c r="E74" s="295" t="str">
        <x:v>Số thứ tự văn bản</x:v>
      </x:c>
      <x:c r="F74" s="295" t="str">
        <x:v>Font chữ</x:v>
      </x:c>
      <x:c r="G74" s="295" t="str">
        <x:v>STRING</x:v>
      </x:c>
      <x:c r="H74" s="295"/>
      <x:c r="I74" s="295" t="str">
        <x:v>Times New Roman</x:v>
      </x:c>
      <x:c r="J74" s="295" t="str">
        <x:v>Đúng giá trị/giới hạn riêng</x:v>
      </x:c>
      <x:c r="K74" s="295" t="str">
        <x:v>Times New Roman</x:v>
      </x:c>
      <x:c r="L74" s="295" t="str">
        <x:v>PROFILE_CO_GIA_TRI_CHUA_DUYET</x:v>
      </x:c>
      <x:c r="M74" s="295" t="str">
        <x:v>DOI_CHIEU_CU_THE</x:v>
      </x:c>
      <x:c r="N74" s="295" t="str">
        <x:v>Có số/ký hiệu văn bản; chỉ định dạng, không tự cấp số hoặc ký hiệu; cần xác minh danh mục viết tắt</x:v>
      </x:c>
      <x:c r="O74" s="295" t="str">
        <x:v>Quy định gốc &gt; profile; khi chưa rõ điều kiện thì giữ nguyên; không sinh nội dung.</x:v>
      </x:c>
      <x:c r="P74" s="295" t="str">
        <x:v>PARAGRAPH / RUN / SHAPE tùy thuộc tính</x:v>
      </x:c>
      <x:c r="Q74" s="295" t="str">
        <x:v>Xác định đúng khối Số thứ tự văn bản; đọc giá trị thực; đối chiếu điều kiện; không sửa nội dung khi thiếu nguồn.</x:v>
      </x:c>
      <x:c r="R74" s="295" t="str">
        <x:v>Phần II, IV.1</x:v>
      </x:c>
      <x:c r="S74" s="295" t="str">
        <x:v>https://tulieuvankien.dangcongsan.vn/upload/2006988/20260529/HD_05_VPTW_e1550.pdf</x:v>
      </x:c>
      <x:c r="T74" s="295" t="str">
        <x:v>CÓ</x:v>
      </x:c>
      <x:c r="U74" s="295" t="str">
        <x:v>CHECK_ONLY</x:v>
      </x:c>
      <x:c r="V74" s="295" t="str"/>
    </x:row>
    <x:row r="75" ht="28" customHeight="1">
      <x:c r="A75" s="295" t="n">
        <x:v>70</x:v>
      </x:c>
      <x:c r="B75" s="295" t="str">
        <x:v>HD05.D.SK.SO_VAN_BAN.CO_CHU</x:v>
      </x:c>
      <x:c r="C75" s="295" t="str">
        <x:v>HD05.D.SK.SO_VAN_BAN</x:v>
      </x:c>
      <x:c r="D75" s="295" t="str">
        <x:v>Số và ký hiệu</x:v>
      </x:c>
      <x:c r="E75" s="295" t="str">
        <x:v>Số thứ tự văn bản</x:v>
      </x:c>
      <x:c r="F75" s="295" t="str">
        <x:v>Cỡ chữ</x:v>
      </x:c>
      <x:c r="G75" s="295" t="str">
        <x:v>NUMBER_OR_RANGE</x:v>
      </x:c>
      <x:c r="H75" s="295" t="str">
        <x:v>pt</x:v>
      </x:c>
      <x:c r="I75" s="295" t="str">
        <x:v>14</x:v>
      </x:c>
      <x:c r="J75" s="295" t="str">
        <x:v>Đúng giá trị/giới hạn riêng</x:v>
      </x:c>
      <x:c r="K75" s="295" t="n">
        <x:v>14</x:v>
      </x:c>
      <x:c r="L75" s="295" t="str">
        <x:v>PROFILE_CO_GIA_TRI_CHUA_DUYET</x:v>
      </x:c>
      <x:c r="M75" s="295" t="str">
        <x:v>DOI_CHIEU_CU_THE</x:v>
      </x:c>
      <x:c r="N75" s="295" t="str">
        <x:v>Có số/ký hiệu văn bản; chỉ định dạng, không tự cấp số hoặc ký hiệu; cần xác minh danh mục viết tắt</x:v>
      </x:c>
      <x:c r="O75" s="295" t="str">
        <x:v>Quy định gốc &gt; profile; khi chưa rõ điều kiện thì giữ nguyên; không sinh nội dung.</x:v>
      </x:c>
      <x:c r="P75" s="295" t="str">
        <x:v>PARAGRAPH / RUN / SHAPE tùy thuộc tính</x:v>
      </x:c>
      <x:c r="Q75" s="295" t="str">
        <x:v>Xác định đúng khối Số thứ tự văn bản; đọc giá trị thực; đối chiếu điều kiện; không sửa nội dung khi thiếu nguồn.</x:v>
      </x:c>
      <x:c r="R75" s="295" t="str">
        <x:v>Phần II, I.3; Phụ lục 2, TT3</x:v>
      </x:c>
      <x:c r="S75" s="295" t="str">
        <x:v>https://tulieuvankien.dangcongsan.vn/upload/2006988/20260529/HD_05_VPTW_e1550.pdf</x:v>
      </x:c>
      <x:c r="T75" s="295" t="str">
        <x:v>CÓ</x:v>
      </x:c>
      <x:c r="U75" s="295" t="str">
        <x:v>CHECK_ONLY</x:v>
      </x:c>
      <x:c r="V75" s="295" t="str"/>
    </x:row>
    <x:row r="76" ht="28" customHeight="1">
      <x:c r="A76" s="295" t="n">
        <x:v>71</x:v>
      </x:c>
      <x:c r="B76" s="295" t="str">
        <x:v>HD05.D.SK.SO_VAN_BAN.DAM</x:v>
      </x:c>
      <x:c r="C76" s="295" t="str">
        <x:v>HD05.D.SK.SO_VAN_BAN</x:v>
      </x:c>
      <x:c r="D76" s="295" t="str">
        <x:v>Số và ký hiệu</x:v>
      </x:c>
      <x:c r="E76" s="295" t="str">
        <x:v>Số thứ tự văn bản</x:v>
      </x:c>
      <x:c r="F76" s="295" t="str">
        <x:v>In đậm</x:v>
      </x:c>
      <x:c r="G76" s="295" t="str">
        <x:v>BOOLEAN</x:v>
      </x:c>
      <x:c r="H76" s="295"/>
      <x:c r="I76" s="296" t="b">
        <x:v>0</x:v>
      </x:c>
      <x:c r="J76" s="295" t="str">
        <x:v>Đúng giá trị/giới hạn riêng</x:v>
      </x:c>
      <x:c r="K76" s="296" t="b">
        <x:v>0</x:v>
      </x:c>
      <x:c r="L76" s="295" t="str">
        <x:v>PROFILE_CO_GIA_TRI_CHUA_DUYET</x:v>
      </x:c>
      <x:c r="M76" s="295" t="str">
        <x:v>DOI_CHIEU_CU_THE</x:v>
      </x:c>
      <x:c r="N76" s="295" t="str">
        <x:v>Có số/ký hiệu văn bản; chỉ định dạng, không tự cấp số hoặc ký hiệu; cần xác minh danh mục viết tắt</x:v>
      </x:c>
      <x:c r="O76" s="295" t="str">
        <x:v>Quy định gốc &gt; profile; khi chưa rõ điều kiện thì giữ nguyên; không sinh nội dung.</x:v>
      </x:c>
      <x:c r="P76" s="295" t="str">
        <x:v>PARAGRAPH / RUN / SHAPE tùy thuộc tính</x:v>
      </x:c>
      <x:c r="Q76" s="295" t="str">
        <x:v>Xác định đúng khối Số thứ tự văn bản; đọc giá trị thực; đối chiếu điều kiện; không sửa nội dung khi thiếu nguồn.</x:v>
      </x:c>
      <x:c r="R76" s="295" t="str">
        <x:v>Phần II, I.3; Phụ lục 2, TT3</x:v>
      </x:c>
      <x:c r="S76" s="295" t="str">
        <x:v>https://tulieuvankien.dangcongsan.vn/upload/2006988/20260529/HD_05_VPTW_e1550.pdf</x:v>
      </x:c>
      <x:c r="T76" s="295" t="str">
        <x:v>CÓ</x:v>
      </x:c>
      <x:c r="U76" s="295" t="str">
        <x:v>CHECK_ONLY</x:v>
      </x:c>
      <x:c r="V76" s="295" t="str"/>
    </x:row>
    <x:row r="77" ht="28" customHeight="1">
      <x:c r="A77" s="295" t="n">
        <x:v>72</x:v>
      </x:c>
      <x:c r="B77" s="295" t="str">
        <x:v>HD05.D.SK.SO_VAN_BAN.NGHIENG</x:v>
      </x:c>
      <x:c r="C77" s="295" t="str">
        <x:v>HD05.D.SK.SO_VAN_BAN</x:v>
      </x:c>
      <x:c r="D77" s="295" t="str">
        <x:v>Số và ký hiệu</x:v>
      </x:c>
      <x:c r="E77" s="295" t="str">
        <x:v>Số thứ tự văn bản</x:v>
      </x:c>
      <x:c r="F77" s="295" t="str">
        <x:v>In nghiêng</x:v>
      </x:c>
      <x:c r="G77" s="295" t="str">
        <x:v>BOOLEAN</x:v>
      </x:c>
      <x:c r="H77" s="295"/>
      <x:c r="I77" s="296" t="b">
        <x:v>0</x:v>
      </x:c>
      <x:c r="J77" s="295" t="str">
        <x:v>Đúng giá trị/giới hạn riêng</x:v>
      </x:c>
      <x:c r="K77" s="296" t="b">
        <x:v>0</x:v>
      </x:c>
      <x:c r="L77" s="295" t="str">
        <x:v>PROFILE_CO_GIA_TRI_CHUA_DUYET</x:v>
      </x:c>
      <x:c r="M77" s="295" t="str">
        <x:v>DOI_CHIEU_CU_THE</x:v>
      </x:c>
      <x:c r="N77" s="295" t="str">
        <x:v>Có số/ký hiệu văn bản; chỉ định dạng, không tự cấp số hoặc ký hiệu; cần xác minh danh mục viết tắt</x:v>
      </x:c>
      <x:c r="O77" s="295" t="str">
        <x:v>Quy định gốc &gt; profile; khi chưa rõ điều kiện thì giữ nguyên; không sinh nội dung.</x:v>
      </x:c>
      <x:c r="P77" s="295" t="str">
        <x:v>PARAGRAPH / RUN / SHAPE tùy thuộc tính</x:v>
      </x:c>
      <x:c r="Q77" s="295" t="str">
        <x:v>Xác định đúng khối Số thứ tự văn bản; đọc giá trị thực; đối chiếu điều kiện; không sửa nội dung khi thiếu nguồn.</x:v>
      </x:c>
      <x:c r="R77" s="295" t="str">
        <x:v>Phần II, I.3; Phụ lục 2, TT3</x:v>
      </x:c>
      <x:c r="S77" s="295" t="str">
        <x:v>https://tulieuvankien.dangcongsan.vn/upload/2006988/20260529/HD_05_VPTW_e1550.pdf</x:v>
      </x:c>
      <x:c r="T77" s="295" t="str">
        <x:v>CÓ</x:v>
      </x:c>
      <x:c r="U77" s="295" t="str">
        <x:v>CHECK_ONLY</x:v>
      </x:c>
      <x:c r="V77" s="295" t="str"/>
    </x:row>
    <x:row r="78" ht="28" customHeight="1">
      <x:c r="A78" s="295" t="n">
        <x:v>73</x:v>
      </x:c>
      <x:c r="B78" s="295" t="str">
        <x:v>HD05.D.SK.SO_VAN_BAN.KIEU_CHU</x:v>
      </x:c>
      <x:c r="C78" s="295" t="str">
        <x:v>HD05.D.SK.SO_VAN_BAN</x:v>
      </x:c>
      <x:c r="D78" s="295" t="str">
        <x:v>Số và ký hiệu</x:v>
      </x:c>
      <x:c r="E78" s="295" t="str">
        <x:v>Số thứ tự văn bản</x:v>
      </x:c>
      <x:c r="F78" s="295" t="str">
        <x:v>Kiểu viết hoa/thường</x:v>
      </x:c>
      <x:c r="G78" s="295" t="str">
        <x:v>ENUM</x:v>
      </x:c>
      <x:c r="H78" s="295"/>
      <x:c r="I78" s="295" t="str">
        <x:v>Chữ số Ả Rập</x:v>
      </x:c>
      <x:c r="J78" s="295" t="str">
        <x:v>Đúng giá trị/giới hạn riêng</x:v>
      </x:c>
      <x:c r="K78" s="295" t="str">
        <x:v>Chữ số Ả Rập; không áp dụng quy tắc IN HOA</x:v>
      </x:c>
      <x:c r="L78" s="295" t="str">
        <x:v>PROFILE_CO_GIA_TRI_CHUA_DUYET</x:v>
      </x:c>
      <x:c r="M78" s="295" t="str">
        <x:v>DOI_CHIEU_CU_THE</x:v>
      </x:c>
      <x:c r="N78" s="295" t="str">
        <x:v>Có số/ký hiệu văn bản; chỉ định dạng, không tự cấp số hoặc ký hiệu; cần xác minh danh mục viết tắt</x:v>
      </x:c>
      <x:c r="O78" s="295" t="str">
        <x:v>Quy định gốc &gt; profile; khi chưa rõ điều kiện thì giữ nguyên; không sinh nội dung.</x:v>
      </x:c>
      <x:c r="P78" s="295" t="str">
        <x:v>PARAGRAPH / RUN / SHAPE tùy thuộc tính</x:v>
      </x:c>
      <x:c r="Q78" s="295" t="str">
        <x:v>Xác định đúng khối Số thứ tự văn bản; đọc giá trị thực; đối chiếu điều kiện; không sửa nội dung khi thiếu nguồn.</x:v>
      </x:c>
      <x:c r="R78" s="295" t="str">
        <x:v>Phần II, I.3; Phụ lục 2, TT3</x:v>
      </x:c>
      <x:c r="S78" s="295" t="str">
        <x:v>https://tulieuvankien.dangcongsan.vn/upload/2006988/20260529/HD_05_VPTW_e1550.pdf</x:v>
      </x:c>
      <x:c r="T78" s="295" t="str">
        <x:v>CÓ</x:v>
      </x:c>
      <x:c r="U78" s="295" t="str">
        <x:v>CHECK_ONLY</x:v>
      </x:c>
      <x:c r="V78" s="295" t="str"/>
    </x:row>
    <x:row r="79" ht="28" customHeight="1">
      <x:c r="A79" s="295" t="n">
        <x:v>74</x:v>
      </x:c>
      <x:c r="B79" s="295" t="str">
        <x:v>HD05.D.SK.SO_VAN_BAN.CAN_NGANG</x:v>
      </x:c>
      <x:c r="C79" s="295" t="str">
        <x:v>HD05.D.SK.SO_VAN_BAN</x:v>
      </x:c>
      <x:c r="D79" s="295" t="str">
        <x:v>Số và ký hiệu</x:v>
      </x:c>
      <x:c r="E79" s="295" t="str">
        <x:v>Số thứ tự văn bản</x:v>
      </x:c>
      <x:c r="F79" s="295" t="str">
        <x:v>Căn ngang</x:v>
      </x:c>
      <x:c r="G79" s="295" t="str">
        <x:v>ENUM</x:v>
      </x:c>
      <x:c r="H79" s="295"/>
      <x:c r="I79" s="295" t="str">
        <x:v>CENTER</x:v>
      </x:c>
      <x:c r="J79" s="295" t="str">
        <x:v>Đúng giá trị/giới hạn riêng</x:v>
      </x:c>
      <x:c r="K79" s="295" t="str">
        <x:v>CENTER</x:v>
      </x:c>
      <x:c r="L79" s="295" t="str">
        <x:v>PROFILE_CO_GIA_TRI_CHUA_DUYET</x:v>
      </x:c>
      <x:c r="M79" s="295" t="str">
        <x:v>DOI_CHIEU_CU_THE</x:v>
      </x:c>
      <x:c r="N79" s="295" t="str">
        <x:v>Có số/ký hiệu văn bản; chỉ định dạng, không tự cấp số hoặc ký hiệu; cần xác minh danh mục viết tắt</x:v>
      </x:c>
      <x:c r="O79" s="295" t="str">
        <x:v>Quy định gốc &gt; profile; khi chưa rõ điều kiện thì giữ nguyên; không sinh nội dung.</x:v>
      </x:c>
      <x:c r="P79" s="295" t="str">
        <x:v>PARAGRAPH / RUN / SHAPE tùy thuộc tính</x:v>
      </x:c>
      <x:c r="Q79" s="295" t="str">
        <x:v>Xác định đúng khối Số thứ tự văn bản; đọc giá trị thực; đối chiếu điều kiện; không sửa nội dung khi thiếu nguồn.</x:v>
      </x:c>
      <x:c r="R79" s="295" t="str">
        <x:v>Phần II, I.3; Phụ lục 2, TT3</x:v>
      </x:c>
      <x:c r="S79" s="295" t="str">
        <x:v>https://tulieuvankien.dangcongsan.vn/upload/2006988/20260529/HD_05_VPTW_e1550.pdf</x:v>
      </x:c>
      <x:c r="T79" s="295" t="str">
        <x:v>CÓ</x:v>
      </x:c>
      <x:c r="U79" s="295" t="str">
        <x:v>CHECK_ONLY</x:v>
      </x:c>
      <x:c r="V79" s="295" t="str"/>
    </x:row>
    <x:row r="80" ht="28" customHeight="1">
      <x:c r="A80" s="295" t="n">
        <x:v>75</x:v>
      </x:c>
      <x:c r="B80" s="295" t="str">
        <x:v>HD05.D.SK.SO_VAN_BAN.CACH_SAU</x:v>
      </x:c>
      <x:c r="C80" s="295" t="str">
        <x:v>HD05.D.SK.SO_VAN_BAN</x:v>
      </x:c>
      <x:c r="D80" s="295" t="str">
        <x:v>Số và ký hiệu</x:v>
      </x:c>
      <x:c r="E80" s="295" t="str">
        <x:v>Số thứ tự văn bản</x:v>
      </x:c>
      <x:c r="F80" s="295" t="str">
        <x:v>Khoảng cách sau đoạn</x:v>
      </x:c>
      <x:c r="G80" s="295" t="str">
        <x:v>NUMBER</x:v>
      </x:c>
      <x:c r="H80" s="295" t="str">
        <x:v>pt</x:v>
      </x:c>
      <x:c r="I80" s="295" t="str">
        <x:v>CHƯA XÁC MINH RIÊNG</x:v>
      </x:c>
      <x:c r="J80" s="295" t="str">
        <x:v>Không suy ra giới hạn pháp lý</x:v>
      </x:c>
      <x:c r="K80" s="295" t="n">
        <x:v>0</x:v>
      </x:c>
      <x:c r="L80" s="295" t="str">
        <x:v>PROFILE_CHO_RAO_SOAT</x:v>
      </x:c>
      <x:c r="M80" s="295" t="str">
        <x:v>CHUA_DOI_CHIEU_CU_THE</x:v>
      </x:c>
      <x:c r="N80" s="295" t="str">
        <x:v>Có số/ký hiệu văn bản; chỉ định dạng, không tự cấp số hoặc ký hiệu; cần xác minh danh mục viết tắt</x:v>
      </x:c>
      <x:c r="O80" s="295" t="str">
        <x:v>Quy định gốc &gt; profile; khi chưa rõ điều kiện thì giữ nguyên; không sinh nội dung.</x:v>
      </x:c>
      <x:c r="P80" s="295" t="str">
        <x:v>PARAGRAPH / RUN / SHAPE tùy thuộc tính</x:v>
      </x:c>
      <x:c r="Q80" s="295" t="str">
        <x:v>Xác định đúng khối Số thứ tự văn bản; đọc giá trị thực; đối chiếu điều kiện; không sửa nội dung khi thiếu nguồn.</x:v>
      </x:c>
      <x:c r="R80" s="295" t="str">
        <x:v>Chưa có locator xác minh riêng</x:v>
      </x:c>
      <x:c r="S80" s="295" t="str">
        <x:v>https://tulieuvankien.dangcongsan.vn/upload/2006988/20260529/HD_05_VPTW_e1550.pdf</x:v>
      </x:c>
      <x:c r="T80" s="295" t="str">
        <x:v>CÓ</x:v>
      </x:c>
      <x:c r="U80" s="295" t="str">
        <x:v>CHECK_ONLY</x:v>
      </x:c>
      <x:c r="V80" s="295" t="str">
        <x:v>Không tự chèn đoạn trắng</x:v>
      </x:c>
    </x:row>
    <x:row r="81" ht="28" customHeight="1">
      <x:c r="A81" s="295" t="n">
        <x:v>76</x:v>
      </x:c>
      <x:c r="B81" s="295" t="str">
        <x:v>HD05.D.SK.SO_VAN_BAN.GIAN_DONG</x:v>
      </x:c>
      <x:c r="C81" s="295" t="str">
        <x:v>HD05.D.SK.SO_VAN_BAN</x:v>
      </x:c>
      <x:c r="D81" s="295" t="str">
        <x:v>Số và ký hiệu</x:v>
      </x:c>
      <x:c r="E81" s="295" t="str">
        <x:v>Số thứ tự văn bản</x:v>
      </x:c>
      <x:c r="F81" s="295" t="str">
        <x:v>Giãn dòng</x:v>
      </x:c>
      <x:c r="G81" s="295" t="str">
        <x:v>NUMBER</x:v>
      </x:c>
      <x:c r="H81" s="295" t="str">
        <x:v>lines</x:v>
      </x:c>
      <x:c r="I81" s="295" t="str">
        <x:v>CHƯA XÁC MINH RIÊNG</x:v>
      </x:c>
      <x:c r="J81" s="295" t="str">
        <x:v>Không suy ra giới hạn pháp lý</x:v>
      </x:c>
      <x:c r="K81" s="295" t="str">
        <x:v>SINGLE</x:v>
      </x:c>
      <x:c r="L81" s="295" t="str">
        <x:v>PROFILE_CHO_RAO_SOAT</x:v>
      </x:c>
      <x:c r="M81" s="295" t="str">
        <x:v>CHUA_DOI_CHIEU_CU_THE</x:v>
      </x:c>
      <x:c r="N81" s="295" t="str">
        <x:v>Có số/ký hiệu văn bản; chỉ định dạng, không tự cấp số hoặc ký hiệu; cần xác minh danh mục viết tắt</x:v>
      </x:c>
      <x:c r="O81" s="295" t="str">
        <x:v>Quy định gốc &gt; profile; khi chưa rõ điều kiện thì giữ nguyên; không sinh nội dung.</x:v>
      </x:c>
      <x:c r="P81" s="295" t="str">
        <x:v>PARAGRAPH / RUN / SHAPE tùy thuộc tính</x:v>
      </x:c>
      <x:c r="Q81" s="295" t="str">
        <x:v>Xác định đúng khối Số thứ tự văn bản; đọc giá trị thực; đối chiếu điều kiện; không sửa nội dung khi thiếu nguồn.</x:v>
      </x:c>
      <x:c r="R81" s="295" t="str">
        <x:v>Chưa có locator xác minh riêng</x:v>
      </x:c>
      <x:c r="S81" s="295" t="str">
        <x:v>https://tulieuvankien.dangcongsan.vn/upload/2006988/20260529/HD_05_VPTW_e1550.pdf</x:v>
      </x:c>
      <x:c r="T81" s="295" t="str">
        <x:v>CÓ</x:v>
      </x:c>
      <x:c r="U81" s="295" t="str">
        <x:v>CHECK_ONLY</x:v>
      </x:c>
      <x:c r="V81" s="295" t="str">
        <x:v>Giãn dòng phần đầu không được tự đồng nhất với thân bài.</x:v>
      </x:c>
    </x:row>
    <x:row r="82" ht="28" customHeight="1">
      <x:c r="A82" s="295" t="n">
        <x:v>77</x:v>
      </x:c>
      <x:c r="B82" s="295" t="str">
        <x:v>HD05.D.SK.SO_VAN_BAN.BAO_VE_NOI_DUNG</x:v>
      </x:c>
      <x:c r="C82" s="295" t="str">
        <x:v>HD05.D.SK.SO_VAN_BAN</x:v>
      </x:c>
      <x:c r="D82" s="295" t="str">
        <x:v>Số và ký hiệu</x:v>
      </x:c>
      <x:c r="E82" s="295" t="str">
        <x:v>Số thứ tự văn bản</x:v>
      </x:c>
      <x:c r="F82" s="295" t="str">
        <x:v>Không tự suy diễn nội dung</x:v>
      </x:c>
      <x:c r="G82" s="295" t="str">
        <x:v>BOOLEAN</x:v>
      </x:c>
      <x:c r="H82" s="295"/>
      <x:c r="I82" s="295" t="str">
        <x:v>CHƯA XÁC MINH RIÊNG</x:v>
      </x:c>
      <x:c r="J82" s="295" t="str">
        <x:v>Không suy ra giới hạn pháp lý</x:v>
      </x:c>
      <x:c r="K82" s="296" t="b">
        <x:v>1</x:v>
      </x:c>
      <x:c r="L82" s="295" t="str">
        <x:v>NOI_DUNG_BAO_VE</x:v>
      </x:c>
      <x:c r="M82" s="295" t="str">
        <x:v>CHUA_DOI_CHIEU_CU_THE</x:v>
      </x:c>
      <x:c r="N82" s="295" t="str">
        <x:v>Có số/ký hiệu văn bản; chỉ định dạng, không tự cấp số hoặc ký hiệu; cần xác minh danh mục viết tắt</x:v>
      </x:c>
      <x:c r="O82" s="295" t="str">
        <x:v>Quy định gốc &gt; profile; khi chưa rõ điều kiện thì giữ nguyên; không sinh nội dung.</x:v>
      </x:c>
      <x:c r="P82" s="295" t="str">
        <x:v>PARAGRAPH / RUN / SHAPE tùy thuộc tính</x:v>
      </x:c>
      <x:c r="Q82" s="295" t="str">
        <x:v>Xác định đúng khối Số thứ tự văn bản; đọc giá trị thực; đối chiếu điều kiện; không sửa nội dung khi thiếu nguồn.</x:v>
      </x:c>
      <x:c r="R82" s="295" t="str">
        <x:v>Chưa có locator xác minh riêng</x:v>
      </x:c>
      <x:c r="S82" s="295" t="str">
        <x:v>https://tulieuvankien.dangcongsan.vn/upload/2006988/20260529/HD_05_VPTW_e1550.pdf</x:v>
      </x:c>
      <x:c r="T82" s="295" t="str">
        <x:v>CÓ</x:v>
      </x:c>
      <x:c r="U82" s="295" t="str">
        <x:v>CHECK_ONLY</x:v>
      </x:c>
      <x:c r="V82" s="295" t="str">
        <x:v>Chỉ chuẩn hóa hình thức sau khi xác nhận chính xác nội dung, không tự điền số/ngày/người nhận.</x:v>
      </x:c>
    </x:row>
    <x:row r="83" ht="28" customHeight="1">
      <x:c r="A83" s="295" t="n">
        <x:v>78</x:v>
      </x:c>
      <x:c r="B83" s="295" t="str">
        <x:v>HD05.D.SK.SO_VAN_BAN.SO_0</x:v>
      </x:c>
      <x:c r="C83" s="295" t="str">
        <x:v>HD05.D.SK.SO_VAN_BAN</x:v>
      </x:c>
      <x:c r="D83" s="295" t="str">
        <x:v>Số và ký hiệu</x:v>
      </x:c>
      <x:c r="E83" s="295" t="str">
        <x:v>Số thứ tự văn bản</x:v>
      </x:c>
      <x:c r="F83" s="295" t="str">
        <x:v>Bổ sung số 0 khi số văn bản &lt; 10</x:v>
      </x:c>
      <x:c r="G83" s="295" t="str">
        <x:v>TEXT</x:v>
      </x:c>
      <x:c r="H83" s="295"/>
      <x:c r="I83" s="295" t="str">
        <x:v>Có, theo quy định</x:v>
      </x:c>
      <x:c r="J83" s="295" t="str">
        <x:v>Đúng giá trị/giới hạn riêng</x:v>
      </x:c>
      <x:c r="K83" s="295" t="str">
        <x:v>Không tự cấp số</x:v>
      </x:c>
      <x:c r="L83" s="295" t="str">
        <x:v>PROFILE_THEO_NGUON</x:v>
      </x:c>
      <x:c r="M83" s="295" t="str">
        <x:v>DOI_CHIEU_CU_THE</x:v>
      </x:c>
      <x:c r="N83" s="295" t="str">
        <x:v>Có số/ký hiệu văn bản; chỉ định dạng, không tự cấp số hoặc ký hiệu; cần xác minh danh mục viết tắt</x:v>
      </x:c>
      <x:c r="O83" s="295" t="str">
        <x:v>Quy định gốc &gt; profile; khi chưa rõ điều kiện thì giữ nguyên; không sinh nội dung.</x:v>
      </x:c>
      <x:c r="P83" s="295" t="str">
        <x:v>PARAGRAPH / RUN / SHAPE tùy thuộc tính</x:v>
      </x:c>
      <x:c r="Q83" s="295" t="str">
        <x:v>Xác định đúng khối Số thứ tự văn bản; đọc giá trị thực; đối chiếu điều kiện; không sửa nội dung khi thiếu nguồn.</x:v>
      </x:c>
      <x:c r="R83" s="295" t="str">
        <x:v>Phần II, I.3.2</x:v>
      </x:c>
      <x:c r="S83" s="295" t="str">
        <x:v>https://tulieuvankien.dangcongsan.vn/upload/2006988/20260529/HD_05_VPTW_e1550.pdf</x:v>
      </x:c>
      <x:c r="T83" s="295" t="str">
        <x:v>CÓ</x:v>
      </x:c>
      <x:c r="U83" s="295" t="str">
        <x:v>CHECK_ONLY</x:v>
      </x:c>
      <x:c r="V83" s="295" t="str">
        <x:v>Mã rule con chỉ phục vụ AI đọc; không tự tạo thao tác OOXML.</x:v>
      </x:c>
    </x:row>
    <x:row r="84" ht="28" customHeight="1">
      <x:c r="A84" s="295" t="n">
        <x:v>79</x:v>
      </x:c>
      <x:c r="B84" s="295" t="str">
        <x:v>HD05.D.SK.KY_HIEU_LOAI.HIEN_DIEN</x:v>
      </x:c>
      <x:c r="C84" s="295" t="str">
        <x:v>HD05.D.SK.KY_HIEU_LOAI</x:v>
      </x:c>
      <x:c r="D84" s="295" t="str">
        <x:v>Số và ký hiệu</x:v>
      </x:c>
      <x:c r="E84" s="295" t="str">
        <x:v>Ký hiệu thể loại văn bản</x:v>
      </x:c>
      <x:c r="F84" s="295" t="str">
        <x:v>Điều kiện hiện diện</x:v>
      </x:c>
      <x:c r="G84" s="295" t="str">
        <x:v>TEXT</x:v>
      </x:c>
      <x:c r="H84" s="295"/>
      <x:c r="I84" s="295" t="str">
        <x:v>CHƯA XÁC MINH RIÊNG</x:v>
      </x:c>
      <x:c r="J84" s="295" t="str">
        <x:v>Không suy ra giới hạn pháp lý</x:v>
      </x:c>
      <x:c r="K84" s="295" t="str">
        <x:v>Có số/ký hiệu văn bản; chỉ định dạng, không tự cấp số hoặc ký hiệu; cần xác minh danh mục viết tắt</x:v>
      </x:c>
      <x:c r="L84" s="295" t="str">
        <x:v>CHUA_DUYET_DINH_TUYEN</x:v>
      </x:c>
      <x:c r="M84" s="295" t="str">
        <x:v>CHUA_DOI_CHIEU_CU_THE</x:v>
      </x:c>
      <x:c r="N84" s="295" t="str">
        <x:v>Có số/ký hiệu văn bản; chỉ định dạng, không tự cấp số hoặc ký hiệu; cần xác minh danh mục viết tắt</x:v>
      </x:c>
      <x:c r="O84" s="295" t="str">
        <x:v>Quy định gốc &gt; profile; khi chưa rõ điều kiện thì giữ nguyên; không sinh nội dung.</x:v>
      </x:c>
      <x:c r="P84" s="295" t="str">
        <x:v>PARAGRAPH / RUN / SHAPE tùy thuộc tính</x:v>
      </x:c>
      <x:c r="Q84" s="295" t="str">
        <x:v>Xác định đúng khối Ký hiệu thể loại văn bản; đọc giá trị thực; đối chiếu điều kiện; không sửa nội dung khi thiếu nguồn.</x:v>
      </x:c>
      <x:c r="R84" s="295" t="str">
        <x:v>Chưa có locator xác minh riêng</x:v>
      </x:c>
      <x:c r="S84" s="295" t="str">
        <x:v>https://tulieuvankien.dangcongsan.vn/upload/2006988/20260529/HD_05_VPTW_e1550.pdf</x:v>
      </x:c>
      <x:c r="T84" s="295" t="str">
        <x:v>CÓ</x:v>
      </x:c>
      <x:c r="U84" s="295" t="str">
        <x:v>CHECK_ONLY</x:v>
      </x:c>
      <x:c r="V84" s="295" t="str">
        <x:v>Phải nhận diện chế độ và chủ thể trước khi áp dụng</x:v>
      </x:c>
    </x:row>
    <x:row r="85" ht="28" customHeight="1">
      <x:c r="A85" s="295" t="n">
        <x:v>80</x:v>
      </x:c>
      <x:c r="B85" s="295" t="str">
        <x:v>HD05.D.SK.KY_HIEU_LOAI.PHONG_CHU</x:v>
      </x:c>
      <x:c r="C85" s="295" t="str">
        <x:v>HD05.D.SK.KY_HIEU_LOAI</x:v>
      </x:c>
      <x:c r="D85" s="295" t="str">
        <x:v>Số và ký hiệu</x:v>
      </x:c>
      <x:c r="E85" s="295" t="str">
        <x:v>Ký hiệu thể loại văn bản</x:v>
      </x:c>
      <x:c r="F85" s="295" t="str">
        <x:v>Font chữ</x:v>
      </x:c>
      <x:c r="G85" s="295" t="str">
        <x:v>STRING</x:v>
      </x:c>
      <x:c r="H85" s="295"/>
      <x:c r="I85" s="295" t="str">
        <x:v>Times New Roman</x:v>
      </x:c>
      <x:c r="J85" s="295" t="str">
        <x:v>Đúng giá trị/giới hạn riêng</x:v>
      </x:c>
      <x:c r="K85" s="295" t="str">
        <x:v>Times New Roman</x:v>
      </x:c>
      <x:c r="L85" s="295" t="str">
        <x:v>PROFILE_CO_GIA_TRI_CHUA_DUYET</x:v>
      </x:c>
      <x:c r="M85" s="295" t="str">
        <x:v>DOI_CHIEU_CU_THE</x:v>
      </x:c>
      <x:c r="N85" s="295" t="str">
        <x:v>Có số/ký hiệu văn bản; chỉ định dạng, không tự cấp số hoặc ký hiệu; cần xác minh danh mục viết tắt</x:v>
      </x:c>
      <x:c r="O85" s="295" t="str">
        <x:v>Quy định gốc &gt; profile; khi chưa rõ điều kiện thì giữ nguyên; không sinh nội dung.</x:v>
      </x:c>
      <x:c r="P85" s="295" t="str">
        <x:v>PARAGRAPH / RUN / SHAPE tùy thuộc tính</x:v>
      </x:c>
      <x:c r="Q85" s="295" t="str">
        <x:v>Xác định đúng khối Ký hiệu thể loại văn bản; đọc giá trị thực; đối chiếu điều kiện; không sửa nội dung khi thiếu nguồn.</x:v>
      </x:c>
      <x:c r="R85" s="295" t="str">
        <x:v>Phần II, IV.1</x:v>
      </x:c>
      <x:c r="S85" s="295" t="str">
        <x:v>https://tulieuvankien.dangcongsan.vn/upload/2006988/20260529/HD_05_VPTW_e1550.pdf</x:v>
      </x:c>
      <x:c r="T85" s="295" t="str">
        <x:v>CÓ</x:v>
      </x:c>
      <x:c r="U85" s="295" t="str">
        <x:v>CHECK_ONLY</x:v>
      </x:c>
      <x:c r="V85" s="295" t="str"/>
    </x:row>
    <x:row r="86" ht="28" customHeight="1">
      <x:c r="A86" s="295" t="n">
        <x:v>81</x:v>
      </x:c>
      <x:c r="B86" s="295" t="str">
        <x:v>HD05.D.SK.KY_HIEU_LOAI.CO_CHU</x:v>
      </x:c>
      <x:c r="C86" s="295" t="str">
        <x:v>HD05.D.SK.KY_HIEU_LOAI</x:v>
      </x:c>
      <x:c r="D86" s="295" t="str">
        <x:v>Số và ký hiệu</x:v>
      </x:c>
      <x:c r="E86" s="295" t="str">
        <x:v>Ký hiệu thể loại văn bản</x:v>
      </x:c>
      <x:c r="F86" s="295" t="str">
        <x:v>Cỡ chữ</x:v>
      </x:c>
      <x:c r="G86" s="295" t="str">
        <x:v>NUMBER_OR_RANGE</x:v>
      </x:c>
      <x:c r="H86" s="295" t="str">
        <x:v>pt</x:v>
      </x:c>
      <x:c r="I86" s="295" t="str">
        <x:v>14</x:v>
      </x:c>
      <x:c r="J86" s="295" t="str">
        <x:v>Đúng giá trị/giới hạn riêng</x:v>
      </x:c>
      <x:c r="K86" s="295" t="n">
        <x:v>14</x:v>
      </x:c>
      <x:c r="L86" s="295" t="str">
        <x:v>PROFILE_CO_GIA_TRI_CHUA_DUYET</x:v>
      </x:c>
      <x:c r="M86" s="295" t="str">
        <x:v>DOI_CHIEU_CU_THE</x:v>
      </x:c>
      <x:c r="N86" s="295" t="str">
        <x:v>Có số/ký hiệu văn bản; chỉ định dạng, không tự cấp số hoặc ký hiệu; cần xác minh danh mục viết tắt</x:v>
      </x:c>
      <x:c r="O86" s="295" t="str">
        <x:v>Quy định gốc &gt; profile; khi chưa rõ điều kiện thì giữ nguyên; không sinh nội dung.</x:v>
      </x:c>
      <x:c r="P86" s="295" t="str">
        <x:v>PARAGRAPH / RUN / SHAPE tùy thuộc tính</x:v>
      </x:c>
      <x:c r="Q86" s="295" t="str">
        <x:v>Xác định đúng khối Ký hiệu thể loại văn bản; đọc giá trị thực; đối chiếu điều kiện; không sửa nội dung khi thiếu nguồn.</x:v>
      </x:c>
      <x:c r="R86" s="295" t="str">
        <x:v>Phần II, I.3; Phụ lục 2, TT3</x:v>
      </x:c>
      <x:c r="S86" s="295" t="str">
        <x:v>https://tulieuvankien.dangcongsan.vn/upload/2006988/20260529/HD_05_VPTW_e1550.pdf</x:v>
      </x:c>
      <x:c r="T86" s="295" t="str">
        <x:v>CÓ</x:v>
      </x:c>
      <x:c r="U86" s="295" t="str">
        <x:v>CHECK_ONLY</x:v>
      </x:c>
      <x:c r="V86" s="295" t="str"/>
    </x:row>
    <x:row r="87" ht="28" customHeight="1">
      <x:c r="A87" s="295" t="n">
        <x:v>82</x:v>
      </x:c>
      <x:c r="B87" s="295" t="str">
        <x:v>HD05.D.SK.KY_HIEU_LOAI.DAM</x:v>
      </x:c>
      <x:c r="C87" s="295" t="str">
        <x:v>HD05.D.SK.KY_HIEU_LOAI</x:v>
      </x:c>
      <x:c r="D87" s="295" t="str">
        <x:v>Số và ký hiệu</x:v>
      </x:c>
      <x:c r="E87" s="295" t="str">
        <x:v>Ký hiệu thể loại văn bản</x:v>
      </x:c>
      <x:c r="F87" s="295" t="str">
        <x:v>In đậm</x:v>
      </x:c>
      <x:c r="G87" s="295" t="str">
        <x:v>BOOLEAN</x:v>
      </x:c>
      <x:c r="H87" s="295"/>
      <x:c r="I87" s="296" t="b">
        <x:v>0</x:v>
      </x:c>
      <x:c r="J87" s="295" t="str">
        <x:v>Đúng giá trị/giới hạn riêng</x:v>
      </x:c>
      <x:c r="K87" s="296" t="b">
        <x:v>0</x:v>
      </x:c>
      <x:c r="L87" s="295" t="str">
        <x:v>PROFILE_CO_GIA_TRI_CHUA_DUYET</x:v>
      </x:c>
      <x:c r="M87" s="295" t="str">
        <x:v>DOI_CHIEU_CU_THE</x:v>
      </x:c>
      <x:c r="N87" s="295" t="str">
        <x:v>Có số/ký hiệu văn bản; chỉ định dạng, không tự cấp số hoặc ký hiệu; cần xác minh danh mục viết tắt</x:v>
      </x:c>
      <x:c r="O87" s="295" t="str">
        <x:v>Quy định gốc &gt; profile; khi chưa rõ điều kiện thì giữ nguyên; không sinh nội dung.</x:v>
      </x:c>
      <x:c r="P87" s="295" t="str">
        <x:v>PARAGRAPH / RUN / SHAPE tùy thuộc tính</x:v>
      </x:c>
      <x:c r="Q87" s="295" t="str">
        <x:v>Xác định đúng khối Ký hiệu thể loại văn bản; đọc giá trị thực; đối chiếu điều kiện; không sửa nội dung khi thiếu nguồn.</x:v>
      </x:c>
      <x:c r="R87" s="295" t="str">
        <x:v>Phần II, I.3; Phụ lục 2, TT3</x:v>
      </x:c>
      <x:c r="S87" s="295" t="str">
        <x:v>https://tulieuvankien.dangcongsan.vn/upload/2006988/20260529/HD_05_VPTW_e1550.pdf</x:v>
      </x:c>
      <x:c r="T87" s="295" t="str">
        <x:v>CÓ</x:v>
      </x:c>
      <x:c r="U87" s="295" t="str">
        <x:v>CHECK_ONLY</x:v>
      </x:c>
      <x:c r="V87" s="295" t="str"/>
    </x:row>
    <x:row r="88" ht="28" customHeight="1">
      <x:c r="A88" s="295" t="n">
        <x:v>83</x:v>
      </x:c>
      <x:c r="B88" s="295" t="str">
        <x:v>HD05.D.SK.KY_HIEU_LOAI.NGHIENG</x:v>
      </x:c>
      <x:c r="C88" s="295" t="str">
        <x:v>HD05.D.SK.KY_HIEU_LOAI</x:v>
      </x:c>
      <x:c r="D88" s="295" t="str">
        <x:v>Số và ký hiệu</x:v>
      </x:c>
      <x:c r="E88" s="295" t="str">
        <x:v>Ký hiệu thể loại văn bản</x:v>
      </x:c>
      <x:c r="F88" s="295" t="str">
        <x:v>In nghiêng</x:v>
      </x:c>
      <x:c r="G88" s="295" t="str">
        <x:v>BOOLEAN</x:v>
      </x:c>
      <x:c r="H88" s="295"/>
      <x:c r="I88" s="296" t="b">
        <x:v>0</x:v>
      </x:c>
      <x:c r="J88" s="295" t="str">
        <x:v>Đúng giá trị/giới hạn riêng</x:v>
      </x:c>
      <x:c r="K88" s="296" t="b">
        <x:v>0</x:v>
      </x:c>
      <x:c r="L88" s="295" t="str">
        <x:v>PROFILE_CO_GIA_TRI_CHUA_DUYET</x:v>
      </x:c>
      <x:c r="M88" s="295" t="str">
        <x:v>DOI_CHIEU_CU_THE</x:v>
      </x:c>
      <x:c r="N88" s="295" t="str">
        <x:v>Có số/ký hiệu văn bản; chỉ định dạng, không tự cấp số hoặc ký hiệu; cần xác minh danh mục viết tắt</x:v>
      </x:c>
      <x:c r="O88" s="295" t="str">
        <x:v>Quy định gốc &gt; profile; khi chưa rõ điều kiện thì giữ nguyên; không sinh nội dung.</x:v>
      </x:c>
      <x:c r="P88" s="295" t="str">
        <x:v>PARAGRAPH / RUN / SHAPE tùy thuộc tính</x:v>
      </x:c>
      <x:c r="Q88" s="295" t="str">
        <x:v>Xác định đúng khối Ký hiệu thể loại văn bản; đọc giá trị thực; đối chiếu điều kiện; không sửa nội dung khi thiếu nguồn.</x:v>
      </x:c>
      <x:c r="R88" s="295" t="str">
        <x:v>Phần II, I.3; Phụ lục 2, TT3</x:v>
      </x:c>
      <x:c r="S88" s="295" t="str">
        <x:v>https://tulieuvankien.dangcongsan.vn/upload/2006988/20260529/HD_05_VPTW_e1550.pdf</x:v>
      </x:c>
      <x:c r="T88" s="295" t="str">
        <x:v>CÓ</x:v>
      </x:c>
      <x:c r="U88" s="295" t="str">
        <x:v>CHECK_ONLY</x:v>
      </x:c>
      <x:c r="V88" s="295" t="str"/>
    </x:row>
    <x:row r="89" ht="28" customHeight="1">
      <x:c r="A89" s="295" t="n">
        <x:v>84</x:v>
      </x:c>
      <x:c r="B89" s="295" t="str">
        <x:v>HD05.D.SK.KY_HIEU_LOAI.KIEU_CHU</x:v>
      </x:c>
      <x:c r="C89" s="295" t="str">
        <x:v>HD05.D.SK.KY_HIEU_LOAI</x:v>
      </x:c>
      <x:c r="D89" s="295" t="str">
        <x:v>Số và ký hiệu</x:v>
      </x:c>
      <x:c r="E89" s="295" t="str">
        <x:v>Ký hiệu thể loại văn bản</x:v>
      </x:c>
      <x:c r="F89" s="295" t="str">
        <x:v>Kiểu viết hoa/thường</x:v>
      </x:c>
      <x:c r="G89" s="295" t="str">
        <x:v>ENUM</x:v>
      </x:c>
      <x:c r="H89" s="295"/>
      <x:c r="I89" s="295" t="str">
        <x:v>Theo mã HD05, không ép uppercase</x:v>
      </x:c>
      <x:c r="J89" s="295" t="str">
        <x:v>Đúng giá trị/giới hạn riêng</x:v>
      </x:c>
      <x:c r="K89" s="295" t="str">
        <x:v>GIỮ CHÍNH XÁC KÝ HIỆU CHÍNH THỨC</x:v>
      </x:c>
      <x:c r="L89" s="295" t="str">
        <x:v>PROFILE_CO_GIA_TRI_CHUA_DUYET</x:v>
      </x:c>
      <x:c r="M89" s="295" t="str">
        <x:v>DOI_CHIEU_CU_THE</x:v>
      </x:c>
      <x:c r="N89" s="295" t="str">
        <x:v>Có số/ký hiệu văn bản; chỉ định dạng, không tự cấp số hoặc ký hiệu; cần xác minh danh mục viết tắt</x:v>
      </x:c>
      <x:c r="O89" s="295" t="str">
        <x:v>Quy định gốc &gt; profile; khi chưa rõ điều kiện thì giữ nguyên; không sinh nội dung.</x:v>
      </x:c>
      <x:c r="P89" s="295" t="str">
        <x:v>PARAGRAPH / RUN / SHAPE tùy thuộc tính</x:v>
      </x:c>
      <x:c r="Q89" s="295" t="str">
        <x:v>Xác định đúng khối Ký hiệu thể loại văn bản; đọc giá trị thực; đối chiếu điều kiện; không sửa nội dung khi thiếu nguồn.</x:v>
      </x:c>
      <x:c r="R89" s="295" t="str">
        <x:v>Phần II, I.3; Phụ lục 2, TT3</x:v>
      </x:c>
      <x:c r="S89" s="295" t="str">
        <x:v>https://tulieuvankien.dangcongsan.vn/upload/2006988/20260529/HD_05_VPTW_e1550.pdf</x:v>
      </x:c>
      <x:c r="T89" s="295" t="str">
        <x:v>CÓ</x:v>
      </x:c>
      <x:c r="U89" s="295" t="str">
        <x:v>CHECK_ONLY</x:v>
      </x:c>
      <x:c r="V89" s="295" t="str"/>
    </x:row>
    <x:row r="90" ht="28" customHeight="1">
      <x:c r="A90" s="295" t="n">
        <x:v>85</x:v>
      </x:c>
      <x:c r="B90" s="295" t="str">
        <x:v>HD05.D.SK.KY_HIEU_LOAI.CAN_NGANG</x:v>
      </x:c>
      <x:c r="C90" s="295" t="str">
        <x:v>HD05.D.SK.KY_HIEU_LOAI</x:v>
      </x:c>
      <x:c r="D90" s="295" t="str">
        <x:v>Số và ký hiệu</x:v>
      </x:c>
      <x:c r="E90" s="295" t="str">
        <x:v>Ký hiệu thể loại văn bản</x:v>
      </x:c>
      <x:c r="F90" s="295" t="str">
        <x:v>Căn ngang</x:v>
      </x:c>
      <x:c r="G90" s="295" t="str">
        <x:v>ENUM</x:v>
      </x:c>
      <x:c r="H90" s="295"/>
      <x:c r="I90" s="295" t="str">
        <x:v>CENTER</x:v>
      </x:c>
      <x:c r="J90" s="295" t="str">
        <x:v>Đúng giá trị/giới hạn riêng</x:v>
      </x:c>
      <x:c r="K90" s="295" t="str">
        <x:v>CENTER</x:v>
      </x:c>
      <x:c r="L90" s="295" t="str">
        <x:v>PROFILE_CO_GIA_TRI_CHUA_DUYET</x:v>
      </x:c>
      <x:c r="M90" s="295" t="str">
        <x:v>DOI_CHIEU_CU_THE</x:v>
      </x:c>
      <x:c r="N90" s="295" t="str">
        <x:v>Có số/ký hiệu văn bản; chỉ định dạng, không tự cấp số hoặc ký hiệu; cần xác minh danh mục viết tắt</x:v>
      </x:c>
      <x:c r="O90" s="295" t="str">
        <x:v>Quy định gốc &gt; profile; khi chưa rõ điều kiện thì giữ nguyên; không sinh nội dung.</x:v>
      </x:c>
      <x:c r="P90" s="295" t="str">
        <x:v>PARAGRAPH / RUN / SHAPE tùy thuộc tính</x:v>
      </x:c>
      <x:c r="Q90" s="295" t="str">
        <x:v>Xác định đúng khối Ký hiệu thể loại văn bản; đọc giá trị thực; đối chiếu điều kiện; không sửa nội dung khi thiếu nguồn.</x:v>
      </x:c>
      <x:c r="R90" s="295" t="str">
        <x:v>Phần II, I.3; Phụ lục 2, TT3</x:v>
      </x:c>
      <x:c r="S90" s="295" t="str">
        <x:v>https://tulieuvankien.dangcongsan.vn/upload/2006988/20260529/HD_05_VPTW_e1550.pdf</x:v>
      </x:c>
      <x:c r="T90" s="295" t="str">
        <x:v>CÓ</x:v>
      </x:c>
      <x:c r="U90" s="295" t="str">
        <x:v>CHECK_ONLY</x:v>
      </x:c>
      <x:c r="V90" s="295" t="str"/>
    </x:row>
    <x:row r="91" ht="28" customHeight="1">
      <x:c r="A91" s="295" t="n">
        <x:v>86</x:v>
      </x:c>
      <x:c r="B91" s="295" t="str">
        <x:v>HD05.D.SK.KY_HIEU_LOAI.CACH_SAU</x:v>
      </x:c>
      <x:c r="C91" s="295" t="str">
        <x:v>HD05.D.SK.KY_HIEU_LOAI</x:v>
      </x:c>
      <x:c r="D91" s="295" t="str">
        <x:v>Số và ký hiệu</x:v>
      </x:c>
      <x:c r="E91" s="295" t="str">
        <x:v>Ký hiệu thể loại văn bản</x:v>
      </x:c>
      <x:c r="F91" s="295" t="str">
        <x:v>Khoảng cách sau đoạn</x:v>
      </x:c>
      <x:c r="G91" s="295" t="str">
        <x:v>NUMBER</x:v>
      </x:c>
      <x:c r="H91" s="295" t="str">
        <x:v>pt</x:v>
      </x:c>
      <x:c r="I91" s="295" t="str">
        <x:v>CHƯA XÁC MINH RIÊNG</x:v>
      </x:c>
      <x:c r="J91" s="295" t="str">
        <x:v>Không suy ra giới hạn pháp lý</x:v>
      </x:c>
      <x:c r="K91" s="295" t="n">
        <x:v>0</x:v>
      </x:c>
      <x:c r="L91" s="295" t="str">
        <x:v>PROFILE_CHO_RAO_SOAT</x:v>
      </x:c>
      <x:c r="M91" s="295" t="str">
        <x:v>CHUA_DOI_CHIEU_CU_THE</x:v>
      </x:c>
      <x:c r="N91" s="295" t="str">
        <x:v>Có số/ký hiệu văn bản; chỉ định dạng, không tự cấp số hoặc ký hiệu; cần xác minh danh mục viết tắt</x:v>
      </x:c>
      <x:c r="O91" s="295" t="str">
        <x:v>Quy định gốc &gt; profile; khi chưa rõ điều kiện thì giữ nguyên; không sinh nội dung.</x:v>
      </x:c>
      <x:c r="P91" s="295" t="str">
        <x:v>PARAGRAPH / RUN / SHAPE tùy thuộc tính</x:v>
      </x:c>
      <x:c r="Q91" s="295" t="str">
        <x:v>Xác định đúng khối Ký hiệu thể loại văn bản; đọc giá trị thực; đối chiếu điều kiện; không sửa nội dung khi thiếu nguồn.</x:v>
      </x:c>
      <x:c r="R91" s="295" t="str">
        <x:v>Chưa có locator xác minh riêng</x:v>
      </x:c>
      <x:c r="S91" s="295" t="str">
        <x:v>https://tulieuvankien.dangcongsan.vn/upload/2006988/20260529/HD_05_VPTW_e1550.pdf</x:v>
      </x:c>
      <x:c r="T91" s="295" t="str">
        <x:v>CÓ</x:v>
      </x:c>
      <x:c r="U91" s="295" t="str">
        <x:v>CHECK_ONLY</x:v>
      </x:c>
      <x:c r="V91" s="295" t="str">
        <x:v>Không tự chèn đoạn trắng</x:v>
      </x:c>
    </x:row>
    <x:row r="92" ht="28" customHeight="1">
      <x:c r="A92" s="295" t="n">
        <x:v>87</x:v>
      </x:c>
      <x:c r="B92" s="295" t="str">
        <x:v>HD05.D.SK.KY_HIEU_LOAI.GIAN_DONG</x:v>
      </x:c>
      <x:c r="C92" s="295" t="str">
        <x:v>HD05.D.SK.KY_HIEU_LOAI</x:v>
      </x:c>
      <x:c r="D92" s="295" t="str">
        <x:v>Số và ký hiệu</x:v>
      </x:c>
      <x:c r="E92" s="295" t="str">
        <x:v>Ký hiệu thể loại văn bản</x:v>
      </x:c>
      <x:c r="F92" s="295" t="str">
        <x:v>Giãn dòng</x:v>
      </x:c>
      <x:c r="G92" s="295" t="str">
        <x:v>NUMBER</x:v>
      </x:c>
      <x:c r="H92" s="295" t="str">
        <x:v>lines</x:v>
      </x:c>
      <x:c r="I92" s="295" t="str">
        <x:v>CHƯA XÁC MINH RIÊNG</x:v>
      </x:c>
      <x:c r="J92" s="295" t="str">
        <x:v>Không suy ra giới hạn pháp lý</x:v>
      </x:c>
      <x:c r="K92" s="295" t="str">
        <x:v>SINGLE</x:v>
      </x:c>
      <x:c r="L92" s="295" t="str">
        <x:v>PROFILE_CHO_RAO_SOAT</x:v>
      </x:c>
      <x:c r="M92" s="295" t="str">
        <x:v>CHUA_DOI_CHIEU_CU_THE</x:v>
      </x:c>
      <x:c r="N92" s="295" t="str">
        <x:v>Có số/ký hiệu văn bản; chỉ định dạng, không tự cấp số hoặc ký hiệu; cần xác minh danh mục viết tắt</x:v>
      </x:c>
      <x:c r="O92" s="295" t="str">
        <x:v>Quy định gốc &gt; profile; khi chưa rõ điều kiện thì giữ nguyên; không sinh nội dung.</x:v>
      </x:c>
      <x:c r="P92" s="295" t="str">
        <x:v>PARAGRAPH / RUN / SHAPE tùy thuộc tính</x:v>
      </x:c>
      <x:c r="Q92" s="295" t="str">
        <x:v>Xác định đúng khối Ký hiệu thể loại văn bản; đọc giá trị thực; đối chiếu điều kiện; không sửa nội dung khi thiếu nguồn.</x:v>
      </x:c>
      <x:c r="R92" s="295" t="str">
        <x:v>Chưa có locator xác minh riêng</x:v>
      </x:c>
      <x:c r="S92" s="295" t="str">
        <x:v>https://tulieuvankien.dangcongsan.vn/upload/2006988/20260529/HD_05_VPTW_e1550.pdf</x:v>
      </x:c>
      <x:c r="T92" s="295" t="str">
        <x:v>CÓ</x:v>
      </x:c>
      <x:c r="U92" s="295" t="str">
        <x:v>CHECK_ONLY</x:v>
      </x:c>
      <x:c r="V92" s="295" t="str">
        <x:v>Giãn dòng phần đầu không được tự đồng nhất với thân bài.</x:v>
      </x:c>
    </x:row>
    <x:row r="93" ht="28" customHeight="1">
      <x:c r="A93" s="295" t="n">
        <x:v>88</x:v>
      </x:c>
      <x:c r="B93" s="295" t="str">
        <x:v>HD05.D.SK.KY_HIEU_CO_QUAN.HIEN_DIEN</x:v>
      </x:c>
      <x:c r="C93" s="295" t="str">
        <x:v>HD05.D.SK.KY_HIEU_CO_QUAN</x:v>
      </x:c>
      <x:c r="D93" s="295" t="str">
        <x:v>Số và ký hiệu</x:v>
      </x:c>
      <x:c r="E93" s="295" t="str">
        <x:v>Ký hiệu tổ chức/cơ quan Đảng</x:v>
      </x:c>
      <x:c r="F93" s="295" t="str">
        <x:v>Điều kiện hiện diện</x:v>
      </x:c>
      <x:c r="G93" s="295" t="str">
        <x:v>TEXT</x:v>
      </x:c>
      <x:c r="H93" s="295"/>
      <x:c r="I93" s="295" t="str">
        <x:v>CHƯA XÁC MINH RIÊNG</x:v>
      </x:c>
      <x:c r="J93" s="295" t="str">
        <x:v>Không suy ra giới hạn pháp lý</x:v>
      </x:c>
      <x:c r="K93" s="295" t="str">
        <x:v>Có số/ký hiệu văn bản; chỉ định dạng, không tự cấp số hoặc ký hiệu; cần xác minh danh mục viết tắt</x:v>
      </x:c>
      <x:c r="L93" s="295" t="str">
        <x:v>CHUA_DUYET_DINH_TUYEN</x:v>
      </x:c>
      <x:c r="M93" s="295" t="str">
        <x:v>CHUA_DOI_CHIEU_CU_THE</x:v>
      </x:c>
      <x:c r="N93" s="295" t="str">
        <x:v>Có số/ký hiệu văn bản; chỉ định dạng, không tự cấp số hoặc ký hiệu; cần xác minh danh mục viết tắt</x:v>
      </x:c>
      <x:c r="O93" s="295" t="str">
        <x:v>Quy định gốc &gt; profile; khi chưa rõ điều kiện thì giữ nguyên; không sinh nội dung.</x:v>
      </x:c>
      <x:c r="P93" s="295" t="str">
        <x:v>PARAGRAPH / RUN / SHAPE tùy thuộc tính</x:v>
      </x:c>
      <x:c r="Q93" s="295" t="str">
        <x:v>Xác định đúng khối Ký hiệu tổ chức/cơ quan Đảng; đọc giá trị thực; đối chiếu điều kiện; không sửa nội dung khi thiếu nguồn.</x:v>
      </x:c>
      <x:c r="R93" s="295" t="str">
        <x:v>Chưa có locator xác minh riêng</x:v>
      </x:c>
      <x:c r="S93" s="295" t="str">
        <x:v>https://tulieuvankien.dangcongsan.vn/upload/2006988/20260529/HD_05_VPTW_e1550.pdf</x:v>
      </x:c>
      <x:c r="T93" s="295" t="str">
        <x:v>CÓ</x:v>
      </x:c>
      <x:c r="U93" s="295" t="str">
        <x:v>CHECK_ONLY</x:v>
      </x:c>
      <x:c r="V93" s="295" t="str">
        <x:v>Phải nhận diện chế độ và chủ thể trước khi áp dụng</x:v>
      </x:c>
    </x:row>
    <x:row r="94" ht="28" customHeight="1">
      <x:c r="A94" s="295" t="n">
        <x:v>89</x:v>
      </x:c>
      <x:c r="B94" s="295" t="str">
        <x:v>HD05.D.SK.KY_HIEU_CO_QUAN.PHONG_CHU</x:v>
      </x:c>
      <x:c r="C94" s="295" t="str">
        <x:v>HD05.D.SK.KY_HIEU_CO_QUAN</x:v>
      </x:c>
      <x:c r="D94" s="295" t="str">
        <x:v>Số và ký hiệu</x:v>
      </x:c>
      <x:c r="E94" s="295" t="str">
        <x:v>Ký hiệu tổ chức/cơ quan Đảng</x:v>
      </x:c>
      <x:c r="F94" s="295" t="str">
        <x:v>Font chữ</x:v>
      </x:c>
      <x:c r="G94" s="295" t="str">
        <x:v>STRING</x:v>
      </x:c>
      <x:c r="H94" s="295"/>
      <x:c r="I94" s="295" t="str">
        <x:v>Times New Roman</x:v>
      </x:c>
      <x:c r="J94" s="295" t="str">
        <x:v>Đúng giá trị/giới hạn riêng</x:v>
      </x:c>
      <x:c r="K94" s="295" t="str">
        <x:v>Times New Roman</x:v>
      </x:c>
      <x:c r="L94" s="295" t="str">
        <x:v>PROFILE_CO_GIA_TRI_CHUA_DUYET</x:v>
      </x:c>
      <x:c r="M94" s="295" t="str">
        <x:v>DOI_CHIEU_CU_THE</x:v>
      </x:c>
      <x:c r="N94" s="295" t="str">
        <x:v>Có số/ký hiệu văn bản; chỉ định dạng, không tự cấp số hoặc ký hiệu; cần xác minh danh mục viết tắt</x:v>
      </x:c>
      <x:c r="O94" s="295" t="str">
        <x:v>Quy định gốc &gt; profile; khi chưa rõ điều kiện thì giữ nguyên; không sinh nội dung.</x:v>
      </x:c>
      <x:c r="P94" s="295" t="str">
        <x:v>PARAGRAPH / RUN / SHAPE tùy thuộc tính</x:v>
      </x:c>
      <x:c r="Q94" s="295" t="str">
        <x:v>Xác định đúng khối Ký hiệu tổ chức/cơ quan Đảng; đọc giá trị thực; đối chiếu điều kiện; không sửa nội dung khi thiếu nguồn.</x:v>
      </x:c>
      <x:c r="R94" s="295" t="str">
        <x:v>Phần II, IV.1</x:v>
      </x:c>
      <x:c r="S94" s="295" t="str">
        <x:v>https://tulieuvankien.dangcongsan.vn/upload/2006988/20260529/HD_05_VPTW_e1550.pdf</x:v>
      </x:c>
      <x:c r="T94" s="295" t="str">
        <x:v>CÓ</x:v>
      </x:c>
      <x:c r="U94" s="295" t="str">
        <x:v>CHECK_ONLY</x:v>
      </x:c>
      <x:c r="V94" s="295" t="str"/>
    </x:row>
    <x:row r="95" ht="28" customHeight="1">
      <x:c r="A95" s="295" t="n">
        <x:v>90</x:v>
      </x:c>
      <x:c r="B95" s="295" t="str">
        <x:v>HD05.D.SK.KY_HIEU_CO_QUAN.CO_CHU</x:v>
      </x:c>
      <x:c r="C95" s="295" t="str">
        <x:v>HD05.D.SK.KY_HIEU_CO_QUAN</x:v>
      </x:c>
      <x:c r="D95" s="295" t="str">
        <x:v>Số và ký hiệu</x:v>
      </x:c>
      <x:c r="E95" s="295" t="str">
        <x:v>Ký hiệu tổ chức/cơ quan Đảng</x:v>
      </x:c>
      <x:c r="F95" s="295" t="str">
        <x:v>Cỡ chữ</x:v>
      </x:c>
      <x:c r="G95" s="295" t="str">
        <x:v>NUMBER_OR_RANGE</x:v>
      </x:c>
      <x:c r="H95" s="295" t="str">
        <x:v>pt</x:v>
      </x:c>
      <x:c r="I95" s="295" t="str">
        <x:v>14</x:v>
      </x:c>
      <x:c r="J95" s="295" t="str">
        <x:v>Đúng giá trị/giới hạn riêng</x:v>
      </x:c>
      <x:c r="K95" s="295" t="n">
        <x:v>14</x:v>
      </x:c>
      <x:c r="L95" s="295" t="str">
        <x:v>PROFILE_CO_GIA_TRI_CHUA_DUYET</x:v>
      </x:c>
      <x:c r="M95" s="295" t="str">
        <x:v>DOI_CHIEU_CU_THE</x:v>
      </x:c>
      <x:c r="N95" s="295" t="str">
        <x:v>Có số/ký hiệu văn bản; chỉ định dạng, không tự cấp số hoặc ký hiệu; cần xác minh danh mục viết tắt</x:v>
      </x:c>
      <x:c r="O95" s="295" t="str">
        <x:v>Quy định gốc &gt; profile; khi chưa rõ điều kiện thì giữ nguyên; không sinh nội dung.</x:v>
      </x:c>
      <x:c r="P95" s="295" t="str">
        <x:v>PARAGRAPH / RUN / SHAPE tùy thuộc tính</x:v>
      </x:c>
      <x:c r="Q95" s="295" t="str">
        <x:v>Xác định đúng khối Ký hiệu tổ chức/cơ quan Đảng; đọc giá trị thực; đối chiếu điều kiện; không sửa nội dung khi thiếu nguồn.</x:v>
      </x:c>
      <x:c r="R95" s="295" t="str">
        <x:v>Phần II, I.3; Phụ lục 2, TT3</x:v>
      </x:c>
      <x:c r="S95" s="295" t="str">
        <x:v>https://tulieuvankien.dangcongsan.vn/upload/2006988/20260529/HD_05_VPTW_e1550.pdf</x:v>
      </x:c>
      <x:c r="T95" s="295" t="str">
        <x:v>CÓ</x:v>
      </x:c>
      <x:c r="U95" s="295" t="str">
        <x:v>CHECK_ONLY</x:v>
      </x:c>
      <x:c r="V95" s="295" t="str"/>
    </x:row>
    <x:row r="96" ht="28" customHeight="1">
      <x:c r="A96" s="295" t="n">
        <x:v>91</x:v>
      </x:c>
      <x:c r="B96" s="295" t="str">
        <x:v>HD05.D.SK.KY_HIEU_CO_QUAN.DAM</x:v>
      </x:c>
      <x:c r="C96" s="295" t="str">
        <x:v>HD05.D.SK.KY_HIEU_CO_QUAN</x:v>
      </x:c>
      <x:c r="D96" s="295" t="str">
        <x:v>Số và ký hiệu</x:v>
      </x:c>
      <x:c r="E96" s="295" t="str">
        <x:v>Ký hiệu tổ chức/cơ quan Đảng</x:v>
      </x:c>
      <x:c r="F96" s="295" t="str">
        <x:v>In đậm</x:v>
      </x:c>
      <x:c r="G96" s="295" t="str">
        <x:v>BOOLEAN</x:v>
      </x:c>
      <x:c r="H96" s="295"/>
      <x:c r="I96" s="296" t="b">
        <x:v>0</x:v>
      </x:c>
      <x:c r="J96" s="295" t="str">
        <x:v>Đúng giá trị/giới hạn riêng</x:v>
      </x:c>
      <x:c r="K96" s="296" t="b">
        <x:v>0</x:v>
      </x:c>
      <x:c r="L96" s="295" t="str">
        <x:v>PROFILE_CO_GIA_TRI_CHUA_DUYET</x:v>
      </x:c>
      <x:c r="M96" s="295" t="str">
        <x:v>DOI_CHIEU_CU_THE</x:v>
      </x:c>
      <x:c r="N96" s="295" t="str">
        <x:v>Có số/ký hiệu văn bản; chỉ định dạng, không tự cấp số hoặc ký hiệu; cần xác minh danh mục viết tắt</x:v>
      </x:c>
      <x:c r="O96" s="295" t="str">
        <x:v>Quy định gốc &gt; profile; khi chưa rõ điều kiện thì giữ nguyên; không sinh nội dung.</x:v>
      </x:c>
      <x:c r="P96" s="295" t="str">
        <x:v>PARAGRAPH / RUN / SHAPE tùy thuộc tính</x:v>
      </x:c>
      <x:c r="Q96" s="295" t="str">
        <x:v>Xác định đúng khối Ký hiệu tổ chức/cơ quan Đảng; đọc giá trị thực; đối chiếu điều kiện; không sửa nội dung khi thiếu nguồn.</x:v>
      </x:c>
      <x:c r="R96" s="295" t="str">
        <x:v>Phần II, I.3; Phụ lục 2, TT3</x:v>
      </x:c>
      <x:c r="S96" s="295" t="str">
        <x:v>https://tulieuvankien.dangcongsan.vn/upload/2006988/20260529/HD_05_VPTW_e1550.pdf</x:v>
      </x:c>
      <x:c r="T96" s="295" t="str">
        <x:v>CÓ</x:v>
      </x:c>
      <x:c r="U96" s="295" t="str">
        <x:v>CHECK_ONLY</x:v>
      </x:c>
      <x:c r="V96" s="295" t="str"/>
    </x:row>
    <x:row r="97" ht="28" customHeight="1">
      <x:c r="A97" s="295" t="n">
        <x:v>92</x:v>
      </x:c>
      <x:c r="B97" s="295" t="str">
        <x:v>HD05.D.SK.KY_HIEU_CO_QUAN.NGHIENG</x:v>
      </x:c>
      <x:c r="C97" s="295" t="str">
        <x:v>HD05.D.SK.KY_HIEU_CO_QUAN</x:v>
      </x:c>
      <x:c r="D97" s="295" t="str">
        <x:v>Số và ký hiệu</x:v>
      </x:c>
      <x:c r="E97" s="295" t="str">
        <x:v>Ký hiệu tổ chức/cơ quan Đảng</x:v>
      </x:c>
      <x:c r="F97" s="295" t="str">
        <x:v>In nghiêng</x:v>
      </x:c>
      <x:c r="G97" s="295" t="str">
        <x:v>BOOLEAN</x:v>
      </x:c>
      <x:c r="H97" s="295"/>
      <x:c r="I97" s="296" t="b">
        <x:v>0</x:v>
      </x:c>
      <x:c r="J97" s="295" t="str">
        <x:v>Đúng giá trị/giới hạn riêng</x:v>
      </x:c>
      <x:c r="K97" s="296" t="b">
        <x:v>0</x:v>
      </x:c>
      <x:c r="L97" s="295" t="str">
        <x:v>PROFILE_CO_GIA_TRI_CHUA_DUYET</x:v>
      </x:c>
      <x:c r="M97" s="295" t="str">
        <x:v>DOI_CHIEU_CU_THE</x:v>
      </x:c>
      <x:c r="N97" s="295" t="str">
        <x:v>Có số/ký hiệu văn bản; chỉ định dạng, không tự cấp số hoặc ký hiệu; cần xác minh danh mục viết tắt</x:v>
      </x:c>
      <x:c r="O97" s="295" t="str">
        <x:v>Quy định gốc &gt; profile; khi chưa rõ điều kiện thì giữ nguyên; không sinh nội dung.</x:v>
      </x:c>
      <x:c r="P97" s="295" t="str">
        <x:v>PARAGRAPH / RUN / SHAPE tùy thuộc tính</x:v>
      </x:c>
      <x:c r="Q97" s="295" t="str">
        <x:v>Xác định đúng khối Ký hiệu tổ chức/cơ quan Đảng; đọc giá trị thực; đối chiếu điều kiện; không sửa nội dung khi thiếu nguồn.</x:v>
      </x:c>
      <x:c r="R97" s="295" t="str">
        <x:v>Phần II, I.3; Phụ lục 2, TT3</x:v>
      </x:c>
      <x:c r="S97" s="295" t="str">
        <x:v>https://tulieuvankien.dangcongsan.vn/upload/2006988/20260529/HD_05_VPTW_e1550.pdf</x:v>
      </x:c>
      <x:c r="T97" s="295" t="str">
        <x:v>CÓ</x:v>
      </x:c>
      <x:c r="U97" s="295" t="str">
        <x:v>CHECK_ONLY</x:v>
      </x:c>
      <x:c r="V97" s="295" t="str"/>
    </x:row>
    <x:row r="98" ht="28" customHeight="1">
      <x:c r="A98" s="295" t="n">
        <x:v>93</x:v>
      </x:c>
      <x:c r="B98" s="295" t="str">
        <x:v>HD05.D.SK.KY_HIEU_CO_QUAN.KIEU_CHU</x:v>
      </x:c>
      <x:c r="C98" s="295" t="str">
        <x:v>HD05.D.SK.KY_HIEU_CO_QUAN</x:v>
      </x:c>
      <x:c r="D98" s="295" t="str">
        <x:v>Số và ký hiệu</x:v>
      </x:c>
      <x:c r="E98" s="295" t="str">
        <x:v>Ký hiệu tổ chức/cơ quan Đảng</x:v>
      </x:c>
      <x:c r="F98" s="295" t="str">
        <x:v>Kiểu viết hoa/thường</x:v>
      </x:c>
      <x:c r="G98" s="295" t="str">
        <x:v>ENUM</x:v>
      </x:c>
      <x:c r="H98" s="295"/>
      <x:c r="I98" s="295" t="str">
        <x:v>Theo mã chính thức, không tự đặt</x:v>
      </x:c>
      <x:c r="J98" s="295" t="str">
        <x:v>Đúng giá trị/giới hạn riêng</x:v>
      </x:c>
      <x:c r="K98" s="295" t="str">
        <x:v>Theo mã cơ quan đã xác minh, giữ nguyên chính tả ký hiệu</x:v>
      </x:c>
      <x:c r="L98" s="295" t="str">
        <x:v>PROFILE_CO_GIA_TRI_CHUA_DUYET</x:v>
      </x:c>
      <x:c r="M98" s="295" t="str">
        <x:v>DOI_CHIEU_CU_THE</x:v>
      </x:c>
      <x:c r="N98" s="295" t="str">
        <x:v>Có số/ký hiệu văn bản; chỉ định dạng, không tự cấp số hoặc ký hiệu; cần xác minh danh mục viết tắt</x:v>
      </x:c>
      <x:c r="O98" s="295" t="str">
        <x:v>Quy định gốc &gt; profile; khi chưa rõ điều kiện thì giữ nguyên; không sinh nội dung.</x:v>
      </x:c>
      <x:c r="P98" s="295" t="str">
        <x:v>PARAGRAPH / RUN / SHAPE tùy thuộc tính</x:v>
      </x:c>
      <x:c r="Q98" s="295" t="str">
        <x:v>Xác định đúng khối Ký hiệu tổ chức/cơ quan Đảng; đọc giá trị thực; đối chiếu điều kiện; không sửa nội dung khi thiếu nguồn.</x:v>
      </x:c>
      <x:c r="R98" s="295" t="str">
        <x:v>Phần II, I.3; Phụ lục 2, TT3</x:v>
      </x:c>
      <x:c r="S98" s="295" t="str">
        <x:v>https://tulieuvankien.dangcongsan.vn/upload/2006988/20260529/HD_05_VPTW_e1550.pdf</x:v>
      </x:c>
      <x:c r="T98" s="295" t="str">
        <x:v>CÓ</x:v>
      </x:c>
      <x:c r="U98" s="295" t="str">
        <x:v>CHECK_ONLY</x:v>
      </x:c>
      <x:c r="V98" s="295" t="str"/>
    </x:row>
    <x:row r="99" ht="28" customHeight="1">
      <x:c r="A99" s="295" t="n">
        <x:v>94</x:v>
      </x:c>
      <x:c r="B99" s="295" t="str">
        <x:v>HD05.D.SK.KY_HIEU_CO_QUAN.CAN_NGANG</x:v>
      </x:c>
      <x:c r="C99" s="295" t="str">
        <x:v>HD05.D.SK.KY_HIEU_CO_QUAN</x:v>
      </x:c>
      <x:c r="D99" s="295" t="str">
        <x:v>Số và ký hiệu</x:v>
      </x:c>
      <x:c r="E99" s="295" t="str">
        <x:v>Ký hiệu tổ chức/cơ quan Đảng</x:v>
      </x:c>
      <x:c r="F99" s="295" t="str">
        <x:v>Căn ngang</x:v>
      </x:c>
      <x:c r="G99" s="295" t="str">
        <x:v>ENUM</x:v>
      </x:c>
      <x:c r="H99" s="295"/>
      <x:c r="I99" s="295" t="str">
        <x:v>CENTER</x:v>
      </x:c>
      <x:c r="J99" s="295" t="str">
        <x:v>Đúng giá trị/giới hạn riêng</x:v>
      </x:c>
      <x:c r="K99" s="295" t="str">
        <x:v>CENTER</x:v>
      </x:c>
      <x:c r="L99" s="295" t="str">
        <x:v>PROFILE_CO_GIA_TRI_CHUA_DUYET</x:v>
      </x:c>
      <x:c r="M99" s="295" t="str">
        <x:v>DOI_CHIEU_CU_THE</x:v>
      </x:c>
      <x:c r="N99" s="295" t="str">
        <x:v>Có số/ký hiệu văn bản; chỉ định dạng, không tự cấp số hoặc ký hiệu; cần xác minh danh mục viết tắt</x:v>
      </x:c>
      <x:c r="O99" s="295" t="str">
        <x:v>Quy định gốc &gt; profile; khi chưa rõ điều kiện thì giữ nguyên; không sinh nội dung.</x:v>
      </x:c>
      <x:c r="P99" s="295" t="str">
        <x:v>PARAGRAPH / RUN / SHAPE tùy thuộc tính</x:v>
      </x:c>
      <x:c r="Q99" s="295" t="str">
        <x:v>Xác định đúng khối Ký hiệu tổ chức/cơ quan Đảng; đọc giá trị thực; đối chiếu điều kiện; không sửa nội dung khi thiếu nguồn.</x:v>
      </x:c>
      <x:c r="R99" s="295" t="str">
        <x:v>Phần II, I.3; Phụ lục 2, TT3</x:v>
      </x:c>
      <x:c r="S99" s="295" t="str">
        <x:v>https://tulieuvankien.dangcongsan.vn/upload/2006988/20260529/HD_05_VPTW_e1550.pdf</x:v>
      </x:c>
      <x:c r="T99" s="295" t="str">
        <x:v>CÓ</x:v>
      </x:c>
      <x:c r="U99" s="295" t="str">
        <x:v>CHECK_ONLY</x:v>
      </x:c>
      <x:c r="V99" s="295" t="str"/>
    </x:row>
    <x:row r="100" ht="28" customHeight="1">
      <x:c r="A100" s="295" t="n">
        <x:v>95</x:v>
      </x:c>
      <x:c r="B100" s="295" t="str">
        <x:v>HD05.D.SK.KY_HIEU_CO_QUAN.CACH_SAU</x:v>
      </x:c>
      <x:c r="C100" s="295" t="str">
        <x:v>HD05.D.SK.KY_HIEU_CO_QUAN</x:v>
      </x:c>
      <x:c r="D100" s="295" t="str">
        <x:v>Số và ký hiệu</x:v>
      </x:c>
      <x:c r="E100" s="295" t="str">
        <x:v>Ký hiệu tổ chức/cơ quan Đảng</x:v>
      </x:c>
      <x:c r="F100" s="295" t="str">
        <x:v>Khoảng cách sau đoạn</x:v>
      </x:c>
      <x:c r="G100" s="295" t="str">
        <x:v>NUMBER</x:v>
      </x:c>
      <x:c r="H100" s="295" t="str">
        <x:v>pt</x:v>
      </x:c>
      <x:c r="I100" s="295" t="str">
        <x:v>CHƯA XÁC MINH RIÊNG</x:v>
      </x:c>
      <x:c r="J100" s="295" t="str">
        <x:v>Không suy ra giới hạn pháp lý</x:v>
      </x:c>
      <x:c r="K100" s="295" t="n">
        <x:v>0</x:v>
      </x:c>
      <x:c r="L100" s="295" t="str">
        <x:v>PROFILE_CHO_RAO_SOAT</x:v>
      </x:c>
      <x:c r="M100" s="295" t="str">
        <x:v>CHUA_DOI_CHIEU_CU_THE</x:v>
      </x:c>
      <x:c r="N100" s="295" t="str">
        <x:v>Có số/ký hiệu văn bản; chỉ định dạng, không tự cấp số hoặc ký hiệu; cần xác minh danh mục viết tắt</x:v>
      </x:c>
      <x:c r="O100" s="295" t="str">
        <x:v>Quy định gốc &gt; profile; khi chưa rõ điều kiện thì giữ nguyên; không sinh nội dung.</x:v>
      </x:c>
      <x:c r="P100" s="295" t="str">
        <x:v>PARAGRAPH / RUN / SHAPE tùy thuộc tính</x:v>
      </x:c>
      <x:c r="Q100" s="295" t="str">
        <x:v>Xác định đúng khối Ký hiệu tổ chức/cơ quan Đảng; đọc giá trị thực; đối chiếu điều kiện; không sửa nội dung khi thiếu nguồn.</x:v>
      </x:c>
      <x:c r="R100" s="295" t="str">
        <x:v>Chưa có locator xác minh riêng</x:v>
      </x:c>
      <x:c r="S100" s="295" t="str">
        <x:v>https://tulieuvankien.dangcongsan.vn/upload/2006988/20260529/HD_05_VPTW_e1550.pdf</x:v>
      </x:c>
      <x:c r="T100" s="295" t="str">
        <x:v>CÓ</x:v>
      </x:c>
      <x:c r="U100" s="295" t="str">
        <x:v>CHECK_ONLY</x:v>
      </x:c>
      <x:c r="V100" s="295" t="str">
        <x:v>Không tự chèn đoạn trắng</x:v>
      </x:c>
    </x:row>
    <x:row r="101" ht="28" customHeight="1">
      <x:c r="A101" s="295" t="n">
        <x:v>96</x:v>
      </x:c>
      <x:c r="B101" s="295" t="str">
        <x:v>HD05.D.SK.KY_HIEU_CO_QUAN.GIAN_DONG</x:v>
      </x:c>
      <x:c r="C101" s="295" t="str">
        <x:v>HD05.D.SK.KY_HIEU_CO_QUAN</x:v>
      </x:c>
      <x:c r="D101" s="295" t="str">
        <x:v>Số và ký hiệu</x:v>
      </x:c>
      <x:c r="E101" s="295" t="str">
        <x:v>Ký hiệu tổ chức/cơ quan Đảng</x:v>
      </x:c>
      <x:c r="F101" s="295" t="str">
        <x:v>Giãn dòng</x:v>
      </x:c>
      <x:c r="G101" s="295" t="str">
        <x:v>NUMBER</x:v>
      </x:c>
      <x:c r="H101" s="295" t="str">
        <x:v>lines</x:v>
      </x:c>
      <x:c r="I101" s="295" t="str">
        <x:v>CHƯA XÁC MINH RIÊNG</x:v>
      </x:c>
      <x:c r="J101" s="295" t="str">
        <x:v>Không suy ra giới hạn pháp lý</x:v>
      </x:c>
      <x:c r="K101" s="295" t="str">
        <x:v>SINGLE</x:v>
      </x:c>
      <x:c r="L101" s="295" t="str">
        <x:v>PROFILE_CHO_RAO_SOAT</x:v>
      </x:c>
      <x:c r="M101" s="295" t="str">
        <x:v>CHUA_DOI_CHIEU_CU_THE</x:v>
      </x:c>
      <x:c r="N101" s="295" t="str">
        <x:v>Có số/ký hiệu văn bản; chỉ định dạng, không tự cấp số hoặc ký hiệu; cần xác minh danh mục viết tắt</x:v>
      </x:c>
      <x:c r="O101" s="295" t="str">
        <x:v>Quy định gốc &gt; profile; khi chưa rõ điều kiện thì giữ nguyên; không sinh nội dung.</x:v>
      </x:c>
      <x:c r="P101" s="295" t="str">
        <x:v>PARAGRAPH / RUN / SHAPE tùy thuộc tính</x:v>
      </x:c>
      <x:c r="Q101" s="295" t="str">
        <x:v>Xác định đúng khối Ký hiệu tổ chức/cơ quan Đảng; đọc giá trị thực; đối chiếu điều kiện; không sửa nội dung khi thiếu nguồn.</x:v>
      </x:c>
      <x:c r="R101" s="295" t="str">
        <x:v>Chưa có locator xác minh riêng</x:v>
      </x:c>
      <x:c r="S101" s="295" t="str">
        <x:v>https://tulieuvankien.dangcongsan.vn/upload/2006988/20260529/HD_05_VPTW_e1550.pdf</x:v>
      </x:c>
      <x:c r="T101" s="295" t="str">
        <x:v>CÓ</x:v>
      </x:c>
      <x:c r="U101" s="295" t="str">
        <x:v>CHECK_ONLY</x:v>
      </x:c>
      <x:c r="V101" s="295" t="str">
        <x:v>Giãn dòng phần đầu không được tự đồng nhất với thân bài.</x:v>
      </x:c>
    </x:row>
    <x:row r="102" ht="28" customHeight="1">
      <x:c r="A102" s="295" t="n">
        <x:v>97</x:v>
      </x:c>
      <x:c r="B102" s="295" t="str">
        <x:v>HD05.D.SK.KY_HIEU_CO_QUAN.BAO_VE_NOI_DUNG</x:v>
      </x:c>
      <x:c r="C102" s="295" t="str">
        <x:v>HD05.D.SK.KY_HIEU_CO_QUAN</x:v>
      </x:c>
      <x:c r="D102" s="295" t="str">
        <x:v>Số và ký hiệu</x:v>
      </x:c>
      <x:c r="E102" s="295" t="str">
        <x:v>Ký hiệu tổ chức/cơ quan Đảng</x:v>
      </x:c>
      <x:c r="F102" s="295" t="str">
        <x:v>Không tự suy diễn nội dung</x:v>
      </x:c>
      <x:c r="G102" s="295" t="str">
        <x:v>BOOLEAN</x:v>
      </x:c>
      <x:c r="H102" s="295"/>
      <x:c r="I102" s="295" t="str">
        <x:v>CHƯA XÁC MINH RIÊNG</x:v>
      </x:c>
      <x:c r="J102" s="295" t="str">
        <x:v>Không suy ra giới hạn pháp lý</x:v>
      </x:c>
      <x:c r="K102" s="296" t="b">
        <x:v>1</x:v>
      </x:c>
      <x:c r="L102" s="295" t="str">
        <x:v>NOI_DUNG_BAO_VE</x:v>
      </x:c>
      <x:c r="M102" s="295" t="str">
        <x:v>CHUA_DOI_CHIEU_CU_THE</x:v>
      </x:c>
      <x:c r="N102" s="295" t="str">
        <x:v>Có số/ký hiệu văn bản; chỉ định dạng, không tự cấp số hoặc ký hiệu; cần xác minh danh mục viết tắt</x:v>
      </x:c>
      <x:c r="O102" s="295" t="str">
        <x:v>Quy định gốc &gt; profile; khi chưa rõ điều kiện thì giữ nguyên; không sinh nội dung.</x:v>
      </x:c>
      <x:c r="P102" s="295" t="str">
        <x:v>PARAGRAPH / RUN / SHAPE tùy thuộc tính</x:v>
      </x:c>
      <x:c r="Q102" s="295" t="str">
        <x:v>Xác định đúng khối Ký hiệu tổ chức/cơ quan Đảng; đọc giá trị thực; đối chiếu điều kiện; không sửa nội dung khi thiếu nguồn.</x:v>
      </x:c>
      <x:c r="R102" s="295" t="str">
        <x:v>Chưa có locator xác minh riêng</x:v>
      </x:c>
      <x:c r="S102" s="295" t="str">
        <x:v>https://tulieuvankien.dangcongsan.vn/upload/2006988/20260529/HD_05_VPTW_e1550.pdf</x:v>
      </x:c>
      <x:c r="T102" s="295" t="str">
        <x:v>CÓ</x:v>
      </x:c>
      <x:c r="U102" s="295" t="str">
        <x:v>CHECK_ONLY</x:v>
      </x:c>
      <x:c r="V102" s="295" t="str">
        <x:v>Chỉ chuẩn hóa hình thức sau khi xác nhận chính xác nội dung, không tự điền số/ngày/người nhận.</x:v>
      </x:c>
    </x:row>
    <x:row r="103" ht="28" customHeight="1">
      <x:c r="A103" s="295" t="n">
        <x:v>98</x:v>
      </x:c>
      <x:c r="B103" s="295" t="str">
        <x:v>HD05.D.SK.DAU_PHAN_CACH.HIEN_DIEN</x:v>
      </x:c>
      <x:c r="C103" s="295" t="str">
        <x:v>HD05.D.SK.DAU_PHAN_CACH</x:v>
      </x:c>
      <x:c r="D103" s="295" t="str">
        <x:v>Số và ký hiệu</x:v>
      </x:c>
      <x:c r="E103" s="295" t="str">
        <x:v>Dấu phân cách trong số, ký hiệu</x:v>
      </x:c>
      <x:c r="F103" s="295" t="str">
        <x:v>Điều kiện hiện diện</x:v>
      </x:c>
      <x:c r="G103" s="295" t="str">
        <x:v>TEXT</x:v>
      </x:c>
      <x:c r="H103" s="295"/>
      <x:c r="I103" s="295" t="str">
        <x:v>CHƯA XÁC MINH RIÊNG</x:v>
      </x:c>
      <x:c r="J103" s="295" t="str">
        <x:v>Không suy ra giới hạn pháp lý</x:v>
      </x:c>
      <x:c r="K103" s="295" t="str">
        <x:v>Có số/ký hiệu văn bản; chỉ định dạng, không tự cấp số hoặc ký hiệu; cần xác minh danh mục viết tắt</x:v>
      </x:c>
      <x:c r="L103" s="295" t="str">
        <x:v>CHUA_DUYET_DINH_TUYEN</x:v>
      </x:c>
      <x:c r="M103" s="295" t="str">
        <x:v>CHUA_DOI_CHIEU_CU_THE</x:v>
      </x:c>
      <x:c r="N103" s="295" t="str">
        <x:v>Có số/ký hiệu văn bản; chỉ định dạng, không tự cấp số hoặc ký hiệu; cần xác minh danh mục viết tắt</x:v>
      </x:c>
      <x:c r="O103" s="295" t="str">
        <x:v>Quy định gốc &gt; profile; khi chưa rõ điều kiện thì giữ nguyên; không sinh nội dung.</x:v>
      </x:c>
      <x:c r="P103" s="295" t="str">
        <x:v>PARAGRAPH / RUN / SHAPE tùy thuộc tính</x:v>
      </x:c>
      <x:c r="Q103" s="295" t="str">
        <x:v>Xác định đúng khối Dấu phân cách trong số, ký hiệu; đọc giá trị thực; đối chiếu điều kiện; không sửa nội dung khi thiếu nguồn.</x:v>
      </x:c>
      <x:c r="R103" s="295" t="str">
        <x:v>Chưa có locator xác minh riêng</x:v>
      </x:c>
      <x:c r="S103" s="295" t="str">
        <x:v>https://tulieuvankien.dangcongsan.vn/upload/2006988/20260529/HD_05_VPTW_e1550.pdf</x:v>
      </x:c>
      <x:c r="T103" s="295" t="str">
        <x:v>CÓ</x:v>
      </x:c>
      <x:c r="U103" s="295" t="str">
        <x:v>CHECK_ONLY</x:v>
      </x:c>
      <x:c r="V103" s="295" t="str">
        <x:v>Phải nhận diện chế độ và chủ thể trước khi áp dụng</x:v>
      </x:c>
    </x:row>
    <x:row r="104" ht="28" customHeight="1">
      <x:c r="A104" s="295" t="n">
        <x:v>99</x:v>
      </x:c>
      <x:c r="B104" s="295" t="str">
        <x:v>HD05.D.NG.DIA_DANH.HIEN_DIEN</x:v>
      </x:c>
      <x:c r="C104" s="295" t="str">
        <x:v>HD05.D.NG.DIA_DANH</x:v>
      </x:c>
      <x:c r="D104" s="295" t="str">
        <x:v>Địa danh, ngày tháng</x:v>
      </x:c>
      <x:c r="E104" s="295" t="str">
        <x:v>Địa danh</x:v>
      </x:c>
      <x:c r="F104" s="295" t="str">
        <x:v>Điều kiện hiện diện</x:v>
      </x:c>
      <x:c r="G104" s="295" t="str">
        <x:v>TEXT</x:v>
      </x:c>
      <x:c r="H104" s="295"/>
      <x:c r="I104" s="295" t="str">
        <x:v>CHƯA XÁC MINH RIÊNG</x:v>
      </x:c>
      <x:c r="J104" s="295" t="str">
        <x:v>Không suy ra giới hạn pháp lý</x:v>
      </x:c>
      <x:c r="K104" s="295" t="str">
        <x:v>Văn bản có địa danh và thời gian; không tự sinh ngày/địa danh; đối chiếu thời điểm hiệu lực nguồn</x:v>
      </x:c>
      <x:c r="L104" s="295" t="str">
        <x:v>CHUA_DUYET_DINH_TUYEN</x:v>
      </x:c>
      <x:c r="M104" s="295" t="str">
        <x:v>CHUA_DOI_CHIEU_CU_THE</x:v>
      </x:c>
      <x:c r="N104" s="295" t="str">
        <x:v>Văn bản có địa danh và thời gian; không tự sinh ngày/địa danh; đối chiếu thời điểm hiệu lực nguồn</x:v>
      </x:c>
      <x:c r="O104" s="295" t="str">
        <x:v>Quy định gốc &gt; profile; khi chưa rõ điều kiện thì giữ nguyên; không sinh nội dung.</x:v>
      </x:c>
      <x:c r="P104" s="295" t="str">
        <x:v>PARAGRAPH / RUN / SHAPE tùy thuộc tính</x:v>
      </x:c>
      <x:c r="Q104" s="295" t="str">
        <x:v>Xác định đúng khối Địa danh; đọc giá trị thực; đối chiếu điều kiện; không sửa nội dung khi thiếu nguồn.</x:v>
      </x:c>
      <x:c r="R104" s="295" t="str">
        <x:v>Chưa có locator xác minh riêng</x:v>
      </x:c>
      <x:c r="S104" s="295" t="str">
        <x:v>https://tulieuvankien.dangcongsan.vn/upload/2006988/20260529/HD_05_VPTW_e1550.pdf</x:v>
      </x:c>
      <x:c r="T104" s="295" t="str">
        <x:v>CÓ</x:v>
      </x:c>
      <x:c r="U104" s="295" t="str">
        <x:v>CHECK_ONLY</x:v>
      </x:c>
      <x:c r="V104" s="295" t="str">
        <x:v>Phải nhận diện chế độ và chủ thể trước khi áp dụng</x:v>
      </x:c>
    </x:row>
    <x:row r="105" ht="28" customHeight="1">
      <x:c r="A105" s="295" t="n">
        <x:v>100</x:v>
      </x:c>
      <x:c r="B105" s="295" t="str">
        <x:v>HD05.D.NG.DIA_DANH.PHONG_CHU</x:v>
      </x:c>
      <x:c r="C105" s="295" t="str">
        <x:v>HD05.D.NG.DIA_DANH</x:v>
      </x:c>
      <x:c r="D105" s="295" t="str">
        <x:v>Địa danh, ngày tháng</x:v>
      </x:c>
      <x:c r="E105" s="295" t="str">
        <x:v>Địa danh</x:v>
      </x:c>
      <x:c r="F105" s="295" t="str">
        <x:v>Font chữ</x:v>
      </x:c>
      <x:c r="G105" s="295" t="str">
        <x:v>STRING</x:v>
      </x:c>
      <x:c r="H105" s="295"/>
      <x:c r="I105" s="295" t="str">
        <x:v>Times New Roman</x:v>
      </x:c>
      <x:c r="J105" s="295" t="str">
        <x:v>Đúng giá trị/giới hạn riêng</x:v>
      </x:c>
      <x:c r="K105" s="295" t="str">
        <x:v>Times New Roman</x:v>
      </x:c>
      <x:c r="L105" s="295" t="str">
        <x:v>PROFILE_CO_GIA_TRI_CHUA_DUYET</x:v>
      </x:c>
      <x:c r="M105" s="295" t="str">
        <x:v>DOI_CHIEU_CU_THE</x:v>
      </x:c>
      <x:c r="N105" s="295" t="str">
        <x:v>Văn bản có địa danh và thời gian; không tự sinh ngày/địa danh; đối chiếu thời điểm hiệu lực nguồn</x:v>
      </x:c>
      <x:c r="O105" s="295" t="str">
        <x:v>Quy định gốc &gt; profile; khi chưa rõ điều kiện thì giữ nguyên; không sinh nội dung.</x:v>
      </x:c>
      <x:c r="P105" s="295" t="str">
        <x:v>PARAGRAPH / RUN / SHAPE tùy thuộc tính</x:v>
      </x:c>
      <x:c r="Q105" s="295" t="str">
        <x:v>Xác định đúng khối Địa danh; đọc giá trị thực; đối chiếu điều kiện; không sửa nội dung khi thiếu nguồn.</x:v>
      </x:c>
      <x:c r="R105" s="295" t="str">
        <x:v>Phần II, IV.1</x:v>
      </x:c>
      <x:c r="S105" s="295" t="str">
        <x:v>https://tulieuvankien.dangcongsan.vn/upload/2006988/20260529/HD_05_VPTW_e1550.pdf</x:v>
      </x:c>
      <x:c r="T105" s="295" t="str">
        <x:v>CÓ</x:v>
      </x:c>
      <x:c r="U105" s="295" t="str">
        <x:v>CHECK_ONLY</x:v>
      </x:c>
      <x:c r="V105" s="295" t="str"/>
    </x:row>
    <x:row r="106" ht="28" customHeight="1">
      <x:c r="A106" s="295" t="n">
        <x:v>101</x:v>
      </x:c>
      <x:c r="B106" s="295" t="str">
        <x:v>HD05.D.NG.DIA_DANH.CO_CHU</x:v>
      </x:c>
      <x:c r="C106" s="295" t="str">
        <x:v>HD05.D.NG.DIA_DANH</x:v>
      </x:c>
      <x:c r="D106" s="295" t="str">
        <x:v>Địa danh, ngày tháng</x:v>
      </x:c>
      <x:c r="E106" s="295" t="str">
        <x:v>Địa danh</x:v>
      </x:c>
      <x:c r="F106" s="295" t="str">
        <x:v>Cỡ chữ</x:v>
      </x:c>
      <x:c r="G106" s="295" t="str">
        <x:v>NUMBER_OR_RANGE</x:v>
      </x:c>
      <x:c r="H106" s="295" t="str">
        <x:v>pt</x:v>
      </x:c>
      <x:c r="I106" s="295" t="str">
        <x:v>14</x:v>
      </x:c>
      <x:c r="J106" s="295" t="str">
        <x:v>Đúng giá trị/giới hạn riêng</x:v>
      </x:c>
      <x:c r="K106" s="295" t="n">
        <x:v>14</x:v>
      </x:c>
      <x:c r="L106" s="295" t="str">
        <x:v>PROFILE_CO_GIA_TRI_CHUA_DUYET</x:v>
      </x:c>
      <x:c r="M106" s="295" t="str">
        <x:v>DOI_CHIEU_CU_THE</x:v>
      </x:c>
      <x:c r="N106" s="295" t="str">
        <x:v>Văn bản có địa danh và thời gian; không tự sinh ngày/địa danh; đối chiếu thời điểm hiệu lực nguồn</x:v>
      </x:c>
      <x:c r="O106" s="295" t="str">
        <x:v>Quy định gốc &gt; profile; khi chưa rõ điều kiện thì giữ nguyên; không sinh nội dung.</x:v>
      </x:c>
      <x:c r="P106" s="295" t="str">
        <x:v>PARAGRAPH / RUN / SHAPE tùy thuộc tính</x:v>
      </x:c>
      <x:c r="Q106" s="295" t="str">
        <x:v>Xác định đúng khối Địa danh; đọc giá trị thực; đối chiếu điều kiện; không sửa nội dung khi thiếu nguồn.</x:v>
      </x:c>
      <x:c r="R106" s="295" t="str">
        <x:v>Phần II, I.4; Phụ lục 2, TT4</x:v>
      </x:c>
      <x:c r="S106" s="295" t="str">
        <x:v>https://tulieuvankien.dangcongsan.vn/upload/2006988/20260529/HD_05_VPTW_e1550.pdf</x:v>
      </x:c>
      <x:c r="T106" s="295" t="str">
        <x:v>CÓ</x:v>
      </x:c>
      <x:c r="U106" s="295" t="str">
        <x:v>CHECK_ONLY</x:v>
      </x:c>
      <x:c r="V106" s="295" t="str"/>
    </x:row>
    <x:row r="107" ht="28" customHeight="1">
      <x:c r="A107" s="295" t="n">
        <x:v>102</x:v>
      </x:c>
      <x:c r="B107" s="295" t="str">
        <x:v>HD05.D.NG.DIA_DANH.DAM</x:v>
      </x:c>
      <x:c r="C107" s="295" t="str">
        <x:v>HD05.D.NG.DIA_DANH</x:v>
      </x:c>
      <x:c r="D107" s="295" t="str">
        <x:v>Địa danh, ngày tháng</x:v>
      </x:c>
      <x:c r="E107" s="295" t="str">
        <x:v>Địa danh</x:v>
      </x:c>
      <x:c r="F107" s="295" t="str">
        <x:v>In đậm</x:v>
      </x:c>
      <x:c r="G107" s="295" t="str">
        <x:v>BOOLEAN</x:v>
      </x:c>
      <x:c r="H107" s="295"/>
      <x:c r="I107" s="296" t="b">
        <x:v>0</x:v>
      </x:c>
      <x:c r="J107" s="295" t="str">
        <x:v>Đúng giá trị/giới hạn riêng</x:v>
      </x:c>
      <x:c r="K107" s="296" t="b">
        <x:v>0</x:v>
      </x:c>
      <x:c r="L107" s="295" t="str">
        <x:v>PROFILE_CO_GIA_TRI_CHUA_DUYET</x:v>
      </x:c>
      <x:c r="M107" s="295" t="str">
        <x:v>DOI_CHIEU_CU_THE</x:v>
      </x:c>
      <x:c r="N107" s="295" t="str">
        <x:v>Văn bản có địa danh và thời gian; không tự sinh ngày/địa danh; đối chiếu thời điểm hiệu lực nguồn</x:v>
      </x:c>
      <x:c r="O107" s="295" t="str">
        <x:v>Quy định gốc &gt; profile; khi chưa rõ điều kiện thì giữ nguyên; không sinh nội dung.</x:v>
      </x:c>
      <x:c r="P107" s="295" t="str">
        <x:v>PARAGRAPH / RUN / SHAPE tùy thuộc tính</x:v>
      </x:c>
      <x:c r="Q107" s="295" t="str">
        <x:v>Xác định đúng khối Địa danh; đọc giá trị thực; đối chiếu điều kiện; không sửa nội dung khi thiếu nguồn.</x:v>
      </x:c>
      <x:c r="R107" s="295" t="str">
        <x:v>Phần II, I.4; Phụ lục 2, TT4</x:v>
      </x:c>
      <x:c r="S107" s="295" t="str">
        <x:v>https://tulieuvankien.dangcongsan.vn/upload/2006988/20260529/HD_05_VPTW_e1550.pdf</x:v>
      </x:c>
      <x:c r="T107" s="295" t="str">
        <x:v>CÓ</x:v>
      </x:c>
      <x:c r="U107" s="295" t="str">
        <x:v>CHECK_ONLY</x:v>
      </x:c>
      <x:c r="V107" s="295" t="str"/>
    </x:row>
    <x:row r="108" ht="28" customHeight="1">
      <x:c r="A108" s="295" t="n">
        <x:v>103</x:v>
      </x:c>
      <x:c r="B108" s="295" t="str">
        <x:v>HD05.D.NG.DIA_DANH.NGHIENG</x:v>
      </x:c>
      <x:c r="C108" s="295" t="str">
        <x:v>HD05.D.NG.DIA_DANH</x:v>
      </x:c>
      <x:c r="D108" s="295" t="str">
        <x:v>Địa danh, ngày tháng</x:v>
      </x:c>
      <x:c r="E108" s="295" t="str">
        <x:v>Địa danh</x:v>
      </x:c>
      <x:c r="F108" s="295" t="str">
        <x:v>In nghiêng</x:v>
      </x:c>
      <x:c r="G108" s="295" t="str">
        <x:v>BOOLEAN</x:v>
      </x:c>
      <x:c r="H108" s="295"/>
      <x:c r="I108" s="296" t="b">
        <x:v>1</x:v>
      </x:c>
      <x:c r="J108" s="295" t="str">
        <x:v>Đúng giá trị/giới hạn riêng</x:v>
      </x:c>
      <x:c r="K108" s="296" t="b">
        <x:v>1</x:v>
      </x:c>
      <x:c r="L108" s="295" t="str">
        <x:v>PROFILE_CO_GIA_TRI_CHUA_DUYET</x:v>
      </x:c>
      <x:c r="M108" s="295" t="str">
        <x:v>DOI_CHIEU_CU_THE</x:v>
      </x:c>
      <x:c r="N108" s="295" t="str">
        <x:v>Văn bản có địa danh và thời gian; không tự sinh ngày/địa danh; đối chiếu thời điểm hiệu lực nguồn</x:v>
      </x:c>
      <x:c r="O108" s="295" t="str">
        <x:v>Quy định gốc &gt; profile; khi chưa rõ điều kiện thì giữ nguyên; không sinh nội dung.</x:v>
      </x:c>
      <x:c r="P108" s="295" t="str">
        <x:v>PARAGRAPH / RUN / SHAPE tùy thuộc tính</x:v>
      </x:c>
      <x:c r="Q108" s="295" t="str">
        <x:v>Xác định đúng khối Địa danh; đọc giá trị thực; đối chiếu điều kiện; không sửa nội dung khi thiếu nguồn.</x:v>
      </x:c>
      <x:c r="R108" s="295" t="str">
        <x:v>Phần II, I.4; Phụ lục 2, TT4</x:v>
      </x:c>
      <x:c r="S108" s="295" t="str">
        <x:v>https://tulieuvankien.dangcongsan.vn/upload/2006988/20260529/HD_05_VPTW_e1550.pdf</x:v>
      </x:c>
      <x:c r="T108" s="295" t="str">
        <x:v>CÓ</x:v>
      </x:c>
      <x:c r="U108" s="295" t="str">
        <x:v>CHECK_ONLY</x:v>
      </x:c>
      <x:c r="V108" s="295" t="str"/>
    </x:row>
    <x:row r="109" ht="28" customHeight="1">
      <x:c r="A109" s="295" t="n">
        <x:v>104</x:v>
      </x:c>
      <x:c r="B109" s="295" t="str">
        <x:v>HD05.D.NG.DIA_DANH.KIEU_CHU</x:v>
      </x:c>
      <x:c r="C109" s="295" t="str">
        <x:v>HD05.D.NG.DIA_DANH</x:v>
      </x:c>
      <x:c r="D109" s="295" t="str">
        <x:v>Địa danh, ngày tháng</x:v>
      </x:c>
      <x:c r="E109" s="295" t="str">
        <x:v>Địa danh</x:v>
      </x:c>
      <x:c r="F109" s="295" t="str">
        <x:v>Kiểu viết hoa/thường</x:v>
      </x:c>
      <x:c r="G109" s="295" t="str">
        <x:v>ENUM</x:v>
      </x:c>
      <x:c r="H109" s="295"/>
      <x:c r="I109" s="295" t="str">
        <x:v>Địa danh; chữ đầu viết hoa</x:v>
      </x:c>
      <x:c r="J109" s="295" t="str">
        <x:v>Đúng giá trị/giới hạn riêng</x:v>
      </x:c>
      <x:c r="K109" s="295" t="str">
        <x:v>Theo số/chữ địa danh</x:v>
      </x:c>
      <x:c r="L109" s="295" t="str">
        <x:v>PROFILE_CO_GIA_TRI_CHUA_DUYET</x:v>
      </x:c>
      <x:c r="M109" s="295" t="str">
        <x:v>DOI_CHIEU_CU_THE</x:v>
      </x:c>
      <x:c r="N109" s="295" t="str">
        <x:v>Văn bản có địa danh và thời gian; không tự sinh ngày/địa danh; đối chiếu thời điểm hiệu lực nguồn</x:v>
      </x:c>
      <x:c r="O109" s="295" t="str">
        <x:v>Quy định gốc &gt; profile; khi chưa rõ điều kiện thì giữ nguyên; không sinh nội dung.</x:v>
      </x:c>
      <x:c r="P109" s="295" t="str">
        <x:v>PARAGRAPH / RUN / SHAPE tùy thuộc tính</x:v>
      </x:c>
      <x:c r="Q109" s="295" t="str">
        <x:v>Xác định đúng khối Địa danh; đọc giá trị thực; đối chiếu điều kiện; không sửa nội dung khi thiếu nguồn.</x:v>
      </x:c>
      <x:c r="R109" s="295" t="str">
        <x:v>Phần II, I.4; Phụ lục 2, TT4</x:v>
      </x:c>
      <x:c r="S109" s="295" t="str">
        <x:v>https://tulieuvankien.dangcongsan.vn/upload/2006988/20260529/HD_05_VPTW_e1550.pdf</x:v>
      </x:c>
      <x:c r="T109" s="295" t="str">
        <x:v>CÓ</x:v>
      </x:c>
      <x:c r="U109" s="295" t="str">
        <x:v>CHECK_ONLY</x:v>
      </x:c>
      <x:c r="V109" s="295" t="str"/>
    </x:row>
    <x:row r="110" ht="28" customHeight="1">
      <x:c r="A110" s="295" t="n">
        <x:v>105</x:v>
      </x:c>
      <x:c r="B110" s="295" t="str">
        <x:v>HD05.D.NG.DIA_DANH.CAN_NGANG</x:v>
      </x:c>
      <x:c r="C110" s="295" t="str">
        <x:v>HD05.D.NG.DIA_DANH</x:v>
      </x:c>
      <x:c r="D110" s="295" t="str">
        <x:v>Địa danh, ngày tháng</x:v>
      </x:c>
      <x:c r="E110" s="295" t="str">
        <x:v>Địa danh</x:v>
      </x:c>
      <x:c r="F110" s="295" t="str">
        <x:v>Căn ngang</x:v>
      </x:c>
      <x:c r="G110" s="295" t="str">
        <x:v>ENUM</x:v>
      </x:c>
      <x:c r="H110" s="295"/>
      <x:c r="I110" s="295" t="str">
        <x:v>CENTER</x:v>
      </x:c>
      <x:c r="J110" s="295" t="str">
        <x:v>Đúng giá trị/giới hạn riêng</x:v>
      </x:c>
      <x:c r="K110" s="295" t="str">
        <x:v>CÂN GIỮA TRONG KHỐI PHẢI (không căn phải cứng)</x:v>
      </x:c>
      <x:c r="L110" s="295" t="str">
        <x:v>PROFILE_CO_GIA_TRI_CHUA_DUYET</x:v>
      </x:c>
      <x:c r="M110" s="295" t="str">
        <x:v>DOI_CHIEU_CU_THE</x:v>
      </x:c>
      <x:c r="N110" s="295" t="str">
        <x:v>Văn bản có địa danh và thời gian; không tự sinh ngày/địa danh; đối chiếu thời điểm hiệu lực nguồn</x:v>
      </x:c>
      <x:c r="O110" s="295" t="str">
        <x:v>Quy định gốc &gt; profile; khi chưa rõ điều kiện thì giữ nguyên; không sinh nội dung.</x:v>
      </x:c>
      <x:c r="P110" s="295" t="str">
        <x:v>PARAGRAPH / RUN / SHAPE tùy thuộc tính</x:v>
      </x:c>
      <x:c r="Q110" s="295" t="str">
        <x:v>Xác định đúng khối Địa danh; đọc giá trị thực; đối chiếu điều kiện; không sửa nội dung khi thiếu nguồn.</x:v>
      </x:c>
      <x:c r="R110" s="295" t="str">
        <x:v>Phần II, I.4; Phụ lục 2, TT4</x:v>
      </x:c>
      <x:c r="S110" s="295" t="str">
        <x:v>https://tulieuvankien.dangcongsan.vn/upload/2006988/20260529/HD_05_VPTW_e1550.pdf</x:v>
      </x:c>
      <x:c r="T110" s="295" t="str">
        <x:v>CÓ</x:v>
      </x:c>
      <x:c r="U110" s="295" t="str">
        <x:v>CHECK_ONLY</x:v>
      </x:c>
      <x:c r="V110" s="295" t="str"/>
    </x:row>
    <x:row r="111" ht="28" customHeight="1">
      <x:c r="A111" s="295" t="n">
        <x:v>106</x:v>
      </x:c>
      <x:c r="B111" s="295" t="str">
        <x:v>HD05.D.NG.DIA_DANH.CACH_SAU</x:v>
      </x:c>
      <x:c r="C111" s="295" t="str">
        <x:v>HD05.D.NG.DIA_DANH</x:v>
      </x:c>
      <x:c r="D111" s="295" t="str">
        <x:v>Địa danh, ngày tháng</x:v>
      </x:c>
      <x:c r="E111" s="295" t="str">
        <x:v>Địa danh</x:v>
      </x:c>
      <x:c r="F111" s="295" t="str">
        <x:v>Khoảng cách sau đoạn</x:v>
      </x:c>
      <x:c r="G111" s="295" t="str">
        <x:v>NUMBER</x:v>
      </x:c>
      <x:c r="H111" s="295" t="str">
        <x:v>pt</x:v>
      </x:c>
      <x:c r="I111" s="295" t="str">
        <x:v>CHƯA XÁC MINH RIÊNG</x:v>
      </x:c>
      <x:c r="J111" s="295" t="str">
        <x:v>Không suy ra giới hạn pháp lý</x:v>
      </x:c>
      <x:c r="K111" s="295" t="n">
        <x:v>0</x:v>
      </x:c>
      <x:c r="L111" s="295" t="str">
        <x:v>PROFILE_CHO_RAO_SOAT</x:v>
      </x:c>
      <x:c r="M111" s="295" t="str">
        <x:v>CHUA_DOI_CHIEU_CU_THE</x:v>
      </x:c>
      <x:c r="N111" s="295" t="str">
        <x:v>Văn bản có địa danh và thời gian; không tự sinh ngày/địa danh; đối chiếu thời điểm hiệu lực nguồn</x:v>
      </x:c>
      <x:c r="O111" s="295" t="str">
        <x:v>Quy định gốc &gt; profile; khi chưa rõ điều kiện thì giữ nguyên; không sinh nội dung.</x:v>
      </x:c>
      <x:c r="P111" s="295" t="str">
        <x:v>PARAGRAPH / RUN / SHAPE tùy thuộc tính</x:v>
      </x:c>
      <x:c r="Q111" s="295" t="str">
        <x:v>Xác định đúng khối Địa danh; đọc giá trị thực; đối chiếu điều kiện; không sửa nội dung khi thiếu nguồn.</x:v>
      </x:c>
      <x:c r="R111" s="295" t="str">
        <x:v>Chưa có locator xác minh riêng</x:v>
      </x:c>
      <x:c r="S111" s="295" t="str">
        <x:v>https://tulieuvankien.dangcongsan.vn/upload/2006988/20260529/HD_05_VPTW_e1550.pdf</x:v>
      </x:c>
      <x:c r="T111" s="295" t="str">
        <x:v>CÓ</x:v>
      </x:c>
      <x:c r="U111" s="295" t="str">
        <x:v>CHECK_ONLY</x:v>
      </x:c>
      <x:c r="V111" s="295" t="str">
        <x:v>Không tự chèn đoạn trắng</x:v>
      </x:c>
    </x:row>
    <x:row r="112" ht="28" customHeight="1">
      <x:c r="A112" s="295" t="n">
        <x:v>107</x:v>
      </x:c>
      <x:c r="B112" s="295" t="str">
        <x:v>HD05.D.NG.DIA_DANH.GIAN_DONG</x:v>
      </x:c>
      <x:c r="C112" s="295" t="str">
        <x:v>HD05.D.NG.DIA_DANH</x:v>
      </x:c>
      <x:c r="D112" s="295" t="str">
        <x:v>Địa danh, ngày tháng</x:v>
      </x:c>
      <x:c r="E112" s="295" t="str">
        <x:v>Địa danh</x:v>
      </x:c>
      <x:c r="F112" s="295" t="str">
        <x:v>Giãn dòng</x:v>
      </x:c>
      <x:c r="G112" s="295" t="str">
        <x:v>NUMBER</x:v>
      </x:c>
      <x:c r="H112" s="295" t="str">
        <x:v>lines</x:v>
      </x:c>
      <x:c r="I112" s="295" t="str">
        <x:v>CHƯA XÁC MINH RIÊNG</x:v>
      </x:c>
      <x:c r="J112" s="295" t="str">
        <x:v>Không suy ra giới hạn pháp lý</x:v>
      </x:c>
      <x:c r="K112" s="295" t="str">
        <x:v>SINGLE</x:v>
      </x:c>
      <x:c r="L112" s="295" t="str">
        <x:v>PROFILE_CHO_RAO_SOAT</x:v>
      </x:c>
      <x:c r="M112" s="295" t="str">
        <x:v>CHUA_DOI_CHIEU_CU_THE</x:v>
      </x:c>
      <x:c r="N112" s="295" t="str">
        <x:v>Văn bản có địa danh và thời gian; không tự sinh ngày/địa danh; đối chiếu thời điểm hiệu lực nguồn</x:v>
      </x:c>
      <x:c r="O112" s="295" t="str">
        <x:v>Quy định gốc &gt; profile; khi chưa rõ điều kiện thì giữ nguyên; không sinh nội dung.</x:v>
      </x:c>
      <x:c r="P112" s="295" t="str">
        <x:v>PARAGRAPH / RUN / SHAPE tùy thuộc tính</x:v>
      </x:c>
      <x:c r="Q112" s="295" t="str">
        <x:v>Xác định đúng khối Địa danh; đọc giá trị thực; đối chiếu điều kiện; không sửa nội dung khi thiếu nguồn.</x:v>
      </x:c>
      <x:c r="R112" s="295" t="str">
        <x:v>Chưa có locator xác minh riêng</x:v>
      </x:c>
      <x:c r="S112" s="295" t="str">
        <x:v>https://tulieuvankien.dangcongsan.vn/upload/2006988/20260529/HD_05_VPTW_e1550.pdf</x:v>
      </x:c>
      <x:c r="T112" s="295" t="str">
        <x:v>CÓ</x:v>
      </x:c>
      <x:c r="U112" s="295" t="str">
        <x:v>CHECK_ONLY</x:v>
      </x:c>
      <x:c r="V112" s="295" t="str">
        <x:v>Giãn dòng phần đầu không được tự đồng nhất với thân bài.</x:v>
      </x:c>
    </x:row>
    <x:row r="113" ht="28" customHeight="1">
      <x:c r="A113" s="295" t="n">
        <x:v>108</x:v>
      </x:c>
      <x:c r="B113" s="295" t="str">
        <x:v>HD05.D.NG.DIA_DANH.BAO_VE_NOI_DUNG</x:v>
      </x:c>
      <x:c r="C113" s="295" t="str">
        <x:v>HD05.D.NG.DIA_DANH</x:v>
      </x:c>
      <x:c r="D113" s="295" t="str">
        <x:v>Địa danh, ngày tháng</x:v>
      </x:c>
      <x:c r="E113" s="295" t="str">
        <x:v>Địa danh</x:v>
      </x:c>
      <x:c r="F113" s="295" t="str">
        <x:v>Không tự suy diễn nội dung</x:v>
      </x:c>
      <x:c r="G113" s="295" t="str">
        <x:v>BOOLEAN</x:v>
      </x:c>
      <x:c r="H113" s="295"/>
      <x:c r="I113" s="295" t="str">
        <x:v>CHƯA XÁC MINH RIÊNG</x:v>
      </x:c>
      <x:c r="J113" s="295" t="str">
        <x:v>Không suy ra giới hạn pháp lý</x:v>
      </x:c>
      <x:c r="K113" s="296" t="b">
        <x:v>1</x:v>
      </x:c>
      <x:c r="L113" s="295" t="str">
        <x:v>NOI_DUNG_BAO_VE</x:v>
      </x:c>
      <x:c r="M113" s="295" t="str">
        <x:v>CHUA_DOI_CHIEU_CU_THE</x:v>
      </x:c>
      <x:c r="N113" s="295" t="str">
        <x:v>Văn bản có địa danh và thời gian; không tự sinh ngày/địa danh; đối chiếu thời điểm hiệu lực nguồn</x:v>
      </x:c>
      <x:c r="O113" s="295" t="str">
        <x:v>Quy định gốc &gt; profile; khi chưa rõ điều kiện thì giữ nguyên; không sinh nội dung.</x:v>
      </x:c>
      <x:c r="P113" s="295" t="str">
        <x:v>PARAGRAPH / RUN / SHAPE tùy thuộc tính</x:v>
      </x:c>
      <x:c r="Q113" s="295" t="str">
        <x:v>Xác định đúng khối Địa danh; đọc giá trị thực; đối chiếu điều kiện; không sửa nội dung khi thiếu nguồn.</x:v>
      </x:c>
      <x:c r="R113" s="295" t="str">
        <x:v>Chưa có locator xác minh riêng</x:v>
      </x:c>
      <x:c r="S113" s="295" t="str">
        <x:v>https://tulieuvankien.dangcongsan.vn/upload/2006988/20260529/HD_05_VPTW_e1550.pdf</x:v>
      </x:c>
      <x:c r="T113" s="295" t="str">
        <x:v>CÓ</x:v>
      </x:c>
      <x:c r="U113" s="295" t="str">
        <x:v>CHECK_ONLY</x:v>
      </x:c>
      <x:c r="V113" s="295" t="str">
        <x:v>Chỉ chuẩn hóa hình thức sau khi xác nhận chính xác nội dung, không tự điền số/ngày/người nhận.</x:v>
      </x:c>
    </x:row>
    <x:row r="114" ht="28" customHeight="1">
      <x:c r="A114" s="295" t="n">
        <x:v>109</x:v>
      </x:c>
      <x:c r="B114" s="295" t="str">
        <x:v>HD05.D.NG.NGAY.HIEN_DIEN</x:v>
      </x:c>
      <x:c r="C114" s="295" t="str">
        <x:v>HD05.D.NG.NGAY</x:v>
      </x:c>
      <x:c r="D114" s="295" t="str">
        <x:v>Địa danh, ngày tháng</x:v>
      </x:c>
      <x:c r="E114" s="295" t="str">
        <x:v>Ngày</x:v>
      </x:c>
      <x:c r="F114" s="295" t="str">
        <x:v>Điều kiện hiện diện</x:v>
      </x:c>
      <x:c r="G114" s="295" t="str">
        <x:v>TEXT</x:v>
      </x:c>
      <x:c r="H114" s="295"/>
      <x:c r="I114" s="295" t="str">
        <x:v>CHƯA XÁC MINH RIÊNG</x:v>
      </x:c>
      <x:c r="J114" s="295" t="str">
        <x:v>Không suy ra giới hạn pháp lý</x:v>
      </x:c>
      <x:c r="K114" s="295" t="str">
        <x:v>Văn bản có địa danh và thời gian; không tự sinh ngày/địa danh; đối chiếu thời điểm hiệu lực nguồn</x:v>
      </x:c>
      <x:c r="L114" s="295" t="str">
        <x:v>CHUA_DUYET_DINH_TUYEN</x:v>
      </x:c>
      <x:c r="M114" s="295" t="str">
        <x:v>CHUA_DOI_CHIEU_CU_THE</x:v>
      </x:c>
      <x:c r="N114" s="295" t="str">
        <x:v>Văn bản có địa danh và thời gian; không tự sinh ngày/địa danh; đối chiếu thời điểm hiệu lực nguồn</x:v>
      </x:c>
      <x:c r="O114" s="295" t="str">
        <x:v>Quy định gốc &gt; profile; khi chưa rõ điều kiện thì giữ nguyên; không sinh nội dung.</x:v>
      </x:c>
      <x:c r="P114" s="295" t="str">
        <x:v>PARAGRAPH / RUN / SHAPE tùy thuộc tính</x:v>
      </x:c>
      <x:c r="Q114" s="295" t="str">
        <x:v>Xác định đúng khối Ngày; đọc giá trị thực; đối chiếu điều kiện; không sửa nội dung khi thiếu nguồn.</x:v>
      </x:c>
      <x:c r="R114" s="295" t="str">
        <x:v>Chưa có locator xác minh riêng</x:v>
      </x:c>
      <x:c r="S114" s="295" t="str">
        <x:v>https://tulieuvankien.dangcongsan.vn/upload/2006988/20260529/HD_05_VPTW_e1550.pdf</x:v>
      </x:c>
      <x:c r="T114" s="295" t="str">
        <x:v>CÓ</x:v>
      </x:c>
      <x:c r="U114" s="295" t="str">
        <x:v>CHECK_ONLY</x:v>
      </x:c>
      <x:c r="V114" s="295" t="str">
        <x:v>Phải nhận diện chế độ và chủ thể trước khi áp dụng</x:v>
      </x:c>
    </x:row>
    <x:row r="115" ht="28" customHeight="1">
      <x:c r="A115" s="295" t="n">
        <x:v>110</x:v>
      </x:c>
      <x:c r="B115" s="295" t="str">
        <x:v>HD05.D.NG.NGAY.PHONG_CHU</x:v>
      </x:c>
      <x:c r="C115" s="295" t="str">
        <x:v>HD05.D.NG.NGAY</x:v>
      </x:c>
      <x:c r="D115" s="295" t="str">
        <x:v>Địa danh, ngày tháng</x:v>
      </x:c>
      <x:c r="E115" s="295" t="str">
        <x:v>Ngày</x:v>
      </x:c>
      <x:c r="F115" s="295" t="str">
        <x:v>Font chữ</x:v>
      </x:c>
      <x:c r="G115" s="295" t="str">
        <x:v>STRING</x:v>
      </x:c>
      <x:c r="H115" s="295"/>
      <x:c r="I115" s="295" t="str">
        <x:v>Times New Roman</x:v>
      </x:c>
      <x:c r="J115" s="295" t="str">
        <x:v>Đúng giá trị/giới hạn riêng</x:v>
      </x:c>
      <x:c r="K115" s="295" t="str">
        <x:v>Times New Roman</x:v>
      </x:c>
      <x:c r="L115" s="295" t="str">
        <x:v>PROFILE_CO_GIA_TRI_CHUA_DUYET</x:v>
      </x:c>
      <x:c r="M115" s="295" t="str">
        <x:v>DOI_CHIEU_CU_THE</x:v>
      </x:c>
      <x:c r="N115" s="295" t="str">
        <x:v>Văn bản có địa danh và thời gian; không tự sinh ngày/địa danh; đối chiếu thời điểm hiệu lực nguồn</x:v>
      </x:c>
      <x:c r="O115" s="295" t="str">
        <x:v>Quy định gốc &gt; profile; khi chưa rõ điều kiện thì giữ nguyên; không sinh nội dung.</x:v>
      </x:c>
      <x:c r="P115" s="295" t="str">
        <x:v>PARAGRAPH / RUN / SHAPE tùy thuộc tính</x:v>
      </x:c>
      <x:c r="Q115" s="295" t="str">
        <x:v>Xác định đúng khối Ngày; đọc giá trị thực; đối chiếu điều kiện; không sửa nội dung khi thiếu nguồn.</x:v>
      </x:c>
      <x:c r="R115" s="295" t="str">
        <x:v>Phần II, IV.1</x:v>
      </x:c>
      <x:c r="S115" s="295" t="str">
        <x:v>https://tulieuvankien.dangcongsan.vn/upload/2006988/20260529/HD_05_VPTW_e1550.pdf</x:v>
      </x:c>
      <x:c r="T115" s="295" t="str">
        <x:v>CÓ</x:v>
      </x:c>
      <x:c r="U115" s="295" t="str">
        <x:v>CHECK_ONLY</x:v>
      </x:c>
      <x:c r="V115" s="295" t="str"/>
    </x:row>
    <x:row r="116" ht="28" customHeight="1">
      <x:c r="A116" s="295" t="n">
        <x:v>111</x:v>
      </x:c>
      <x:c r="B116" s="295" t="str">
        <x:v>HD05.D.NG.NGAY.CO_CHU</x:v>
      </x:c>
      <x:c r="C116" s="295" t="str">
        <x:v>HD05.D.NG.NGAY</x:v>
      </x:c>
      <x:c r="D116" s="295" t="str">
        <x:v>Địa danh, ngày tháng</x:v>
      </x:c>
      <x:c r="E116" s="295" t="str">
        <x:v>Ngày</x:v>
      </x:c>
      <x:c r="F116" s="295" t="str">
        <x:v>Cỡ chữ</x:v>
      </x:c>
      <x:c r="G116" s="295" t="str">
        <x:v>NUMBER_OR_RANGE</x:v>
      </x:c>
      <x:c r="H116" s="295" t="str">
        <x:v>pt</x:v>
      </x:c>
      <x:c r="I116" s="295" t="str">
        <x:v>14</x:v>
      </x:c>
      <x:c r="J116" s="295" t="str">
        <x:v>Đúng giá trị/giới hạn riêng</x:v>
      </x:c>
      <x:c r="K116" s="295" t="n">
        <x:v>14</x:v>
      </x:c>
      <x:c r="L116" s="295" t="str">
        <x:v>PROFILE_CO_GIA_TRI_CHUA_DUYET</x:v>
      </x:c>
      <x:c r="M116" s="295" t="str">
        <x:v>DOI_CHIEU_CU_THE</x:v>
      </x:c>
      <x:c r="N116" s="295" t="str">
        <x:v>Văn bản có địa danh và thời gian; không tự sinh ngày/địa danh; đối chiếu thời điểm hiệu lực nguồn</x:v>
      </x:c>
      <x:c r="O116" s="295" t="str">
        <x:v>Quy định gốc &gt; profile; khi chưa rõ điều kiện thì giữ nguyên; không sinh nội dung.</x:v>
      </x:c>
      <x:c r="P116" s="295" t="str">
        <x:v>PARAGRAPH / RUN / SHAPE tùy thuộc tính</x:v>
      </x:c>
      <x:c r="Q116" s="295" t="str">
        <x:v>Xác định đúng khối Ngày; đọc giá trị thực; đối chiếu điều kiện; không sửa nội dung khi thiếu nguồn.</x:v>
      </x:c>
      <x:c r="R116" s="295" t="str">
        <x:v>Phần II, I.4; Phụ lục 2, TT4</x:v>
      </x:c>
      <x:c r="S116" s="295" t="str">
        <x:v>https://tulieuvankien.dangcongsan.vn/upload/2006988/20260529/HD_05_VPTW_e1550.pdf</x:v>
      </x:c>
      <x:c r="T116" s="295" t="str">
        <x:v>CÓ</x:v>
      </x:c>
      <x:c r="U116" s="295" t="str">
        <x:v>CHECK_ONLY</x:v>
      </x:c>
      <x:c r="V116" s="295" t="str"/>
    </x:row>
    <x:row r="117" ht="28" customHeight="1">
      <x:c r="A117" s="295" t="n">
        <x:v>112</x:v>
      </x:c>
      <x:c r="B117" s="295" t="str">
        <x:v>HD05.D.NG.NGAY.DAM</x:v>
      </x:c>
      <x:c r="C117" s="295" t="str">
        <x:v>HD05.D.NG.NGAY</x:v>
      </x:c>
      <x:c r="D117" s="295" t="str">
        <x:v>Địa danh, ngày tháng</x:v>
      </x:c>
      <x:c r="E117" s="295" t="str">
        <x:v>Ngày</x:v>
      </x:c>
      <x:c r="F117" s="295" t="str">
        <x:v>In đậm</x:v>
      </x:c>
      <x:c r="G117" s="295" t="str">
        <x:v>BOOLEAN</x:v>
      </x:c>
      <x:c r="H117" s="295"/>
      <x:c r="I117" s="296" t="b">
        <x:v>0</x:v>
      </x:c>
      <x:c r="J117" s="295" t="str">
        <x:v>Đúng giá trị/giới hạn riêng</x:v>
      </x:c>
      <x:c r="K117" s="296" t="b">
        <x:v>0</x:v>
      </x:c>
      <x:c r="L117" s="295" t="str">
        <x:v>PROFILE_CO_GIA_TRI_CHUA_DUYET</x:v>
      </x:c>
      <x:c r="M117" s="295" t="str">
        <x:v>DOI_CHIEU_CU_THE</x:v>
      </x:c>
      <x:c r="N117" s="295" t="str">
        <x:v>Văn bản có địa danh và thời gian; không tự sinh ngày/địa danh; đối chiếu thời điểm hiệu lực nguồn</x:v>
      </x:c>
      <x:c r="O117" s="295" t="str">
        <x:v>Quy định gốc &gt; profile; khi chưa rõ điều kiện thì giữ nguyên; không sinh nội dung.</x:v>
      </x:c>
      <x:c r="P117" s="295" t="str">
        <x:v>PARAGRAPH / RUN / SHAPE tùy thuộc tính</x:v>
      </x:c>
      <x:c r="Q117" s="295" t="str">
        <x:v>Xác định đúng khối Ngày; đọc giá trị thực; đối chiếu điều kiện; không sửa nội dung khi thiếu nguồn.</x:v>
      </x:c>
      <x:c r="R117" s="295" t="str">
        <x:v>Phần II, I.4; Phụ lục 2, TT4</x:v>
      </x:c>
      <x:c r="S117" s="295" t="str">
        <x:v>https://tulieuvankien.dangcongsan.vn/upload/2006988/20260529/HD_05_VPTW_e1550.pdf</x:v>
      </x:c>
      <x:c r="T117" s="295" t="str">
        <x:v>CÓ</x:v>
      </x:c>
      <x:c r="U117" s="295" t="str">
        <x:v>CHECK_ONLY</x:v>
      </x:c>
      <x:c r="V117" s="295" t="str"/>
    </x:row>
    <x:row r="118" ht="28" customHeight="1">
      <x:c r="A118" s="295" t="n">
        <x:v>113</x:v>
      </x:c>
      <x:c r="B118" s="295" t="str">
        <x:v>HD05.D.NG.NGAY.NGHIENG</x:v>
      </x:c>
      <x:c r="C118" s="295" t="str">
        <x:v>HD05.D.NG.NGAY</x:v>
      </x:c>
      <x:c r="D118" s="295" t="str">
        <x:v>Địa danh, ngày tháng</x:v>
      </x:c>
      <x:c r="E118" s="295" t="str">
        <x:v>Ngày</x:v>
      </x:c>
      <x:c r="F118" s="295" t="str">
        <x:v>In nghiêng</x:v>
      </x:c>
      <x:c r="G118" s="295" t="str">
        <x:v>BOOLEAN</x:v>
      </x:c>
      <x:c r="H118" s="295"/>
      <x:c r="I118" s="296" t="b">
        <x:v>1</x:v>
      </x:c>
      <x:c r="J118" s="295" t="str">
        <x:v>Đúng giá trị/giới hạn riêng</x:v>
      </x:c>
      <x:c r="K118" s="296" t="b">
        <x:v>1</x:v>
      </x:c>
      <x:c r="L118" s="295" t="str">
        <x:v>PROFILE_CO_GIA_TRI_CHUA_DUYET</x:v>
      </x:c>
      <x:c r="M118" s="295" t="str">
        <x:v>DOI_CHIEU_CU_THE</x:v>
      </x:c>
      <x:c r="N118" s="295" t="str">
        <x:v>Văn bản có địa danh và thời gian; không tự sinh ngày/địa danh; đối chiếu thời điểm hiệu lực nguồn</x:v>
      </x:c>
      <x:c r="O118" s="295" t="str">
        <x:v>Quy định gốc &gt; profile; khi chưa rõ điều kiện thì giữ nguyên; không sinh nội dung.</x:v>
      </x:c>
      <x:c r="P118" s="295" t="str">
        <x:v>PARAGRAPH / RUN / SHAPE tùy thuộc tính</x:v>
      </x:c>
      <x:c r="Q118" s="295" t="str">
        <x:v>Xác định đúng khối Ngày; đọc giá trị thực; đối chiếu điều kiện; không sửa nội dung khi thiếu nguồn.</x:v>
      </x:c>
      <x:c r="R118" s="295" t="str">
        <x:v>Phần II, I.4; Phụ lục 2, TT4</x:v>
      </x:c>
      <x:c r="S118" s="295" t="str">
        <x:v>https://tulieuvankien.dangcongsan.vn/upload/2006988/20260529/HD_05_VPTW_e1550.pdf</x:v>
      </x:c>
      <x:c r="T118" s="295" t="str">
        <x:v>CÓ</x:v>
      </x:c>
      <x:c r="U118" s="295" t="str">
        <x:v>CHECK_ONLY</x:v>
      </x:c>
      <x:c r="V118" s="295" t="str"/>
    </x:row>
    <x:row r="119" ht="28" customHeight="1">
      <x:c r="A119" s="295" t="n">
        <x:v>114</x:v>
      </x:c>
      <x:c r="B119" s="295" t="str">
        <x:v>HD05.D.NG.NGAY.KIEU_CHU</x:v>
      </x:c>
      <x:c r="C119" s="295" t="str">
        <x:v>HD05.D.NG.NGAY</x:v>
      </x:c>
      <x:c r="D119" s="295" t="str">
        <x:v>Địa danh, ngày tháng</x:v>
      </x:c>
      <x:c r="E119" s="295" t="str">
        <x:v>Ngày</x:v>
      </x:c>
      <x:c r="F119" s="295" t="str">
        <x:v>Kiểu viết hoa/thường</x:v>
      </x:c>
      <x:c r="G119" s="295" t="str">
        <x:v>ENUM</x:v>
      </x:c>
      <x:c r="H119" s="295"/>
      <x:c r="I119" s="295" t="str">
        <x:v>Số Ả Rập</x:v>
      </x:c>
      <x:c r="J119" s="295" t="str">
        <x:v>Đúng giá trị/giới hạn riêng</x:v>
      </x:c>
      <x:c r="K119" s="295" t="str">
        <x:v>Theo số/chữ địa danh</x:v>
      </x:c>
      <x:c r="L119" s="295" t="str">
        <x:v>PROFILE_CO_GIA_TRI_CHUA_DUYET</x:v>
      </x:c>
      <x:c r="M119" s="295" t="str">
        <x:v>DOI_CHIEU_CU_THE</x:v>
      </x:c>
      <x:c r="N119" s="295" t="str">
        <x:v>Văn bản có địa danh và thời gian; không tự sinh ngày/địa danh; đối chiếu thời điểm hiệu lực nguồn</x:v>
      </x:c>
      <x:c r="O119" s="295" t="str">
        <x:v>Quy định gốc &gt; profile; khi chưa rõ điều kiện thì giữ nguyên; không sinh nội dung.</x:v>
      </x:c>
      <x:c r="P119" s="295" t="str">
        <x:v>PARAGRAPH / RUN / SHAPE tùy thuộc tính</x:v>
      </x:c>
      <x:c r="Q119" s="295" t="str">
        <x:v>Xác định đúng khối Ngày; đọc giá trị thực; đối chiếu điều kiện; không sửa nội dung khi thiếu nguồn.</x:v>
      </x:c>
      <x:c r="R119" s="295" t="str">
        <x:v>Phần II, I.4; Phụ lục 2, TT4</x:v>
      </x:c>
      <x:c r="S119" s="295" t="str">
        <x:v>https://tulieuvankien.dangcongsan.vn/upload/2006988/20260529/HD_05_VPTW_e1550.pdf</x:v>
      </x:c>
      <x:c r="T119" s="295" t="str">
        <x:v>CÓ</x:v>
      </x:c>
      <x:c r="U119" s="295" t="str">
        <x:v>CHECK_ONLY</x:v>
      </x:c>
      <x:c r="V119" s="295" t="str"/>
    </x:row>
    <x:row r="120" ht="28" customHeight="1">
      <x:c r="A120" s="295" t="n">
        <x:v>115</x:v>
      </x:c>
      <x:c r="B120" s="295" t="str">
        <x:v>HD05.D.NG.NGAY.CAN_NGANG</x:v>
      </x:c>
      <x:c r="C120" s="295" t="str">
        <x:v>HD05.D.NG.NGAY</x:v>
      </x:c>
      <x:c r="D120" s="295" t="str">
        <x:v>Địa danh, ngày tháng</x:v>
      </x:c>
      <x:c r="E120" s="295" t="str">
        <x:v>Ngày</x:v>
      </x:c>
      <x:c r="F120" s="295" t="str">
        <x:v>Căn ngang</x:v>
      </x:c>
      <x:c r="G120" s="295" t="str">
        <x:v>ENUM</x:v>
      </x:c>
      <x:c r="H120" s="295"/>
      <x:c r="I120" s="295" t="str">
        <x:v>CENTER</x:v>
      </x:c>
      <x:c r="J120" s="295" t="str">
        <x:v>Đúng giá trị/giới hạn riêng</x:v>
      </x:c>
      <x:c r="K120" s="295" t="str">
        <x:v>CÂN GIỮA TRONG KHỐI PHẢI (không căn phải cứng)</x:v>
      </x:c>
      <x:c r="L120" s="295" t="str">
        <x:v>PROFILE_CO_GIA_TRI_CHUA_DUYET</x:v>
      </x:c>
      <x:c r="M120" s="295" t="str">
        <x:v>DOI_CHIEU_CU_THE</x:v>
      </x:c>
      <x:c r="N120" s="295" t="str">
        <x:v>Văn bản có địa danh và thời gian; không tự sinh ngày/địa danh; đối chiếu thời điểm hiệu lực nguồn</x:v>
      </x:c>
      <x:c r="O120" s="295" t="str">
        <x:v>Quy định gốc &gt; profile; khi chưa rõ điều kiện thì giữ nguyên; không sinh nội dung.</x:v>
      </x:c>
      <x:c r="P120" s="295" t="str">
        <x:v>PARAGRAPH / RUN / SHAPE tùy thuộc tính</x:v>
      </x:c>
      <x:c r="Q120" s="295" t="str">
        <x:v>Xác định đúng khối Ngày; đọc giá trị thực; đối chiếu điều kiện; không sửa nội dung khi thiếu nguồn.</x:v>
      </x:c>
      <x:c r="R120" s="295" t="str">
        <x:v>Phần II, I.4; Phụ lục 2, TT4</x:v>
      </x:c>
      <x:c r="S120" s="295" t="str">
        <x:v>https://tulieuvankien.dangcongsan.vn/upload/2006988/20260529/HD_05_VPTW_e1550.pdf</x:v>
      </x:c>
      <x:c r="T120" s="295" t="str">
        <x:v>CÓ</x:v>
      </x:c>
      <x:c r="U120" s="295" t="str">
        <x:v>CHECK_ONLY</x:v>
      </x:c>
      <x:c r="V120" s="295" t="str"/>
    </x:row>
    <x:row r="121" ht="28" customHeight="1">
      <x:c r="A121" s="295" t="n">
        <x:v>116</x:v>
      </x:c>
      <x:c r="B121" s="295" t="str">
        <x:v>HD05.D.NG.NGAY.CACH_SAU</x:v>
      </x:c>
      <x:c r="C121" s="295" t="str">
        <x:v>HD05.D.NG.NGAY</x:v>
      </x:c>
      <x:c r="D121" s="295" t="str">
        <x:v>Địa danh, ngày tháng</x:v>
      </x:c>
      <x:c r="E121" s="295" t="str">
        <x:v>Ngày</x:v>
      </x:c>
      <x:c r="F121" s="295" t="str">
        <x:v>Khoảng cách sau đoạn</x:v>
      </x:c>
      <x:c r="G121" s="295" t="str">
        <x:v>NUMBER</x:v>
      </x:c>
      <x:c r="H121" s="295" t="str">
        <x:v>pt</x:v>
      </x:c>
      <x:c r="I121" s="295" t="str">
        <x:v>CHƯA XÁC MINH RIÊNG</x:v>
      </x:c>
      <x:c r="J121" s="295" t="str">
        <x:v>Không suy ra giới hạn pháp lý</x:v>
      </x:c>
      <x:c r="K121" s="295" t="n">
        <x:v>0</x:v>
      </x:c>
      <x:c r="L121" s="295" t="str">
        <x:v>PROFILE_CHO_RAO_SOAT</x:v>
      </x:c>
      <x:c r="M121" s="295" t="str">
        <x:v>CHUA_DOI_CHIEU_CU_THE</x:v>
      </x:c>
      <x:c r="N121" s="295" t="str">
        <x:v>Văn bản có địa danh và thời gian; không tự sinh ngày/địa danh; đối chiếu thời điểm hiệu lực nguồn</x:v>
      </x:c>
      <x:c r="O121" s="295" t="str">
        <x:v>Quy định gốc &gt; profile; khi chưa rõ điều kiện thì giữ nguyên; không sinh nội dung.</x:v>
      </x:c>
      <x:c r="P121" s="295" t="str">
        <x:v>PARAGRAPH / RUN / SHAPE tùy thuộc tính</x:v>
      </x:c>
      <x:c r="Q121" s="295" t="str">
        <x:v>Xác định đúng khối Ngày; đọc giá trị thực; đối chiếu điều kiện; không sửa nội dung khi thiếu nguồn.</x:v>
      </x:c>
      <x:c r="R121" s="295" t="str">
        <x:v>Chưa có locator xác minh riêng</x:v>
      </x:c>
      <x:c r="S121" s="295" t="str">
        <x:v>https://tulieuvankien.dangcongsan.vn/upload/2006988/20260529/HD_05_VPTW_e1550.pdf</x:v>
      </x:c>
      <x:c r="T121" s="295" t="str">
        <x:v>CÓ</x:v>
      </x:c>
      <x:c r="U121" s="295" t="str">
        <x:v>CHECK_ONLY</x:v>
      </x:c>
      <x:c r="V121" s="295" t="str">
        <x:v>Không tự chèn đoạn trắng</x:v>
      </x:c>
    </x:row>
    <x:row r="122" ht="28" customHeight="1">
      <x:c r="A122" s="295" t="n">
        <x:v>117</x:v>
      </x:c>
      <x:c r="B122" s="295" t="str">
        <x:v>HD05.D.NG.NGAY.GIAN_DONG</x:v>
      </x:c>
      <x:c r="C122" s="295" t="str">
        <x:v>HD05.D.NG.NGAY</x:v>
      </x:c>
      <x:c r="D122" s="295" t="str">
        <x:v>Địa danh, ngày tháng</x:v>
      </x:c>
      <x:c r="E122" s="295" t="str">
        <x:v>Ngày</x:v>
      </x:c>
      <x:c r="F122" s="295" t="str">
        <x:v>Giãn dòng</x:v>
      </x:c>
      <x:c r="G122" s="295" t="str">
        <x:v>NUMBER</x:v>
      </x:c>
      <x:c r="H122" s="295" t="str">
        <x:v>lines</x:v>
      </x:c>
      <x:c r="I122" s="295" t="str">
        <x:v>CHƯA XÁC MINH RIÊNG</x:v>
      </x:c>
      <x:c r="J122" s="295" t="str">
        <x:v>Không suy ra giới hạn pháp lý</x:v>
      </x:c>
      <x:c r="K122" s="295" t="str">
        <x:v>SINGLE</x:v>
      </x:c>
      <x:c r="L122" s="295" t="str">
        <x:v>PROFILE_CHO_RAO_SOAT</x:v>
      </x:c>
      <x:c r="M122" s="295" t="str">
        <x:v>CHUA_DOI_CHIEU_CU_THE</x:v>
      </x:c>
      <x:c r="N122" s="295" t="str">
        <x:v>Văn bản có địa danh và thời gian; không tự sinh ngày/địa danh; đối chiếu thời điểm hiệu lực nguồn</x:v>
      </x:c>
      <x:c r="O122" s="295" t="str">
        <x:v>Quy định gốc &gt; profile; khi chưa rõ điều kiện thì giữ nguyên; không sinh nội dung.</x:v>
      </x:c>
      <x:c r="P122" s="295" t="str">
        <x:v>PARAGRAPH / RUN / SHAPE tùy thuộc tính</x:v>
      </x:c>
      <x:c r="Q122" s="295" t="str">
        <x:v>Xác định đúng khối Ngày; đọc giá trị thực; đối chiếu điều kiện; không sửa nội dung khi thiếu nguồn.</x:v>
      </x:c>
      <x:c r="R122" s="295" t="str">
        <x:v>Chưa có locator xác minh riêng</x:v>
      </x:c>
      <x:c r="S122" s="295" t="str">
        <x:v>https://tulieuvankien.dangcongsan.vn/upload/2006988/20260529/HD_05_VPTW_e1550.pdf</x:v>
      </x:c>
      <x:c r="T122" s="295" t="str">
        <x:v>CÓ</x:v>
      </x:c>
      <x:c r="U122" s="295" t="str">
        <x:v>CHECK_ONLY</x:v>
      </x:c>
      <x:c r="V122" s="295" t="str">
        <x:v>Giãn dòng phần đầu không được tự đồng nhất với thân bài.</x:v>
      </x:c>
    </x:row>
    <x:row r="123" ht="28" customHeight="1">
      <x:c r="A123" s="295" t="n">
        <x:v>118</x:v>
      </x:c>
      <x:c r="B123" s="295" t="str">
        <x:v>HD05.D.NG.NGAY.BAO_VE_NOI_DUNG</x:v>
      </x:c>
      <x:c r="C123" s="295" t="str">
        <x:v>HD05.D.NG.NGAY</x:v>
      </x:c>
      <x:c r="D123" s="295" t="str">
        <x:v>Địa danh, ngày tháng</x:v>
      </x:c>
      <x:c r="E123" s="295" t="str">
        <x:v>Ngày</x:v>
      </x:c>
      <x:c r="F123" s="295" t="str">
        <x:v>Không tự suy diễn nội dung</x:v>
      </x:c>
      <x:c r="G123" s="295" t="str">
        <x:v>BOOLEAN</x:v>
      </x:c>
      <x:c r="H123" s="295"/>
      <x:c r="I123" s="295" t="str">
        <x:v>CHƯA XÁC MINH RIÊNG</x:v>
      </x:c>
      <x:c r="J123" s="295" t="str">
        <x:v>Không suy ra giới hạn pháp lý</x:v>
      </x:c>
      <x:c r="K123" s="296" t="b">
        <x:v>1</x:v>
      </x:c>
      <x:c r="L123" s="295" t="str">
        <x:v>NOI_DUNG_BAO_VE</x:v>
      </x:c>
      <x:c r="M123" s="295" t="str">
        <x:v>CHUA_DOI_CHIEU_CU_THE</x:v>
      </x:c>
      <x:c r="N123" s="295" t="str">
        <x:v>Văn bản có địa danh và thời gian; không tự sinh ngày/địa danh; đối chiếu thời điểm hiệu lực nguồn</x:v>
      </x:c>
      <x:c r="O123" s="295" t="str">
        <x:v>Quy định gốc &gt; profile; khi chưa rõ điều kiện thì giữ nguyên; không sinh nội dung.</x:v>
      </x:c>
      <x:c r="P123" s="295" t="str">
        <x:v>PARAGRAPH / RUN / SHAPE tùy thuộc tính</x:v>
      </x:c>
      <x:c r="Q123" s="295" t="str">
        <x:v>Xác định đúng khối Ngày; đọc giá trị thực; đối chiếu điều kiện; không sửa nội dung khi thiếu nguồn.</x:v>
      </x:c>
      <x:c r="R123" s="295" t="str">
        <x:v>Chưa có locator xác minh riêng</x:v>
      </x:c>
      <x:c r="S123" s="295" t="str">
        <x:v>https://tulieuvankien.dangcongsan.vn/upload/2006988/20260529/HD_05_VPTW_e1550.pdf</x:v>
      </x:c>
      <x:c r="T123" s="295" t="str">
        <x:v>CÓ</x:v>
      </x:c>
      <x:c r="U123" s="295" t="str">
        <x:v>CHECK_ONLY</x:v>
      </x:c>
      <x:c r="V123" s="295" t="str">
        <x:v>Chỉ chuẩn hóa hình thức sau khi xác nhận chính xác nội dung, không tự điền số/ngày/người nhận.</x:v>
      </x:c>
    </x:row>
    <x:row r="124" ht="28" customHeight="1">
      <x:c r="A124" s="295" t="n">
        <x:v>119</x:v>
      </x:c>
      <x:c r="B124" s="295" t="str">
        <x:v>HD05.D.NG.NGAY.SO_0</x:v>
      </x:c>
      <x:c r="C124" s="295" t="str">
        <x:v>HD05.D.NG.NGAY</x:v>
      </x:c>
      <x:c r="D124" s="295" t="str">
        <x:v>Địa danh, ngày tháng</x:v>
      </x:c>
      <x:c r="E124" s="295" t="str">
        <x:v>Ngày</x:v>
      </x:c>
      <x:c r="F124" s="295" t="str">
        <x:v>Quy tắc số 0 ngày</x:v>
      </x:c>
      <x:c r="G124" s="295" t="str">
        <x:v>TEXT</x:v>
      </x:c>
      <x:c r="H124" s="295"/>
      <x:c r="I124" s="295" t="str">
        <x:v>CHƯA XÁC MINH RIÊNG</x:v>
      </x:c>
      <x:c r="J124" s="295" t="str">
        <x:v>Không suy ra giới hạn pháp lý</x:v>
      </x:c>
      <x:c r="K124" s="295" t="str">
        <x:v>Chỉ kiểm tra</x:v>
      </x:c>
      <x:c r="L124" s="295" t="str">
        <x:v>CẦN_XÁC_MINH_NGUON</x:v>
      </x:c>
      <x:c r="M124" s="295" t="str">
        <x:v>CHUA_DOI_CHIEU_CU_THE</x:v>
      </x:c>
      <x:c r="N124" s="295" t="str">
        <x:v>Văn bản có địa danh và thời gian; không tự sinh ngày/địa danh; đối chiếu thời điểm hiệu lực nguồn</x:v>
      </x:c>
      <x:c r="O124" s="295" t="str">
        <x:v>Quy định gốc &gt; profile; khi chưa rõ điều kiện thì giữ nguyên; không sinh nội dung.</x:v>
      </x:c>
      <x:c r="P124" s="295" t="str">
        <x:v>PARAGRAPH / RUN / SHAPE tùy thuộc tính</x:v>
      </x:c>
      <x:c r="Q124" s="295" t="str">
        <x:v>Xác định đúng khối Ngày; đọc giá trị thực; đối chiếu điều kiện; không sửa nội dung khi thiếu nguồn.</x:v>
      </x:c>
      <x:c r="R124" s="295" t="str">
        <x:v>Chưa có locator xác minh riêng</x:v>
      </x:c>
      <x:c r="S124" s="295" t="str">
        <x:v>https://tulieuvankien.dangcongsan.vn/upload/2006988/20260529/HD_05_VPTW_e1550.pdf</x:v>
      </x:c>
      <x:c r="T124" s="295" t="str">
        <x:v>CÓ</x:v>
      </x:c>
      <x:c r="U124" s="295" t="str">
        <x:v>CHECK_ONLY</x:v>
      </x:c>
      <x:c r="V124" s="295" t="str">
        <x:v>Mã rule con chỉ phục vụ AI đọc; không tự tạo thao tác OOXML.</x:v>
      </x:c>
    </x:row>
    <x:row r="125" ht="28" customHeight="1">
      <x:c r="A125" s="295" t="n">
        <x:v>120</x:v>
      </x:c>
      <x:c r="B125" s="295" t="str">
        <x:v>HD05.D.NG.THANG.HIEN_DIEN</x:v>
      </x:c>
      <x:c r="C125" s="295" t="str">
        <x:v>HD05.D.NG.THANG</x:v>
      </x:c>
      <x:c r="D125" s="295" t="str">
        <x:v>Địa danh, ngày tháng</x:v>
      </x:c>
      <x:c r="E125" s="295" t="str">
        <x:v>Tháng</x:v>
      </x:c>
      <x:c r="F125" s="295" t="str">
        <x:v>Điều kiện hiện diện</x:v>
      </x:c>
      <x:c r="G125" s="295" t="str">
        <x:v>TEXT</x:v>
      </x:c>
      <x:c r="H125" s="295"/>
      <x:c r="I125" s="295" t="str">
        <x:v>CHƯA XÁC MINH RIÊNG</x:v>
      </x:c>
      <x:c r="J125" s="295" t="str">
        <x:v>Không suy ra giới hạn pháp lý</x:v>
      </x:c>
      <x:c r="K125" s="295" t="str">
        <x:v>Văn bản có địa danh và thời gian; không tự sinh ngày/địa danh; đối chiếu thời điểm hiệu lực nguồn</x:v>
      </x:c>
      <x:c r="L125" s="295" t="str">
        <x:v>CHUA_DUYET_DINH_TUYEN</x:v>
      </x:c>
      <x:c r="M125" s="295" t="str">
        <x:v>CHUA_DOI_CHIEU_CU_THE</x:v>
      </x:c>
      <x:c r="N125" s="295" t="str">
        <x:v>Văn bản có địa danh và thời gian; không tự sinh ngày/địa danh; đối chiếu thời điểm hiệu lực nguồn</x:v>
      </x:c>
      <x:c r="O125" s="295" t="str">
        <x:v>Quy định gốc &gt; profile; khi chưa rõ điều kiện thì giữ nguyên; không sinh nội dung.</x:v>
      </x:c>
      <x:c r="P125" s="295" t="str">
        <x:v>PARAGRAPH / RUN / SHAPE tùy thuộc tính</x:v>
      </x:c>
      <x:c r="Q125" s="295" t="str">
        <x:v>Xác định đúng khối Tháng; đọc giá trị thực; đối chiếu điều kiện; không sửa nội dung khi thiếu nguồn.</x:v>
      </x:c>
      <x:c r="R125" s="295" t="str">
        <x:v>Chưa có locator xác minh riêng</x:v>
      </x:c>
      <x:c r="S125" s="295" t="str">
        <x:v>https://tulieuvankien.dangcongsan.vn/upload/2006988/20260529/HD_05_VPTW_e1550.pdf</x:v>
      </x:c>
      <x:c r="T125" s="295" t="str">
        <x:v>CÓ</x:v>
      </x:c>
      <x:c r="U125" s="295" t="str">
        <x:v>CHECK_ONLY</x:v>
      </x:c>
      <x:c r="V125" s="295" t="str">
        <x:v>Phải nhận diện chế độ và chủ thể trước khi áp dụng</x:v>
      </x:c>
    </x:row>
    <x:row r="126" ht="28" customHeight="1">
      <x:c r="A126" s="295" t="n">
        <x:v>121</x:v>
      </x:c>
      <x:c r="B126" s="295" t="str">
        <x:v>HD05.D.NG.THANG.PHONG_CHU</x:v>
      </x:c>
      <x:c r="C126" s="295" t="str">
        <x:v>HD05.D.NG.THANG</x:v>
      </x:c>
      <x:c r="D126" s="295" t="str">
        <x:v>Địa danh, ngày tháng</x:v>
      </x:c>
      <x:c r="E126" s="295" t="str">
        <x:v>Tháng</x:v>
      </x:c>
      <x:c r="F126" s="295" t="str">
        <x:v>Font chữ</x:v>
      </x:c>
      <x:c r="G126" s="295" t="str">
        <x:v>STRING</x:v>
      </x:c>
      <x:c r="H126" s="295"/>
      <x:c r="I126" s="295" t="str">
        <x:v>Times New Roman</x:v>
      </x:c>
      <x:c r="J126" s="295" t="str">
        <x:v>Đúng giá trị/giới hạn riêng</x:v>
      </x:c>
      <x:c r="K126" s="295" t="str">
        <x:v>Times New Roman</x:v>
      </x:c>
      <x:c r="L126" s="295" t="str">
        <x:v>PROFILE_CO_GIA_TRI_CHUA_DUYET</x:v>
      </x:c>
      <x:c r="M126" s="295" t="str">
        <x:v>DOI_CHIEU_CU_THE</x:v>
      </x:c>
      <x:c r="N126" s="295" t="str">
        <x:v>Văn bản có địa danh và thời gian; không tự sinh ngày/địa danh; đối chiếu thời điểm hiệu lực nguồn</x:v>
      </x:c>
      <x:c r="O126" s="295" t="str">
        <x:v>Quy định gốc &gt; profile; khi chưa rõ điều kiện thì giữ nguyên; không sinh nội dung.</x:v>
      </x:c>
      <x:c r="P126" s="295" t="str">
        <x:v>PARAGRAPH / RUN / SHAPE tùy thuộc tính</x:v>
      </x:c>
      <x:c r="Q126" s="295" t="str">
        <x:v>Xác định đúng khối Tháng; đọc giá trị thực; đối chiếu điều kiện; không sửa nội dung khi thiếu nguồn.</x:v>
      </x:c>
      <x:c r="R126" s="295" t="str">
        <x:v>Phần II, IV.1</x:v>
      </x:c>
      <x:c r="S126" s="295" t="str">
        <x:v>https://tulieuvankien.dangcongsan.vn/upload/2006988/20260529/HD_05_VPTW_e1550.pdf</x:v>
      </x:c>
      <x:c r="T126" s="295" t="str">
        <x:v>CÓ</x:v>
      </x:c>
      <x:c r="U126" s="295" t="str">
        <x:v>CHECK_ONLY</x:v>
      </x:c>
      <x:c r="V126" s="295" t="str"/>
    </x:row>
    <x:row r="127" ht="28" customHeight="1">
      <x:c r="A127" s="295" t="n">
        <x:v>122</x:v>
      </x:c>
      <x:c r="B127" s="295" t="str">
        <x:v>HD05.D.NG.THANG.CO_CHU</x:v>
      </x:c>
      <x:c r="C127" s="295" t="str">
        <x:v>HD05.D.NG.THANG</x:v>
      </x:c>
      <x:c r="D127" s="295" t="str">
        <x:v>Địa danh, ngày tháng</x:v>
      </x:c>
      <x:c r="E127" s="295" t="str">
        <x:v>Tháng</x:v>
      </x:c>
      <x:c r="F127" s="295" t="str">
        <x:v>Cỡ chữ</x:v>
      </x:c>
      <x:c r="G127" s="295" t="str">
        <x:v>NUMBER_OR_RANGE</x:v>
      </x:c>
      <x:c r="H127" s="295" t="str">
        <x:v>pt</x:v>
      </x:c>
      <x:c r="I127" s="295" t="str">
        <x:v>14</x:v>
      </x:c>
      <x:c r="J127" s="295" t="str">
        <x:v>Đúng giá trị/giới hạn riêng</x:v>
      </x:c>
      <x:c r="K127" s="295" t="n">
        <x:v>14</x:v>
      </x:c>
      <x:c r="L127" s="295" t="str">
        <x:v>PROFILE_CO_GIA_TRI_CHUA_DUYET</x:v>
      </x:c>
      <x:c r="M127" s="295" t="str">
        <x:v>DOI_CHIEU_CU_THE</x:v>
      </x:c>
      <x:c r="N127" s="295" t="str">
        <x:v>Văn bản có địa danh và thời gian; không tự sinh ngày/địa danh; đối chiếu thời điểm hiệu lực nguồn</x:v>
      </x:c>
      <x:c r="O127" s="295" t="str">
        <x:v>Quy định gốc &gt; profile; khi chưa rõ điều kiện thì giữ nguyên; không sinh nội dung.</x:v>
      </x:c>
      <x:c r="P127" s="295" t="str">
        <x:v>PARAGRAPH / RUN / SHAPE tùy thuộc tính</x:v>
      </x:c>
      <x:c r="Q127" s="295" t="str">
        <x:v>Xác định đúng khối Tháng; đọc giá trị thực; đối chiếu điều kiện; không sửa nội dung khi thiếu nguồn.</x:v>
      </x:c>
      <x:c r="R127" s="295" t="str">
        <x:v>Phần II, I.4; Phụ lục 2, TT4</x:v>
      </x:c>
      <x:c r="S127" s="295" t="str">
        <x:v>https://tulieuvankien.dangcongsan.vn/upload/2006988/20260529/HD_05_VPTW_e1550.pdf</x:v>
      </x:c>
      <x:c r="T127" s="295" t="str">
        <x:v>CÓ</x:v>
      </x:c>
      <x:c r="U127" s="295" t="str">
        <x:v>CHECK_ONLY</x:v>
      </x:c>
      <x:c r="V127" s="295" t="str"/>
    </x:row>
    <x:row r="128" ht="28" customHeight="1">
      <x:c r="A128" s="295" t="n">
        <x:v>123</x:v>
      </x:c>
      <x:c r="B128" s="295" t="str">
        <x:v>HD05.D.NG.THANG.DAM</x:v>
      </x:c>
      <x:c r="C128" s="295" t="str">
        <x:v>HD05.D.NG.THANG</x:v>
      </x:c>
      <x:c r="D128" s="295" t="str">
        <x:v>Địa danh, ngày tháng</x:v>
      </x:c>
      <x:c r="E128" s="295" t="str">
        <x:v>Tháng</x:v>
      </x:c>
      <x:c r="F128" s="295" t="str">
        <x:v>In đậm</x:v>
      </x:c>
      <x:c r="G128" s="295" t="str">
        <x:v>BOOLEAN</x:v>
      </x:c>
      <x:c r="H128" s="295"/>
      <x:c r="I128" s="296" t="b">
        <x:v>0</x:v>
      </x:c>
      <x:c r="J128" s="295" t="str">
        <x:v>Đúng giá trị/giới hạn riêng</x:v>
      </x:c>
      <x:c r="K128" s="296" t="b">
        <x:v>0</x:v>
      </x:c>
      <x:c r="L128" s="295" t="str">
        <x:v>PROFILE_CO_GIA_TRI_CHUA_DUYET</x:v>
      </x:c>
      <x:c r="M128" s="295" t="str">
        <x:v>DOI_CHIEU_CU_THE</x:v>
      </x:c>
      <x:c r="N128" s="295" t="str">
        <x:v>Văn bản có địa danh và thời gian; không tự sinh ngày/địa danh; đối chiếu thời điểm hiệu lực nguồn</x:v>
      </x:c>
      <x:c r="O128" s="295" t="str">
        <x:v>Quy định gốc &gt; profile; khi chưa rõ điều kiện thì giữ nguyên; không sinh nội dung.</x:v>
      </x:c>
      <x:c r="P128" s="295" t="str">
        <x:v>PARAGRAPH / RUN / SHAPE tùy thuộc tính</x:v>
      </x:c>
      <x:c r="Q128" s="295" t="str">
        <x:v>Xác định đúng khối Tháng; đọc giá trị thực; đối chiếu điều kiện; không sửa nội dung khi thiếu nguồn.</x:v>
      </x:c>
      <x:c r="R128" s="295" t="str">
        <x:v>Phần II, I.4; Phụ lục 2, TT4</x:v>
      </x:c>
      <x:c r="S128" s="295" t="str">
        <x:v>https://tulieuvankien.dangcongsan.vn/upload/2006988/20260529/HD_05_VPTW_e1550.pdf</x:v>
      </x:c>
      <x:c r="T128" s="295" t="str">
        <x:v>CÓ</x:v>
      </x:c>
      <x:c r="U128" s="295" t="str">
        <x:v>CHECK_ONLY</x:v>
      </x:c>
      <x:c r="V128" s="295" t="str"/>
    </x:row>
    <x:row r="129" ht="28" customHeight="1">
      <x:c r="A129" s="295" t="n">
        <x:v>124</x:v>
      </x:c>
      <x:c r="B129" s="295" t="str">
        <x:v>HD05.D.NG.THANG.NGHIENG</x:v>
      </x:c>
      <x:c r="C129" s="295" t="str">
        <x:v>HD05.D.NG.THANG</x:v>
      </x:c>
      <x:c r="D129" s="295" t="str">
        <x:v>Địa danh, ngày tháng</x:v>
      </x:c>
      <x:c r="E129" s="295" t="str">
        <x:v>Tháng</x:v>
      </x:c>
      <x:c r="F129" s="295" t="str">
        <x:v>In nghiêng</x:v>
      </x:c>
      <x:c r="G129" s="295" t="str">
        <x:v>BOOLEAN</x:v>
      </x:c>
      <x:c r="H129" s="295"/>
      <x:c r="I129" s="296" t="b">
        <x:v>1</x:v>
      </x:c>
      <x:c r="J129" s="295" t="str">
        <x:v>Đúng giá trị/giới hạn riêng</x:v>
      </x:c>
      <x:c r="K129" s="296" t="b">
        <x:v>1</x:v>
      </x:c>
      <x:c r="L129" s="295" t="str">
        <x:v>PROFILE_CO_GIA_TRI_CHUA_DUYET</x:v>
      </x:c>
      <x:c r="M129" s="295" t="str">
        <x:v>DOI_CHIEU_CU_THE</x:v>
      </x:c>
      <x:c r="N129" s="295" t="str">
        <x:v>Văn bản có địa danh và thời gian; không tự sinh ngày/địa danh; đối chiếu thời điểm hiệu lực nguồn</x:v>
      </x:c>
      <x:c r="O129" s="295" t="str">
        <x:v>Quy định gốc &gt; profile; khi chưa rõ điều kiện thì giữ nguyên; không sinh nội dung.</x:v>
      </x:c>
      <x:c r="P129" s="295" t="str">
        <x:v>PARAGRAPH / RUN / SHAPE tùy thuộc tính</x:v>
      </x:c>
      <x:c r="Q129" s="295" t="str">
        <x:v>Xác định đúng khối Tháng; đọc giá trị thực; đối chiếu điều kiện; không sửa nội dung khi thiếu nguồn.</x:v>
      </x:c>
      <x:c r="R129" s="295" t="str">
        <x:v>Phần II, I.4; Phụ lục 2, TT4</x:v>
      </x:c>
      <x:c r="S129" s="295" t="str">
        <x:v>https://tulieuvankien.dangcongsan.vn/upload/2006988/20260529/HD_05_VPTW_e1550.pdf</x:v>
      </x:c>
      <x:c r="T129" s="295" t="str">
        <x:v>CÓ</x:v>
      </x:c>
      <x:c r="U129" s="295" t="str">
        <x:v>CHECK_ONLY</x:v>
      </x:c>
      <x:c r="V129" s="295" t="str"/>
    </x:row>
    <x:row r="130" ht="28" customHeight="1">
      <x:c r="A130" s="295" t="n">
        <x:v>125</x:v>
      </x:c>
      <x:c r="B130" s="295" t="str">
        <x:v>HD05.D.NG.THANG.KIEU_CHU</x:v>
      </x:c>
      <x:c r="C130" s="295" t="str">
        <x:v>HD05.D.NG.THANG</x:v>
      </x:c>
      <x:c r="D130" s="295" t="str">
        <x:v>Địa danh, ngày tháng</x:v>
      </x:c>
      <x:c r="E130" s="295" t="str">
        <x:v>Tháng</x:v>
      </x:c>
      <x:c r="F130" s="295" t="str">
        <x:v>Kiểu viết hoa/thường</x:v>
      </x:c>
      <x:c r="G130" s="295" t="str">
        <x:v>ENUM</x:v>
      </x:c>
      <x:c r="H130" s="295"/>
      <x:c r="I130" s="295" t="str">
        <x:v>Số Ả Rập</x:v>
      </x:c>
      <x:c r="J130" s="295" t="str">
        <x:v>Đúng giá trị/giới hạn riêng</x:v>
      </x:c>
      <x:c r="K130" s="295" t="str">
        <x:v>Theo số/chữ địa danh</x:v>
      </x:c>
      <x:c r="L130" s="295" t="str">
        <x:v>PROFILE_CO_GIA_TRI_CHUA_DUYET</x:v>
      </x:c>
      <x:c r="M130" s="295" t="str">
        <x:v>DOI_CHIEU_CU_THE</x:v>
      </x:c>
      <x:c r="N130" s="295" t="str">
        <x:v>Văn bản có địa danh và thời gian; không tự sinh ngày/địa danh; đối chiếu thời điểm hiệu lực nguồn</x:v>
      </x:c>
      <x:c r="O130" s="295" t="str">
        <x:v>Quy định gốc &gt; profile; khi chưa rõ điều kiện thì giữ nguyên; không sinh nội dung.</x:v>
      </x:c>
      <x:c r="P130" s="295" t="str">
        <x:v>PARAGRAPH / RUN / SHAPE tùy thuộc tính</x:v>
      </x:c>
      <x:c r="Q130" s="295" t="str">
        <x:v>Xác định đúng khối Tháng; đọc giá trị thực; đối chiếu điều kiện; không sửa nội dung khi thiếu nguồn.</x:v>
      </x:c>
      <x:c r="R130" s="295" t="str">
        <x:v>Phần II, I.4; Phụ lục 2, TT4</x:v>
      </x:c>
      <x:c r="S130" s="295" t="str">
        <x:v>https://tulieuvankien.dangcongsan.vn/upload/2006988/20260529/HD_05_VPTW_e1550.pdf</x:v>
      </x:c>
      <x:c r="T130" s="295" t="str">
        <x:v>CÓ</x:v>
      </x:c>
      <x:c r="U130" s="295" t="str">
        <x:v>CHECK_ONLY</x:v>
      </x:c>
      <x:c r="V130" s="295" t="str"/>
    </x:row>
    <x:row r="131" ht="28" customHeight="1">
      <x:c r="A131" s="295" t="n">
        <x:v>126</x:v>
      </x:c>
      <x:c r="B131" s="295" t="str">
        <x:v>HD05.D.NG.THANG.CAN_NGANG</x:v>
      </x:c>
      <x:c r="C131" s="295" t="str">
        <x:v>HD05.D.NG.THANG</x:v>
      </x:c>
      <x:c r="D131" s="295" t="str">
        <x:v>Địa danh, ngày tháng</x:v>
      </x:c>
      <x:c r="E131" s="295" t="str">
        <x:v>Tháng</x:v>
      </x:c>
      <x:c r="F131" s="295" t="str">
        <x:v>Căn ngang</x:v>
      </x:c>
      <x:c r="G131" s="295" t="str">
        <x:v>ENUM</x:v>
      </x:c>
      <x:c r="H131" s="295"/>
      <x:c r="I131" s="295" t="str">
        <x:v>CENTER</x:v>
      </x:c>
      <x:c r="J131" s="295" t="str">
        <x:v>Đúng giá trị/giới hạn riêng</x:v>
      </x:c>
      <x:c r="K131" s="295" t="str">
        <x:v>CÂN GIỮA TRONG KHỐI PHẢI (không căn phải cứng)</x:v>
      </x:c>
      <x:c r="L131" s="295" t="str">
        <x:v>PROFILE_CO_GIA_TRI_CHUA_DUYET</x:v>
      </x:c>
      <x:c r="M131" s="295" t="str">
        <x:v>DOI_CHIEU_CU_THE</x:v>
      </x:c>
      <x:c r="N131" s="295" t="str">
        <x:v>Văn bản có địa danh và thời gian; không tự sinh ngày/địa danh; đối chiếu thời điểm hiệu lực nguồn</x:v>
      </x:c>
      <x:c r="O131" s="295" t="str">
        <x:v>Quy định gốc &gt; profile; khi chưa rõ điều kiện thì giữ nguyên; không sinh nội dung.</x:v>
      </x:c>
      <x:c r="P131" s="295" t="str">
        <x:v>PARAGRAPH / RUN / SHAPE tùy thuộc tính</x:v>
      </x:c>
      <x:c r="Q131" s="295" t="str">
        <x:v>Xác định đúng khối Tháng; đọc giá trị thực; đối chiếu điều kiện; không sửa nội dung khi thiếu nguồn.</x:v>
      </x:c>
      <x:c r="R131" s="295" t="str">
        <x:v>Phần II, I.4; Phụ lục 2, TT4</x:v>
      </x:c>
      <x:c r="S131" s="295" t="str">
        <x:v>https://tulieuvankien.dangcongsan.vn/upload/2006988/20260529/HD_05_VPTW_e1550.pdf</x:v>
      </x:c>
      <x:c r="T131" s="295" t="str">
        <x:v>CÓ</x:v>
      </x:c>
      <x:c r="U131" s="295" t="str">
        <x:v>CHECK_ONLY</x:v>
      </x:c>
      <x:c r="V131" s="295" t="str"/>
    </x:row>
    <x:row r="132" ht="28" customHeight="1">
      <x:c r="A132" s="295" t="n">
        <x:v>127</x:v>
      </x:c>
      <x:c r="B132" s="295" t="str">
        <x:v>HD05.D.NG.THANG.CACH_SAU</x:v>
      </x:c>
      <x:c r="C132" s="295" t="str">
        <x:v>HD05.D.NG.THANG</x:v>
      </x:c>
      <x:c r="D132" s="295" t="str">
        <x:v>Địa danh, ngày tháng</x:v>
      </x:c>
      <x:c r="E132" s="295" t="str">
        <x:v>Tháng</x:v>
      </x:c>
      <x:c r="F132" s="295" t="str">
        <x:v>Khoảng cách sau đoạn</x:v>
      </x:c>
      <x:c r="G132" s="295" t="str">
        <x:v>NUMBER</x:v>
      </x:c>
      <x:c r="H132" s="295" t="str">
        <x:v>pt</x:v>
      </x:c>
      <x:c r="I132" s="295" t="str">
        <x:v>CHƯA XÁC MINH RIÊNG</x:v>
      </x:c>
      <x:c r="J132" s="295" t="str">
        <x:v>Không suy ra giới hạn pháp lý</x:v>
      </x:c>
      <x:c r="K132" s="295" t="n">
        <x:v>0</x:v>
      </x:c>
      <x:c r="L132" s="295" t="str">
        <x:v>PROFILE_CHO_RAO_SOAT</x:v>
      </x:c>
      <x:c r="M132" s="295" t="str">
        <x:v>CHUA_DOI_CHIEU_CU_THE</x:v>
      </x:c>
      <x:c r="N132" s="295" t="str">
        <x:v>Văn bản có địa danh và thời gian; không tự sinh ngày/địa danh; đối chiếu thời điểm hiệu lực nguồn</x:v>
      </x:c>
      <x:c r="O132" s="295" t="str">
        <x:v>Quy định gốc &gt; profile; khi chưa rõ điều kiện thì giữ nguyên; không sinh nội dung.</x:v>
      </x:c>
      <x:c r="P132" s="295" t="str">
        <x:v>PARAGRAPH / RUN / SHAPE tùy thuộc tính</x:v>
      </x:c>
      <x:c r="Q132" s="295" t="str">
        <x:v>Xác định đúng khối Tháng; đọc giá trị thực; đối chiếu điều kiện; không sửa nội dung khi thiếu nguồn.</x:v>
      </x:c>
      <x:c r="R132" s="295" t="str">
        <x:v>Chưa có locator xác minh riêng</x:v>
      </x:c>
      <x:c r="S132" s="295" t="str">
        <x:v>https://tulieuvankien.dangcongsan.vn/upload/2006988/20260529/HD_05_VPTW_e1550.pdf</x:v>
      </x:c>
      <x:c r="T132" s="295" t="str">
        <x:v>CÓ</x:v>
      </x:c>
      <x:c r="U132" s="295" t="str">
        <x:v>CHECK_ONLY</x:v>
      </x:c>
      <x:c r="V132" s="295" t="str">
        <x:v>Không tự chèn đoạn trắng</x:v>
      </x:c>
    </x:row>
    <x:row r="133" ht="28" customHeight="1">
      <x:c r="A133" s="295" t="n">
        <x:v>128</x:v>
      </x:c>
      <x:c r="B133" s="295" t="str">
        <x:v>HD05.D.NG.THANG.GIAN_DONG</x:v>
      </x:c>
      <x:c r="C133" s="295" t="str">
        <x:v>HD05.D.NG.THANG</x:v>
      </x:c>
      <x:c r="D133" s="295" t="str">
        <x:v>Địa danh, ngày tháng</x:v>
      </x:c>
      <x:c r="E133" s="295" t="str">
        <x:v>Tháng</x:v>
      </x:c>
      <x:c r="F133" s="295" t="str">
        <x:v>Giãn dòng</x:v>
      </x:c>
      <x:c r="G133" s="295" t="str">
        <x:v>NUMBER</x:v>
      </x:c>
      <x:c r="H133" s="295" t="str">
        <x:v>lines</x:v>
      </x:c>
      <x:c r="I133" s="295" t="str">
        <x:v>CHƯA XÁC MINH RIÊNG</x:v>
      </x:c>
      <x:c r="J133" s="295" t="str">
        <x:v>Không suy ra giới hạn pháp lý</x:v>
      </x:c>
      <x:c r="K133" s="295" t="str">
        <x:v>SINGLE</x:v>
      </x:c>
      <x:c r="L133" s="295" t="str">
        <x:v>PROFILE_CHO_RAO_SOAT</x:v>
      </x:c>
      <x:c r="M133" s="295" t="str">
        <x:v>CHUA_DOI_CHIEU_CU_THE</x:v>
      </x:c>
      <x:c r="N133" s="295" t="str">
        <x:v>Văn bản có địa danh và thời gian; không tự sinh ngày/địa danh; đối chiếu thời điểm hiệu lực nguồn</x:v>
      </x:c>
      <x:c r="O133" s="295" t="str">
        <x:v>Quy định gốc &gt; profile; khi chưa rõ điều kiện thì giữ nguyên; không sinh nội dung.</x:v>
      </x:c>
      <x:c r="P133" s="295" t="str">
        <x:v>PARAGRAPH / RUN / SHAPE tùy thuộc tính</x:v>
      </x:c>
      <x:c r="Q133" s="295" t="str">
        <x:v>Xác định đúng khối Tháng; đọc giá trị thực; đối chiếu điều kiện; không sửa nội dung khi thiếu nguồn.</x:v>
      </x:c>
      <x:c r="R133" s="295" t="str">
        <x:v>Chưa có locator xác minh riêng</x:v>
      </x:c>
      <x:c r="S133" s="295" t="str">
        <x:v>https://tulieuvankien.dangcongsan.vn/upload/2006988/20260529/HD_05_VPTW_e1550.pdf</x:v>
      </x:c>
      <x:c r="T133" s="295" t="str">
        <x:v>CÓ</x:v>
      </x:c>
      <x:c r="U133" s="295" t="str">
        <x:v>CHECK_ONLY</x:v>
      </x:c>
      <x:c r="V133" s="295" t="str">
        <x:v>Giãn dòng phần đầu không được tự đồng nhất với thân bài.</x:v>
      </x:c>
    </x:row>
    <x:row r="134" ht="28" customHeight="1">
      <x:c r="A134" s="295" t="n">
        <x:v>129</x:v>
      </x:c>
      <x:c r="B134" s="295" t="str">
        <x:v>HD05.D.NG.THANG.BAO_VE_NOI_DUNG</x:v>
      </x:c>
      <x:c r="C134" s="295" t="str">
        <x:v>HD05.D.NG.THANG</x:v>
      </x:c>
      <x:c r="D134" s="295" t="str">
        <x:v>Địa danh, ngày tháng</x:v>
      </x:c>
      <x:c r="E134" s="295" t="str">
        <x:v>Tháng</x:v>
      </x:c>
      <x:c r="F134" s="295" t="str">
        <x:v>Không tự suy diễn nội dung</x:v>
      </x:c>
      <x:c r="G134" s="295" t="str">
        <x:v>BOOLEAN</x:v>
      </x:c>
      <x:c r="H134" s="295"/>
      <x:c r="I134" s="295" t="str">
        <x:v>CHƯA XÁC MINH RIÊNG</x:v>
      </x:c>
      <x:c r="J134" s="295" t="str">
        <x:v>Không suy ra giới hạn pháp lý</x:v>
      </x:c>
      <x:c r="K134" s="296" t="b">
        <x:v>1</x:v>
      </x:c>
      <x:c r="L134" s="295" t="str">
        <x:v>NOI_DUNG_BAO_VE</x:v>
      </x:c>
      <x:c r="M134" s="295" t="str">
        <x:v>CHUA_DOI_CHIEU_CU_THE</x:v>
      </x:c>
      <x:c r="N134" s="295" t="str">
        <x:v>Văn bản có địa danh và thời gian; không tự sinh ngày/địa danh; đối chiếu thời điểm hiệu lực nguồn</x:v>
      </x:c>
      <x:c r="O134" s="295" t="str">
        <x:v>Quy định gốc &gt; profile; khi chưa rõ điều kiện thì giữ nguyên; không sinh nội dung.</x:v>
      </x:c>
      <x:c r="P134" s="295" t="str">
        <x:v>PARAGRAPH / RUN / SHAPE tùy thuộc tính</x:v>
      </x:c>
      <x:c r="Q134" s="295" t="str">
        <x:v>Xác định đúng khối Tháng; đọc giá trị thực; đối chiếu điều kiện; không sửa nội dung khi thiếu nguồn.</x:v>
      </x:c>
      <x:c r="R134" s="295" t="str">
        <x:v>Chưa có locator xác minh riêng</x:v>
      </x:c>
      <x:c r="S134" s="295" t="str">
        <x:v>https://tulieuvankien.dangcongsan.vn/upload/2006988/20260529/HD_05_VPTW_e1550.pdf</x:v>
      </x:c>
      <x:c r="T134" s="295" t="str">
        <x:v>CÓ</x:v>
      </x:c>
      <x:c r="U134" s="295" t="str">
        <x:v>CHECK_ONLY</x:v>
      </x:c>
      <x:c r="V134" s="295" t="str">
        <x:v>Chỉ chuẩn hóa hình thức sau khi xác nhận chính xác nội dung, không tự điền số/ngày/người nhận.</x:v>
      </x:c>
    </x:row>
    <x:row r="135" ht="28" customHeight="1">
      <x:c r="A135" s="295" t="n">
        <x:v>130</x:v>
      </x:c>
      <x:c r="B135" s="295" t="str">
        <x:v>HD05.D.NG.THANG.SO_0</x:v>
      </x:c>
      <x:c r="C135" s="295" t="str">
        <x:v>HD05.D.NG.THANG</x:v>
      </x:c>
      <x:c r="D135" s="295" t="str">
        <x:v>Địa danh, ngày tháng</x:v>
      </x:c>
      <x:c r="E135" s="295" t="str">
        <x:v>Tháng</x:v>
      </x:c>
      <x:c r="F135" s="295" t="str">
        <x:v>Quy tắc số 0 tháng</x:v>
      </x:c>
      <x:c r="G135" s="295" t="str">
        <x:v>TEXT</x:v>
      </x:c>
      <x:c r="H135" s="295"/>
      <x:c r="I135" s="295" t="str">
        <x:v>CHƯA XÁC MINH RIÊNG</x:v>
      </x:c>
      <x:c r="J135" s="295" t="str">
        <x:v>Không suy ra giới hạn pháp lý</x:v>
      </x:c>
      <x:c r="K135" s="295" t="str">
        <x:v>Chỉ kiểm tra</x:v>
      </x:c>
      <x:c r="L135" s="295" t="str">
        <x:v>CẦN_XÁC_MINH_NGUON</x:v>
      </x:c>
      <x:c r="M135" s="295" t="str">
        <x:v>CHUA_DOI_CHIEU_CU_THE</x:v>
      </x:c>
      <x:c r="N135" s="295" t="str">
        <x:v>Văn bản có địa danh và thời gian; không tự sinh ngày/địa danh; đối chiếu thời điểm hiệu lực nguồn</x:v>
      </x:c>
      <x:c r="O135" s="295" t="str">
        <x:v>Quy định gốc &gt; profile; khi chưa rõ điều kiện thì giữ nguyên; không sinh nội dung.</x:v>
      </x:c>
      <x:c r="P135" s="295" t="str">
        <x:v>PARAGRAPH / RUN / SHAPE tùy thuộc tính</x:v>
      </x:c>
      <x:c r="Q135" s="295" t="str">
        <x:v>Xác định đúng khối Tháng; đọc giá trị thực; đối chiếu điều kiện; không sửa nội dung khi thiếu nguồn.</x:v>
      </x:c>
      <x:c r="R135" s="295" t="str">
        <x:v>Chưa có locator xác minh riêng</x:v>
      </x:c>
      <x:c r="S135" s="295" t="str">
        <x:v>https://tulieuvankien.dangcongsan.vn/upload/2006988/20260529/HD_05_VPTW_e1550.pdf</x:v>
      </x:c>
      <x:c r="T135" s="295" t="str">
        <x:v>CÓ</x:v>
      </x:c>
      <x:c r="U135" s="295" t="str">
        <x:v>CHECK_ONLY</x:v>
      </x:c>
      <x:c r="V135" s="295" t="str">
        <x:v>Mã rule con chỉ phục vụ AI đọc; không tự tạo thao tác OOXML.</x:v>
      </x:c>
    </x:row>
    <x:row r="136" ht="28" customHeight="1">
      <x:c r="A136" s="295" t="n">
        <x:v>131</x:v>
      </x:c>
      <x:c r="B136" s="295" t="str">
        <x:v>HD05.D.NG.NAM.HIEN_DIEN</x:v>
      </x:c>
      <x:c r="C136" s="295" t="str">
        <x:v>HD05.D.NG.NAM</x:v>
      </x:c>
      <x:c r="D136" s="295" t="str">
        <x:v>Địa danh, ngày tháng</x:v>
      </x:c>
      <x:c r="E136" s="295" t="str">
        <x:v>Năm</x:v>
      </x:c>
      <x:c r="F136" s="295" t="str">
        <x:v>Điều kiện hiện diện</x:v>
      </x:c>
      <x:c r="G136" s="295" t="str">
        <x:v>TEXT</x:v>
      </x:c>
      <x:c r="H136" s="295"/>
      <x:c r="I136" s="295" t="str">
        <x:v>CHƯA XÁC MINH RIÊNG</x:v>
      </x:c>
      <x:c r="J136" s="295" t="str">
        <x:v>Không suy ra giới hạn pháp lý</x:v>
      </x:c>
      <x:c r="K136" s="295" t="str">
        <x:v>Văn bản có địa danh và thời gian; không tự sinh ngày/địa danh; đối chiếu thời điểm hiệu lực nguồn</x:v>
      </x:c>
      <x:c r="L136" s="295" t="str">
        <x:v>CHUA_DUYET_DINH_TUYEN</x:v>
      </x:c>
      <x:c r="M136" s="295" t="str">
        <x:v>CHUA_DOI_CHIEU_CU_THE</x:v>
      </x:c>
      <x:c r="N136" s="295" t="str">
        <x:v>Văn bản có địa danh và thời gian; không tự sinh ngày/địa danh; đối chiếu thời điểm hiệu lực nguồn</x:v>
      </x:c>
      <x:c r="O136" s="295" t="str">
        <x:v>Quy định gốc &gt; profile; khi chưa rõ điều kiện thì giữ nguyên; không sinh nội dung.</x:v>
      </x:c>
      <x:c r="P136" s="295" t="str">
        <x:v>PARAGRAPH / RUN / SHAPE tùy thuộc tính</x:v>
      </x:c>
      <x:c r="Q136" s="295" t="str">
        <x:v>Xác định đúng khối Năm; đọc giá trị thực; đối chiếu điều kiện; không sửa nội dung khi thiếu nguồn.</x:v>
      </x:c>
      <x:c r="R136" s="295" t="str">
        <x:v>Chưa có locator xác minh riêng</x:v>
      </x:c>
      <x:c r="S136" s="295" t="str">
        <x:v>https://tulieuvankien.dangcongsan.vn/upload/2006988/20260529/HD_05_VPTW_e1550.pdf</x:v>
      </x:c>
      <x:c r="T136" s="295" t="str">
        <x:v>CÓ</x:v>
      </x:c>
      <x:c r="U136" s="295" t="str">
        <x:v>CHECK_ONLY</x:v>
      </x:c>
      <x:c r="V136" s="295" t="str">
        <x:v>Phải nhận diện chế độ và chủ thể trước khi áp dụng</x:v>
      </x:c>
    </x:row>
    <x:row r="137" ht="28" customHeight="1">
      <x:c r="A137" s="295" t="n">
        <x:v>132</x:v>
      </x:c>
      <x:c r="B137" s="295" t="str">
        <x:v>HD05.D.NG.NAM.PHONG_CHU</x:v>
      </x:c>
      <x:c r="C137" s="295" t="str">
        <x:v>HD05.D.NG.NAM</x:v>
      </x:c>
      <x:c r="D137" s="295" t="str">
        <x:v>Địa danh, ngày tháng</x:v>
      </x:c>
      <x:c r="E137" s="295" t="str">
        <x:v>Năm</x:v>
      </x:c>
      <x:c r="F137" s="295" t="str">
        <x:v>Font chữ</x:v>
      </x:c>
      <x:c r="G137" s="295" t="str">
        <x:v>STRING</x:v>
      </x:c>
      <x:c r="H137" s="295"/>
      <x:c r="I137" s="295" t="str">
        <x:v>Times New Roman</x:v>
      </x:c>
      <x:c r="J137" s="295" t="str">
        <x:v>Đúng giá trị/giới hạn riêng</x:v>
      </x:c>
      <x:c r="K137" s="295" t="str">
        <x:v>Times New Roman</x:v>
      </x:c>
      <x:c r="L137" s="295" t="str">
        <x:v>PROFILE_CO_GIA_TRI_CHUA_DUYET</x:v>
      </x:c>
      <x:c r="M137" s="295" t="str">
        <x:v>DOI_CHIEU_CU_THE</x:v>
      </x:c>
      <x:c r="N137" s="295" t="str">
        <x:v>Văn bản có địa danh và thời gian; không tự sinh ngày/địa danh; đối chiếu thời điểm hiệu lực nguồn</x:v>
      </x:c>
      <x:c r="O137" s="295" t="str">
        <x:v>Quy định gốc &gt; profile; khi chưa rõ điều kiện thì giữ nguyên; không sinh nội dung.</x:v>
      </x:c>
      <x:c r="P137" s="295" t="str">
        <x:v>PARAGRAPH / RUN / SHAPE tùy thuộc tính</x:v>
      </x:c>
      <x:c r="Q137" s="295" t="str">
        <x:v>Xác định đúng khối Năm; đọc giá trị thực; đối chiếu điều kiện; không sửa nội dung khi thiếu nguồn.</x:v>
      </x:c>
      <x:c r="R137" s="295" t="str">
        <x:v>Phần II, IV.1</x:v>
      </x:c>
      <x:c r="S137" s="295" t="str">
        <x:v>https://tulieuvankien.dangcongsan.vn/upload/2006988/20260529/HD_05_VPTW_e1550.pdf</x:v>
      </x:c>
      <x:c r="T137" s="295" t="str">
        <x:v>CÓ</x:v>
      </x:c>
      <x:c r="U137" s="295" t="str">
        <x:v>CHECK_ONLY</x:v>
      </x:c>
      <x:c r="V137" s="295" t="str"/>
    </x:row>
    <x:row r="138" ht="28" customHeight="1">
      <x:c r="A138" s="295" t="n">
        <x:v>133</x:v>
      </x:c>
      <x:c r="B138" s="295" t="str">
        <x:v>HD05.D.NG.NAM.CO_CHU</x:v>
      </x:c>
      <x:c r="C138" s="295" t="str">
        <x:v>HD05.D.NG.NAM</x:v>
      </x:c>
      <x:c r="D138" s="295" t="str">
        <x:v>Địa danh, ngày tháng</x:v>
      </x:c>
      <x:c r="E138" s="295" t="str">
        <x:v>Năm</x:v>
      </x:c>
      <x:c r="F138" s="295" t="str">
        <x:v>Cỡ chữ</x:v>
      </x:c>
      <x:c r="G138" s="295" t="str">
        <x:v>NUMBER_OR_RANGE</x:v>
      </x:c>
      <x:c r="H138" s="295" t="str">
        <x:v>pt</x:v>
      </x:c>
      <x:c r="I138" s="295" t="str">
        <x:v>14</x:v>
      </x:c>
      <x:c r="J138" s="295" t="str">
        <x:v>Đúng giá trị/giới hạn riêng</x:v>
      </x:c>
      <x:c r="K138" s="295" t="n">
        <x:v>14</x:v>
      </x:c>
      <x:c r="L138" s="295" t="str">
        <x:v>PROFILE_CO_GIA_TRI_CHUA_DUYET</x:v>
      </x:c>
      <x:c r="M138" s="295" t="str">
        <x:v>DOI_CHIEU_CU_THE</x:v>
      </x:c>
      <x:c r="N138" s="295" t="str">
        <x:v>Văn bản có địa danh và thời gian; không tự sinh ngày/địa danh; đối chiếu thời điểm hiệu lực nguồn</x:v>
      </x:c>
      <x:c r="O138" s="295" t="str">
        <x:v>Quy định gốc &gt; profile; khi chưa rõ điều kiện thì giữ nguyên; không sinh nội dung.</x:v>
      </x:c>
      <x:c r="P138" s="295" t="str">
        <x:v>PARAGRAPH / RUN / SHAPE tùy thuộc tính</x:v>
      </x:c>
      <x:c r="Q138" s="295" t="str">
        <x:v>Xác định đúng khối Năm; đọc giá trị thực; đối chiếu điều kiện; không sửa nội dung khi thiếu nguồn.</x:v>
      </x:c>
      <x:c r="R138" s="295" t="str">
        <x:v>Phần II, I.4; Phụ lục 2, TT4</x:v>
      </x:c>
      <x:c r="S138" s="295" t="str">
        <x:v>https://tulieuvankien.dangcongsan.vn/upload/2006988/20260529/HD_05_VPTW_e1550.pdf</x:v>
      </x:c>
      <x:c r="T138" s="295" t="str">
        <x:v>CÓ</x:v>
      </x:c>
      <x:c r="U138" s="295" t="str">
        <x:v>CHECK_ONLY</x:v>
      </x:c>
      <x:c r="V138" s="295" t="str"/>
    </x:row>
    <x:row r="139" ht="28" customHeight="1">
      <x:c r="A139" s="295" t="n">
        <x:v>134</x:v>
      </x:c>
      <x:c r="B139" s="295" t="str">
        <x:v>HD05.D.NG.NAM.DAM</x:v>
      </x:c>
      <x:c r="C139" s="295" t="str">
        <x:v>HD05.D.NG.NAM</x:v>
      </x:c>
      <x:c r="D139" s="295" t="str">
        <x:v>Địa danh, ngày tháng</x:v>
      </x:c>
      <x:c r="E139" s="295" t="str">
        <x:v>Năm</x:v>
      </x:c>
      <x:c r="F139" s="295" t="str">
        <x:v>In đậm</x:v>
      </x:c>
      <x:c r="G139" s="295" t="str">
        <x:v>BOOLEAN</x:v>
      </x:c>
      <x:c r="H139" s="295"/>
      <x:c r="I139" s="296" t="b">
        <x:v>0</x:v>
      </x:c>
      <x:c r="J139" s="295" t="str">
        <x:v>Đúng giá trị/giới hạn riêng</x:v>
      </x:c>
      <x:c r="K139" s="296" t="b">
        <x:v>0</x:v>
      </x:c>
      <x:c r="L139" s="295" t="str">
        <x:v>PROFILE_CO_GIA_TRI_CHUA_DUYET</x:v>
      </x:c>
      <x:c r="M139" s="295" t="str">
        <x:v>DOI_CHIEU_CU_THE</x:v>
      </x:c>
      <x:c r="N139" s="295" t="str">
        <x:v>Văn bản có địa danh và thời gian; không tự sinh ngày/địa danh; đối chiếu thời điểm hiệu lực nguồn</x:v>
      </x:c>
      <x:c r="O139" s="295" t="str">
        <x:v>Quy định gốc &gt; profile; khi chưa rõ điều kiện thì giữ nguyên; không sinh nội dung.</x:v>
      </x:c>
      <x:c r="P139" s="295" t="str">
        <x:v>PARAGRAPH / RUN / SHAPE tùy thuộc tính</x:v>
      </x:c>
      <x:c r="Q139" s="295" t="str">
        <x:v>Xác định đúng khối Năm; đọc giá trị thực; đối chiếu điều kiện; không sửa nội dung khi thiếu nguồn.</x:v>
      </x:c>
      <x:c r="R139" s="295" t="str">
        <x:v>Phần II, I.4; Phụ lục 2, TT4</x:v>
      </x:c>
      <x:c r="S139" s="295" t="str">
        <x:v>https://tulieuvankien.dangcongsan.vn/upload/2006988/20260529/HD_05_VPTW_e1550.pdf</x:v>
      </x:c>
      <x:c r="T139" s="295" t="str">
        <x:v>CÓ</x:v>
      </x:c>
      <x:c r="U139" s="295" t="str">
        <x:v>CHECK_ONLY</x:v>
      </x:c>
      <x:c r="V139" s="295" t="str"/>
    </x:row>
    <x:row r="140" ht="28" customHeight="1">
      <x:c r="A140" s="295" t="n">
        <x:v>135</x:v>
      </x:c>
      <x:c r="B140" s="295" t="str">
        <x:v>HD05.D.NG.NAM.NGHIENG</x:v>
      </x:c>
      <x:c r="C140" s="295" t="str">
        <x:v>HD05.D.NG.NAM</x:v>
      </x:c>
      <x:c r="D140" s="295" t="str">
        <x:v>Địa danh, ngày tháng</x:v>
      </x:c>
      <x:c r="E140" s="295" t="str">
        <x:v>Năm</x:v>
      </x:c>
      <x:c r="F140" s="295" t="str">
        <x:v>In nghiêng</x:v>
      </x:c>
      <x:c r="G140" s="295" t="str">
        <x:v>BOOLEAN</x:v>
      </x:c>
      <x:c r="H140" s="295"/>
      <x:c r="I140" s="296" t="b">
        <x:v>1</x:v>
      </x:c>
      <x:c r="J140" s="295" t="str">
        <x:v>Đúng giá trị/giới hạn riêng</x:v>
      </x:c>
      <x:c r="K140" s="296" t="b">
        <x:v>1</x:v>
      </x:c>
      <x:c r="L140" s="295" t="str">
        <x:v>PROFILE_CO_GIA_TRI_CHUA_DUYET</x:v>
      </x:c>
      <x:c r="M140" s="295" t="str">
        <x:v>DOI_CHIEU_CU_THE</x:v>
      </x:c>
      <x:c r="N140" s="295" t="str">
        <x:v>Văn bản có địa danh và thời gian; không tự sinh ngày/địa danh; đối chiếu thời điểm hiệu lực nguồn</x:v>
      </x:c>
      <x:c r="O140" s="295" t="str">
        <x:v>Quy định gốc &gt; profile; khi chưa rõ điều kiện thì giữ nguyên; không sinh nội dung.</x:v>
      </x:c>
      <x:c r="P140" s="295" t="str">
        <x:v>PARAGRAPH / RUN / SHAPE tùy thuộc tính</x:v>
      </x:c>
      <x:c r="Q140" s="295" t="str">
        <x:v>Xác định đúng khối Năm; đọc giá trị thực; đối chiếu điều kiện; không sửa nội dung khi thiếu nguồn.</x:v>
      </x:c>
      <x:c r="R140" s="295" t="str">
        <x:v>Phần II, I.4; Phụ lục 2, TT4</x:v>
      </x:c>
      <x:c r="S140" s="295" t="str">
        <x:v>https://tulieuvankien.dangcongsan.vn/upload/2006988/20260529/HD_05_VPTW_e1550.pdf</x:v>
      </x:c>
      <x:c r="T140" s="295" t="str">
        <x:v>CÓ</x:v>
      </x:c>
      <x:c r="U140" s="295" t="str">
        <x:v>CHECK_ONLY</x:v>
      </x:c>
      <x:c r="V140" s="295" t="str"/>
    </x:row>
    <x:row r="141" ht="28" customHeight="1">
      <x:c r="A141" s="295" t="n">
        <x:v>136</x:v>
      </x:c>
      <x:c r="B141" s="295" t="str">
        <x:v>HD05.D.NG.NAM.KIEU_CHU</x:v>
      </x:c>
      <x:c r="C141" s="295" t="str">
        <x:v>HD05.D.NG.NAM</x:v>
      </x:c>
      <x:c r="D141" s="295" t="str">
        <x:v>Địa danh, ngày tháng</x:v>
      </x:c>
      <x:c r="E141" s="295" t="str">
        <x:v>Năm</x:v>
      </x:c>
      <x:c r="F141" s="295" t="str">
        <x:v>Kiểu viết hoa/thường</x:v>
      </x:c>
      <x:c r="G141" s="295" t="str">
        <x:v>ENUM</x:v>
      </x:c>
      <x:c r="H141" s="295"/>
      <x:c r="I141" s="295" t="str">
        <x:v>Số Ả Rập</x:v>
      </x:c>
      <x:c r="J141" s="295" t="str">
        <x:v>Đúng giá trị/giới hạn riêng</x:v>
      </x:c>
      <x:c r="K141" s="295" t="str">
        <x:v>Theo số/chữ địa danh</x:v>
      </x:c>
      <x:c r="L141" s="295" t="str">
        <x:v>PROFILE_CO_GIA_TRI_CHUA_DUYET</x:v>
      </x:c>
      <x:c r="M141" s="295" t="str">
        <x:v>DOI_CHIEU_CU_THE</x:v>
      </x:c>
      <x:c r="N141" s="295" t="str">
        <x:v>Văn bản có địa danh và thời gian; không tự sinh ngày/địa danh; đối chiếu thời điểm hiệu lực nguồn</x:v>
      </x:c>
      <x:c r="O141" s="295" t="str">
        <x:v>Quy định gốc &gt; profile; khi chưa rõ điều kiện thì giữ nguyên; không sinh nội dung.</x:v>
      </x:c>
      <x:c r="P141" s="295" t="str">
        <x:v>PARAGRAPH / RUN / SHAPE tùy thuộc tính</x:v>
      </x:c>
      <x:c r="Q141" s="295" t="str">
        <x:v>Xác định đúng khối Năm; đọc giá trị thực; đối chiếu điều kiện; không sửa nội dung khi thiếu nguồn.</x:v>
      </x:c>
      <x:c r="R141" s="295" t="str">
        <x:v>Phần II, I.4; Phụ lục 2, TT4</x:v>
      </x:c>
      <x:c r="S141" s="295" t="str">
        <x:v>https://tulieuvankien.dangcongsan.vn/upload/2006988/20260529/HD_05_VPTW_e1550.pdf</x:v>
      </x:c>
      <x:c r="T141" s="295" t="str">
        <x:v>CÓ</x:v>
      </x:c>
      <x:c r="U141" s="295" t="str">
        <x:v>CHECK_ONLY</x:v>
      </x:c>
      <x:c r="V141" s="295" t="str"/>
    </x:row>
    <x:row r="142" ht="28" customHeight="1">
      <x:c r="A142" s="295" t="n">
        <x:v>137</x:v>
      </x:c>
      <x:c r="B142" s="295" t="str">
        <x:v>HD05.D.NG.NAM.CAN_NGANG</x:v>
      </x:c>
      <x:c r="C142" s="295" t="str">
        <x:v>HD05.D.NG.NAM</x:v>
      </x:c>
      <x:c r="D142" s="295" t="str">
        <x:v>Địa danh, ngày tháng</x:v>
      </x:c>
      <x:c r="E142" s="295" t="str">
        <x:v>Năm</x:v>
      </x:c>
      <x:c r="F142" s="295" t="str">
        <x:v>Căn ngang</x:v>
      </x:c>
      <x:c r="G142" s="295" t="str">
        <x:v>ENUM</x:v>
      </x:c>
      <x:c r="H142" s="295"/>
      <x:c r="I142" s="295" t="str">
        <x:v>CENTER</x:v>
      </x:c>
      <x:c r="J142" s="295" t="str">
        <x:v>Đúng giá trị/giới hạn riêng</x:v>
      </x:c>
      <x:c r="K142" s="295" t="str">
        <x:v>CÂN GIỮA TRONG KHỐI PHẢI (không căn phải cứng)</x:v>
      </x:c>
      <x:c r="L142" s="295" t="str">
        <x:v>PROFILE_CO_GIA_TRI_CHUA_DUYET</x:v>
      </x:c>
      <x:c r="M142" s="295" t="str">
        <x:v>DOI_CHIEU_CU_THE</x:v>
      </x:c>
      <x:c r="N142" s="295" t="str">
        <x:v>Văn bản có địa danh và thời gian; không tự sinh ngày/địa danh; đối chiếu thời điểm hiệu lực nguồn</x:v>
      </x:c>
      <x:c r="O142" s="295" t="str">
        <x:v>Quy định gốc &gt; profile; khi chưa rõ điều kiện thì giữ nguyên; không sinh nội dung.</x:v>
      </x:c>
      <x:c r="P142" s="295" t="str">
        <x:v>PARAGRAPH / RUN / SHAPE tùy thuộc tính</x:v>
      </x:c>
      <x:c r="Q142" s="295" t="str">
        <x:v>Xác định đúng khối Năm; đọc giá trị thực; đối chiếu điều kiện; không sửa nội dung khi thiếu nguồn.</x:v>
      </x:c>
      <x:c r="R142" s="295" t="str">
        <x:v>Phần II, I.4; Phụ lục 2, TT4</x:v>
      </x:c>
      <x:c r="S142" s="295" t="str">
        <x:v>https://tulieuvankien.dangcongsan.vn/upload/2006988/20260529/HD_05_VPTW_e1550.pdf</x:v>
      </x:c>
      <x:c r="T142" s="295" t="str">
        <x:v>CÓ</x:v>
      </x:c>
      <x:c r="U142" s="295" t="str">
        <x:v>CHECK_ONLY</x:v>
      </x:c>
      <x:c r="V142" s="295" t="str"/>
    </x:row>
    <x:row r="143" ht="28" customHeight="1">
      <x:c r="A143" s="295" t="n">
        <x:v>138</x:v>
      </x:c>
      <x:c r="B143" s="295" t="str">
        <x:v>HD05.D.NG.NAM.CACH_SAU</x:v>
      </x:c>
      <x:c r="C143" s="295" t="str">
        <x:v>HD05.D.NG.NAM</x:v>
      </x:c>
      <x:c r="D143" s="295" t="str">
        <x:v>Địa danh, ngày tháng</x:v>
      </x:c>
      <x:c r="E143" s="295" t="str">
        <x:v>Năm</x:v>
      </x:c>
      <x:c r="F143" s="295" t="str">
        <x:v>Khoảng cách sau đoạn</x:v>
      </x:c>
      <x:c r="G143" s="295" t="str">
        <x:v>NUMBER</x:v>
      </x:c>
      <x:c r="H143" s="295" t="str">
        <x:v>pt</x:v>
      </x:c>
      <x:c r="I143" s="295" t="str">
        <x:v>CHƯA XÁC MINH RIÊNG</x:v>
      </x:c>
      <x:c r="J143" s="295" t="str">
        <x:v>Không suy ra giới hạn pháp lý</x:v>
      </x:c>
      <x:c r="K143" s="295" t="n">
        <x:v>0</x:v>
      </x:c>
      <x:c r="L143" s="295" t="str">
        <x:v>PROFILE_CHO_RAO_SOAT</x:v>
      </x:c>
      <x:c r="M143" s="295" t="str">
        <x:v>CHUA_DOI_CHIEU_CU_THE</x:v>
      </x:c>
      <x:c r="N143" s="295" t="str">
        <x:v>Văn bản có địa danh và thời gian; không tự sinh ngày/địa danh; đối chiếu thời điểm hiệu lực nguồn</x:v>
      </x:c>
      <x:c r="O143" s="295" t="str">
        <x:v>Quy định gốc &gt; profile; khi chưa rõ điều kiện thì giữ nguyên; không sinh nội dung.</x:v>
      </x:c>
      <x:c r="P143" s="295" t="str">
        <x:v>PARAGRAPH / RUN / SHAPE tùy thuộc tính</x:v>
      </x:c>
      <x:c r="Q143" s="295" t="str">
        <x:v>Xác định đúng khối Năm; đọc giá trị thực; đối chiếu điều kiện; không sửa nội dung khi thiếu nguồn.</x:v>
      </x:c>
      <x:c r="R143" s="295" t="str">
        <x:v>Chưa có locator xác minh riêng</x:v>
      </x:c>
      <x:c r="S143" s="295" t="str">
        <x:v>https://tulieuvankien.dangcongsan.vn/upload/2006988/20260529/HD_05_VPTW_e1550.pdf</x:v>
      </x:c>
      <x:c r="T143" s="295" t="str">
        <x:v>CÓ</x:v>
      </x:c>
      <x:c r="U143" s="295" t="str">
        <x:v>CHECK_ONLY</x:v>
      </x:c>
      <x:c r="V143" s="295" t="str">
        <x:v>Không tự chèn đoạn trắng</x:v>
      </x:c>
    </x:row>
    <x:row r="144" ht="28" customHeight="1">
      <x:c r="A144" s="295" t="n">
        <x:v>139</x:v>
      </x:c>
      <x:c r="B144" s="295" t="str">
        <x:v>HD05.D.NG.NAM.GIAN_DONG</x:v>
      </x:c>
      <x:c r="C144" s="295" t="str">
        <x:v>HD05.D.NG.NAM</x:v>
      </x:c>
      <x:c r="D144" s="295" t="str">
        <x:v>Địa danh, ngày tháng</x:v>
      </x:c>
      <x:c r="E144" s="295" t="str">
        <x:v>Năm</x:v>
      </x:c>
      <x:c r="F144" s="295" t="str">
        <x:v>Giãn dòng</x:v>
      </x:c>
      <x:c r="G144" s="295" t="str">
        <x:v>NUMBER</x:v>
      </x:c>
      <x:c r="H144" s="295" t="str">
        <x:v>lines</x:v>
      </x:c>
      <x:c r="I144" s="295" t="str">
        <x:v>CHƯA XÁC MINH RIÊNG</x:v>
      </x:c>
      <x:c r="J144" s="295" t="str">
        <x:v>Không suy ra giới hạn pháp lý</x:v>
      </x:c>
      <x:c r="K144" s="295" t="str">
        <x:v>SINGLE</x:v>
      </x:c>
      <x:c r="L144" s="295" t="str">
        <x:v>PROFILE_CHO_RAO_SOAT</x:v>
      </x:c>
      <x:c r="M144" s="295" t="str">
        <x:v>CHUA_DOI_CHIEU_CU_THE</x:v>
      </x:c>
      <x:c r="N144" s="295" t="str">
        <x:v>Văn bản có địa danh và thời gian; không tự sinh ngày/địa danh; đối chiếu thời điểm hiệu lực nguồn</x:v>
      </x:c>
      <x:c r="O144" s="295" t="str">
        <x:v>Quy định gốc &gt; profile; khi chưa rõ điều kiện thì giữ nguyên; không sinh nội dung.</x:v>
      </x:c>
      <x:c r="P144" s="295" t="str">
        <x:v>PARAGRAPH / RUN / SHAPE tùy thuộc tính</x:v>
      </x:c>
      <x:c r="Q144" s="295" t="str">
        <x:v>Xác định đúng khối Năm; đọc giá trị thực; đối chiếu điều kiện; không sửa nội dung khi thiếu nguồn.</x:v>
      </x:c>
      <x:c r="R144" s="295" t="str">
        <x:v>Chưa có locator xác minh riêng</x:v>
      </x:c>
      <x:c r="S144" s="295" t="str">
        <x:v>https://tulieuvankien.dangcongsan.vn/upload/2006988/20260529/HD_05_VPTW_e1550.pdf</x:v>
      </x:c>
      <x:c r="T144" s="295" t="str">
        <x:v>CÓ</x:v>
      </x:c>
      <x:c r="U144" s="295" t="str">
        <x:v>CHECK_ONLY</x:v>
      </x:c>
      <x:c r="V144" s="295" t="str">
        <x:v>Giãn dòng phần đầu không được tự đồng nhất với thân bài.</x:v>
      </x:c>
    </x:row>
    <x:row r="145" ht="28" customHeight="1">
      <x:c r="A145" s="295" t="n">
        <x:v>140</x:v>
      </x:c>
      <x:c r="B145" s="295" t="str">
        <x:v>HD05.D.NG.NAM.BAO_VE_NOI_DUNG</x:v>
      </x:c>
      <x:c r="C145" s="295" t="str">
        <x:v>HD05.D.NG.NAM</x:v>
      </x:c>
      <x:c r="D145" s="295" t="str">
        <x:v>Địa danh, ngày tháng</x:v>
      </x:c>
      <x:c r="E145" s="295" t="str">
        <x:v>Năm</x:v>
      </x:c>
      <x:c r="F145" s="295" t="str">
        <x:v>Không tự suy diễn nội dung</x:v>
      </x:c>
      <x:c r="G145" s="295" t="str">
        <x:v>BOOLEAN</x:v>
      </x:c>
      <x:c r="H145" s="295"/>
      <x:c r="I145" s="295" t="str">
        <x:v>CHƯA XÁC MINH RIÊNG</x:v>
      </x:c>
      <x:c r="J145" s="295" t="str">
        <x:v>Không suy ra giới hạn pháp lý</x:v>
      </x:c>
      <x:c r="K145" s="296" t="b">
        <x:v>1</x:v>
      </x:c>
      <x:c r="L145" s="295" t="str">
        <x:v>NOI_DUNG_BAO_VE</x:v>
      </x:c>
      <x:c r="M145" s="295" t="str">
        <x:v>CHUA_DOI_CHIEU_CU_THE</x:v>
      </x:c>
      <x:c r="N145" s="295" t="str">
        <x:v>Văn bản có địa danh và thời gian; không tự sinh ngày/địa danh; đối chiếu thời điểm hiệu lực nguồn</x:v>
      </x:c>
      <x:c r="O145" s="295" t="str">
        <x:v>Quy định gốc &gt; profile; khi chưa rõ điều kiện thì giữ nguyên; không sinh nội dung.</x:v>
      </x:c>
      <x:c r="P145" s="295" t="str">
        <x:v>PARAGRAPH / RUN / SHAPE tùy thuộc tính</x:v>
      </x:c>
      <x:c r="Q145" s="295" t="str">
        <x:v>Xác định đúng khối Năm; đọc giá trị thực; đối chiếu điều kiện; không sửa nội dung khi thiếu nguồn.</x:v>
      </x:c>
      <x:c r="R145" s="295" t="str">
        <x:v>Chưa có locator xác minh riêng</x:v>
      </x:c>
      <x:c r="S145" s="295" t="str">
        <x:v>https://tulieuvankien.dangcongsan.vn/upload/2006988/20260529/HD_05_VPTW_e1550.pdf</x:v>
      </x:c>
      <x:c r="T145" s="295" t="str">
        <x:v>CÓ</x:v>
      </x:c>
      <x:c r="U145" s="295" t="str">
        <x:v>CHECK_ONLY</x:v>
      </x:c>
      <x:c r="V145" s="295" t="str">
        <x:v>Chỉ chuẩn hóa hình thức sau khi xác nhận chính xác nội dung, không tự điền số/ngày/người nhận.</x:v>
      </x:c>
    </x:row>
    <x:row r="146" ht="28" customHeight="1">
      <x:c r="A146" s="295" t="n">
        <x:v>141</x:v>
      </x:c>
      <x:c r="B146" s="295" t="str">
        <x:v>HD05.D.TY.TEN_LOAI.HIEN_DIEN</x:v>
      </x:c>
      <x:c r="C146" s="295" t="str">
        <x:v>HD05.D.TY.TEN_LOAI</x:v>
      </x:c>
      <x:c r="D146" s="295" t="str">
        <x:v>Tên loại / trích yếu</x:v>
      </x:c>
      <x:c r="E146" s="295" t="str">
        <x:v>Tên loại văn bản Đảng</x:v>
      </x:c>
      <x:c r="F146" s="295" t="str">
        <x:v>Điều kiện hiện diện</x:v>
      </x:c>
      <x:c r="G146" s="295" t="str">
        <x:v>TEXT</x:v>
      </x:c>
      <x:c r="H146" s="295"/>
      <x:c r="I146" s="295" t="str">
        <x:v>CHƯA XÁC MINH RIÊNG</x:v>
      </x:c>
      <x:c r="J146" s="295" t="str">
        <x:v>Không suy ra giới hạn pháp lý</x:v>
      </x:c>
      <x:c r="K146" s="295" t="str">
        <x:v>Chỉ văn bản có tên loại; KHÔNG tạo dòng CÔNG VĂN cho công văn thông thường</x:v>
      </x:c>
      <x:c r="L146" s="295" t="str">
        <x:v>CHUA_DUYET_DINH_TUYEN</x:v>
      </x:c>
      <x:c r="M146" s="295" t="str">
        <x:v>CHUA_DOI_CHIEU_CU_THE</x:v>
      </x:c>
      <x:c r="N146" s="295" t="str">
        <x:v>Chỉ văn bản có tên loại; KHÔNG tạo dòng CÔNG VĂN cho công văn thông thường</x:v>
      </x:c>
      <x:c r="O146" s="295" t="str">
        <x:v>Quy định gốc &gt; profile; khi chưa rõ điều kiện thì giữ nguyên; không sinh nội dung.</x:v>
      </x:c>
      <x:c r="P146" s="295" t="str">
        <x:v>PARAGRAPH / RUN / SHAPE tùy thuộc tính</x:v>
      </x:c>
      <x:c r="Q146" s="295" t="str">
        <x:v>Xác định đúng khối Tên loại văn bản Đảng; đọc giá trị thực; đối chiếu điều kiện; không sửa nội dung khi thiếu nguồn.</x:v>
      </x:c>
      <x:c r="R146" s="295" t="str">
        <x:v>Chưa có locator xác minh riêng</x:v>
      </x:c>
      <x:c r="S146" s="295" t="str">
        <x:v>https://tulieuvankien.dangcongsan.vn/upload/2006988/20260529/HD_05_VPTW_e1550.pdf</x:v>
      </x:c>
      <x:c r="T146" s="295" t="str">
        <x:v>CÓ</x:v>
      </x:c>
      <x:c r="U146" s="295" t="str">
        <x:v>CHECK_ONLY</x:v>
      </x:c>
      <x:c r="V146" s="295" t="str">
        <x:v>Phải nhận diện chế độ và chủ thể trước khi áp dụng</x:v>
      </x:c>
    </x:row>
    <x:row r="147" ht="28" customHeight="1">
      <x:c r="A147" s="295" t="n">
        <x:v>142</x:v>
      </x:c>
      <x:c r="B147" s="295" t="str">
        <x:v>HD05.D.TY.TEN_LOAI.PHONG_CHU</x:v>
      </x:c>
      <x:c r="C147" s="295" t="str">
        <x:v>HD05.D.TY.TEN_LOAI</x:v>
      </x:c>
      <x:c r="D147" s="295" t="str">
        <x:v>Tên loại / trích yếu</x:v>
      </x:c>
      <x:c r="E147" s="295" t="str">
        <x:v>Tên loại văn bản Đảng</x:v>
      </x:c>
      <x:c r="F147" s="295" t="str">
        <x:v>Font chữ</x:v>
      </x:c>
      <x:c r="G147" s="295" t="str">
        <x:v>STRING</x:v>
      </x:c>
      <x:c r="H147" s="295"/>
      <x:c r="I147" s="295" t="str">
        <x:v>Times New Roman</x:v>
      </x:c>
      <x:c r="J147" s="295" t="str">
        <x:v>Đúng giá trị/giới hạn riêng</x:v>
      </x:c>
      <x:c r="K147" s="295" t="str">
        <x:v>Times New Roman</x:v>
      </x:c>
      <x:c r="L147" s="295" t="str">
        <x:v>PROFILE_CO_GIA_TRI_CHUA_DUYET</x:v>
      </x:c>
      <x:c r="M147" s="295" t="str">
        <x:v>DOI_CHIEU_CU_THE</x:v>
      </x:c>
      <x:c r="N147" s="295" t="str">
        <x:v>Chỉ văn bản có tên loại; KHÔNG tạo dòng CÔNG VĂN cho công văn thông thường</x:v>
      </x:c>
      <x:c r="O147" s="295" t="str">
        <x:v>Quy định gốc &gt; profile; khi chưa rõ điều kiện thì giữ nguyên; không sinh nội dung.</x:v>
      </x:c>
      <x:c r="P147" s="295" t="str">
        <x:v>PARAGRAPH / RUN / SHAPE tùy thuộc tính</x:v>
      </x:c>
      <x:c r="Q147" s="295" t="str">
        <x:v>Xác định đúng khối Tên loại văn bản Đảng; đọc giá trị thực; đối chiếu điều kiện; không sửa nội dung khi thiếu nguồn.</x:v>
      </x:c>
      <x:c r="R147" s="295" t="str">
        <x:v>Phần II, IV.1</x:v>
      </x:c>
      <x:c r="S147" s="295" t="str">
        <x:v>https://tulieuvankien.dangcongsan.vn/upload/2006988/20260529/HD_05_VPTW_e1550.pdf</x:v>
      </x:c>
      <x:c r="T147" s="295" t="str">
        <x:v>CÓ</x:v>
      </x:c>
      <x:c r="U147" s="295" t="str">
        <x:v>CHECK_ONLY</x:v>
      </x:c>
      <x:c r="V147" s="295" t="str"/>
    </x:row>
    <x:row r="148" ht="28" customHeight="1">
      <x:c r="A148" s="295" t="n">
        <x:v>143</x:v>
      </x:c>
      <x:c r="B148" s="295" t="str">
        <x:v>HD05.D.TY.TEN_LOAI.CO_CHU</x:v>
      </x:c>
      <x:c r="C148" s="295" t="str">
        <x:v>HD05.D.TY.TEN_LOAI</x:v>
      </x:c>
      <x:c r="D148" s="295" t="str">
        <x:v>Tên loại / trích yếu</x:v>
      </x:c>
      <x:c r="E148" s="295" t="str">
        <x:v>Tên loại văn bản Đảng</x:v>
      </x:c>
      <x:c r="F148" s="295" t="str">
        <x:v>Cỡ chữ</x:v>
      </x:c>
      <x:c r="G148" s="295" t="str">
        <x:v>NUMBER_OR_RANGE</x:v>
      </x:c>
      <x:c r="H148" s="295" t="str">
        <x:v>pt</x:v>
      </x:c>
      <x:c r="I148" s="295" t="str">
        <x:v>15–16</x:v>
      </x:c>
      <x:c r="J148" s="295" t="str">
        <x:v>Đúng giá trị/giới hạn riêng</x:v>
      </x:c>
      <x:c r="K148" s="295" t="n">
        <x:v>15</x:v>
      </x:c>
      <x:c r="L148" s="295" t="str">
        <x:v>PROFILE_CO_GIA_TRI_CHUA_DUYET</x:v>
      </x:c>
      <x:c r="M148" s="295" t="str">
        <x:v>DOI_CHIEU_CU_THE</x:v>
      </x:c>
      <x:c r="N148" s="295" t="str">
        <x:v>Chỉ văn bản có tên loại; KHÔNG tạo dòng CÔNG VĂN cho công văn thông thường</x:v>
      </x:c>
      <x:c r="O148" s="295" t="str">
        <x:v>Quy định gốc &gt; profile; khi chưa rõ điều kiện thì giữ nguyên; không sinh nội dung.</x:v>
      </x:c>
      <x:c r="P148" s="295" t="str">
        <x:v>PARAGRAPH / RUN / SHAPE tùy thuộc tính</x:v>
      </x:c>
      <x:c r="Q148" s="295" t="str">
        <x:v>Xác định đúng khối Tên loại văn bản Đảng; đọc giá trị thực; đối chiếu điều kiện; không sửa nội dung khi thiếu nguồn.</x:v>
      </x:c>
      <x:c r="R148" s="295" t="str">
        <x:v>Phần II, I.5; Phụ lục 2, TT5</x:v>
      </x:c>
      <x:c r="S148" s="295" t="str">
        <x:v>https://tulieuvankien.dangcongsan.vn/upload/2006988/20260529/HD_05_VPTW_e1550.pdf</x:v>
      </x:c>
      <x:c r="T148" s="295" t="str">
        <x:v>CÓ</x:v>
      </x:c>
      <x:c r="U148" s="295" t="str">
        <x:v>CHECK_ONLY</x:v>
      </x:c>
      <x:c r="V148" s="295" t="str"/>
    </x:row>
    <x:row r="149" ht="28" customHeight="1">
      <x:c r="A149" s="295" t="n">
        <x:v>144</x:v>
      </x:c>
      <x:c r="B149" s="295" t="str">
        <x:v>HD05.D.TY.TEN_LOAI.DAM</x:v>
      </x:c>
      <x:c r="C149" s="295" t="str">
        <x:v>HD05.D.TY.TEN_LOAI</x:v>
      </x:c>
      <x:c r="D149" s="295" t="str">
        <x:v>Tên loại / trích yếu</x:v>
      </x:c>
      <x:c r="E149" s="295" t="str">
        <x:v>Tên loại văn bản Đảng</x:v>
      </x:c>
      <x:c r="F149" s="295" t="str">
        <x:v>In đậm</x:v>
      </x:c>
      <x:c r="G149" s="295" t="str">
        <x:v>BOOLEAN</x:v>
      </x:c>
      <x:c r="H149" s="295"/>
      <x:c r="I149" s="296" t="b">
        <x:v>1</x:v>
      </x:c>
      <x:c r="J149" s="295" t="str">
        <x:v>Đúng giá trị/giới hạn riêng</x:v>
      </x:c>
      <x:c r="K149" s="296" t="b">
        <x:v>1</x:v>
      </x:c>
      <x:c r="L149" s="295" t="str">
        <x:v>PROFILE_CO_GIA_TRI_CHUA_DUYET</x:v>
      </x:c>
      <x:c r="M149" s="295" t="str">
        <x:v>DOI_CHIEU_CU_THE</x:v>
      </x:c>
      <x:c r="N149" s="295" t="str">
        <x:v>Chỉ văn bản có tên loại; KHÔNG tạo dòng CÔNG VĂN cho công văn thông thường</x:v>
      </x:c>
      <x:c r="O149" s="295" t="str">
        <x:v>Quy định gốc &gt; profile; khi chưa rõ điều kiện thì giữ nguyên; không sinh nội dung.</x:v>
      </x:c>
      <x:c r="P149" s="295" t="str">
        <x:v>PARAGRAPH / RUN / SHAPE tùy thuộc tính</x:v>
      </x:c>
      <x:c r="Q149" s="295" t="str">
        <x:v>Xác định đúng khối Tên loại văn bản Đảng; đọc giá trị thực; đối chiếu điều kiện; không sửa nội dung khi thiếu nguồn.</x:v>
      </x:c>
      <x:c r="R149" s="295" t="str">
        <x:v>Phần II, I.5; Phụ lục 2, TT5</x:v>
      </x:c>
      <x:c r="S149" s="295" t="str">
        <x:v>https://tulieuvankien.dangcongsan.vn/upload/2006988/20260529/HD_05_VPTW_e1550.pdf</x:v>
      </x:c>
      <x:c r="T149" s="295" t="str">
        <x:v>CÓ</x:v>
      </x:c>
      <x:c r="U149" s="295" t="str">
        <x:v>CHECK_ONLY</x:v>
      </x:c>
      <x:c r="V149" s="295" t="str"/>
    </x:row>
    <x:row r="150" ht="28" customHeight="1">
      <x:c r="A150" s="295" t="n">
        <x:v>145</x:v>
      </x:c>
      <x:c r="B150" s="295" t="str">
        <x:v>HD05.D.TY.TEN_LOAI.NGHIENG</x:v>
      </x:c>
      <x:c r="C150" s="295" t="str">
        <x:v>HD05.D.TY.TEN_LOAI</x:v>
      </x:c>
      <x:c r="D150" s="295" t="str">
        <x:v>Tên loại / trích yếu</x:v>
      </x:c>
      <x:c r="E150" s="295" t="str">
        <x:v>Tên loại văn bản Đảng</x:v>
      </x:c>
      <x:c r="F150" s="295" t="str">
        <x:v>In nghiêng</x:v>
      </x:c>
      <x:c r="G150" s="295" t="str">
        <x:v>BOOLEAN</x:v>
      </x:c>
      <x:c r="H150" s="295"/>
      <x:c r="I150" s="296" t="b">
        <x:v>0</x:v>
      </x:c>
      <x:c r="J150" s="295" t="str">
        <x:v>Đúng giá trị/giới hạn riêng</x:v>
      </x:c>
      <x:c r="K150" s="296" t="b">
        <x:v>0</x:v>
      </x:c>
      <x:c r="L150" s="295" t="str">
        <x:v>PROFILE_CO_GIA_TRI_CHUA_DUYET</x:v>
      </x:c>
      <x:c r="M150" s="295" t="str">
        <x:v>DOI_CHIEU_CU_THE</x:v>
      </x:c>
      <x:c r="N150" s="295" t="str">
        <x:v>Chỉ văn bản có tên loại; KHÔNG tạo dòng CÔNG VĂN cho công văn thông thường</x:v>
      </x:c>
      <x:c r="O150" s="295" t="str">
        <x:v>Quy định gốc &gt; profile; khi chưa rõ điều kiện thì giữ nguyên; không sinh nội dung.</x:v>
      </x:c>
      <x:c r="P150" s="295" t="str">
        <x:v>PARAGRAPH / RUN / SHAPE tùy thuộc tính</x:v>
      </x:c>
      <x:c r="Q150" s="295" t="str">
        <x:v>Xác định đúng khối Tên loại văn bản Đảng; đọc giá trị thực; đối chiếu điều kiện; không sửa nội dung khi thiếu nguồn.</x:v>
      </x:c>
      <x:c r="R150" s="295" t="str">
        <x:v>Phần II, I.5; Phụ lục 2, TT5</x:v>
      </x:c>
      <x:c r="S150" s="295" t="str">
        <x:v>https://tulieuvankien.dangcongsan.vn/upload/2006988/20260529/HD_05_VPTW_e1550.pdf</x:v>
      </x:c>
      <x:c r="T150" s="295" t="str">
        <x:v>CÓ</x:v>
      </x:c>
      <x:c r="U150" s="295" t="str">
        <x:v>CHECK_ONLY</x:v>
      </x:c>
      <x:c r="V150" s="295" t="str"/>
    </x:row>
    <x:row r="151" ht="28" customHeight="1">
      <x:c r="A151" s="295" t="n">
        <x:v>146</x:v>
      </x:c>
      <x:c r="B151" s="295" t="str">
        <x:v>HD05.D.TY.TEN_LOAI.KIEU_CHU</x:v>
      </x:c>
      <x:c r="C151" s="295" t="str">
        <x:v>HD05.D.TY.TEN_LOAI</x:v>
      </x:c>
      <x:c r="D151" s="295" t="str">
        <x:v>Tên loại / trích yếu</x:v>
      </x:c>
      <x:c r="E151" s="295" t="str">
        <x:v>Tên loại văn bản Đảng</x:v>
      </x:c>
      <x:c r="F151" s="295" t="str">
        <x:v>Kiểu viết hoa/thường</x:v>
      </x:c>
      <x:c r="G151" s="295" t="str">
        <x:v>ENUM</x:v>
      </x:c>
      <x:c r="H151" s="295"/>
      <x:c r="I151" s="295" t="str">
        <x:v>IN HOA</x:v>
      </x:c>
      <x:c r="J151" s="295" t="str">
        <x:v>Đúng giá trị/giới hạn riêng</x:v>
      </x:c>
      <x:c r="K151" s="295" t="str">
        <x:v>IN HOA</x:v>
      </x:c>
      <x:c r="L151" s="295" t="str">
        <x:v>PROFILE_CO_GIA_TRI_CHUA_DUYET</x:v>
      </x:c>
      <x:c r="M151" s="295" t="str">
        <x:v>DOI_CHIEU_CU_THE</x:v>
      </x:c>
      <x:c r="N151" s="295" t="str">
        <x:v>Chỉ văn bản có tên loại; KHÔNG tạo dòng CÔNG VĂN cho công văn thông thường</x:v>
      </x:c>
      <x:c r="O151" s="295" t="str">
        <x:v>Quy định gốc &gt; profile; khi chưa rõ điều kiện thì giữ nguyên; không sinh nội dung.</x:v>
      </x:c>
      <x:c r="P151" s="295" t="str">
        <x:v>PARAGRAPH / RUN / SHAPE tùy thuộc tính</x:v>
      </x:c>
      <x:c r="Q151" s="295" t="str">
        <x:v>Xác định đúng khối Tên loại văn bản Đảng; đọc giá trị thực; đối chiếu điều kiện; không sửa nội dung khi thiếu nguồn.</x:v>
      </x:c>
      <x:c r="R151" s="295" t="str">
        <x:v>Phần II, I.5; Phụ lục 2, TT5</x:v>
      </x:c>
      <x:c r="S151" s="295" t="str">
        <x:v>https://tulieuvankien.dangcongsan.vn/upload/2006988/20260529/HD_05_VPTW_e1550.pdf</x:v>
      </x:c>
      <x:c r="T151" s="295" t="str">
        <x:v>CÓ</x:v>
      </x:c>
      <x:c r="U151" s="295" t="str">
        <x:v>CHECK_ONLY</x:v>
      </x:c>
      <x:c r="V151" s="295" t="str"/>
    </x:row>
    <x:row r="152" ht="28" customHeight="1">
      <x:c r="A152" s="295" t="n">
        <x:v>147</x:v>
      </x:c>
      <x:c r="B152" s="295" t="str">
        <x:v>HD05.D.TY.TEN_LOAI.CAN_NGANG</x:v>
      </x:c>
      <x:c r="C152" s="295" t="str">
        <x:v>HD05.D.TY.TEN_LOAI</x:v>
      </x:c>
      <x:c r="D152" s="295" t="str">
        <x:v>Tên loại / trích yếu</x:v>
      </x:c>
      <x:c r="E152" s="295" t="str">
        <x:v>Tên loại văn bản Đảng</x:v>
      </x:c>
      <x:c r="F152" s="295" t="str">
        <x:v>Căn ngang</x:v>
      </x:c>
      <x:c r="G152" s="295" t="str">
        <x:v>ENUM</x:v>
      </x:c>
      <x:c r="H152" s="295"/>
      <x:c r="I152" s="295" t="str">
        <x:v>CENTER</x:v>
      </x:c>
      <x:c r="J152" s="295" t="str">
        <x:v>Đúng giá trị/giới hạn riêng</x:v>
      </x:c>
      <x:c r="K152" s="295" t="str">
        <x:v>CENTER</x:v>
      </x:c>
      <x:c r="L152" s="295" t="str">
        <x:v>PROFILE_CO_GIA_TRI_CHUA_DUYET</x:v>
      </x:c>
      <x:c r="M152" s="295" t="str">
        <x:v>DOI_CHIEU_CU_THE</x:v>
      </x:c>
      <x:c r="N152" s="295" t="str">
        <x:v>Chỉ văn bản có tên loại; KHÔNG tạo dòng CÔNG VĂN cho công văn thông thường</x:v>
      </x:c>
      <x:c r="O152" s="295" t="str">
        <x:v>Quy định gốc &gt; profile; khi chưa rõ điều kiện thì giữ nguyên; không sinh nội dung.</x:v>
      </x:c>
      <x:c r="P152" s="295" t="str">
        <x:v>PARAGRAPH / RUN / SHAPE tùy thuộc tính</x:v>
      </x:c>
      <x:c r="Q152" s="295" t="str">
        <x:v>Xác định đúng khối Tên loại văn bản Đảng; đọc giá trị thực; đối chiếu điều kiện; không sửa nội dung khi thiếu nguồn.</x:v>
      </x:c>
      <x:c r="R152" s="295" t="str">
        <x:v>Phần II, I.5; Phụ lục 2, TT5</x:v>
      </x:c>
      <x:c r="S152" s="295" t="str">
        <x:v>https://tulieuvankien.dangcongsan.vn/upload/2006988/20260529/HD_05_VPTW_e1550.pdf</x:v>
      </x:c>
      <x:c r="T152" s="295" t="str">
        <x:v>CÓ</x:v>
      </x:c>
      <x:c r="U152" s="295" t="str">
        <x:v>CHECK_ONLY</x:v>
      </x:c>
      <x:c r="V152" s="295" t="str"/>
    </x:row>
    <x:row r="153" ht="28" customHeight="1">
      <x:c r="A153" s="295" t="n">
        <x:v>148</x:v>
      </x:c>
      <x:c r="B153" s="295" t="str">
        <x:v>HD05.D.TY.TEN_LOAI.CACH_SAU</x:v>
      </x:c>
      <x:c r="C153" s="295" t="str">
        <x:v>HD05.D.TY.TEN_LOAI</x:v>
      </x:c>
      <x:c r="D153" s="295" t="str">
        <x:v>Tên loại / trích yếu</x:v>
      </x:c>
      <x:c r="E153" s="295" t="str">
        <x:v>Tên loại văn bản Đảng</x:v>
      </x:c>
      <x:c r="F153" s="295" t="str">
        <x:v>Khoảng cách sau đoạn</x:v>
      </x:c>
      <x:c r="G153" s="295" t="str">
        <x:v>NUMBER</x:v>
      </x:c>
      <x:c r="H153" s="295" t="str">
        <x:v>pt</x:v>
      </x:c>
      <x:c r="I153" s="295" t="str">
        <x:v>CHƯA XÁC MINH RIÊNG</x:v>
      </x:c>
      <x:c r="J153" s="295" t="str">
        <x:v>Không suy ra giới hạn pháp lý</x:v>
      </x:c>
      <x:c r="K153" s="295" t="n">
        <x:v>6</x:v>
      </x:c>
      <x:c r="L153" s="295" t="str">
        <x:v>PROFILE_CHO_RAO_SOAT</x:v>
      </x:c>
      <x:c r="M153" s="295" t="str">
        <x:v>CHUA_DOI_CHIEU_CU_THE</x:v>
      </x:c>
      <x:c r="N153" s="295" t="str">
        <x:v>Chỉ văn bản có tên loại; KHÔNG tạo dòng CÔNG VĂN cho công văn thông thường</x:v>
      </x:c>
      <x:c r="O153" s="295" t="str">
        <x:v>Quy định gốc &gt; profile; khi chưa rõ điều kiện thì giữ nguyên; không sinh nội dung.</x:v>
      </x:c>
      <x:c r="P153" s="295" t="str">
        <x:v>PARAGRAPH / RUN / SHAPE tùy thuộc tính</x:v>
      </x:c>
      <x:c r="Q153" s="295" t="str">
        <x:v>Xác định đúng khối Tên loại văn bản Đảng; đọc giá trị thực; đối chiếu điều kiện; không sửa nội dung khi thiếu nguồn.</x:v>
      </x:c>
      <x:c r="R153" s="295" t="str">
        <x:v>Chưa có locator xác minh riêng</x:v>
      </x:c>
      <x:c r="S153" s="295" t="str">
        <x:v>https://tulieuvankien.dangcongsan.vn/upload/2006988/20260529/HD_05_VPTW_e1550.pdf</x:v>
      </x:c>
      <x:c r="T153" s="295" t="str">
        <x:v>CÓ</x:v>
      </x:c>
      <x:c r="U153" s="295" t="str">
        <x:v>CHECK_ONLY</x:v>
      </x:c>
      <x:c r="V153" s="295" t="str">
        <x:v>Không tự chèn đoạn trắng</x:v>
      </x:c>
    </x:row>
    <x:row r="154" ht="28" customHeight="1">
      <x:c r="A154" s="295" t="n">
        <x:v>149</x:v>
      </x:c>
      <x:c r="B154" s="295" t="str">
        <x:v>HD05.D.TY.TEN_LOAI.GIAN_DONG</x:v>
      </x:c>
      <x:c r="C154" s="295" t="str">
        <x:v>HD05.D.TY.TEN_LOAI</x:v>
      </x:c>
      <x:c r="D154" s="295" t="str">
        <x:v>Tên loại / trích yếu</x:v>
      </x:c>
      <x:c r="E154" s="295" t="str">
        <x:v>Tên loại văn bản Đảng</x:v>
      </x:c>
      <x:c r="F154" s="295" t="str">
        <x:v>Giãn dòng</x:v>
      </x:c>
      <x:c r="G154" s="295" t="str">
        <x:v>NUMBER</x:v>
      </x:c>
      <x:c r="H154" s="295" t="str">
        <x:v>lines</x:v>
      </x:c>
      <x:c r="I154" s="295" t="str">
        <x:v>CHƯA XÁC MINH RIÊNG</x:v>
      </x:c>
      <x:c r="J154" s="295" t="str">
        <x:v>Không suy ra giới hạn pháp lý</x:v>
      </x:c>
      <x:c r="K154" s="295" t="str">
        <x:v>SINGLE</x:v>
      </x:c>
      <x:c r="L154" s="295" t="str">
        <x:v>PROFILE_CHO_RAO_SOAT</x:v>
      </x:c>
      <x:c r="M154" s="295" t="str">
        <x:v>CHUA_DOI_CHIEU_CU_THE</x:v>
      </x:c>
      <x:c r="N154" s="295" t="str">
        <x:v>Chỉ văn bản có tên loại; KHÔNG tạo dòng CÔNG VĂN cho công văn thông thường</x:v>
      </x:c>
      <x:c r="O154" s="295" t="str">
        <x:v>Quy định gốc &gt; profile; khi chưa rõ điều kiện thì giữ nguyên; không sinh nội dung.</x:v>
      </x:c>
      <x:c r="P154" s="295" t="str">
        <x:v>PARAGRAPH / RUN / SHAPE tùy thuộc tính</x:v>
      </x:c>
      <x:c r="Q154" s="295" t="str">
        <x:v>Xác định đúng khối Tên loại văn bản Đảng; đọc giá trị thực; đối chiếu điều kiện; không sửa nội dung khi thiếu nguồn.</x:v>
      </x:c>
      <x:c r="R154" s="295" t="str">
        <x:v>Chưa có locator xác minh riêng</x:v>
      </x:c>
      <x:c r="S154" s="295" t="str">
        <x:v>https://tulieuvankien.dangcongsan.vn/upload/2006988/20260529/HD_05_VPTW_e1550.pdf</x:v>
      </x:c>
      <x:c r="T154" s="295" t="str">
        <x:v>CÓ</x:v>
      </x:c>
      <x:c r="U154" s="295" t="str">
        <x:v>CHECK_ONLY</x:v>
      </x:c>
      <x:c r="V154" s="295" t="str">
        <x:v>Giãn dòng phần đầu không được tự đồng nhất với thân bài.</x:v>
      </x:c>
    </x:row>
    <x:row r="155" ht="28" customHeight="1">
      <x:c r="A155" s="295" t="n">
        <x:v>150</x:v>
      </x:c>
      <x:c r="B155" s="295" t="str">
        <x:v>HD05.D.TY.TEN_LOAI.HINH_THUC</x:v>
      </x:c>
      <x:c r="C155" s="295" t="str">
        <x:v>HD05.D.TY.TEN_LOAI</x:v>
      </x:c>
      <x:c r="D155" s="295" t="str">
        <x:v>Tên loại / trích yếu</x:v>
      </x:c>
      <x:c r="E155" s="295" t="str">
        <x:v>Tên loại văn bản Đảng</x:v>
      </x:c>
      <x:c r="F155" s="295" t="str">
        <x:v>Phân nhánh tiêu đề</x:v>
      </x:c>
      <x:c r="G155" s="295" t="str">
        <x:v>TEXT</x:v>
      </x:c>
      <x:c r="H155" s="295"/>
      <x:c r="I155" s="295" t="str">
        <x:v>Có tên loại / Công văn / Chủ đề đại hội đặc biệt</x:v>
      </x:c>
      <x:c r="J155" s="295" t="str">
        <x:v>Đúng giá trị/giới hạn riêng</x:v>
      </x:c>
      <x:c r="K155" s="295" t="str">
        <x:v>Theo loại văn bản</x:v>
      </x:c>
      <x:c r="L155" s="295" t="str">
        <x:v>PROFILE_THEO_NGUON</x:v>
      </x:c>
      <x:c r="M155" s="295" t="str">
        <x:v>DOI_CHIEU_CU_THE</x:v>
      </x:c>
      <x:c r="N155" s="295" t="str">
        <x:v>Chỉ văn bản có tên loại; KHÔNG tạo dòng CÔNG VĂN cho công văn thông thường</x:v>
      </x:c>
      <x:c r="O155" s="295" t="str">
        <x:v>Quy định gốc &gt; profile; khi chưa rõ điều kiện thì giữ nguyên; không sinh nội dung.</x:v>
      </x:c>
      <x:c r="P155" s="295" t="str">
        <x:v>PARAGRAPH / RUN / SHAPE tùy thuộc tính</x:v>
      </x:c>
      <x:c r="Q155" s="295" t="str">
        <x:v>Xác định đúng khối Tên loại văn bản Đảng; đọc giá trị thực; đối chiếu điều kiện; không sửa nội dung khi thiếu nguồn.</x:v>
      </x:c>
      <x:c r="R155" s="295" t="str">
        <x:v>Phần II, I.5</x:v>
      </x:c>
      <x:c r="S155" s="295" t="str">
        <x:v>https://tulieuvankien.dangcongsan.vn/upload/2006988/20260529/HD_05_VPTW_e1550.pdf</x:v>
      </x:c>
      <x:c r="T155" s="295" t="str">
        <x:v>CÓ</x:v>
      </x:c>
      <x:c r="U155" s="295" t="str">
        <x:v>CHECK_ONLY</x:v>
      </x:c>
      <x:c r="V155" s="295" t="str">
        <x:v>Mã rule con chỉ phục vụ AI đọc; không tự tạo thao tác OOXML.</x:v>
      </x:c>
    </x:row>
    <x:row r="156" ht="28" customHeight="1">
      <x:c r="A156" s="295" t="n">
        <x:v>151</x:v>
      </x:c>
      <x:c r="B156" s="295" t="str">
        <x:v>HD05.D.TY.TRICH_YEU.HIEN_DIEN</x:v>
      </x:c>
      <x:c r="C156" s="295" t="str">
        <x:v>HD05.D.TY.TRICH_YEU</x:v>
      </x:c>
      <x:c r="D156" s="295" t="str">
        <x:v>Tên loại / trích yếu</x:v>
      </x:c>
      <x:c r="E156" s="295" t="str">
        <x:v>Trích yếu của văn bản Đảng có tên loại</x:v>
      </x:c>
      <x:c r="F156" s="295" t="str">
        <x:v>Điều kiện hiện diện</x:v>
      </x:c>
      <x:c r="G156" s="295" t="str">
        <x:v>TEXT</x:v>
      </x:c>
      <x:c r="H156" s="295"/>
      <x:c r="I156" s="295" t="str">
        <x:v>CHƯA XÁC MINH RIÊNG</x:v>
      </x:c>
      <x:c r="J156" s="295" t="str">
        <x:v>Không suy ra giới hạn pháp lý</x:v>
      </x:c>
      <x:c r="K156" s="295" t="str">
        <x:v>Chỉ văn bản có tên loại, trích yếu ở ô 5a</x:v>
      </x:c>
      <x:c r="L156" s="295" t="str">
        <x:v>CHUA_DUYET_DINH_TUYEN</x:v>
      </x:c>
      <x:c r="M156" s="295" t="str">
        <x:v>CHUA_DOI_CHIEU_CU_THE</x:v>
      </x:c>
      <x:c r="N156" s="295" t="str">
        <x:v>Chỉ văn bản có tên loại, trích yếu ở ô 5a</x:v>
      </x:c>
      <x:c r="O156" s="295" t="str">
        <x:v>Quy định gốc &gt; profile; khi chưa rõ điều kiện thì giữ nguyên; không sinh nội dung.</x:v>
      </x:c>
      <x:c r="P156" s="295" t="str">
        <x:v>PARAGRAPH / RUN / SHAPE tùy thuộc tính</x:v>
      </x:c>
      <x:c r="Q156" s="295" t="str">
        <x:v>Xác định đúng khối Trích yếu của văn bản Đảng có tên loại; đọc giá trị thực; đối chiếu điều kiện; không sửa nội dung khi thiếu nguồn.</x:v>
      </x:c>
      <x:c r="R156" s="295" t="str">
        <x:v>Chưa có locator xác minh riêng</x:v>
      </x:c>
      <x:c r="S156" s="295" t="str">
        <x:v>https://tulieuvankien.dangcongsan.vn/upload/2006988/20260529/HD_05_VPTW_e1550.pdf</x:v>
      </x:c>
      <x:c r="T156" s="295" t="str">
        <x:v>CÓ</x:v>
      </x:c>
      <x:c r="U156" s="295" t="str">
        <x:v>CHECK_ONLY</x:v>
      </x:c>
      <x:c r="V156" s="295" t="str">
        <x:v>Phải nhận diện chế độ và chủ thể trước khi áp dụng</x:v>
      </x:c>
    </x:row>
    <x:row r="157" ht="28" customHeight="1">
      <x:c r="A157" s="295" t="n">
        <x:v>152</x:v>
      </x:c>
      <x:c r="B157" s="295" t="str">
        <x:v>HD05.D.TY.TRICH_YEU.PHONG_CHU</x:v>
      </x:c>
      <x:c r="C157" s="295" t="str">
        <x:v>HD05.D.TY.TRICH_YEU</x:v>
      </x:c>
      <x:c r="D157" s="295" t="str">
        <x:v>Tên loại / trích yếu</x:v>
      </x:c>
      <x:c r="E157" s="295" t="str">
        <x:v>Trích yếu của văn bản Đảng có tên loại</x:v>
      </x:c>
      <x:c r="F157" s="295" t="str">
        <x:v>Font chữ</x:v>
      </x:c>
      <x:c r="G157" s="295" t="str">
        <x:v>STRING</x:v>
      </x:c>
      <x:c r="H157" s="295"/>
      <x:c r="I157" s="295" t="str">
        <x:v>Times New Roman</x:v>
      </x:c>
      <x:c r="J157" s="295" t="str">
        <x:v>Đúng giá trị/giới hạn riêng</x:v>
      </x:c>
      <x:c r="K157" s="295" t="str">
        <x:v>Times New Roman</x:v>
      </x:c>
      <x:c r="L157" s="295" t="str">
        <x:v>PROFILE_CO_GIA_TRI_CHUA_DUYET</x:v>
      </x:c>
      <x:c r="M157" s="295" t="str">
        <x:v>DOI_CHIEU_CU_THE</x:v>
      </x:c>
      <x:c r="N157" s="295" t="str">
        <x:v>Chỉ văn bản có tên loại, trích yếu ở ô 5a</x:v>
      </x:c>
      <x:c r="O157" s="295" t="str">
        <x:v>Quy định gốc &gt; profile; khi chưa rõ điều kiện thì giữ nguyên; không sinh nội dung.</x:v>
      </x:c>
      <x:c r="P157" s="295" t="str">
        <x:v>PARAGRAPH / RUN / SHAPE tùy thuộc tính</x:v>
      </x:c>
      <x:c r="Q157" s="295" t="str">
        <x:v>Xác định đúng khối Trích yếu của văn bản Đảng có tên loại; đọc giá trị thực; đối chiếu điều kiện; không sửa nội dung khi thiếu nguồn.</x:v>
      </x:c>
      <x:c r="R157" s="295" t="str">
        <x:v>Phần II, IV.1</x:v>
      </x:c>
      <x:c r="S157" s="295" t="str">
        <x:v>https://tulieuvankien.dangcongsan.vn/upload/2006988/20260529/HD_05_VPTW_e1550.pdf</x:v>
      </x:c>
      <x:c r="T157" s="295" t="str">
        <x:v>CÓ</x:v>
      </x:c>
      <x:c r="U157" s="295" t="str">
        <x:v>CHECK_ONLY</x:v>
      </x:c>
      <x:c r="V157" s="295" t="str"/>
    </x:row>
    <x:row r="158" ht="28" customHeight="1">
      <x:c r="A158" s="295" t="n">
        <x:v>153</x:v>
      </x:c>
      <x:c r="B158" s="295" t="str">
        <x:v>HD05.D.TY.TRICH_YEU.CO_CHU</x:v>
      </x:c>
      <x:c r="C158" s="295" t="str">
        <x:v>HD05.D.TY.TRICH_YEU</x:v>
      </x:c>
      <x:c r="D158" s="295" t="str">
        <x:v>Tên loại / trích yếu</x:v>
      </x:c>
      <x:c r="E158" s="295" t="str">
        <x:v>Trích yếu của văn bản Đảng có tên loại</x:v>
      </x:c>
      <x:c r="F158" s="295" t="str">
        <x:v>Cỡ chữ</x:v>
      </x:c>
      <x:c r="G158" s="295" t="str">
        <x:v>NUMBER_OR_RANGE</x:v>
      </x:c>
      <x:c r="H158" s="295" t="str">
        <x:v>pt</x:v>
      </x:c>
      <x:c r="I158" s="295" t="str">
        <x:v>14–15</x:v>
      </x:c>
      <x:c r="J158" s="295" t="str">
        <x:v>Đúng giá trị/giới hạn riêng</x:v>
      </x:c>
      <x:c r="K158" s="295" t="n">
        <x:v>14</x:v>
      </x:c>
      <x:c r="L158" s="295" t="str">
        <x:v>PROFILE_CO_GIA_TRI_CHUA_DUYET</x:v>
      </x:c>
      <x:c r="M158" s="295" t="str">
        <x:v>DOI_CHIEU_CU_THE</x:v>
      </x:c>
      <x:c r="N158" s="295" t="str">
        <x:v>Chỉ văn bản có tên loại, trích yếu ở ô 5a</x:v>
      </x:c>
      <x:c r="O158" s="295" t="str">
        <x:v>Quy định gốc &gt; profile; khi chưa rõ điều kiện thì giữ nguyên; không sinh nội dung.</x:v>
      </x:c>
      <x:c r="P158" s="295" t="str">
        <x:v>PARAGRAPH / RUN / SHAPE tùy thuộc tính</x:v>
      </x:c>
      <x:c r="Q158" s="295" t="str">
        <x:v>Xác định đúng khối Trích yếu của văn bản Đảng có tên loại; đọc giá trị thực; đối chiếu điều kiện; không sửa nội dung khi thiếu nguồn.</x:v>
      </x:c>
      <x:c r="R158" s="295" t="str">
        <x:v>Phần II, I.5; Phụ lục 2, TT5</x:v>
      </x:c>
      <x:c r="S158" s="295" t="str">
        <x:v>https://tulieuvankien.dangcongsan.vn/upload/2006988/20260529/HD_05_VPTW_e1550.pdf</x:v>
      </x:c>
      <x:c r="T158" s="295" t="str">
        <x:v>CÓ</x:v>
      </x:c>
      <x:c r="U158" s="295" t="str">
        <x:v>CHECK_ONLY</x:v>
      </x:c>
      <x:c r="V158" s="295" t="str"/>
    </x:row>
    <x:row r="159" ht="28" customHeight="1">
      <x:c r="A159" s="295" t="n">
        <x:v>154</x:v>
      </x:c>
      <x:c r="B159" s="295" t="str">
        <x:v>HD05.D.TY.TRICH_YEU.DAM</x:v>
      </x:c>
      <x:c r="C159" s="295" t="str">
        <x:v>HD05.D.TY.TRICH_YEU</x:v>
      </x:c>
      <x:c r="D159" s="295" t="str">
        <x:v>Tên loại / trích yếu</x:v>
      </x:c>
      <x:c r="E159" s="295" t="str">
        <x:v>Trích yếu của văn bản Đảng có tên loại</x:v>
      </x:c>
      <x:c r="F159" s="295" t="str">
        <x:v>In đậm</x:v>
      </x:c>
      <x:c r="G159" s="295" t="str">
        <x:v>BOOLEAN</x:v>
      </x:c>
      <x:c r="H159" s="295"/>
      <x:c r="I159" s="296" t="b">
        <x:v>1</x:v>
      </x:c>
      <x:c r="J159" s="295" t="str">
        <x:v>Đúng giá trị/giới hạn riêng</x:v>
      </x:c>
      <x:c r="K159" s="296" t="b">
        <x:v>0</x:v>
      </x:c>
      <x:c r="L159" s="295" t="str">
        <x:v>PROFILE_CO_GIA_TRI_CHUA_DUYET</x:v>
      </x:c>
      <x:c r="M159" s="295" t="str">
        <x:v>DOI_CHIEU_CU_THE</x:v>
      </x:c>
      <x:c r="N159" s="295" t="str">
        <x:v>Chỉ văn bản có tên loại, trích yếu ở ô 5a</x:v>
      </x:c>
      <x:c r="O159" s="295" t="str">
        <x:v>Quy định gốc &gt; profile; khi chưa rõ điều kiện thì giữ nguyên; không sinh nội dung.</x:v>
      </x:c>
      <x:c r="P159" s="295" t="str">
        <x:v>PARAGRAPH / RUN / SHAPE tùy thuộc tính</x:v>
      </x:c>
      <x:c r="Q159" s="295" t="str">
        <x:v>Xác định đúng khối Trích yếu của văn bản Đảng có tên loại; đọc giá trị thực; đối chiếu điều kiện; không sửa nội dung khi thiếu nguồn.</x:v>
      </x:c>
      <x:c r="R159" s="295" t="str">
        <x:v>Phần II, I.5; Phụ lục 2, TT5</x:v>
      </x:c>
      <x:c r="S159" s="295" t="str">
        <x:v>https://tulieuvankien.dangcongsan.vn/upload/2006988/20260529/HD_05_VPTW_e1550.pdf</x:v>
      </x:c>
      <x:c r="T159" s="295" t="str">
        <x:v>CÓ</x:v>
      </x:c>
      <x:c r="U159" s="295" t="str">
        <x:v>CHECK_ONLY</x:v>
      </x:c>
      <x:c r="V159" s="295" t="str"/>
    </x:row>
    <x:row r="160" ht="28" customHeight="1">
      <x:c r="A160" s="295" t="n">
        <x:v>155</x:v>
      </x:c>
      <x:c r="B160" s="295" t="str">
        <x:v>HD05.D.TY.TRICH_YEU.NGHIENG</x:v>
      </x:c>
      <x:c r="C160" s="295" t="str">
        <x:v>HD05.D.TY.TRICH_YEU</x:v>
      </x:c>
      <x:c r="D160" s="295" t="str">
        <x:v>Tên loại / trích yếu</x:v>
      </x:c>
      <x:c r="E160" s="295" t="str">
        <x:v>Trích yếu của văn bản Đảng có tên loại</x:v>
      </x:c>
      <x:c r="F160" s="295" t="str">
        <x:v>In nghiêng</x:v>
      </x:c>
      <x:c r="G160" s="295" t="str">
        <x:v>BOOLEAN</x:v>
      </x:c>
      <x:c r="H160" s="295"/>
      <x:c r="I160" s="296" t="b">
        <x:v>0</x:v>
      </x:c>
      <x:c r="J160" s="295" t="str">
        <x:v>Đúng giá trị/giới hạn riêng</x:v>
      </x:c>
      <x:c r="K160" s="296" t="b">
        <x:v>0</x:v>
      </x:c>
      <x:c r="L160" s="295" t="str">
        <x:v>PROFILE_CO_GIA_TRI_CHUA_DUYET</x:v>
      </x:c>
      <x:c r="M160" s="295" t="str">
        <x:v>DOI_CHIEU_CU_THE</x:v>
      </x:c>
      <x:c r="N160" s="295" t="str">
        <x:v>Chỉ văn bản có tên loại, trích yếu ở ô 5a</x:v>
      </x:c>
      <x:c r="O160" s="295" t="str">
        <x:v>Quy định gốc &gt; profile; khi chưa rõ điều kiện thì giữ nguyên; không sinh nội dung.</x:v>
      </x:c>
      <x:c r="P160" s="295" t="str">
        <x:v>PARAGRAPH / RUN / SHAPE tùy thuộc tính</x:v>
      </x:c>
      <x:c r="Q160" s="295" t="str">
        <x:v>Xác định đúng khối Trích yếu của văn bản Đảng có tên loại; đọc giá trị thực; đối chiếu điều kiện; không sửa nội dung khi thiếu nguồn.</x:v>
      </x:c>
      <x:c r="R160" s="295" t="str">
        <x:v>Phần II, I.5; Phụ lục 2, TT5</x:v>
      </x:c>
      <x:c r="S160" s="295" t="str">
        <x:v>https://tulieuvankien.dangcongsan.vn/upload/2006988/20260529/HD_05_VPTW_e1550.pdf</x:v>
      </x:c>
      <x:c r="T160" s="295" t="str">
        <x:v>CÓ</x:v>
      </x:c>
      <x:c r="U160" s="295" t="str">
        <x:v>CHECK_ONLY</x:v>
      </x:c>
      <x:c r="V160" s="295" t="str"/>
    </x:row>
    <x:row r="161" ht="28" customHeight="1">
      <x:c r="A161" s="295" t="n">
        <x:v>156</x:v>
      </x:c>
      <x:c r="B161" s="295" t="str">
        <x:v>HD05.D.TY.TRICH_YEU.KIEU_CHU</x:v>
      </x:c>
      <x:c r="C161" s="295" t="str">
        <x:v>HD05.D.TY.TRICH_YEU</x:v>
      </x:c>
      <x:c r="D161" s="295" t="str">
        <x:v>Tên loại / trích yếu</x:v>
      </x:c>
      <x:c r="E161" s="295" t="str">
        <x:v>Trích yếu của văn bản Đảng có tên loại</x:v>
      </x:c>
      <x:c r="F161" s="295" t="str">
        <x:v>Kiểu viết hoa/thường</x:v>
      </x:c>
      <x:c r="G161" s="295" t="str">
        <x:v>ENUM</x:v>
      </x:c>
      <x:c r="H161" s="295"/>
      <x:c r="I161" s="295" t="str">
        <x:v>In thường</x:v>
      </x:c>
      <x:c r="J161" s="295" t="str">
        <x:v>Đúng giá trị/giới hạn riêng</x:v>
      </x:c>
      <x:c r="K161" s="295" t="str">
        <x:v>In thường</x:v>
      </x:c>
      <x:c r="L161" s="295" t="str">
        <x:v>PROFILE_CO_GIA_TRI_CHUA_DUYET</x:v>
      </x:c>
      <x:c r="M161" s="295" t="str">
        <x:v>DOI_CHIEU_CU_THE</x:v>
      </x:c>
      <x:c r="N161" s="295" t="str">
        <x:v>Chỉ văn bản có tên loại, trích yếu ở ô 5a</x:v>
      </x:c>
      <x:c r="O161" s="295" t="str">
        <x:v>Quy định gốc &gt; profile; khi chưa rõ điều kiện thì giữ nguyên; không sinh nội dung.</x:v>
      </x:c>
      <x:c r="P161" s="295" t="str">
        <x:v>PARAGRAPH / RUN / SHAPE tùy thuộc tính</x:v>
      </x:c>
      <x:c r="Q161" s="295" t="str">
        <x:v>Xác định đúng khối Trích yếu của văn bản Đảng có tên loại; đọc giá trị thực; đối chiếu điều kiện; không sửa nội dung khi thiếu nguồn.</x:v>
      </x:c>
      <x:c r="R161" s="295" t="str">
        <x:v>Phần II, I.5; Phụ lục 2, TT5</x:v>
      </x:c>
      <x:c r="S161" s="295" t="str">
        <x:v>https://tulieuvankien.dangcongsan.vn/upload/2006988/20260529/HD_05_VPTW_e1550.pdf</x:v>
      </x:c>
      <x:c r="T161" s="295" t="str">
        <x:v>CÓ</x:v>
      </x:c>
      <x:c r="U161" s="295" t="str">
        <x:v>CHECK_ONLY</x:v>
      </x:c>
      <x:c r="V161" s="295" t="str"/>
    </x:row>
    <x:row r="162" ht="28" customHeight="1">
      <x:c r="A162" s="295" t="n">
        <x:v>157</x:v>
      </x:c>
      <x:c r="B162" s="295" t="str">
        <x:v>HD05.D.TY.TRICH_YEU.CAN_NGANG</x:v>
      </x:c>
      <x:c r="C162" s="295" t="str">
        <x:v>HD05.D.TY.TRICH_YEU</x:v>
      </x:c>
      <x:c r="D162" s="295" t="str">
        <x:v>Tên loại / trích yếu</x:v>
      </x:c>
      <x:c r="E162" s="295" t="str">
        <x:v>Trích yếu của văn bản Đảng có tên loại</x:v>
      </x:c>
      <x:c r="F162" s="295" t="str">
        <x:v>Căn ngang</x:v>
      </x:c>
      <x:c r="G162" s="295" t="str">
        <x:v>ENUM</x:v>
      </x:c>
      <x:c r="H162" s="295"/>
      <x:c r="I162" s="295" t="str">
        <x:v>CENTER</x:v>
      </x:c>
      <x:c r="J162" s="295" t="str">
        <x:v>Đúng giá trị/giới hạn riêng</x:v>
      </x:c>
      <x:c r="K162" s="295" t="str">
        <x:v>CENTER</x:v>
      </x:c>
      <x:c r="L162" s="295" t="str">
        <x:v>PROFILE_CO_GIA_TRI_CHUA_DUYET</x:v>
      </x:c>
      <x:c r="M162" s="295" t="str">
        <x:v>DOI_CHIEU_CU_THE</x:v>
      </x:c>
      <x:c r="N162" s="295" t="str">
        <x:v>Chỉ văn bản có tên loại, trích yếu ở ô 5a</x:v>
      </x:c>
      <x:c r="O162" s="295" t="str">
        <x:v>Quy định gốc &gt; profile; khi chưa rõ điều kiện thì giữ nguyên; không sinh nội dung.</x:v>
      </x:c>
      <x:c r="P162" s="295" t="str">
        <x:v>PARAGRAPH / RUN / SHAPE tùy thuộc tính</x:v>
      </x:c>
      <x:c r="Q162" s="295" t="str">
        <x:v>Xác định đúng khối Trích yếu của văn bản Đảng có tên loại; đọc giá trị thực; đối chiếu điều kiện; không sửa nội dung khi thiếu nguồn.</x:v>
      </x:c>
      <x:c r="R162" s="295" t="str">
        <x:v>Phần II, I.5; Phụ lục 2, TT5</x:v>
      </x:c>
      <x:c r="S162" s="295" t="str">
        <x:v>https://tulieuvankien.dangcongsan.vn/upload/2006988/20260529/HD_05_VPTW_e1550.pdf</x:v>
      </x:c>
      <x:c r="T162" s="295" t="str">
        <x:v>CÓ</x:v>
      </x:c>
      <x:c r="U162" s="295" t="str">
        <x:v>CHECK_ONLY</x:v>
      </x:c>
      <x:c r="V162" s="295" t="str"/>
    </x:row>
    <x:row r="163" ht="28" customHeight="1">
      <x:c r="A163" s="295" t="n">
        <x:v>158</x:v>
      </x:c>
      <x:c r="B163" s="295" t="str">
        <x:v>HD05.D.TY.TRICH_YEU.CACH_SAU</x:v>
      </x:c>
      <x:c r="C163" s="295" t="str">
        <x:v>HD05.D.TY.TRICH_YEU</x:v>
      </x:c>
      <x:c r="D163" s="295" t="str">
        <x:v>Tên loại / trích yếu</x:v>
      </x:c>
      <x:c r="E163" s="295" t="str">
        <x:v>Trích yếu của văn bản Đảng có tên loại</x:v>
      </x:c>
      <x:c r="F163" s="295" t="str">
        <x:v>Khoảng cách sau đoạn</x:v>
      </x:c>
      <x:c r="G163" s="295" t="str">
        <x:v>NUMBER</x:v>
      </x:c>
      <x:c r="H163" s="295" t="str">
        <x:v>pt</x:v>
      </x:c>
      <x:c r="I163" s="295" t="str">
        <x:v>CHƯA XÁC MINH RIÊNG</x:v>
      </x:c>
      <x:c r="J163" s="295" t="str">
        <x:v>Không suy ra giới hạn pháp lý</x:v>
      </x:c>
      <x:c r="K163" s="295" t="n">
        <x:v>6</x:v>
      </x:c>
      <x:c r="L163" s="295" t="str">
        <x:v>PROFILE_CHO_RAO_SOAT</x:v>
      </x:c>
      <x:c r="M163" s="295" t="str">
        <x:v>CHUA_DOI_CHIEU_CU_THE</x:v>
      </x:c>
      <x:c r="N163" s="295" t="str">
        <x:v>Chỉ văn bản có tên loại, trích yếu ở ô 5a</x:v>
      </x:c>
      <x:c r="O163" s="295" t="str">
        <x:v>Quy định gốc &gt; profile; khi chưa rõ điều kiện thì giữ nguyên; không sinh nội dung.</x:v>
      </x:c>
      <x:c r="P163" s="295" t="str">
        <x:v>PARAGRAPH / RUN / SHAPE tùy thuộc tính</x:v>
      </x:c>
      <x:c r="Q163" s="295" t="str">
        <x:v>Xác định đúng khối Trích yếu của văn bản Đảng có tên loại; đọc giá trị thực; đối chiếu điều kiện; không sửa nội dung khi thiếu nguồn.</x:v>
      </x:c>
      <x:c r="R163" s="295" t="str">
        <x:v>Chưa có locator xác minh riêng</x:v>
      </x:c>
      <x:c r="S163" s="295" t="str">
        <x:v>https://tulieuvankien.dangcongsan.vn/upload/2006988/20260529/HD_05_VPTW_e1550.pdf</x:v>
      </x:c>
      <x:c r="T163" s="295" t="str">
        <x:v>CÓ</x:v>
      </x:c>
      <x:c r="U163" s="295" t="str">
        <x:v>CHECK_ONLY</x:v>
      </x:c>
      <x:c r="V163" s="295" t="str">
        <x:v>Không tự chèn đoạn trắng</x:v>
      </x:c>
    </x:row>
    <x:row r="164" ht="28" customHeight="1">
      <x:c r="A164" s="295" t="n">
        <x:v>159</x:v>
      </x:c>
      <x:c r="B164" s="295" t="str">
        <x:v>HD05.D.TY.TRICH_YEU.GIAN_DONG</x:v>
      </x:c>
      <x:c r="C164" s="295" t="str">
        <x:v>HD05.D.TY.TRICH_YEU</x:v>
      </x:c>
      <x:c r="D164" s="295" t="str">
        <x:v>Tên loại / trích yếu</x:v>
      </x:c>
      <x:c r="E164" s="295" t="str">
        <x:v>Trích yếu của văn bản Đảng có tên loại</x:v>
      </x:c>
      <x:c r="F164" s="295" t="str">
        <x:v>Giãn dòng</x:v>
      </x:c>
      <x:c r="G164" s="295" t="str">
        <x:v>NUMBER</x:v>
      </x:c>
      <x:c r="H164" s="295" t="str">
        <x:v>lines</x:v>
      </x:c>
      <x:c r="I164" s="295" t="str">
        <x:v>CHƯA XÁC MINH RIÊNG</x:v>
      </x:c>
      <x:c r="J164" s="295" t="str">
        <x:v>Không suy ra giới hạn pháp lý</x:v>
      </x:c>
      <x:c r="K164" s="295" t="str">
        <x:v>SINGLE</x:v>
      </x:c>
      <x:c r="L164" s="295" t="str">
        <x:v>PROFILE_CHO_RAO_SOAT</x:v>
      </x:c>
      <x:c r="M164" s="295" t="str">
        <x:v>CHUA_DOI_CHIEU_CU_THE</x:v>
      </x:c>
      <x:c r="N164" s="295" t="str">
        <x:v>Chỉ văn bản có tên loại, trích yếu ở ô 5a</x:v>
      </x:c>
      <x:c r="O164" s="295" t="str">
        <x:v>Quy định gốc &gt; profile; khi chưa rõ điều kiện thì giữ nguyên; không sinh nội dung.</x:v>
      </x:c>
      <x:c r="P164" s="295" t="str">
        <x:v>PARAGRAPH / RUN / SHAPE tùy thuộc tính</x:v>
      </x:c>
      <x:c r="Q164" s="295" t="str">
        <x:v>Xác định đúng khối Trích yếu của văn bản Đảng có tên loại; đọc giá trị thực; đối chiếu điều kiện; không sửa nội dung khi thiếu nguồn.</x:v>
      </x:c>
      <x:c r="R164" s="295" t="str">
        <x:v>Chưa có locator xác minh riêng</x:v>
      </x:c>
      <x:c r="S164" s="295" t="str">
        <x:v>https://tulieuvankien.dangcongsan.vn/upload/2006988/20260529/HD_05_VPTW_e1550.pdf</x:v>
      </x:c>
      <x:c r="T164" s="295" t="str">
        <x:v>CÓ</x:v>
      </x:c>
      <x:c r="U164" s="295" t="str">
        <x:v>CHECK_ONLY</x:v>
      </x:c>
      <x:c r="V164" s="295" t="str">
        <x:v>Giãn dòng phần đầu không được tự đồng nhất với thân bài.</x:v>
      </x:c>
    </x:row>
    <x:row r="165" ht="28" customHeight="1">
      <x:c r="A165" s="295" t="n">
        <x:v>160</x:v>
      </x:c>
      <x:c r="B165" s="295" t="str">
        <x:v>HD05.D.TY.TRICH_YEU.BAO_VE_NOI_DUNG</x:v>
      </x:c>
      <x:c r="C165" s="295" t="str">
        <x:v>HD05.D.TY.TRICH_YEU</x:v>
      </x:c>
      <x:c r="D165" s="295" t="str">
        <x:v>Tên loại / trích yếu</x:v>
      </x:c>
      <x:c r="E165" s="295" t="str">
        <x:v>Trích yếu của văn bản Đảng có tên loại</x:v>
      </x:c>
      <x:c r="F165" s="295" t="str">
        <x:v>Không tự suy diễn nội dung</x:v>
      </x:c>
      <x:c r="G165" s="295" t="str">
        <x:v>BOOLEAN</x:v>
      </x:c>
      <x:c r="H165" s="295"/>
      <x:c r="I165" s="295" t="str">
        <x:v>CHƯA XÁC MINH RIÊNG</x:v>
      </x:c>
      <x:c r="J165" s="295" t="str">
        <x:v>Không suy ra giới hạn pháp lý</x:v>
      </x:c>
      <x:c r="K165" s="296" t="b">
        <x:v>1</x:v>
      </x:c>
      <x:c r="L165" s="295" t="str">
        <x:v>NOI_DUNG_BAO_VE</x:v>
      </x:c>
      <x:c r="M165" s="295" t="str">
        <x:v>CHUA_DOI_CHIEU_CU_THE</x:v>
      </x:c>
      <x:c r="N165" s="295" t="str">
        <x:v>Chỉ văn bản có tên loại, trích yếu ở ô 5a</x:v>
      </x:c>
      <x:c r="O165" s="295" t="str">
        <x:v>Quy định gốc &gt; profile; khi chưa rõ điều kiện thì giữ nguyên; không sinh nội dung.</x:v>
      </x:c>
      <x:c r="P165" s="295" t="str">
        <x:v>PARAGRAPH / RUN / SHAPE tùy thuộc tính</x:v>
      </x:c>
      <x:c r="Q165" s="295" t="str">
        <x:v>Xác định đúng khối Trích yếu của văn bản Đảng có tên loại; đọc giá trị thực; đối chiếu điều kiện; không sửa nội dung khi thiếu nguồn.</x:v>
      </x:c>
      <x:c r="R165" s="295" t="str">
        <x:v>Chưa có locator xác minh riêng</x:v>
      </x:c>
      <x:c r="S165" s="295" t="str">
        <x:v>https://tulieuvankien.dangcongsan.vn/upload/2006988/20260529/HD_05_VPTW_e1550.pdf</x:v>
      </x:c>
      <x:c r="T165" s="295" t="str">
        <x:v>CÓ</x:v>
      </x:c>
      <x:c r="U165" s="295" t="str">
        <x:v>CHECK_ONLY</x:v>
      </x:c>
      <x:c r="V165" s="295" t="str">
        <x:v>Chỉ chuẩn hóa hình thức sau khi xác nhận chính xác nội dung, không tự điền số/ngày/người nhận.</x:v>
      </x:c>
    </x:row>
    <x:row r="166" ht="28" customHeight="1">
      <x:c r="A166" s="295" t="n">
        <x:v>161</x:v>
      </x:c>
      <x:c r="B166" s="295" t="str">
        <x:v>HD05.D.TY.NAM_DAU_GACH.HIEN_DIEN</x:v>
      </x:c>
      <x:c r="C166" s="295" t="str">
        <x:v>HD05.D.TY.NAM_DAU_GACH</x:v>
      </x:c>
      <x:c r="D166" s="295" t="str">
        <x:v>Tên loại / trích yếu</x:v>
      </x:c>
      <x:c r="E166" s="295" t="str">
        <x:v>Đúng 5 dấu gạch nối dưới trích yếu theo mẫu</x:v>
      </x:c>
      <x:c r="F166" s="295" t="str">
        <x:v>Điều kiện hiện diện</x:v>
      </x:c>
      <x:c r="G166" s="295" t="str">
        <x:v>TEXT</x:v>
      </x:c>
      <x:c r="H166" s="295"/>
      <x:c r="I166" s="295" t="str">
        <x:v>CHƯA XÁC MINH RIÊNG</x:v>
      </x:c>
      <x:c r="J166" s="295" t="str">
        <x:v>Không suy ra giới hạn pháp lý</x:v>
      </x:c>
      <x:c r="K166" s="295" t="str">
        <x:v>Chỉ HD05 dạng có tên loại hoặc ngoại lệ có quy định dấu phân cách</x:v>
      </x:c>
      <x:c r="L166" s="295" t="str">
        <x:v>CHUA_DUYET_DINH_TUYEN</x:v>
      </x:c>
      <x:c r="M166" s="295" t="str">
        <x:v>CHUA_DOI_CHIEU_CU_THE</x:v>
      </x:c>
      <x:c r="N166" s="295" t="str">
        <x:v>Chỉ HD05 dạng có tên loại hoặc ngoại lệ có quy định dấu phân cách</x:v>
      </x:c>
      <x:c r="O166" s="295" t="str">
        <x:v>Quy định gốc &gt; profile; khi chưa rõ điều kiện thì giữ nguyên; không sinh nội dung.</x:v>
      </x:c>
      <x:c r="P166" s="295" t="str">
        <x:v>PARAGRAPH / RUN / SHAPE tùy thuộc tính</x:v>
      </x:c>
      <x:c r="Q166" s="295" t="str">
        <x:v>Xác định đúng khối Đúng 5 dấu gạch nối dưới trích yếu theo mẫu; đọc giá trị thực; đối chiếu điều kiện; không sửa nội dung khi thiếu nguồn.</x:v>
      </x:c>
      <x:c r="R166" s="295" t="str">
        <x:v>Chưa có locator xác minh riêng</x:v>
      </x:c>
      <x:c r="S166" s="295" t="str">
        <x:v>https://tulieuvankien.dangcongsan.vn/upload/2006988/20260529/HD_05_VPTW_e1550.pdf</x:v>
      </x:c>
      <x:c r="T166" s="295" t="str">
        <x:v>CÓ</x:v>
      </x:c>
      <x:c r="U166" s="295" t="str">
        <x:v>CHECK_ONLY</x:v>
      </x:c>
      <x:c r="V166" s="295" t="str">
        <x:v>Phải nhận diện chế độ và chủ thể trước khi áp dụng</x:v>
      </x:c>
    </x:row>
    <x:row r="167" ht="28" customHeight="1">
      <x:c r="A167" s="295" t="n">
        <x:v>162</x:v>
      </x:c>
      <x:c r="B167" s="295" t="str">
        <x:v>HD05.D.TY.NAM_DAU_GACH.CHUOI_CO_DINH</x:v>
      </x:c>
      <x:c r="C167" s="295" t="str">
        <x:v>HD05.D.TY.NAM_DAU_GACH</x:v>
      </x:c>
      <x:c r="D167" s="295" t="str">
        <x:v>Tên loại / trích yếu</x:v>
      </x:c>
      <x:c r="E167" s="295" t="str">
        <x:v>Đúng 5 dấu gạch nối dưới trích yếu theo mẫu</x:v>
      </x:c>
      <x:c r="F167" s="295" t="str">
        <x:v>Nhãn hoặc chuỗi cố định</x:v>
      </x:c>
      <x:c r="G167" s="295" t="str">
        <x:v>TEXT</x:v>
      </x:c>
      <x:c r="H167" s="295"/>
      <x:c r="I167" s="295" t="str">
        <x:v>-----</x:v>
      </x:c>
      <x:c r="J167" s="295" t="str">
        <x:v>Đúng giá trị/giới hạn riêng</x:v>
      </x:c>
      <x:c r="K167" s="295" t="str">
        <x:v>-----</x:v>
      </x:c>
      <x:c r="L167" s="295" t="str">
        <x:v>PROFILE_CO_GIA_TRI_HOP_LE</x:v>
      </x:c>
      <x:c r="M167" s="295" t="str">
        <x:v>DOI_CHIEU_CU_THE</x:v>
      </x:c>
      <x:c r="N167" s="295" t="str">
        <x:v>Chỉ HD05 dạng có tên loại hoặc ngoại lệ có quy định dấu phân cách</x:v>
      </x:c>
      <x:c r="O167" s="295" t="str">
        <x:v>Quy định gốc &gt; profile; khi chưa rõ điều kiện thì giữ nguyên; không sinh nội dung.</x:v>
      </x:c>
      <x:c r="P167" s="295" t="str">
        <x:v>PARAGRAPH / RUN / SHAPE tùy thuộc tính</x:v>
      </x:c>
      <x:c r="Q167" s="295" t="str">
        <x:v>Xác định đúng khối Đúng 5 dấu gạch nối dưới trích yếu theo mẫu; đọc giá trị thực; đối chiếu điều kiện; không sửa nội dung khi thiếu nguồn.</x:v>
      </x:c>
      <x:c r="R167" s="295" t="str">
        <x:v>Phần II, I.1-9; Phụ lục 2</x:v>
      </x:c>
      <x:c r="S167" s="295" t="str">
        <x:v>https://tulieuvankien.dangcongsan.vn/upload/2006988/20260529/HD_05_VPTW_e1550.pdf</x:v>
      </x:c>
      <x:c r="T167" s="295" t="str">
        <x:v>CÓ</x:v>
      </x:c>
      <x:c r="U167" s="295" t="str">
        <x:v>CHECK_ONLY</x:v>
      </x:c>
      <x:c r="V167" s="295" t="str">
        <x:v>Không thêm nhãn khi thành phần không xuất hiện</x:v>
      </x:c>
    </x:row>
    <x:row r="168" ht="28" customHeight="1">
      <x:c r="A168" s="295" t="n">
        <x:v>163</x:v>
      </x:c>
      <x:c r="B168" s="295" t="str">
        <x:v>HD05.D.TY.NAM_DAU_GACH.KY_TU</x:v>
      </x:c>
      <x:c r="C168" s="295" t="str">
        <x:v>HD05.D.TY.NAM_DAU_GACH</x:v>
      </x:c>
      <x:c r="D168" s="295" t="str">
        <x:v>Tên loại / trích yếu</x:v>
      </x:c>
      <x:c r="E168" s="295" t="str">
        <x:v>Đúng 5 dấu gạch nối dưới trích yếu theo mẫu</x:v>
      </x:c>
      <x:c r="F168" s="295" t="str">
        <x:v>Chuỗi phân cách</x:v>
      </x:c>
      <x:c r="G168" s="295" t="str">
        <x:v>TEXT</x:v>
      </x:c>
      <x:c r="H168" s="295"/>
      <x:c r="I168" s="295" t="str">
        <x:v>Đúng năm dấu gạch nối</x:v>
      </x:c>
      <x:c r="J168" s="295" t="str">
        <x:v>Đúng giá trị/giới hạn riêng</x:v>
      </x:c>
      <x:c r="K168" s="295" t="str">
        <x:v>-----</x:v>
      </x:c>
      <x:c r="L168" s="295" t="str">
        <x:v>PROFILE_THEO_NGUON</x:v>
      </x:c>
      <x:c r="M168" s="295" t="str">
        <x:v>DOI_CHIEU_CU_THE</x:v>
      </x:c>
      <x:c r="N168" s="295" t="str">
        <x:v>Chỉ HD05 dạng có tên loại hoặc ngoại lệ có quy định dấu phân cách</x:v>
      </x:c>
      <x:c r="O168" s="295" t="str">
        <x:v>Quy định gốc &gt; profile; khi chưa rõ điều kiện thì giữ nguyên; không sinh nội dung.</x:v>
      </x:c>
      <x:c r="P168" s="295" t="str">
        <x:v>PARAGRAPH / RUN / SHAPE tùy thuộc tính</x:v>
      </x:c>
      <x:c r="Q168" s="295" t="str">
        <x:v>Xác định đúng khối Đúng 5 dấu gạch nối dưới trích yếu theo mẫu; đọc giá trị thực; đối chiếu điều kiện; không sửa nội dung khi thiếu nguồn.</x:v>
      </x:c>
      <x:c r="R168" s="295" t="str">
        <x:v>Phần II, I.5.2.1</x:v>
      </x:c>
      <x:c r="S168" s="295" t="str">
        <x:v>https://tulieuvankien.dangcongsan.vn/upload/2006988/20260529/HD_05_VPTW_e1550.pdf</x:v>
      </x:c>
      <x:c r="T168" s="295" t="str">
        <x:v>CÓ</x:v>
      </x:c>
      <x:c r="U168" s="295" t="str">
        <x:v>CHECK_ONLY</x:v>
      </x:c>
      <x:c r="V168" s="295" t="str">
        <x:v>Mã rule con chỉ phục vụ AI đọc; không tự tạo thao tác OOXML.</x:v>
      </x:c>
    </x:row>
    <x:row r="169" ht="28" customHeight="1">
      <x:c r="A169" s="295" t="n">
        <x:v>164</x:v>
      </x:c>
      <x:c r="B169" s="295" t="str">
        <x:v>HD05.D.TY.NAM_DAU_GACH.SO_KY_TU</x:v>
      </x:c>
      <x:c r="C169" s="295" t="str">
        <x:v>HD05.D.TY.NAM_DAU_GACH</x:v>
      </x:c>
      <x:c r="D169" s="295" t="str">
        <x:v>Tên loại / trích yếu</x:v>
      </x:c>
      <x:c r="E169" s="295" t="str">
        <x:v>Đúng 5 dấu gạch nối dưới trích yếu theo mẫu</x:v>
      </x:c>
      <x:c r="F169" s="295" t="str">
        <x:v>Số ký tự gạch nối</x:v>
      </x:c>
      <x:c r="G169" s="295" t="str">
        <x:v>NUMBER</x:v>
      </x:c>
      <x:c r="H169" s="295"/>
      <x:c r="I169" s="295" t="n">
        <x:v>5</x:v>
      </x:c>
      <x:c r="J169" s="295" t="str">
        <x:v>Đúng giá trị/giới hạn riêng</x:v>
      </x:c>
      <x:c r="K169" s="295" t="n">
        <x:v>5</x:v>
      </x:c>
      <x:c r="L169" s="295" t="str">
        <x:v>PROFILE_THEO_NGUON</x:v>
      </x:c>
      <x:c r="M169" s="295" t="str">
        <x:v>DOI_CHIEU_CU_THE</x:v>
      </x:c>
      <x:c r="N169" s="295" t="str">
        <x:v>Chỉ HD05 dạng có tên loại hoặc ngoại lệ có quy định dấu phân cách</x:v>
      </x:c>
      <x:c r="O169" s="295" t="str">
        <x:v>Quy định gốc &gt; profile; khi chưa rõ điều kiện thì giữ nguyên; không sinh nội dung.</x:v>
      </x:c>
      <x:c r="P169" s="295" t="str">
        <x:v>PARAGRAPH / RUN / SHAPE tùy thuộc tính</x:v>
      </x:c>
      <x:c r="Q169" s="295" t="str">
        <x:v>Xác định đúng khối Đúng 5 dấu gạch nối dưới trích yếu theo mẫu; đọc giá trị thực; đối chiếu điều kiện; không sửa nội dung khi thiếu nguồn.</x:v>
      </x:c>
      <x:c r="R169" s="295" t="str">
        <x:v>Phần II, I.5.2.1</x:v>
      </x:c>
      <x:c r="S169" s="295" t="str">
        <x:v>https://tulieuvankien.dangcongsan.vn/upload/2006988/20260529/HD_05_VPTW_e1550.pdf</x:v>
      </x:c>
      <x:c r="T169" s="295" t="str">
        <x:v>CÓ</x:v>
      </x:c>
      <x:c r="U169" s="295" t="str">
        <x:v>CHECK_ONLY</x:v>
      </x:c>
      <x:c r="V169" s="295" t="str">
        <x:v>Mã rule con chỉ phục vụ AI đọc; không tự tạo thao tác OOXML.</x:v>
      </x:c>
    </x:row>
    <x:row r="170" ht="28" customHeight="1">
      <x:c r="A170" s="295" t="n">
        <x:v>165</x:v>
      </x:c>
      <x:c r="B170" s="295" t="str">
        <x:v>HD05.D.TY.TRICH_YEU_CV.HIEN_DIEN</x:v>
      </x:c>
      <x:c r="C170" s="295" t="str">
        <x:v>HD05.D.TY.TRICH_YEU_CV</x:v>
      </x:c>
      <x:c r="D170" s="295" t="str">
        <x:v>Tên loại / trích yếu</x:v>
      </x:c>
      <x:c r="E170" s="295" t="str">
        <x:v>Trích yếu công văn Đảng dưới số/ký hiệu</x:v>
      </x:c>
      <x:c r="F170" s="295" t="str">
        <x:v>Điều kiện hiện diện</x:v>
      </x:c>
      <x:c r="G170" s="295" t="str">
        <x:v>TEXT</x:v>
      </x:c>
      <x:c r="H170" s="295"/>
      <x:c r="I170" s="295" t="str">
        <x:v>CHƯA XÁC MINH RIÊNG</x:v>
      </x:c>
      <x:c r="J170" s="295" t="str">
        <x:v>Không suy ra giới hạn pháp lý</x:v>
      </x:c>
      <x:c r="K170" s="295" t="str">
        <x:v>Chỉ công văn; ô 5b; không xuất hiện cùng tên loại 5a</x:v>
      </x:c>
      <x:c r="L170" s="295" t="str">
        <x:v>CHUA_DUYET_DINH_TUYEN</x:v>
      </x:c>
      <x:c r="M170" s="295" t="str">
        <x:v>CHUA_DOI_CHIEU_CU_THE</x:v>
      </x:c>
      <x:c r="N170" s="295" t="str">
        <x:v>Chỉ công văn; ô 5b; không xuất hiện cùng tên loại 5a</x:v>
      </x:c>
      <x:c r="O170" s="295" t="str">
        <x:v>Quy định gốc &gt; profile; khi chưa rõ điều kiện thì giữ nguyên; không sinh nội dung.</x:v>
      </x:c>
      <x:c r="P170" s="295" t="str">
        <x:v>PARAGRAPH / RUN / SHAPE tùy thuộc tính</x:v>
      </x:c>
      <x:c r="Q170" s="295" t="str">
        <x:v>Xác định đúng khối Trích yếu công văn Đảng dưới số/ký hiệu; đọc giá trị thực; đối chiếu điều kiện; không sửa nội dung khi thiếu nguồn.</x:v>
      </x:c>
      <x:c r="R170" s="295" t="str">
        <x:v>Chưa có locator xác minh riêng</x:v>
      </x:c>
      <x:c r="S170" s="295" t="str">
        <x:v>https://tulieuvankien.dangcongsan.vn/upload/2006988/20260529/HD_05_VPTW_e1550.pdf</x:v>
      </x:c>
      <x:c r="T170" s="295" t="str">
        <x:v>CÓ</x:v>
      </x:c>
      <x:c r="U170" s="295" t="str">
        <x:v>CHECK_ONLY</x:v>
      </x:c>
      <x:c r="V170" s="295" t="str">
        <x:v>Phải nhận diện chế độ và chủ thể trước khi áp dụng</x:v>
      </x:c>
    </x:row>
    <x:row r="171" ht="28" customHeight="1">
      <x:c r="A171" s="295" t="n">
        <x:v>166</x:v>
      </x:c>
      <x:c r="B171" s="295" t="str">
        <x:v>HD05.D.TY.TRICH_YEU_CV.PHONG_CHU</x:v>
      </x:c>
      <x:c r="C171" s="295" t="str">
        <x:v>HD05.D.TY.TRICH_YEU_CV</x:v>
      </x:c>
      <x:c r="D171" s="295" t="str">
        <x:v>Tên loại / trích yếu</x:v>
      </x:c>
      <x:c r="E171" s="295" t="str">
        <x:v>Trích yếu công văn Đảng dưới số/ký hiệu</x:v>
      </x:c>
      <x:c r="F171" s="295" t="str">
        <x:v>Font chữ</x:v>
      </x:c>
      <x:c r="G171" s="295" t="str">
        <x:v>STRING</x:v>
      </x:c>
      <x:c r="H171" s="295"/>
      <x:c r="I171" s="295" t="str">
        <x:v>Times New Roman</x:v>
      </x:c>
      <x:c r="J171" s="295" t="str">
        <x:v>Đúng giá trị/giới hạn riêng</x:v>
      </x:c>
      <x:c r="K171" s="295" t="str">
        <x:v>Times New Roman</x:v>
      </x:c>
      <x:c r="L171" s="295" t="str">
        <x:v>PROFILE_CO_GIA_TRI_CHUA_DUYET</x:v>
      </x:c>
      <x:c r="M171" s="295" t="str">
        <x:v>DOI_CHIEU_CU_THE</x:v>
      </x:c>
      <x:c r="N171" s="295" t="str">
        <x:v>Chỉ công văn; ô 5b; không xuất hiện cùng tên loại 5a</x:v>
      </x:c>
      <x:c r="O171" s="295" t="str">
        <x:v>Quy định gốc &gt; profile; khi chưa rõ điều kiện thì giữ nguyên; không sinh nội dung.</x:v>
      </x:c>
      <x:c r="P171" s="295" t="str">
        <x:v>PARAGRAPH / RUN / SHAPE tùy thuộc tính</x:v>
      </x:c>
      <x:c r="Q171" s="295" t="str">
        <x:v>Xác định đúng khối Trích yếu công văn Đảng dưới số/ký hiệu; đọc giá trị thực; đối chiếu điều kiện; không sửa nội dung khi thiếu nguồn.</x:v>
      </x:c>
      <x:c r="R171" s="295" t="str">
        <x:v>Phần II, IV.1</x:v>
      </x:c>
      <x:c r="S171" s="295" t="str">
        <x:v>https://tulieuvankien.dangcongsan.vn/upload/2006988/20260529/HD_05_VPTW_e1550.pdf</x:v>
      </x:c>
      <x:c r="T171" s="295" t="str">
        <x:v>CÓ</x:v>
      </x:c>
      <x:c r="U171" s="295" t="str">
        <x:v>CHECK_ONLY</x:v>
      </x:c>
      <x:c r="V171" s="295" t="str"/>
    </x:row>
    <x:row r="172" ht="28" customHeight="1">
      <x:c r="A172" s="295" t="n">
        <x:v>167</x:v>
      </x:c>
      <x:c r="B172" s="295" t="str">
        <x:v>HD05.D.TY.TRICH_YEU_CV.CO_CHU</x:v>
      </x:c>
      <x:c r="C172" s="295" t="str">
        <x:v>HD05.D.TY.TRICH_YEU_CV</x:v>
      </x:c>
      <x:c r="D172" s="295" t="str">
        <x:v>Tên loại / trích yếu</x:v>
      </x:c>
      <x:c r="E172" s="295" t="str">
        <x:v>Trích yếu công văn Đảng dưới số/ký hiệu</x:v>
      </x:c>
      <x:c r="F172" s="295" t="str">
        <x:v>Cỡ chữ</x:v>
      </x:c>
      <x:c r="G172" s="295" t="str">
        <x:v>NUMBER_OR_RANGE</x:v>
      </x:c>
      <x:c r="H172" s="295" t="str">
        <x:v>pt</x:v>
      </x:c>
      <x:c r="I172" s="295" t="str">
        <x:v>12</x:v>
      </x:c>
      <x:c r="J172" s="295" t="str">
        <x:v>Đúng giá trị/giới hạn riêng</x:v>
      </x:c>
      <x:c r="K172" s="295" t="n">
        <x:v>12</x:v>
      </x:c>
      <x:c r="L172" s="295" t="str">
        <x:v>PROFILE_CO_GIA_TRI_CHUA_DUYET</x:v>
      </x:c>
      <x:c r="M172" s="295" t="str">
        <x:v>DOI_CHIEU_CU_THE</x:v>
      </x:c>
      <x:c r="N172" s="295" t="str">
        <x:v>Chỉ công văn; ô 5b; không xuất hiện cùng tên loại 5a</x:v>
      </x:c>
      <x:c r="O172" s="295" t="str">
        <x:v>Quy định gốc &gt; profile; khi chưa rõ điều kiện thì giữ nguyên; không sinh nội dung.</x:v>
      </x:c>
      <x:c r="P172" s="295" t="str">
        <x:v>PARAGRAPH / RUN / SHAPE tùy thuộc tính</x:v>
      </x:c>
      <x:c r="Q172" s="295" t="str">
        <x:v>Xác định đúng khối Trích yếu công văn Đảng dưới số/ký hiệu; đọc giá trị thực; đối chiếu điều kiện; không sửa nội dung khi thiếu nguồn.</x:v>
      </x:c>
      <x:c r="R172" s="295" t="str">
        <x:v>Phần II, I.5; Phụ lục 2, TT5</x:v>
      </x:c>
      <x:c r="S172" s="295" t="str">
        <x:v>https://tulieuvankien.dangcongsan.vn/upload/2006988/20260529/HD_05_VPTW_e1550.pdf</x:v>
      </x:c>
      <x:c r="T172" s="295" t="str">
        <x:v>CÓ</x:v>
      </x:c>
      <x:c r="U172" s="295" t="str">
        <x:v>CHECK_ONLY</x:v>
      </x:c>
      <x:c r="V172" s="295" t="str"/>
    </x:row>
    <x:row r="173" ht="28" customHeight="1">
      <x:c r="A173" s="295" t="n">
        <x:v>168</x:v>
      </x:c>
      <x:c r="B173" s="295" t="str">
        <x:v>HD05.D.TY.TRICH_YEU_CV.DAM</x:v>
      </x:c>
      <x:c r="C173" s="295" t="str">
        <x:v>HD05.D.TY.TRICH_YEU_CV</x:v>
      </x:c>
      <x:c r="D173" s="295" t="str">
        <x:v>Tên loại / trích yếu</x:v>
      </x:c>
      <x:c r="E173" s="295" t="str">
        <x:v>Trích yếu công văn Đảng dưới số/ký hiệu</x:v>
      </x:c>
      <x:c r="F173" s="295" t="str">
        <x:v>In đậm</x:v>
      </x:c>
      <x:c r="G173" s="295" t="str">
        <x:v>BOOLEAN</x:v>
      </x:c>
      <x:c r="H173" s="295"/>
      <x:c r="I173" s="296" t="b">
        <x:v>0</x:v>
      </x:c>
      <x:c r="J173" s="295" t="str">
        <x:v>Đúng giá trị/giới hạn riêng</x:v>
      </x:c>
      <x:c r="K173" s="296" t="b">
        <x:v>0</x:v>
      </x:c>
      <x:c r="L173" s="295" t="str">
        <x:v>PROFILE_CO_GIA_TRI_CHUA_DUYET</x:v>
      </x:c>
      <x:c r="M173" s="295" t="str">
        <x:v>DOI_CHIEU_CU_THE</x:v>
      </x:c>
      <x:c r="N173" s="295" t="str">
        <x:v>Chỉ công văn; ô 5b; không xuất hiện cùng tên loại 5a</x:v>
      </x:c>
      <x:c r="O173" s="295" t="str">
        <x:v>Quy định gốc &gt; profile; khi chưa rõ điều kiện thì giữ nguyên; không sinh nội dung.</x:v>
      </x:c>
      <x:c r="P173" s="295" t="str">
        <x:v>PARAGRAPH / RUN / SHAPE tùy thuộc tính</x:v>
      </x:c>
      <x:c r="Q173" s="295" t="str">
        <x:v>Xác định đúng khối Trích yếu công văn Đảng dưới số/ký hiệu; đọc giá trị thực; đối chiếu điều kiện; không sửa nội dung khi thiếu nguồn.</x:v>
      </x:c>
      <x:c r="R173" s="295" t="str">
        <x:v>Phần II, I.5; Phụ lục 2, TT5</x:v>
      </x:c>
      <x:c r="S173" s="295" t="str">
        <x:v>https://tulieuvankien.dangcongsan.vn/upload/2006988/20260529/HD_05_VPTW_e1550.pdf</x:v>
      </x:c>
      <x:c r="T173" s="295" t="str">
        <x:v>CÓ</x:v>
      </x:c>
      <x:c r="U173" s="295" t="str">
        <x:v>CHECK_ONLY</x:v>
      </x:c>
      <x:c r="V173" s="295" t="str"/>
    </x:row>
    <x:row r="174" ht="28" customHeight="1">
      <x:c r="A174" s="295" t="n">
        <x:v>169</x:v>
      </x:c>
      <x:c r="B174" s="295" t="str">
        <x:v>HD05.D.TY.TRICH_YEU_CV.NGHIENG</x:v>
      </x:c>
      <x:c r="C174" s="295" t="str">
        <x:v>HD05.D.TY.TRICH_YEU_CV</x:v>
      </x:c>
      <x:c r="D174" s="295" t="str">
        <x:v>Tên loại / trích yếu</x:v>
      </x:c>
      <x:c r="E174" s="295" t="str">
        <x:v>Trích yếu công văn Đảng dưới số/ký hiệu</x:v>
      </x:c>
      <x:c r="F174" s="295" t="str">
        <x:v>In nghiêng</x:v>
      </x:c>
      <x:c r="G174" s="295" t="str">
        <x:v>BOOLEAN</x:v>
      </x:c>
      <x:c r="H174" s="295"/>
      <x:c r="I174" s="296" t="b">
        <x:v>1</x:v>
      </x:c>
      <x:c r="J174" s="295" t="str">
        <x:v>Đúng giá trị/giới hạn riêng</x:v>
      </x:c>
      <x:c r="K174" s="296" t="b">
        <x:v>1</x:v>
      </x:c>
      <x:c r="L174" s="295" t="str">
        <x:v>PROFILE_CO_GIA_TRI_CHUA_DUYET</x:v>
      </x:c>
      <x:c r="M174" s="295" t="str">
        <x:v>DOI_CHIEU_CU_THE</x:v>
      </x:c>
      <x:c r="N174" s="295" t="str">
        <x:v>Chỉ công văn; ô 5b; không xuất hiện cùng tên loại 5a</x:v>
      </x:c>
      <x:c r="O174" s="295" t="str">
        <x:v>Quy định gốc &gt; profile; khi chưa rõ điều kiện thì giữ nguyên; không sinh nội dung.</x:v>
      </x:c>
      <x:c r="P174" s="295" t="str">
        <x:v>PARAGRAPH / RUN / SHAPE tùy thuộc tính</x:v>
      </x:c>
      <x:c r="Q174" s="295" t="str">
        <x:v>Xác định đúng khối Trích yếu công văn Đảng dưới số/ký hiệu; đọc giá trị thực; đối chiếu điều kiện; không sửa nội dung khi thiếu nguồn.</x:v>
      </x:c>
      <x:c r="R174" s="295" t="str">
        <x:v>Phần II, I.5; Phụ lục 2, TT5</x:v>
      </x:c>
      <x:c r="S174" s="295" t="str">
        <x:v>https://tulieuvankien.dangcongsan.vn/upload/2006988/20260529/HD_05_VPTW_e1550.pdf</x:v>
      </x:c>
      <x:c r="T174" s="295" t="str">
        <x:v>CÓ</x:v>
      </x:c>
      <x:c r="U174" s="295" t="str">
        <x:v>CHECK_ONLY</x:v>
      </x:c>
      <x:c r="V174" s="295" t="str"/>
    </x:row>
    <x:row r="175" ht="28" customHeight="1">
      <x:c r="A175" s="295" t="n">
        <x:v>170</x:v>
      </x:c>
      <x:c r="B175" s="295" t="str">
        <x:v>HD05.D.TY.TRICH_YEU_CV.KIEU_CHU</x:v>
      </x:c>
      <x:c r="C175" s="295" t="str">
        <x:v>HD05.D.TY.TRICH_YEU_CV</x:v>
      </x:c>
      <x:c r="D175" s="295" t="str">
        <x:v>Tên loại / trích yếu</x:v>
      </x:c>
      <x:c r="E175" s="295" t="str">
        <x:v>Trích yếu công văn Đảng dưới số/ký hiệu</x:v>
      </x:c>
      <x:c r="F175" s="295" t="str">
        <x:v>Kiểu viết hoa/thường</x:v>
      </x:c>
      <x:c r="G175" s="295" t="str">
        <x:v>ENUM</x:v>
      </x:c>
      <x:c r="H175" s="295"/>
      <x:c r="I175" s="295" t="str">
        <x:v>In thường</x:v>
      </x:c>
      <x:c r="J175" s="295" t="str">
        <x:v>Đúng giá trị/giới hạn riêng</x:v>
      </x:c>
      <x:c r="K175" s="295" t="str">
        <x:v>In thường</x:v>
      </x:c>
      <x:c r="L175" s="295" t="str">
        <x:v>PROFILE_CO_GIA_TRI_CHUA_DUYET</x:v>
      </x:c>
      <x:c r="M175" s="295" t="str">
        <x:v>DOI_CHIEU_CU_THE</x:v>
      </x:c>
      <x:c r="N175" s="295" t="str">
        <x:v>Chỉ công văn; ô 5b; không xuất hiện cùng tên loại 5a</x:v>
      </x:c>
      <x:c r="O175" s="295" t="str">
        <x:v>Quy định gốc &gt; profile; khi chưa rõ điều kiện thì giữ nguyên; không sinh nội dung.</x:v>
      </x:c>
      <x:c r="P175" s="295" t="str">
        <x:v>PARAGRAPH / RUN / SHAPE tùy thuộc tính</x:v>
      </x:c>
      <x:c r="Q175" s="295" t="str">
        <x:v>Xác định đúng khối Trích yếu công văn Đảng dưới số/ký hiệu; đọc giá trị thực; đối chiếu điều kiện; không sửa nội dung khi thiếu nguồn.</x:v>
      </x:c>
      <x:c r="R175" s="295" t="str">
        <x:v>Phần II, I.5; Phụ lục 2, TT5</x:v>
      </x:c>
      <x:c r="S175" s="295" t="str">
        <x:v>https://tulieuvankien.dangcongsan.vn/upload/2006988/20260529/HD_05_VPTW_e1550.pdf</x:v>
      </x:c>
      <x:c r="T175" s="295" t="str">
        <x:v>CÓ</x:v>
      </x:c>
      <x:c r="U175" s="295" t="str">
        <x:v>CHECK_ONLY</x:v>
      </x:c>
      <x:c r="V175" s="295" t="str"/>
    </x:row>
    <x:row r="176" ht="28" customHeight="1">
      <x:c r="A176" s="295" t="n">
        <x:v>171</x:v>
      </x:c>
      <x:c r="B176" s="295" t="str">
        <x:v>HD05.D.TY.TRICH_YEU_CV.CAN_NGANG</x:v>
      </x:c>
      <x:c r="C176" s="295" t="str">
        <x:v>HD05.D.TY.TRICH_YEU_CV</x:v>
      </x:c>
      <x:c r="D176" s="295" t="str">
        <x:v>Tên loại / trích yếu</x:v>
      </x:c>
      <x:c r="E176" s="295" t="str">
        <x:v>Trích yếu công văn Đảng dưới số/ký hiệu</x:v>
      </x:c>
      <x:c r="F176" s="295" t="str">
        <x:v>Căn ngang</x:v>
      </x:c>
      <x:c r="G176" s="295" t="str">
        <x:v>ENUM</x:v>
      </x:c>
      <x:c r="H176" s="295"/>
      <x:c r="I176" s="295" t="str">
        <x:v>CENTER</x:v>
      </x:c>
      <x:c r="J176" s="295" t="str">
        <x:v>Đúng giá trị/giới hạn riêng</x:v>
      </x:c>
      <x:c r="K176" s="295"/>
      <x:c r="L176" s="295" t="str">
        <x:v>KHONG_AP_DUNG_HOAC_CHUA_DU_GIA_TRI</x:v>
      </x:c>
      <x:c r="M176" s="295" t="str">
        <x:v>DOI_CHIEU_CU_THE</x:v>
      </x:c>
      <x:c r="N176" s="295" t="str">
        <x:v>Chỉ công văn; ô 5b; không xuất hiện cùng tên loại 5a</x:v>
      </x:c>
      <x:c r="O176" s="295" t="str">
        <x:v>Quy định gốc &gt; profile; khi chưa rõ điều kiện thì giữ nguyên; không sinh nội dung.</x:v>
      </x:c>
      <x:c r="P176" s="295" t="str">
        <x:v>PARAGRAPH / RUN / SHAPE tùy thuộc tính</x:v>
      </x:c>
      <x:c r="Q176" s="295" t="str">
        <x:v>Xác định đúng khối Trích yếu công văn Đảng dưới số/ký hiệu; đọc giá trị thực; đối chiếu điều kiện; không sửa nội dung khi thiếu nguồn.</x:v>
      </x:c>
      <x:c r="R176" s="295" t="str">
        <x:v>Phần II, I.5; Phụ lục 2, TT5</x:v>
      </x:c>
      <x:c r="S176" s="295" t="str">
        <x:v>https://tulieuvankien.dangcongsan.vn/upload/2006988/20260529/HD_05_VPTW_e1550.pdf</x:v>
      </x:c>
      <x:c r="T176" s="295" t="str">
        <x:v>CÓ</x:v>
      </x:c>
      <x:c r="U176" s="295" t="str">
        <x:v>CHECK_ONLY</x:v>
      </x:c>
      <x:c r="V176" s="295" t="str"/>
    </x:row>
    <x:row r="177" ht="28" customHeight="1">
      <x:c r="A177" s="295" t="n">
        <x:v>172</x:v>
      </x:c>
      <x:c r="B177" s="295" t="str">
        <x:v>HD05.D.TY.TRICH_YEU_CV.CACH_SAU</x:v>
      </x:c>
      <x:c r="C177" s="295" t="str">
        <x:v>HD05.D.TY.TRICH_YEU_CV</x:v>
      </x:c>
      <x:c r="D177" s="295" t="str">
        <x:v>Tên loại / trích yếu</x:v>
      </x:c>
      <x:c r="E177" s="295" t="str">
        <x:v>Trích yếu công văn Đảng dưới số/ký hiệu</x:v>
      </x:c>
      <x:c r="F177" s="295" t="str">
        <x:v>Khoảng cách sau đoạn</x:v>
      </x:c>
      <x:c r="G177" s="295" t="str">
        <x:v>NUMBER</x:v>
      </x:c>
      <x:c r="H177" s="295" t="str">
        <x:v>pt</x:v>
      </x:c>
      <x:c r="I177" s="295" t="str">
        <x:v>CHƯA XÁC MINH RIÊNG</x:v>
      </x:c>
      <x:c r="J177" s="295" t="str">
        <x:v>Không suy ra giới hạn pháp lý</x:v>
      </x:c>
      <x:c r="K177" s="295" t="n">
        <x:v>6</x:v>
      </x:c>
      <x:c r="L177" s="295" t="str">
        <x:v>PROFILE_CHO_RAO_SOAT</x:v>
      </x:c>
      <x:c r="M177" s="295" t="str">
        <x:v>CHUA_DOI_CHIEU_CU_THE</x:v>
      </x:c>
      <x:c r="N177" s="295" t="str">
        <x:v>Chỉ công văn; ô 5b; không xuất hiện cùng tên loại 5a</x:v>
      </x:c>
      <x:c r="O177" s="295" t="str">
        <x:v>Quy định gốc &gt; profile; khi chưa rõ điều kiện thì giữ nguyên; không sinh nội dung.</x:v>
      </x:c>
      <x:c r="P177" s="295" t="str">
        <x:v>PARAGRAPH / RUN / SHAPE tùy thuộc tính</x:v>
      </x:c>
      <x:c r="Q177" s="295" t="str">
        <x:v>Xác định đúng khối Trích yếu công văn Đảng dưới số/ký hiệu; đọc giá trị thực; đối chiếu điều kiện; không sửa nội dung khi thiếu nguồn.</x:v>
      </x:c>
      <x:c r="R177" s="295" t="str">
        <x:v>Chưa có locator xác minh riêng</x:v>
      </x:c>
      <x:c r="S177" s="295" t="str">
        <x:v>https://tulieuvankien.dangcongsan.vn/upload/2006988/20260529/HD_05_VPTW_e1550.pdf</x:v>
      </x:c>
      <x:c r="T177" s="295" t="str">
        <x:v>CÓ</x:v>
      </x:c>
      <x:c r="U177" s="295" t="str">
        <x:v>CHECK_ONLY</x:v>
      </x:c>
      <x:c r="V177" s="295" t="str">
        <x:v>Không tự chèn đoạn trắng</x:v>
      </x:c>
    </x:row>
    <x:row r="178" ht="28" customHeight="1">
      <x:c r="A178" s="295" t="n">
        <x:v>173</x:v>
      </x:c>
      <x:c r="B178" s="295" t="str">
        <x:v>HD05.D.TY.TRICH_YEU_CV.GIAN_DONG</x:v>
      </x:c>
      <x:c r="C178" s="295" t="str">
        <x:v>HD05.D.TY.TRICH_YEU_CV</x:v>
      </x:c>
      <x:c r="D178" s="295" t="str">
        <x:v>Tên loại / trích yếu</x:v>
      </x:c>
      <x:c r="E178" s="295" t="str">
        <x:v>Trích yếu công văn Đảng dưới số/ký hiệu</x:v>
      </x:c>
      <x:c r="F178" s="295" t="str">
        <x:v>Giãn dòng</x:v>
      </x:c>
      <x:c r="G178" s="295" t="str">
        <x:v>NUMBER</x:v>
      </x:c>
      <x:c r="H178" s="295" t="str">
        <x:v>lines</x:v>
      </x:c>
      <x:c r="I178" s="295" t="str">
        <x:v>CHƯA XÁC MINH RIÊNG</x:v>
      </x:c>
      <x:c r="J178" s="295" t="str">
        <x:v>Không suy ra giới hạn pháp lý</x:v>
      </x:c>
      <x:c r="K178" s="295" t="str">
        <x:v>SINGLE</x:v>
      </x:c>
      <x:c r="L178" s="295" t="str">
        <x:v>PROFILE_CHO_RAO_SOAT</x:v>
      </x:c>
      <x:c r="M178" s="295" t="str">
        <x:v>CHUA_DOI_CHIEU_CU_THE</x:v>
      </x:c>
      <x:c r="N178" s="295" t="str">
        <x:v>Chỉ công văn; ô 5b; không xuất hiện cùng tên loại 5a</x:v>
      </x:c>
      <x:c r="O178" s="295" t="str">
        <x:v>Quy định gốc &gt; profile; khi chưa rõ điều kiện thì giữ nguyên; không sinh nội dung.</x:v>
      </x:c>
      <x:c r="P178" s="295" t="str">
        <x:v>PARAGRAPH / RUN / SHAPE tùy thuộc tính</x:v>
      </x:c>
      <x:c r="Q178" s="295" t="str">
        <x:v>Xác định đúng khối Trích yếu công văn Đảng dưới số/ký hiệu; đọc giá trị thực; đối chiếu điều kiện; không sửa nội dung khi thiếu nguồn.</x:v>
      </x:c>
      <x:c r="R178" s="295" t="str">
        <x:v>Chưa có locator xác minh riêng</x:v>
      </x:c>
      <x:c r="S178" s="295" t="str">
        <x:v>https://tulieuvankien.dangcongsan.vn/upload/2006988/20260529/HD_05_VPTW_e1550.pdf</x:v>
      </x:c>
      <x:c r="T178" s="295" t="str">
        <x:v>CÓ</x:v>
      </x:c>
      <x:c r="U178" s="295" t="str">
        <x:v>CHECK_ONLY</x:v>
      </x:c>
      <x:c r="V178" s="295" t="str">
        <x:v>Giãn dòng phần đầu không được tự đồng nhất với thân bài.</x:v>
      </x:c>
    </x:row>
    <x:row r="179" ht="28" customHeight="1">
      <x:c r="A179" s="295" t="n">
        <x:v>174</x:v>
      </x:c>
      <x:c r="B179" s="295" t="str">
        <x:v>HD05.D.TY.TRICH_YEU_CV.BAO_VE_NOI_DUNG</x:v>
      </x:c>
      <x:c r="C179" s="295" t="str">
        <x:v>HD05.D.TY.TRICH_YEU_CV</x:v>
      </x:c>
      <x:c r="D179" s="295" t="str">
        <x:v>Tên loại / trích yếu</x:v>
      </x:c>
      <x:c r="E179" s="295" t="str">
        <x:v>Trích yếu công văn Đảng dưới số/ký hiệu</x:v>
      </x:c>
      <x:c r="F179" s="295" t="str">
        <x:v>Không tự suy diễn nội dung</x:v>
      </x:c>
      <x:c r="G179" s="295" t="str">
        <x:v>BOOLEAN</x:v>
      </x:c>
      <x:c r="H179" s="295"/>
      <x:c r="I179" s="295" t="str">
        <x:v>CHƯA XÁC MINH RIÊNG</x:v>
      </x:c>
      <x:c r="J179" s="295" t="str">
        <x:v>Không suy ra giới hạn pháp lý</x:v>
      </x:c>
      <x:c r="K179" s="296" t="b">
        <x:v>1</x:v>
      </x:c>
      <x:c r="L179" s="295" t="str">
        <x:v>NOI_DUNG_BAO_VE</x:v>
      </x:c>
      <x:c r="M179" s="295" t="str">
        <x:v>CHUA_DOI_CHIEU_CU_THE</x:v>
      </x:c>
      <x:c r="N179" s="295" t="str">
        <x:v>Chỉ công văn; ô 5b; không xuất hiện cùng tên loại 5a</x:v>
      </x:c>
      <x:c r="O179" s="295" t="str">
        <x:v>Quy định gốc &gt; profile; khi chưa rõ điều kiện thì giữ nguyên; không sinh nội dung.</x:v>
      </x:c>
      <x:c r="P179" s="295" t="str">
        <x:v>PARAGRAPH / RUN / SHAPE tùy thuộc tính</x:v>
      </x:c>
      <x:c r="Q179" s="295" t="str">
        <x:v>Xác định đúng khối Trích yếu công văn Đảng dưới số/ký hiệu; đọc giá trị thực; đối chiếu điều kiện; không sửa nội dung khi thiếu nguồn.</x:v>
      </x:c>
      <x:c r="R179" s="295" t="str">
        <x:v>Chưa có locator xác minh riêng</x:v>
      </x:c>
      <x:c r="S179" s="295" t="str">
        <x:v>https://tulieuvankien.dangcongsan.vn/upload/2006988/20260529/HD_05_VPTW_e1550.pdf</x:v>
      </x:c>
      <x:c r="T179" s="295" t="str">
        <x:v>CÓ</x:v>
      </x:c>
      <x:c r="U179" s="295" t="str">
        <x:v>CHECK_ONLY</x:v>
      </x:c>
      <x:c r="V179" s="295" t="str">
        <x:v>Chỉ chuẩn hóa hình thức sau khi xác nhận chính xác nội dung, không tự điền số/ngày/người nhận.</x:v>
      </x:c>
    </x:row>
    <x:row r="180" ht="28" customHeight="1">
      <x:c r="A180" s="295" t="n">
        <x:v>175</x:v>
      </x:c>
      <x:c r="B180" s="295" t="str">
        <x:v>HD05.D.TY.TRICH_YEU_CV.VI_TRI</x:v>
      </x:c>
      <x:c r="C180" s="295" t="str">
        <x:v>HD05.D.TY.TRICH_YEU_CV</x:v>
      </x:c>
      <x:c r="D180" s="295" t="str">
        <x:v>Tên loại / trích yếu</x:v>
      </x:c>
      <x:c r="E180" s="295" t="str">
        <x:v>Trích yếu công văn Đảng dưới số/ký hiệu</x:v>
      </x:c>
      <x:c r="F180" s="295" t="str">
        <x:v>Vị trí trích yếu CV</x:v>
      </x:c>
      <x:c r="G180" s="295" t="str">
        <x:v>TEXT</x:v>
      </x:c>
      <x:c r="H180" s="295"/>
      <x:c r="I180" s="295" t="str">
        <x:v>Cân đối dưới số/ký hiệu</x:v>
      </x:c>
      <x:c r="J180" s="295" t="str">
        <x:v>Đúng giá trị/giới hạn riêng</x:v>
      </x:c>
      <x:c r="K180" s="295" t="str">
        <x:v>Dưới số và ký hiệu</x:v>
      </x:c>
      <x:c r="L180" s="295" t="str">
        <x:v>PROFILE_THEO_NGUON</x:v>
      </x:c>
      <x:c r="M180" s="295" t="str">
        <x:v>DOI_CHIEU_CU_THE</x:v>
      </x:c>
      <x:c r="N180" s="295" t="str">
        <x:v>Chỉ công văn; ô 5b; không xuất hiện cùng tên loại 5a</x:v>
      </x:c>
      <x:c r="O180" s="295" t="str">
        <x:v>Quy định gốc &gt; profile; khi chưa rõ điều kiện thì giữ nguyên; không sinh nội dung.</x:v>
      </x:c>
      <x:c r="P180" s="295" t="str">
        <x:v>PARAGRAPH / RUN / SHAPE tùy thuộc tính</x:v>
      </x:c>
      <x:c r="Q180" s="295" t="str">
        <x:v>Xác định đúng khối Trích yếu công văn Đảng dưới số/ký hiệu; đọc giá trị thực; đối chiếu điều kiện; không sửa nội dung khi thiếu nguồn.</x:v>
      </x:c>
      <x:c r="R180" s="295" t="str">
        <x:v>Phần II, I.5.2.3</x:v>
      </x:c>
      <x:c r="S180" s="295" t="str">
        <x:v>https://tulieuvankien.dangcongsan.vn/upload/2006988/20260529/HD_05_VPTW_e1550.pdf</x:v>
      </x:c>
      <x:c r="T180" s="295" t="str">
        <x:v>CÓ</x:v>
      </x:c>
      <x:c r="U180" s="295" t="str">
        <x:v>CHECK_ONLY</x:v>
      </x:c>
      <x:c r="V180" s="295" t="str">
        <x:v>Mã rule con chỉ phục vụ AI đọc; không tự tạo thao tác OOXML.</x:v>
      </x:c>
    </x:row>
    <x:row r="181" ht="28" customHeight="1">
      <x:c r="A181" s="295" t="n">
        <x:v>176</x:v>
      </x:c>
      <x:c r="B181" s="295" t="str">
        <x:v>HD05.D.TY.CHU_DE_DAI_HOI.HIEN_DIEN</x:v>
      </x:c>
      <x:c r="C181" s="295" t="str">
        <x:v>HD05.D.TY.CHU_DE_DAI_HOI</x:v>
      </x:c>
      <x:c r="D181" s="295" t="str">
        <x:v>Tên loại / trích yếu</x:v>
      </x:c>
      <x:c r="E181" s="295" t="str">
        <x:v>Chủ đề thay thế theo ngoại lệ báo cáo chính trị đại hội</x:v>
      </x:c>
      <x:c r="F181" s="295" t="str">
        <x:v>Điều kiện hiện diện</x:v>
      </x:c>
      <x:c r="G181" s="295" t="str">
        <x:v>TEXT</x:v>
      </x:c>
      <x:c r="H181" s="295"/>
      <x:c r="I181" s="295" t="str">
        <x:v>CHƯA XÁC MINH RIÊNG</x:v>
      </x:c>
      <x:c r="J181" s="295" t="str">
        <x:v>Không suy ra giới hạn pháp lý</x:v>
      </x:c>
      <x:c r="K181" s="295" t="str">
        <x:v>Chỉ ngoại lệ báo cáo chính trị trình đại hội theo HD05, không áp mặc định</x:v>
      </x:c>
      <x:c r="L181" s="295" t="str">
        <x:v>CHUA_DUYET_DINH_TUYEN</x:v>
      </x:c>
      <x:c r="M181" s="295" t="str">
        <x:v>CHUA_DOI_CHIEU_CU_THE</x:v>
      </x:c>
      <x:c r="N181" s="295" t="str">
        <x:v>Chỉ ngoại lệ báo cáo chính trị trình đại hội theo HD05, không áp mặc định</x:v>
      </x:c>
      <x:c r="O181" s="295" t="str">
        <x:v>Quy định gốc &gt; profile; khi chưa rõ điều kiện thì giữ nguyên; không sinh nội dung.</x:v>
      </x:c>
      <x:c r="P181" s="295" t="str">
        <x:v>PARAGRAPH / RUN / SHAPE tùy thuộc tính</x:v>
      </x:c>
      <x:c r="Q181" s="295" t="str">
        <x:v>Xác định đúng khối Chủ đề thay thế theo ngoại lệ báo cáo chính trị đại hội; đọc giá trị thực; đối chiếu điều kiện; không sửa nội dung khi thiếu nguồn.</x:v>
      </x:c>
      <x:c r="R181" s="295" t="str">
        <x:v>Chưa có locator xác minh riêng</x:v>
      </x:c>
      <x:c r="S181" s="295" t="str">
        <x:v>https://tulieuvankien.dangcongsan.vn/upload/2006988/20260529/HD_05_VPTW_e1550.pdf</x:v>
      </x:c>
      <x:c r="T181" s="295" t="str">
        <x:v>CÓ</x:v>
      </x:c>
      <x:c r="U181" s="295" t="str">
        <x:v>CHECK_ONLY</x:v>
      </x:c>
      <x:c r="V181" s="295" t="str">
        <x:v>Phải nhận diện chế độ và chủ thể trước khi áp dụng</x:v>
      </x:c>
    </x:row>
    <x:row r="182" ht="28" customHeight="1">
      <x:c r="A182" s="295" t="n">
        <x:v>177</x:v>
      </x:c>
      <x:c r="B182" s="295" t="str">
        <x:v>HD05.D.TY.CHU_DE_DAI_HOI.PHONG_CHU</x:v>
      </x:c>
      <x:c r="C182" s="295" t="str">
        <x:v>HD05.D.TY.CHU_DE_DAI_HOI</x:v>
      </x:c>
      <x:c r="D182" s="295" t="str">
        <x:v>Tên loại / trích yếu</x:v>
      </x:c>
      <x:c r="E182" s="295" t="str">
        <x:v>Chủ đề thay thế theo ngoại lệ báo cáo chính trị đại hội</x:v>
      </x:c>
      <x:c r="F182" s="295" t="str">
        <x:v>Font chữ</x:v>
      </x:c>
      <x:c r="G182" s="295" t="str">
        <x:v>STRING</x:v>
      </x:c>
      <x:c r="H182" s="295"/>
      <x:c r="I182" s="295" t="str">
        <x:v>Times New Roman</x:v>
      </x:c>
      <x:c r="J182" s="295" t="str">
        <x:v>Đúng giá trị/giới hạn riêng</x:v>
      </x:c>
      <x:c r="K182" s="295"/>
      <x:c r="L182" s="295" t="str">
        <x:v>KHONG_AP_DUNG_HOAC_CHUA_DU_GIA_TRI</x:v>
      </x:c>
      <x:c r="M182" s="295" t="str">
        <x:v>DOI_CHIEU_CU_THE</x:v>
      </x:c>
      <x:c r="N182" s="295" t="str">
        <x:v>Chỉ ngoại lệ báo cáo chính trị trình đại hội theo HD05, không áp mặc định</x:v>
      </x:c>
      <x:c r="O182" s="295" t="str">
        <x:v>Quy định gốc &gt; profile; khi chưa rõ điều kiện thì giữ nguyên; không sinh nội dung.</x:v>
      </x:c>
      <x:c r="P182" s="295" t="str">
        <x:v>PARAGRAPH / RUN / SHAPE tùy thuộc tính</x:v>
      </x:c>
      <x:c r="Q182" s="295" t="str">
        <x:v>Xác định đúng khối Chủ đề thay thế theo ngoại lệ báo cáo chính trị đại hội; đọc giá trị thực; đối chiếu điều kiện; không sửa nội dung khi thiếu nguồn.</x:v>
      </x:c>
      <x:c r="R182" s="295" t="str">
        <x:v>Phần II, IV.1</x:v>
      </x:c>
      <x:c r="S182" s="295" t="str">
        <x:v>https://tulieuvankien.dangcongsan.vn/upload/2006988/20260529/HD_05_VPTW_e1550.pdf</x:v>
      </x:c>
      <x:c r="T182" s="295" t="str">
        <x:v>CÓ</x:v>
      </x:c>
      <x:c r="U182" s="295" t="str">
        <x:v>CHECK_ONLY</x:v>
      </x:c>
      <x:c r="V182" s="295" t="str"/>
    </x:row>
    <x:row r="183" ht="28" customHeight="1">
      <x:c r="A183" s="295" t="n">
        <x:v>178</x:v>
      </x:c>
      <x:c r="B183" s="295" t="str">
        <x:v>HD05.D.TY.CHU_DE_DAI_HOI.CO_CHU</x:v>
      </x:c>
      <x:c r="C183" s="295" t="str">
        <x:v>HD05.D.TY.CHU_DE_DAI_HOI</x:v>
      </x:c>
      <x:c r="D183" s="295" t="str">
        <x:v>Tên loại / trích yếu</x:v>
      </x:c>
      <x:c r="E183" s="295" t="str">
        <x:v>Chủ đề thay thế theo ngoại lệ báo cáo chính trị đại hội</x:v>
      </x:c>
      <x:c r="F183" s="295" t="str">
        <x:v>Cỡ chữ</x:v>
      </x:c>
      <x:c r="G183" s="295" t="str">
        <x:v>NUMBER_OR_RANGE</x:v>
      </x:c>
      <x:c r="H183" s="295" t="str">
        <x:v>pt</x:v>
      </x:c>
      <x:c r="I183" s="295" t="str">
        <x:v>CHƯA XÁC MINH RIÊNG</x:v>
      </x:c>
      <x:c r="J183" s="295" t="str">
        <x:v>Không suy ra giới hạn pháp lý</x:v>
      </x:c>
      <x:c r="K183" s="295"/>
      <x:c r="L183" s="295" t="str">
        <x:v>KHONG_AP_DUNG_HOAC_CHUA_DU_GIA_TRI</x:v>
      </x:c>
      <x:c r="M183" s="295" t="str">
        <x:v>CHUA_DOI_CHIEU_CU_THE</x:v>
      </x:c>
      <x:c r="N183" s="295" t="str">
        <x:v>Chỉ ngoại lệ báo cáo chính trị trình đại hội theo HD05, không áp mặc định</x:v>
      </x:c>
      <x:c r="O183" s="295" t="str">
        <x:v>Quy định gốc &gt; profile; khi chưa rõ điều kiện thì giữ nguyên; không sinh nội dung.</x:v>
      </x:c>
      <x:c r="P183" s="295" t="str">
        <x:v>PARAGRAPH / RUN / SHAPE tùy thuộc tính</x:v>
      </x:c>
      <x:c r="Q183" s="295" t="str">
        <x:v>Xác định đúng khối Chủ đề thay thế theo ngoại lệ báo cáo chính trị đại hội; đọc giá trị thực; đối chiếu điều kiện; không sửa nội dung khi thiếu nguồn.</x:v>
      </x:c>
      <x:c r="R183" s="295" t="str">
        <x:v>Chưa có locator xác minh riêng</x:v>
      </x:c>
      <x:c r="S183" s="295" t="str">
        <x:v>https://tulieuvankien.dangcongsan.vn/upload/2006988/20260529/HD_05_VPTW_e1550.pdf</x:v>
      </x:c>
      <x:c r="T183" s="295" t="str">
        <x:v>CÓ</x:v>
      </x:c>
      <x:c r="U183" s="295" t="str">
        <x:v>CHECK_ONLY</x:v>
      </x:c>
      <x:c r="V183" s="295" t="str"/>
    </x:row>
    <x:row r="184" ht="28" customHeight="1">
      <x:c r="A184" s="295" t="n">
        <x:v>179</x:v>
      </x:c>
      <x:c r="B184" s="295" t="str">
        <x:v>HD05.D.TY.CHU_DE_DAI_HOI.DAM</x:v>
      </x:c>
      <x:c r="C184" s="295" t="str">
        <x:v>HD05.D.TY.CHU_DE_DAI_HOI</x:v>
      </x:c>
      <x:c r="D184" s="295" t="str">
        <x:v>Tên loại / trích yếu</x:v>
      </x:c>
      <x:c r="E184" s="295" t="str">
        <x:v>Chủ đề thay thế theo ngoại lệ báo cáo chính trị đại hội</x:v>
      </x:c>
      <x:c r="F184" s="295" t="str">
        <x:v>In đậm</x:v>
      </x:c>
      <x:c r="G184" s="295" t="str">
        <x:v>BOOLEAN</x:v>
      </x:c>
      <x:c r="H184" s="295"/>
      <x:c r="I184" s="295" t="str">
        <x:v>CHƯA XÁC MINH RIÊNG</x:v>
      </x:c>
      <x:c r="J184" s="295" t="str">
        <x:v>Không suy ra giới hạn pháp lý</x:v>
      </x:c>
      <x:c r="K184" s="295"/>
      <x:c r="L184" s="295" t="str">
        <x:v>KHONG_AP_DUNG_HOAC_CHUA_DU_GIA_TRI</x:v>
      </x:c>
      <x:c r="M184" s="295" t="str">
        <x:v>CHUA_DOI_CHIEU_CU_THE</x:v>
      </x:c>
      <x:c r="N184" s="295" t="str">
        <x:v>Chỉ ngoại lệ báo cáo chính trị trình đại hội theo HD05, không áp mặc định</x:v>
      </x:c>
      <x:c r="O184" s="295" t="str">
        <x:v>Quy định gốc &gt; profile; khi chưa rõ điều kiện thì giữ nguyên; không sinh nội dung.</x:v>
      </x:c>
      <x:c r="P184" s="295" t="str">
        <x:v>PARAGRAPH / RUN / SHAPE tùy thuộc tính</x:v>
      </x:c>
      <x:c r="Q184" s="295" t="str">
        <x:v>Xác định đúng khối Chủ đề thay thế theo ngoại lệ báo cáo chính trị đại hội; đọc giá trị thực; đối chiếu điều kiện; không sửa nội dung khi thiếu nguồn.</x:v>
      </x:c>
      <x:c r="R184" s="295" t="str">
        <x:v>Chưa có locator xác minh riêng</x:v>
      </x:c>
      <x:c r="S184" s="295" t="str">
        <x:v>https://tulieuvankien.dangcongsan.vn/upload/2006988/20260529/HD_05_VPTW_e1550.pdf</x:v>
      </x:c>
      <x:c r="T184" s="295" t="str">
        <x:v>CÓ</x:v>
      </x:c>
      <x:c r="U184" s="295" t="str">
        <x:v>CHECK_ONLY</x:v>
      </x:c>
      <x:c r="V184" s="295" t="str"/>
    </x:row>
    <x:row r="185" ht="28" customHeight="1">
      <x:c r="A185" s="295" t="n">
        <x:v>180</x:v>
      </x:c>
      <x:c r="B185" s="295" t="str">
        <x:v>HD05.D.TY.CHU_DE_DAI_HOI.NGHIENG</x:v>
      </x:c>
      <x:c r="C185" s="295" t="str">
        <x:v>HD05.D.TY.CHU_DE_DAI_HOI</x:v>
      </x:c>
      <x:c r="D185" s="295" t="str">
        <x:v>Tên loại / trích yếu</x:v>
      </x:c>
      <x:c r="E185" s="295" t="str">
        <x:v>Chủ đề thay thế theo ngoại lệ báo cáo chính trị đại hội</x:v>
      </x:c>
      <x:c r="F185" s="295" t="str">
        <x:v>In nghiêng</x:v>
      </x:c>
      <x:c r="G185" s="295" t="str">
        <x:v>BOOLEAN</x:v>
      </x:c>
      <x:c r="H185" s="295"/>
      <x:c r="I185" s="295" t="str">
        <x:v>CHƯA XÁC MINH RIÊNG</x:v>
      </x:c>
      <x:c r="J185" s="295" t="str">
        <x:v>Không suy ra giới hạn pháp lý</x:v>
      </x:c>
      <x:c r="K185" s="295"/>
      <x:c r="L185" s="295" t="str">
        <x:v>KHONG_AP_DUNG_HOAC_CHUA_DU_GIA_TRI</x:v>
      </x:c>
      <x:c r="M185" s="295" t="str">
        <x:v>CHUA_DOI_CHIEU_CU_THE</x:v>
      </x:c>
      <x:c r="N185" s="295" t="str">
        <x:v>Chỉ ngoại lệ báo cáo chính trị trình đại hội theo HD05, không áp mặc định</x:v>
      </x:c>
      <x:c r="O185" s="295" t="str">
        <x:v>Quy định gốc &gt; profile; khi chưa rõ điều kiện thì giữ nguyên; không sinh nội dung.</x:v>
      </x:c>
      <x:c r="P185" s="295" t="str">
        <x:v>PARAGRAPH / RUN / SHAPE tùy thuộc tính</x:v>
      </x:c>
      <x:c r="Q185" s="295" t="str">
        <x:v>Xác định đúng khối Chủ đề thay thế theo ngoại lệ báo cáo chính trị đại hội; đọc giá trị thực; đối chiếu điều kiện; không sửa nội dung khi thiếu nguồn.</x:v>
      </x:c>
      <x:c r="R185" s="295" t="str">
        <x:v>Chưa có locator xác minh riêng</x:v>
      </x:c>
      <x:c r="S185" s="295" t="str">
        <x:v>https://tulieuvankien.dangcongsan.vn/upload/2006988/20260529/HD_05_VPTW_e1550.pdf</x:v>
      </x:c>
      <x:c r="T185" s="295" t="str">
        <x:v>CÓ</x:v>
      </x:c>
      <x:c r="U185" s="295" t="str">
        <x:v>CHECK_ONLY</x:v>
      </x:c>
      <x:c r="V185" s="295" t="str"/>
    </x:row>
    <x:row r="186" ht="28" customHeight="1">
      <x:c r="A186" s="295" t="n">
        <x:v>181</x:v>
      </x:c>
      <x:c r="B186" s="295" t="str">
        <x:v>HD05.D.TY.CHU_DE_DAI_HOI.KIEU_CHU</x:v>
      </x:c>
      <x:c r="C186" s="295" t="str">
        <x:v>HD05.D.TY.CHU_DE_DAI_HOI</x:v>
      </x:c>
      <x:c r="D186" s="295" t="str">
        <x:v>Tên loại / trích yếu</x:v>
      </x:c>
      <x:c r="E186" s="295" t="str">
        <x:v>Chủ đề thay thế theo ngoại lệ báo cáo chính trị đại hội</x:v>
      </x:c>
      <x:c r="F186" s="295" t="str">
        <x:v>Kiểu viết hoa/thường</x:v>
      </x:c>
      <x:c r="G186" s="295" t="str">
        <x:v>ENUM</x:v>
      </x:c>
      <x:c r="H186" s="295"/>
      <x:c r="I186" s="295" t="str">
        <x:v>CHƯA XÁC MINH RIÊNG</x:v>
      </x:c>
      <x:c r="J186" s="295" t="str">
        <x:v>Không suy ra giới hạn pháp lý</x:v>
      </x:c>
      <x:c r="K186" s="295"/>
      <x:c r="L186" s="295" t="str">
        <x:v>KHONG_AP_DUNG_HOAC_CHUA_DU_GIA_TRI</x:v>
      </x:c>
      <x:c r="M186" s="295" t="str">
        <x:v>CHUA_DOI_CHIEU_CU_THE</x:v>
      </x:c>
      <x:c r="N186" s="295" t="str">
        <x:v>Chỉ ngoại lệ báo cáo chính trị trình đại hội theo HD05, không áp mặc định</x:v>
      </x:c>
      <x:c r="O186" s="295" t="str">
        <x:v>Quy định gốc &gt; profile; khi chưa rõ điều kiện thì giữ nguyên; không sinh nội dung.</x:v>
      </x:c>
      <x:c r="P186" s="295" t="str">
        <x:v>PARAGRAPH / RUN / SHAPE tùy thuộc tính</x:v>
      </x:c>
      <x:c r="Q186" s="295" t="str">
        <x:v>Xác định đúng khối Chủ đề thay thế theo ngoại lệ báo cáo chính trị đại hội; đọc giá trị thực; đối chiếu điều kiện; không sửa nội dung khi thiếu nguồn.</x:v>
      </x:c>
      <x:c r="R186" s="295" t="str">
        <x:v>Chưa có locator xác minh riêng</x:v>
      </x:c>
      <x:c r="S186" s="295" t="str">
        <x:v>https://tulieuvankien.dangcongsan.vn/upload/2006988/20260529/HD_05_VPTW_e1550.pdf</x:v>
      </x:c>
      <x:c r="T186" s="295" t="str">
        <x:v>CÓ</x:v>
      </x:c>
      <x:c r="U186" s="295" t="str">
        <x:v>CHECK_ONLY</x:v>
      </x:c>
      <x:c r="V186" s="295" t="str"/>
    </x:row>
    <x:row r="187" ht="28" customHeight="1">
      <x:c r="A187" s="295" t="n">
        <x:v>182</x:v>
      </x:c>
      <x:c r="B187" s="295" t="str">
        <x:v>HD05.D.TY.CHU_DE_DAI_HOI.CAN_NGANG</x:v>
      </x:c>
      <x:c r="C187" s="295" t="str">
        <x:v>HD05.D.TY.CHU_DE_DAI_HOI</x:v>
      </x:c>
      <x:c r="D187" s="295" t="str">
        <x:v>Tên loại / trích yếu</x:v>
      </x:c>
      <x:c r="E187" s="295" t="str">
        <x:v>Chủ đề thay thế theo ngoại lệ báo cáo chính trị đại hội</x:v>
      </x:c>
      <x:c r="F187" s="295" t="str">
        <x:v>Căn ngang</x:v>
      </x:c>
      <x:c r="G187" s="295" t="str">
        <x:v>ENUM</x:v>
      </x:c>
      <x:c r="H187" s="295"/>
      <x:c r="I187" s="295" t="str">
        <x:v>CHƯA XÁC MINH RIÊNG</x:v>
      </x:c>
      <x:c r="J187" s="295" t="str">
        <x:v>Không suy ra giới hạn pháp lý</x:v>
      </x:c>
      <x:c r="K187" s="295" t="str">
        <x:v>CENTER</x:v>
      </x:c>
      <x:c r="L187" s="295" t="str">
        <x:v>PROFILE_CO_GIA_TRI_CHUA_DUYET</x:v>
      </x:c>
      <x:c r="M187" s="295" t="str">
        <x:v>CHUA_DOI_CHIEU_CU_THE</x:v>
      </x:c>
      <x:c r="N187" s="295" t="str">
        <x:v>Chỉ ngoại lệ báo cáo chính trị trình đại hội theo HD05, không áp mặc định</x:v>
      </x:c>
      <x:c r="O187" s="295" t="str">
        <x:v>Quy định gốc &gt; profile; khi chưa rõ điều kiện thì giữ nguyên; không sinh nội dung.</x:v>
      </x:c>
      <x:c r="P187" s="295" t="str">
        <x:v>PARAGRAPH / RUN / SHAPE tùy thuộc tính</x:v>
      </x:c>
      <x:c r="Q187" s="295" t="str">
        <x:v>Xác định đúng khối Chủ đề thay thế theo ngoại lệ báo cáo chính trị đại hội; đọc giá trị thực; đối chiếu điều kiện; không sửa nội dung khi thiếu nguồn.</x:v>
      </x:c>
      <x:c r="R187" s="295" t="str">
        <x:v>Chưa có locator xác minh riêng</x:v>
      </x:c>
      <x:c r="S187" s="295" t="str">
        <x:v>https://tulieuvankien.dangcongsan.vn/upload/2006988/20260529/HD_05_VPTW_e1550.pdf</x:v>
      </x:c>
      <x:c r="T187" s="295" t="str">
        <x:v>CÓ</x:v>
      </x:c>
      <x:c r="U187" s="295" t="str">
        <x:v>CHECK_ONLY</x:v>
      </x:c>
      <x:c r="V187" s="295" t="str"/>
    </x:row>
    <x:row r="188" ht="28" customHeight="1">
      <x:c r="A188" s="295" t="n">
        <x:v>183</x:v>
      </x:c>
      <x:c r="B188" s="295" t="str">
        <x:v>HD05.D.TY.CHU_DE_DAI_HOI.CACH_SAU</x:v>
      </x:c>
      <x:c r="C188" s="295" t="str">
        <x:v>HD05.D.TY.CHU_DE_DAI_HOI</x:v>
      </x:c>
      <x:c r="D188" s="295" t="str">
        <x:v>Tên loại / trích yếu</x:v>
      </x:c>
      <x:c r="E188" s="295" t="str">
        <x:v>Chủ đề thay thế theo ngoại lệ báo cáo chính trị đại hội</x:v>
      </x:c>
      <x:c r="F188" s="295" t="str">
        <x:v>Khoảng cách sau đoạn</x:v>
      </x:c>
      <x:c r="G188" s="295" t="str">
        <x:v>NUMBER</x:v>
      </x:c>
      <x:c r="H188" s="295" t="str">
        <x:v>pt</x:v>
      </x:c>
      <x:c r="I188" s="295" t="str">
        <x:v>CHƯA XÁC MINH RIÊNG</x:v>
      </x:c>
      <x:c r="J188" s="295" t="str">
        <x:v>Không suy ra giới hạn pháp lý</x:v>
      </x:c>
      <x:c r="K188" s="295" t="n">
        <x:v>6</x:v>
      </x:c>
      <x:c r="L188" s="295" t="str">
        <x:v>PROFILE_CHO_RAO_SOAT</x:v>
      </x:c>
      <x:c r="M188" s="295" t="str">
        <x:v>CHUA_DOI_CHIEU_CU_THE</x:v>
      </x:c>
      <x:c r="N188" s="295" t="str">
        <x:v>Chỉ ngoại lệ báo cáo chính trị trình đại hội theo HD05, không áp mặc định</x:v>
      </x:c>
      <x:c r="O188" s="295" t="str">
        <x:v>Quy định gốc &gt; profile; khi chưa rõ điều kiện thì giữ nguyên; không sinh nội dung.</x:v>
      </x:c>
      <x:c r="P188" s="295" t="str">
        <x:v>PARAGRAPH / RUN / SHAPE tùy thuộc tính</x:v>
      </x:c>
      <x:c r="Q188" s="295" t="str">
        <x:v>Xác định đúng khối Chủ đề thay thế theo ngoại lệ báo cáo chính trị đại hội; đọc giá trị thực; đối chiếu điều kiện; không sửa nội dung khi thiếu nguồn.</x:v>
      </x:c>
      <x:c r="R188" s="295" t="str">
        <x:v>Chưa có locator xác minh riêng</x:v>
      </x:c>
      <x:c r="S188" s="295" t="str">
        <x:v>https://tulieuvankien.dangcongsan.vn/upload/2006988/20260529/HD_05_VPTW_e1550.pdf</x:v>
      </x:c>
      <x:c r="T188" s="295" t="str">
        <x:v>CÓ</x:v>
      </x:c>
      <x:c r="U188" s="295" t="str">
        <x:v>CHECK_ONLY</x:v>
      </x:c>
      <x:c r="V188" s="295" t="str">
        <x:v>Không tự chèn đoạn trắng</x:v>
      </x:c>
    </x:row>
    <x:row r="189" ht="28" customHeight="1">
      <x:c r="A189" s="295" t="n">
        <x:v>184</x:v>
      </x:c>
      <x:c r="B189" s="295" t="str">
        <x:v>HD05.D.TY.CHU_DE_DAI_HOI.GIAN_DONG</x:v>
      </x:c>
      <x:c r="C189" s="295" t="str">
        <x:v>HD05.D.TY.CHU_DE_DAI_HOI</x:v>
      </x:c>
      <x:c r="D189" s="295" t="str">
        <x:v>Tên loại / trích yếu</x:v>
      </x:c>
      <x:c r="E189" s="295" t="str">
        <x:v>Chủ đề thay thế theo ngoại lệ báo cáo chính trị đại hội</x:v>
      </x:c>
      <x:c r="F189" s="295" t="str">
        <x:v>Giãn dòng</x:v>
      </x:c>
      <x:c r="G189" s="295" t="str">
        <x:v>NUMBER</x:v>
      </x:c>
      <x:c r="H189" s="295" t="str">
        <x:v>lines</x:v>
      </x:c>
      <x:c r="I189" s="295" t="str">
        <x:v>CHƯA XÁC MINH RIÊNG</x:v>
      </x:c>
      <x:c r="J189" s="295" t="str">
        <x:v>Không suy ra giới hạn pháp lý</x:v>
      </x:c>
      <x:c r="K189" s="295" t="str">
        <x:v>SINGLE</x:v>
      </x:c>
      <x:c r="L189" s="295" t="str">
        <x:v>PROFILE_CHO_RAO_SOAT</x:v>
      </x:c>
      <x:c r="M189" s="295" t="str">
        <x:v>CHUA_DOI_CHIEU_CU_THE</x:v>
      </x:c>
      <x:c r="N189" s="295" t="str">
        <x:v>Chỉ ngoại lệ báo cáo chính trị trình đại hội theo HD05, không áp mặc định</x:v>
      </x:c>
      <x:c r="O189" s="295" t="str">
        <x:v>Quy định gốc &gt; profile; khi chưa rõ điều kiện thì giữ nguyên; không sinh nội dung.</x:v>
      </x:c>
      <x:c r="P189" s="295" t="str">
        <x:v>PARAGRAPH / RUN / SHAPE tùy thuộc tính</x:v>
      </x:c>
      <x:c r="Q189" s="295" t="str">
        <x:v>Xác định đúng khối Chủ đề thay thế theo ngoại lệ báo cáo chính trị đại hội; đọc giá trị thực; đối chiếu điều kiện; không sửa nội dung khi thiếu nguồn.</x:v>
      </x:c>
      <x:c r="R189" s="295" t="str">
        <x:v>Chưa có locator xác minh riêng</x:v>
      </x:c>
      <x:c r="S189" s="295" t="str">
        <x:v>https://tulieuvankien.dangcongsan.vn/upload/2006988/20260529/HD_05_VPTW_e1550.pdf</x:v>
      </x:c>
      <x:c r="T189" s="295" t="str">
        <x:v>CÓ</x:v>
      </x:c>
      <x:c r="U189" s="295" t="str">
        <x:v>CHECK_ONLY</x:v>
      </x:c>
      <x:c r="V189" s="295" t="str">
        <x:v>Giãn dòng phần đầu không được tự đồng nhất với thân bài.</x:v>
      </x:c>
    </x:row>
    <x:row r="190" ht="28" customHeight="1">
      <x:c r="A190" s="295" t="n">
        <x:v>185</x:v>
      </x:c>
      <x:c r="B190" s="295" t="str">
        <x:v>HD05.D.TY.CHU_DE_DAI_HOI.BAO_VE_NOI_DUNG</x:v>
      </x:c>
      <x:c r="C190" s="295" t="str">
        <x:v>HD05.D.TY.CHU_DE_DAI_HOI</x:v>
      </x:c>
      <x:c r="D190" s="295" t="str">
        <x:v>Tên loại / trích yếu</x:v>
      </x:c>
      <x:c r="E190" s="295" t="str">
        <x:v>Chủ đề thay thế theo ngoại lệ báo cáo chính trị đại hội</x:v>
      </x:c>
      <x:c r="F190" s="295" t="str">
        <x:v>Không tự suy diễn nội dung</x:v>
      </x:c>
      <x:c r="G190" s="295" t="str">
        <x:v>BOOLEAN</x:v>
      </x:c>
      <x:c r="H190" s="295"/>
      <x:c r="I190" s="295" t="str">
        <x:v>CHƯA XÁC MINH RIÊNG</x:v>
      </x:c>
      <x:c r="J190" s="295" t="str">
        <x:v>Không suy ra giới hạn pháp lý</x:v>
      </x:c>
      <x:c r="K190" s="296" t="b">
        <x:v>1</x:v>
      </x:c>
      <x:c r="L190" s="295" t="str">
        <x:v>NOI_DUNG_BAO_VE</x:v>
      </x:c>
      <x:c r="M190" s="295" t="str">
        <x:v>CHUA_DOI_CHIEU_CU_THE</x:v>
      </x:c>
      <x:c r="N190" s="295" t="str">
        <x:v>Chỉ ngoại lệ báo cáo chính trị trình đại hội theo HD05, không áp mặc định</x:v>
      </x:c>
      <x:c r="O190" s="295" t="str">
        <x:v>Quy định gốc &gt; profile; khi chưa rõ điều kiện thì giữ nguyên; không sinh nội dung.</x:v>
      </x:c>
      <x:c r="P190" s="295" t="str">
        <x:v>PARAGRAPH / RUN / SHAPE tùy thuộc tính</x:v>
      </x:c>
      <x:c r="Q190" s="295" t="str">
        <x:v>Xác định đúng khối Chủ đề thay thế theo ngoại lệ báo cáo chính trị đại hội; đọc giá trị thực; đối chiếu điều kiện; không sửa nội dung khi thiếu nguồn.</x:v>
      </x:c>
      <x:c r="R190" s="295" t="str">
        <x:v>Chưa có locator xác minh riêng</x:v>
      </x:c>
      <x:c r="S190" s="295" t="str">
        <x:v>https://tulieuvankien.dangcongsan.vn/upload/2006988/20260529/HD_05_VPTW_e1550.pdf</x:v>
      </x:c>
      <x:c r="T190" s="295" t="str">
        <x:v>CÓ</x:v>
      </x:c>
      <x:c r="U190" s="295" t="str">
        <x:v>CHECK_ONLY</x:v>
      </x:c>
      <x:c r="V190" s="295" t="str">
        <x:v>Chỉ chuẩn hóa hình thức sau khi xác nhận chính xác nội dung, không tự điền số/ngày/người nhận.</x:v>
      </x:c>
    </x:row>
    <x:row r="191" ht="28" customHeight="1">
      <x:c r="A191" s="295" t="n">
        <x:v>186</x:v>
      </x:c>
      <x:c r="B191" s="295" t="str">
        <x:v>HD05.D.NHAN.KINH_GUI.HIEN_DIEN</x:v>
      </x:c>
      <x:c r="C191" s="295" t="str">
        <x:v>HD05.D.NHAN.KINH_GUI</x:v>
      </x:c>
      <x:c r="D191" s="295" t="str">
        <x:v>Người nhận trực tiếp</x:v>
      </x:c>
      <x:c r="E191" s="295" t="str">
        <x:v>Nhãn Kính gửi:</x:v>
      </x:c>
      <x:c r="F191" s="295" t="str">
        <x:v>Điều kiện hiện diện</x:v>
      </x:c>
      <x:c r="G191" s="295" t="str">
        <x:v>TEXT</x:v>
      </x:c>
      <x:c r="H191" s="295"/>
      <x:c r="I191" s="295" t="str">
        <x:v>CHƯA XÁC MINH RIÊNG</x:v>
      </x:c>
      <x:c r="J191" s="295" t="str">
        <x:v>Không suy ra giới hạn pháp lý</x:v>
      </x:c>
      <x:c r="K191" s="295" t="str">
        <x:v>Chỉ văn bản có người nhận trực tiếp và dạng có nhãn Kính gửi theo chế độ tương ứng</x:v>
      </x:c>
      <x:c r="L191" s="295" t="str">
        <x:v>CHUA_DUYET_DINH_TUYEN</x:v>
      </x:c>
      <x:c r="M191" s="295" t="str">
        <x:v>CHUA_DOI_CHIEU_CU_THE</x:v>
      </x:c>
      <x:c r="N191" s="295" t="str">
        <x:v>Chỉ văn bản có người nhận trực tiếp và dạng có nhãn Kính gửi theo chế độ tương ứng</x:v>
      </x:c>
      <x:c r="O191" s="295" t="str">
        <x:v>Quy định gốc &gt; profile; khi chưa rõ điều kiện thì giữ nguyên; không sinh nội dung.</x:v>
      </x:c>
      <x:c r="P191" s="295" t="str">
        <x:v>PARAGRAPH / RUN / SHAPE tùy thuộc tính</x:v>
      </x:c>
      <x:c r="Q191" s="295" t="str">
        <x:v>Xác định đúng khối Nhãn Kính gửi:; đọc giá trị thực; đối chiếu điều kiện; không sửa nội dung khi thiếu nguồn.</x:v>
      </x:c>
      <x:c r="R191" s="295" t="str">
        <x:v>Chưa có locator xác minh riêng</x:v>
      </x:c>
      <x:c r="S191" s="295" t="str">
        <x:v>https://tulieuvankien.dangcongsan.vn/upload/2006988/20260529/HD_05_VPTW_e1550.pdf</x:v>
      </x:c>
      <x:c r="T191" s="295" t="str">
        <x:v>CÓ</x:v>
      </x:c>
      <x:c r="U191" s="295" t="str">
        <x:v>CHECK_ONLY</x:v>
      </x:c>
      <x:c r="V191" s="295" t="str">
        <x:v>Phải nhận diện chế độ và chủ thể trước khi áp dụng</x:v>
      </x:c>
    </x:row>
    <x:row r="192" ht="28" customHeight="1">
      <x:c r="A192" s="295" t="n">
        <x:v>187</x:v>
      </x:c>
      <x:c r="B192" s="295" t="str">
        <x:v>HD05.D.NHAN.KINH_GUI.PHONG_CHU</x:v>
      </x:c>
      <x:c r="C192" s="295" t="str">
        <x:v>HD05.D.NHAN.KINH_GUI</x:v>
      </x:c>
      <x:c r="D192" s="295" t="str">
        <x:v>Người nhận trực tiếp</x:v>
      </x:c>
      <x:c r="E192" s="295" t="str">
        <x:v>Nhãn Kính gửi:</x:v>
      </x:c>
      <x:c r="F192" s="295" t="str">
        <x:v>Font chữ</x:v>
      </x:c>
      <x:c r="G192" s="295" t="str">
        <x:v>STRING</x:v>
      </x:c>
      <x:c r="H192" s="295"/>
      <x:c r="I192" s="295" t="str">
        <x:v>Times New Roman</x:v>
      </x:c>
      <x:c r="J192" s="295" t="str">
        <x:v>Đúng giá trị/giới hạn riêng</x:v>
      </x:c>
      <x:c r="K192" s="295" t="str">
        <x:v>Times New Roman</x:v>
      </x:c>
      <x:c r="L192" s="295" t="str">
        <x:v>PROFILE_CO_GIA_TRI_CHUA_DUYET</x:v>
      </x:c>
      <x:c r="M192" s="295" t="str">
        <x:v>DOI_CHIEU_CU_THE</x:v>
      </x:c>
      <x:c r="N192" s="295" t="str">
        <x:v>Chỉ văn bản có người nhận trực tiếp và dạng có nhãn Kính gửi theo chế độ tương ứng</x:v>
      </x:c>
      <x:c r="O192" s="295" t="str">
        <x:v>Quy định gốc &gt; profile; khi chưa rõ điều kiện thì giữ nguyên; không sinh nội dung.</x:v>
      </x:c>
      <x:c r="P192" s="295" t="str">
        <x:v>PARAGRAPH / RUN / SHAPE tùy thuộc tính</x:v>
      </x:c>
      <x:c r="Q192" s="295" t="str">
        <x:v>Xác định đúng khối Nhãn Kính gửi:; đọc giá trị thực; đối chiếu điều kiện; không sửa nội dung khi thiếu nguồn.</x:v>
      </x:c>
      <x:c r="R192" s="295" t="str">
        <x:v>Phần II, IV.1</x:v>
      </x:c>
      <x:c r="S192" s="295" t="str">
        <x:v>https://tulieuvankien.dangcongsan.vn/upload/2006988/20260529/HD_05_VPTW_e1550.pdf</x:v>
      </x:c>
      <x:c r="T192" s="295" t="str">
        <x:v>CÓ</x:v>
      </x:c>
      <x:c r="U192" s="295" t="str">
        <x:v>CHECK_ONLY</x:v>
      </x:c>
      <x:c r="V192" s="295" t="str"/>
    </x:row>
    <x:row r="193" ht="28" customHeight="1">
      <x:c r="A193" s="295" t="n">
        <x:v>188</x:v>
      </x:c>
      <x:c r="B193" s="295" t="str">
        <x:v>HD05.D.NHAN.KINH_GUI.CO_CHU</x:v>
      </x:c>
      <x:c r="C193" s="295" t="str">
        <x:v>HD05.D.NHAN.KINH_GUI</x:v>
      </x:c>
      <x:c r="D193" s="295" t="str">
        <x:v>Người nhận trực tiếp</x:v>
      </x:c>
      <x:c r="E193" s="295" t="str">
        <x:v>Nhãn Kính gửi:</x:v>
      </x:c>
      <x:c r="F193" s="295" t="str">
        <x:v>Cỡ chữ</x:v>
      </x:c>
      <x:c r="G193" s="295" t="str">
        <x:v>NUMBER_OR_RANGE</x:v>
      </x:c>
      <x:c r="H193" s="295" t="str">
        <x:v>pt</x:v>
      </x:c>
      <x:c r="I193" s="295" t="str">
        <x:v>14</x:v>
      </x:c>
      <x:c r="J193" s="295" t="str">
        <x:v>Đúng giá trị/giới hạn riêng</x:v>
      </x:c>
      <x:c r="K193" s="295" t="n">
        <x:v>14</x:v>
      </x:c>
      <x:c r="L193" s="295" t="str">
        <x:v>PROFILE_CO_GIA_TRI_CHUA_DUYET</x:v>
      </x:c>
      <x:c r="M193" s="295" t="str">
        <x:v>DOI_CHIEU_CU_THE</x:v>
      </x:c>
      <x:c r="N193" s="295" t="str">
        <x:v>Chỉ văn bản có người nhận trực tiếp và dạng có nhãn Kính gửi theo chế độ tương ứng</x:v>
      </x:c>
      <x:c r="O193" s="295" t="str">
        <x:v>Quy định gốc &gt; profile; khi chưa rõ điều kiện thì giữ nguyên; không sinh nội dung.</x:v>
      </x:c>
      <x:c r="P193" s="295" t="str">
        <x:v>PARAGRAPH / RUN / SHAPE tùy thuộc tính</x:v>
      </x:c>
      <x:c r="Q193" s="295" t="str">
        <x:v>Xác định đúng khối Nhãn Kính gửi:; đọc giá trị thực; đối chiếu điều kiện; không sửa nội dung khi thiếu nguồn.</x:v>
      </x:c>
      <x:c r="R193" s="295" t="str">
        <x:v>Phần II, I.9.2.3; Phụ lục 2, TT9</x:v>
      </x:c>
      <x:c r="S193" s="295" t="str">
        <x:v>https://tulieuvankien.dangcongsan.vn/upload/2006988/20260529/HD_05_VPTW_e1550.pdf</x:v>
      </x:c>
      <x:c r="T193" s="295" t="str">
        <x:v>CÓ</x:v>
      </x:c>
      <x:c r="U193" s="295" t="str">
        <x:v>CHECK_ONLY</x:v>
      </x:c>
      <x:c r="V193" s="295" t="str"/>
    </x:row>
    <x:row r="194" ht="28" customHeight="1">
      <x:c r="A194" s="295" t="n">
        <x:v>189</x:v>
      </x:c>
      <x:c r="B194" s="295" t="str">
        <x:v>HD05.D.NHAN.KINH_GUI.DAM</x:v>
      </x:c>
      <x:c r="C194" s="295" t="str">
        <x:v>HD05.D.NHAN.KINH_GUI</x:v>
      </x:c>
      <x:c r="D194" s="295" t="str">
        <x:v>Người nhận trực tiếp</x:v>
      </x:c>
      <x:c r="E194" s="295" t="str">
        <x:v>Nhãn Kính gửi:</x:v>
      </x:c>
      <x:c r="F194" s="295" t="str">
        <x:v>In đậm</x:v>
      </x:c>
      <x:c r="G194" s="295" t="str">
        <x:v>BOOLEAN</x:v>
      </x:c>
      <x:c r="H194" s="295"/>
      <x:c r="I194" s="296" t="b">
        <x:v>0</x:v>
      </x:c>
      <x:c r="J194" s="295" t="str">
        <x:v>Đúng giá trị/giới hạn riêng</x:v>
      </x:c>
      <x:c r="K194" s="296" t="b">
        <x:v>0</x:v>
      </x:c>
      <x:c r="L194" s="295" t="str">
        <x:v>PROFILE_CO_GIA_TRI_CHUA_DUYET</x:v>
      </x:c>
      <x:c r="M194" s="295" t="str">
        <x:v>DOI_CHIEU_CU_THE</x:v>
      </x:c>
      <x:c r="N194" s="295" t="str">
        <x:v>Chỉ văn bản có người nhận trực tiếp và dạng có nhãn Kính gửi theo chế độ tương ứng</x:v>
      </x:c>
      <x:c r="O194" s="295" t="str">
        <x:v>Quy định gốc &gt; profile; khi chưa rõ điều kiện thì giữ nguyên; không sinh nội dung.</x:v>
      </x:c>
      <x:c r="P194" s="295" t="str">
        <x:v>PARAGRAPH / RUN / SHAPE tùy thuộc tính</x:v>
      </x:c>
      <x:c r="Q194" s="295" t="str">
        <x:v>Xác định đúng khối Nhãn Kính gửi:; đọc giá trị thực; đối chiếu điều kiện; không sửa nội dung khi thiếu nguồn.</x:v>
      </x:c>
      <x:c r="R194" s="295" t="str">
        <x:v>Phần II, I.9.2.3; Phụ lục 2, TT9</x:v>
      </x:c>
      <x:c r="S194" s="295" t="str">
        <x:v>https://tulieuvankien.dangcongsan.vn/upload/2006988/20260529/HD_05_VPTW_e1550.pdf</x:v>
      </x:c>
      <x:c r="T194" s="295" t="str">
        <x:v>CÓ</x:v>
      </x:c>
      <x:c r="U194" s="295" t="str">
        <x:v>CHECK_ONLY</x:v>
      </x:c>
      <x:c r="V194" s="295" t="str"/>
    </x:row>
    <x:row r="195" ht="28" customHeight="1">
      <x:c r="A195" s="295" t="n">
        <x:v>190</x:v>
      </x:c>
      <x:c r="B195" s="295" t="str">
        <x:v>HD05.D.NHAN.KINH_GUI.NGHIENG</x:v>
      </x:c>
      <x:c r="C195" s="295" t="str">
        <x:v>HD05.D.NHAN.KINH_GUI</x:v>
      </x:c>
      <x:c r="D195" s="295" t="str">
        <x:v>Người nhận trực tiếp</x:v>
      </x:c>
      <x:c r="E195" s="295" t="str">
        <x:v>Nhãn Kính gửi:</x:v>
      </x:c>
      <x:c r="F195" s="295" t="str">
        <x:v>In nghiêng</x:v>
      </x:c>
      <x:c r="G195" s="295" t="str">
        <x:v>BOOLEAN</x:v>
      </x:c>
      <x:c r="H195" s="295"/>
      <x:c r="I195" s="296" t="b">
        <x:v>1</x:v>
      </x:c>
      <x:c r="J195" s="295" t="str">
        <x:v>Đúng giá trị/giới hạn riêng</x:v>
      </x:c>
      <x:c r="K195" s="296" t="b">
        <x:v>1</x:v>
      </x:c>
      <x:c r="L195" s="295" t="str">
        <x:v>PROFILE_CO_GIA_TRI_CHUA_DUYET</x:v>
      </x:c>
      <x:c r="M195" s="295" t="str">
        <x:v>DOI_CHIEU_CU_THE</x:v>
      </x:c>
      <x:c r="N195" s="295" t="str">
        <x:v>Chỉ văn bản có người nhận trực tiếp và dạng có nhãn Kính gửi theo chế độ tương ứng</x:v>
      </x:c>
      <x:c r="O195" s="295" t="str">
        <x:v>Quy định gốc &gt; profile; khi chưa rõ điều kiện thì giữ nguyên; không sinh nội dung.</x:v>
      </x:c>
      <x:c r="P195" s="295" t="str">
        <x:v>PARAGRAPH / RUN / SHAPE tùy thuộc tính</x:v>
      </x:c>
      <x:c r="Q195" s="295" t="str">
        <x:v>Xác định đúng khối Nhãn Kính gửi:; đọc giá trị thực; đối chiếu điều kiện; không sửa nội dung khi thiếu nguồn.</x:v>
      </x:c>
      <x:c r="R195" s="295" t="str">
        <x:v>Phần II, I.9.2.3; Phụ lục 2, TT9</x:v>
      </x:c>
      <x:c r="S195" s="295" t="str">
        <x:v>https://tulieuvankien.dangcongsan.vn/upload/2006988/20260529/HD_05_VPTW_e1550.pdf</x:v>
      </x:c>
      <x:c r="T195" s="295" t="str">
        <x:v>CÓ</x:v>
      </x:c>
      <x:c r="U195" s="295" t="str">
        <x:v>CHECK_ONLY</x:v>
      </x:c>
      <x:c r="V195" s="295" t="str"/>
    </x:row>
    <x:row r="196" ht="28" customHeight="1">
      <x:c r="A196" s="295" t="n">
        <x:v>191</x:v>
      </x:c>
      <x:c r="B196" s="295" t="str">
        <x:v>HD05.D.NHAN.KINH_GUI.KIEU_CHU</x:v>
      </x:c>
      <x:c r="C196" s="295" t="str">
        <x:v>HD05.D.NHAN.KINH_GUI</x:v>
      </x:c>
      <x:c r="D196" s="295" t="str">
        <x:v>Người nhận trực tiếp</x:v>
      </x:c>
      <x:c r="E196" s="295" t="str">
        <x:v>Nhãn Kính gửi:</x:v>
      </x:c>
      <x:c r="F196" s="295" t="str">
        <x:v>Kiểu viết hoa/thường</x:v>
      </x:c>
      <x:c r="G196" s="295" t="str">
        <x:v>ENUM</x:v>
      </x:c>
      <x:c r="H196" s="295"/>
      <x:c r="I196" s="295" t="str">
        <x:v>In thường</x:v>
      </x:c>
      <x:c r="J196" s="295" t="str">
        <x:v>Đúng giá trị/giới hạn riêng</x:v>
      </x:c>
      <x:c r="K196" s="295" t="str">
        <x:v>In thường</x:v>
      </x:c>
      <x:c r="L196" s="295" t="str">
        <x:v>PROFILE_CO_GIA_TRI_CHUA_DUYET</x:v>
      </x:c>
      <x:c r="M196" s="295" t="str">
        <x:v>DOI_CHIEU_CU_THE</x:v>
      </x:c>
      <x:c r="N196" s="295" t="str">
        <x:v>Chỉ văn bản có người nhận trực tiếp và dạng có nhãn Kính gửi theo chế độ tương ứng</x:v>
      </x:c>
      <x:c r="O196" s="295" t="str">
        <x:v>Quy định gốc &gt; profile; khi chưa rõ điều kiện thì giữ nguyên; không sinh nội dung.</x:v>
      </x:c>
      <x:c r="P196" s="295" t="str">
        <x:v>PARAGRAPH / RUN / SHAPE tùy thuộc tính</x:v>
      </x:c>
      <x:c r="Q196" s="295" t="str">
        <x:v>Xác định đúng khối Nhãn Kính gửi:; đọc giá trị thực; đối chiếu điều kiện; không sửa nội dung khi thiếu nguồn.</x:v>
      </x:c>
      <x:c r="R196" s="295" t="str">
        <x:v>Phần II, I.9.2.3; Phụ lục 2, TT9</x:v>
      </x:c>
      <x:c r="S196" s="295" t="str">
        <x:v>https://tulieuvankien.dangcongsan.vn/upload/2006988/20260529/HD_05_VPTW_e1550.pdf</x:v>
      </x:c>
      <x:c r="T196" s="295" t="str">
        <x:v>CÓ</x:v>
      </x:c>
      <x:c r="U196" s="295" t="str">
        <x:v>CHECK_ONLY</x:v>
      </x:c>
      <x:c r="V196" s="295" t="str"/>
    </x:row>
    <x:row r="197" ht="28" customHeight="1">
      <x:c r="A197" s="295" t="n">
        <x:v>192</x:v>
      </x:c>
      <x:c r="B197" s="295" t="str">
        <x:v>HD05.D.NHAN.KINH_GUI.CAN_NGANG</x:v>
      </x:c>
      <x:c r="C197" s="295" t="str">
        <x:v>HD05.D.NHAN.KINH_GUI</x:v>
      </x:c>
      <x:c r="D197" s="295" t="str">
        <x:v>Người nhận trực tiếp</x:v>
      </x:c>
      <x:c r="E197" s="295" t="str">
        <x:v>Nhãn Kính gửi:</x:v>
      </x:c>
      <x:c r="F197" s="295" t="str">
        <x:v>Căn ngang</x:v>
      </x:c>
      <x:c r="G197" s="295" t="str">
        <x:v>ENUM</x:v>
      </x:c>
      <x:c r="H197" s="295"/>
      <x:c r="I197" s="295" t="str">
        <x:v>CENTER</x:v>
      </x:c>
      <x:c r="J197" s="295" t="str">
        <x:v>Đúng giá trị/giới hạn riêng</x:v>
      </x:c>
      <x:c r="K197" s="295"/>
      <x:c r="L197" s="295" t="str">
        <x:v>KHONG_AP_DUNG_HOAC_CHUA_DU_GIA_TRI</x:v>
      </x:c>
      <x:c r="M197" s="295" t="str">
        <x:v>DOI_CHIEU_CU_THE</x:v>
      </x:c>
      <x:c r="N197" s="295" t="str">
        <x:v>Chỉ văn bản có người nhận trực tiếp và dạng có nhãn Kính gửi theo chế độ tương ứng</x:v>
      </x:c>
      <x:c r="O197" s="295" t="str">
        <x:v>Quy định gốc &gt; profile; khi chưa rõ điều kiện thì giữ nguyên; không sinh nội dung.</x:v>
      </x:c>
      <x:c r="P197" s="295" t="str">
        <x:v>PARAGRAPH / RUN / SHAPE tùy thuộc tính</x:v>
      </x:c>
      <x:c r="Q197" s="295" t="str">
        <x:v>Xác định đúng khối Nhãn Kính gửi:; đọc giá trị thực; đối chiếu điều kiện; không sửa nội dung khi thiếu nguồn.</x:v>
      </x:c>
      <x:c r="R197" s="295" t="str">
        <x:v>Phần II, I.9.2.3; Phụ lục 2, TT9</x:v>
      </x:c>
      <x:c r="S197" s="295" t="str">
        <x:v>https://tulieuvankien.dangcongsan.vn/upload/2006988/20260529/HD_05_VPTW_e1550.pdf</x:v>
      </x:c>
      <x:c r="T197" s="295" t="str">
        <x:v>CÓ</x:v>
      </x:c>
      <x:c r="U197" s="295" t="str">
        <x:v>CHECK_ONLY</x:v>
      </x:c>
      <x:c r="V197" s="295" t="str"/>
    </x:row>
    <x:row r="198" ht="28" customHeight="1">
      <x:c r="A198" s="295" t="n">
        <x:v>193</x:v>
      </x:c>
      <x:c r="B198" s="295" t="str">
        <x:v>HD05.D.NHAN.KINH_GUI.CACH_SAU</x:v>
      </x:c>
      <x:c r="C198" s="295" t="str">
        <x:v>HD05.D.NHAN.KINH_GUI</x:v>
      </x:c>
      <x:c r="D198" s="295" t="str">
        <x:v>Người nhận trực tiếp</x:v>
      </x:c>
      <x:c r="E198" s="295" t="str">
        <x:v>Nhãn Kính gửi:</x:v>
      </x:c>
      <x:c r="F198" s="295" t="str">
        <x:v>Khoảng cách sau đoạn</x:v>
      </x:c>
      <x:c r="G198" s="295" t="str">
        <x:v>NUMBER</x:v>
      </x:c>
      <x:c r="H198" s="295" t="str">
        <x:v>pt</x:v>
      </x:c>
      <x:c r="I198" s="295" t="str">
        <x:v>CHƯA XÁC MINH RIÊNG</x:v>
      </x:c>
      <x:c r="J198" s="295" t="str">
        <x:v>Không suy ra giới hạn pháp lý</x:v>
      </x:c>
      <x:c r="K198" s="295" t="n">
        <x:v>3</x:v>
      </x:c>
      <x:c r="L198" s="295" t="str">
        <x:v>PROFILE_CHO_RAO_SOAT</x:v>
      </x:c>
      <x:c r="M198" s="295" t="str">
        <x:v>CHUA_DOI_CHIEU_CU_THE</x:v>
      </x:c>
      <x:c r="N198" s="295" t="str">
        <x:v>Chỉ văn bản có người nhận trực tiếp và dạng có nhãn Kính gửi theo chế độ tương ứng</x:v>
      </x:c>
      <x:c r="O198" s="295" t="str">
        <x:v>Quy định gốc &gt; profile; khi chưa rõ điều kiện thì giữ nguyên; không sinh nội dung.</x:v>
      </x:c>
      <x:c r="P198" s="295" t="str">
        <x:v>PARAGRAPH / RUN / SHAPE tùy thuộc tính</x:v>
      </x:c>
      <x:c r="Q198" s="295" t="str">
        <x:v>Xác định đúng khối Nhãn Kính gửi:; đọc giá trị thực; đối chiếu điều kiện; không sửa nội dung khi thiếu nguồn.</x:v>
      </x:c>
      <x:c r="R198" s="295" t="str">
        <x:v>Chưa có locator xác minh riêng</x:v>
      </x:c>
      <x:c r="S198" s="295" t="str">
        <x:v>https://tulieuvankien.dangcongsan.vn/upload/2006988/20260529/HD_05_VPTW_e1550.pdf</x:v>
      </x:c>
      <x:c r="T198" s="295" t="str">
        <x:v>CÓ</x:v>
      </x:c>
      <x:c r="U198" s="295" t="str">
        <x:v>CHECK_ONLY</x:v>
      </x:c>
      <x:c r="V198" s="295" t="str">
        <x:v>Không tự chèn đoạn trắng</x:v>
      </x:c>
    </x:row>
    <x:row r="199" ht="28" customHeight="1">
      <x:c r="A199" s="295" t="n">
        <x:v>194</x:v>
      </x:c>
      <x:c r="B199" s="295" t="str">
        <x:v>HD05.D.NHAN.KINH_GUI.GIAN_DONG</x:v>
      </x:c>
      <x:c r="C199" s="295" t="str">
        <x:v>HD05.D.NHAN.KINH_GUI</x:v>
      </x:c>
      <x:c r="D199" s="295" t="str">
        <x:v>Người nhận trực tiếp</x:v>
      </x:c>
      <x:c r="E199" s="295" t="str">
        <x:v>Nhãn Kính gửi:</x:v>
      </x:c>
      <x:c r="F199" s="295" t="str">
        <x:v>Giãn dòng</x:v>
      </x:c>
      <x:c r="G199" s="295" t="str">
        <x:v>NUMBER</x:v>
      </x:c>
      <x:c r="H199" s="295" t="str">
        <x:v>lines</x:v>
      </x:c>
      <x:c r="I199" s="295" t="str">
        <x:v>CHƯA XÁC MINH RIÊNG</x:v>
      </x:c>
      <x:c r="J199" s="295" t="str">
        <x:v>Không suy ra giới hạn pháp lý</x:v>
      </x:c>
      <x:c r="K199" s="295" t="str">
        <x:v>SINGLE</x:v>
      </x:c>
      <x:c r="L199" s="295" t="str">
        <x:v>PROFILE_CHO_RAO_SOAT</x:v>
      </x:c>
      <x:c r="M199" s="295" t="str">
        <x:v>CHUA_DOI_CHIEU_CU_THE</x:v>
      </x:c>
      <x:c r="N199" s="295" t="str">
        <x:v>Chỉ văn bản có người nhận trực tiếp và dạng có nhãn Kính gửi theo chế độ tương ứng</x:v>
      </x:c>
      <x:c r="O199" s="295" t="str">
        <x:v>Quy định gốc &gt; profile; khi chưa rõ điều kiện thì giữ nguyên; không sinh nội dung.</x:v>
      </x:c>
      <x:c r="P199" s="295" t="str">
        <x:v>PARAGRAPH / RUN / SHAPE tùy thuộc tính</x:v>
      </x:c>
      <x:c r="Q199" s="295" t="str">
        <x:v>Xác định đúng khối Nhãn Kính gửi:; đọc giá trị thực; đối chiếu điều kiện; không sửa nội dung khi thiếu nguồn.</x:v>
      </x:c>
      <x:c r="R199" s="295" t="str">
        <x:v>Chưa có locator xác minh riêng</x:v>
      </x:c>
      <x:c r="S199" s="295" t="str">
        <x:v>https://tulieuvankien.dangcongsan.vn/upload/2006988/20260529/HD_05_VPTW_e1550.pdf</x:v>
      </x:c>
      <x:c r="T199" s="295" t="str">
        <x:v>CÓ</x:v>
      </x:c>
      <x:c r="U199" s="295" t="str">
        <x:v>CHECK_ONLY</x:v>
      </x:c>
      <x:c r="V199" s="295" t="str">
        <x:v>Giãn dòng phần đầu không được tự đồng nhất với thân bài.</x:v>
      </x:c>
    </x:row>
    <x:row r="200" ht="28" customHeight="1">
      <x:c r="A200" s="295" t="n">
        <x:v>195</x:v>
      </x:c>
      <x:c r="B200" s="295" t="str">
        <x:v>HD05.D.NHAN.KINH_GUI.CHUOI_CO_DINH</x:v>
      </x:c>
      <x:c r="C200" s="295" t="str">
        <x:v>HD05.D.NHAN.KINH_GUI</x:v>
      </x:c>
      <x:c r="D200" s="295" t="str">
        <x:v>Người nhận trực tiếp</x:v>
      </x:c>
      <x:c r="E200" s="295" t="str">
        <x:v>Nhãn Kính gửi:</x:v>
      </x:c>
      <x:c r="F200" s="295" t="str">
        <x:v>Nhãn hoặc chuỗi cố định</x:v>
      </x:c>
      <x:c r="G200" s="295" t="str">
        <x:v>TEXT</x:v>
      </x:c>
      <x:c r="H200" s="295"/>
      <x:c r="I200" s="295" t="str">
        <x:v>Kính gửi:</x:v>
      </x:c>
      <x:c r="J200" s="295" t="str">
        <x:v>Đúng giá trị/giới hạn riêng</x:v>
      </x:c>
      <x:c r="K200" s="295" t="str">
        <x:v>Kính gửi:</x:v>
      </x:c>
      <x:c r="L200" s="295" t="str">
        <x:v>PROFILE_CO_GIA_TRI_HOP_LE</x:v>
      </x:c>
      <x:c r="M200" s="295" t="str">
        <x:v>DOI_CHIEU_CU_THE</x:v>
      </x:c>
      <x:c r="N200" s="295" t="str">
        <x:v>Chỉ văn bản có người nhận trực tiếp và dạng có nhãn Kính gửi theo chế độ tương ứng</x:v>
      </x:c>
      <x:c r="O200" s="295" t="str">
        <x:v>Quy định gốc &gt; profile; khi chưa rõ điều kiện thì giữ nguyên; không sinh nội dung.</x:v>
      </x:c>
      <x:c r="P200" s="295" t="str">
        <x:v>PARAGRAPH / RUN / SHAPE tùy thuộc tính</x:v>
      </x:c>
      <x:c r="Q200" s="295" t="str">
        <x:v>Xác định đúng khối Nhãn Kính gửi:; đọc giá trị thực; đối chiếu điều kiện; không sửa nội dung khi thiếu nguồn.</x:v>
      </x:c>
      <x:c r="R200" s="295" t="str">
        <x:v>Phần II, I.1-9; Phụ lục 2</x:v>
      </x:c>
      <x:c r="S200" s="295" t="str">
        <x:v>https://tulieuvankien.dangcongsan.vn/upload/2006988/20260529/HD_05_VPTW_e1550.pdf</x:v>
      </x:c>
      <x:c r="T200" s="295" t="str">
        <x:v>CÓ</x:v>
      </x:c>
      <x:c r="U200" s="295" t="str">
        <x:v>CHECK_ONLY</x:v>
      </x:c>
      <x:c r="V200" s="295" t="str">
        <x:v>Không thêm nhãn khi thành phần không xuất hiện</x:v>
      </x:c>
    </x:row>
    <x:row r="201" ht="28" customHeight="1">
      <x:c r="A201" s="295" t="n">
        <x:v>196</x:v>
      </x:c>
      <x:c r="B201" s="295" t="str">
        <x:v>HD05.D.NHAN.KINH_GUI.VI_TRI</x:v>
      </x:c>
      <x:c r="C201" s="295" t="str">
        <x:v>HD05.D.NHAN.KINH_GUI</x:v>
      </x:c>
      <x:c r="D201" s="295" t="str">
        <x:v>Người nhận trực tiếp</x:v>
      </x:c>
      <x:c r="E201" s="295" t="str">
        <x:v>Nhãn Kính gửi:</x:v>
      </x:c>
      <x:c r="F201" s="295" t="str">
        <x:v>Ô bố cục của Kính gửi</x:v>
      </x:c>
      <x:c r="G201" s="295" t="str">
        <x:v>TEXT</x:v>
      </x:c>
      <x:c r="H201" s="295"/>
      <x:c r="I201" s="295" t="str">
        <x:v>5a</x:v>
      </x:c>
      <x:c r="J201" s="295" t="str">
        <x:v>Đúng giá trị/giới hạn riêng</x:v>
      </x:c>
      <x:c r="K201" s="295" t="str">
        <x:v>5a</x:v>
      </x:c>
      <x:c r="L201" s="295" t="str">
        <x:v>PROFILE_THEO_NGUON</x:v>
      </x:c>
      <x:c r="M201" s="295" t="str">
        <x:v>DOI_CHIEU_CU_THE</x:v>
      </x:c>
      <x:c r="N201" s="295" t="str">
        <x:v>Chỉ văn bản có người nhận trực tiếp và dạng có nhãn Kính gửi theo chế độ tương ứng</x:v>
      </x:c>
      <x:c r="O201" s="295" t="str">
        <x:v>Quy định gốc &gt; profile; khi chưa rõ điều kiện thì giữ nguyên; không sinh nội dung.</x:v>
      </x:c>
      <x:c r="P201" s="295" t="str">
        <x:v>PARAGRAPH / RUN / SHAPE tùy thuộc tính</x:v>
      </x:c>
      <x:c r="Q201" s="295" t="str">
        <x:v>Xác định đúng khối Nhãn Kính gửi:; đọc giá trị thực; đối chiếu điều kiện; không sửa nội dung khi thiếu nguồn.</x:v>
      </x:c>
      <x:c r="R201" s="295" t="str">
        <x:v>Phần II, I.9.2.3</x:v>
      </x:c>
      <x:c r="S201" s="295" t="str">
        <x:v>https://tulieuvankien.dangcongsan.vn/upload/2006988/20260529/HD_05_VPTW_e1550.pdf</x:v>
      </x:c>
      <x:c r="T201" s="295" t="str">
        <x:v>CÓ</x:v>
      </x:c>
      <x:c r="U201" s="295" t="str">
        <x:v>CHECK_ONLY</x:v>
      </x:c>
      <x:c r="V201" s="295" t="str">
        <x:v>Mã rule con chỉ phục vụ AI đọc; không tự tạo thao tác OOXML.</x:v>
      </x:c>
    </x:row>
    <x:row r="202" ht="28" customHeight="1">
      <x:c r="A202" s="295" t="n">
        <x:v>197</x:v>
      </x:c>
      <x:c r="B202" s="295" t="str">
        <x:v>HD05.D.NHAN.DS_KINH_GUI.HIEN_DIEN</x:v>
      </x:c>
      <x:c r="C202" s="295" t="str">
        <x:v>HD05.D.NHAN.DS_KINH_GUI</x:v>
      </x:c>
      <x:c r="D202" s="295" t="str">
        <x:v>Người nhận trực tiếp</x:v>
      </x:c>
      <x:c r="E202" s="295" t="str">
        <x:v>Danh sách người nhận của công văn</x:v>
      </x:c>
      <x:c r="F202" s="295" t="str">
        <x:v>Điều kiện hiện diện</x:v>
      </x:c>
      <x:c r="G202" s="295" t="str">
        <x:v>TEXT</x:v>
      </x:c>
      <x:c r="H202" s="295"/>
      <x:c r="I202" s="295" t="str">
        <x:v>CHƯA XÁC MINH RIÊNG</x:v>
      </x:c>
      <x:c r="J202" s="295" t="str">
        <x:v>Không suy ra giới hạn pháp lý</x:v>
      </x:c>
      <x:c r="K202" s="295" t="str">
        <x:v>Chỉ khi có Kính gửi, danh sách gắn với nhãn</x:v>
      </x:c>
      <x:c r="L202" s="295" t="str">
        <x:v>CHUA_DUYET_DINH_TUYEN</x:v>
      </x:c>
      <x:c r="M202" s="295" t="str">
        <x:v>CHUA_DOI_CHIEU_CU_THE</x:v>
      </x:c>
      <x:c r="N202" s="295" t="str">
        <x:v>Chỉ khi có Kính gửi, danh sách gắn với nhãn</x:v>
      </x:c>
      <x:c r="O202" s="295" t="str">
        <x:v>Quy định gốc &gt; profile; khi chưa rõ điều kiện thì giữ nguyên; không sinh nội dung.</x:v>
      </x:c>
      <x:c r="P202" s="295" t="str">
        <x:v>PARAGRAPH / RUN / SHAPE tùy thuộc tính</x:v>
      </x:c>
      <x:c r="Q202" s="295" t="str">
        <x:v>Xác định đúng khối Danh sách người nhận của công văn; đọc giá trị thực; đối chiếu điều kiện; không sửa nội dung khi thiếu nguồn.</x:v>
      </x:c>
      <x:c r="R202" s="295" t="str">
        <x:v>Chưa có locator xác minh riêng</x:v>
      </x:c>
      <x:c r="S202" s="295" t="str">
        <x:v>https://tulieuvankien.dangcongsan.vn/upload/2006988/20260529/HD_05_VPTW_e1550.pdf</x:v>
      </x:c>
      <x:c r="T202" s="295" t="str">
        <x:v>CÓ</x:v>
      </x:c>
      <x:c r="U202" s="295" t="str">
        <x:v>CHECK_ONLY</x:v>
      </x:c>
      <x:c r="V202" s="295" t="str">
        <x:v>Phải nhận diện chế độ và chủ thể trước khi áp dụng</x:v>
      </x:c>
    </x:row>
    <x:row r="203" ht="28" customHeight="1">
      <x:c r="A203" s="295" t="n">
        <x:v>198</x:v>
      </x:c>
      <x:c r="B203" s="295" t="str">
        <x:v>HD05.D.NHAN.DS_KINH_GUI.PHONG_CHU</x:v>
      </x:c>
      <x:c r="C203" s="295" t="str">
        <x:v>HD05.D.NHAN.DS_KINH_GUI</x:v>
      </x:c>
      <x:c r="D203" s="295" t="str">
        <x:v>Người nhận trực tiếp</x:v>
      </x:c>
      <x:c r="E203" s="295" t="str">
        <x:v>Danh sách người nhận của công văn</x:v>
      </x:c>
      <x:c r="F203" s="295" t="str">
        <x:v>Font chữ</x:v>
      </x:c>
      <x:c r="G203" s="295" t="str">
        <x:v>STRING</x:v>
      </x:c>
      <x:c r="H203" s="295"/>
      <x:c r="I203" s="295" t="str">
        <x:v>Times New Roman</x:v>
      </x:c>
      <x:c r="J203" s="295" t="str">
        <x:v>Đúng giá trị/giới hạn riêng</x:v>
      </x:c>
      <x:c r="K203" s="295" t="str">
        <x:v>Times New Roman</x:v>
      </x:c>
      <x:c r="L203" s="295" t="str">
        <x:v>PROFILE_CO_GIA_TRI_CHUA_DUYET</x:v>
      </x:c>
      <x:c r="M203" s="295" t="str">
        <x:v>DOI_CHIEU_CU_THE</x:v>
      </x:c>
      <x:c r="N203" s="295" t="str">
        <x:v>Chỉ khi có Kính gửi, danh sách gắn với nhãn</x:v>
      </x:c>
      <x:c r="O203" s="295" t="str">
        <x:v>Quy định gốc &gt; profile; khi chưa rõ điều kiện thì giữ nguyên; không sinh nội dung.</x:v>
      </x:c>
      <x:c r="P203" s="295" t="str">
        <x:v>PARAGRAPH / RUN / SHAPE tùy thuộc tính</x:v>
      </x:c>
      <x:c r="Q203" s="295" t="str">
        <x:v>Xác định đúng khối Danh sách người nhận của công văn; đọc giá trị thực; đối chiếu điều kiện; không sửa nội dung khi thiếu nguồn.</x:v>
      </x:c>
      <x:c r="R203" s="295" t="str">
        <x:v>Phần II, IV.1</x:v>
      </x:c>
      <x:c r="S203" s="295" t="str">
        <x:v>https://tulieuvankien.dangcongsan.vn/upload/2006988/20260529/HD_05_VPTW_e1550.pdf</x:v>
      </x:c>
      <x:c r="T203" s="295" t="str">
        <x:v>CÓ</x:v>
      </x:c>
      <x:c r="U203" s="295" t="str">
        <x:v>CHECK_ONLY</x:v>
      </x:c>
      <x:c r="V203" s="295" t="str"/>
    </x:row>
    <x:row r="204" ht="28" customHeight="1">
      <x:c r="A204" s="295" t="n">
        <x:v>199</x:v>
      </x:c>
      <x:c r="B204" s="295" t="str">
        <x:v>HD05.D.NHAN.DS_KINH_GUI.CO_CHU</x:v>
      </x:c>
      <x:c r="C204" s="295" t="str">
        <x:v>HD05.D.NHAN.DS_KINH_GUI</x:v>
      </x:c>
      <x:c r="D204" s="295" t="str">
        <x:v>Người nhận trực tiếp</x:v>
      </x:c>
      <x:c r="E204" s="295" t="str">
        <x:v>Danh sách người nhận của công văn</x:v>
      </x:c>
      <x:c r="F204" s="295" t="str">
        <x:v>Cỡ chữ</x:v>
      </x:c>
      <x:c r="G204" s="295" t="str">
        <x:v>NUMBER_OR_RANGE</x:v>
      </x:c>
      <x:c r="H204" s="295" t="str">
        <x:v>pt</x:v>
      </x:c>
      <x:c r="I204" s="295" t="str">
        <x:v>14–15</x:v>
      </x:c>
      <x:c r="J204" s="295" t="str">
        <x:v>Đúng giá trị/giới hạn riêng</x:v>
      </x:c>
      <x:c r="K204" s="295" t="n">
        <x:v>14</x:v>
      </x:c>
      <x:c r="L204" s="295" t="str">
        <x:v>PROFILE_CO_GIA_TRI_CHUA_DUYET</x:v>
      </x:c>
      <x:c r="M204" s="295" t="str">
        <x:v>DOI_CHIEU_CU_THE</x:v>
      </x:c>
      <x:c r="N204" s="295" t="str">
        <x:v>Chỉ khi có Kính gửi, danh sách gắn với nhãn</x:v>
      </x:c>
      <x:c r="O204" s="295" t="str">
        <x:v>Quy định gốc &gt; profile; khi chưa rõ điều kiện thì giữ nguyên; không sinh nội dung.</x:v>
      </x:c>
      <x:c r="P204" s="295" t="str">
        <x:v>PARAGRAPH / RUN / SHAPE tùy thuộc tính</x:v>
      </x:c>
      <x:c r="Q204" s="295" t="str">
        <x:v>Xác định đúng khối Danh sách người nhận của công văn; đọc giá trị thực; đối chiếu điều kiện; không sửa nội dung khi thiếu nguồn.</x:v>
      </x:c>
      <x:c r="R204" s="295" t="str">
        <x:v>Phần II, I.9; Phụ lục 2, TT9</x:v>
      </x:c>
      <x:c r="S204" s="295" t="str">
        <x:v>https://tulieuvankien.dangcongsan.vn/upload/2006988/20260529/HD_05_VPTW_e1550.pdf</x:v>
      </x:c>
      <x:c r="T204" s="295" t="str">
        <x:v>CÓ</x:v>
      </x:c>
      <x:c r="U204" s="295" t="str">
        <x:v>CHECK_ONLY</x:v>
      </x:c>
      <x:c r="V204" s="295" t="str"/>
    </x:row>
    <x:row r="205" ht="28" customHeight="1">
      <x:c r="A205" s="295" t="n">
        <x:v>200</x:v>
      </x:c>
      <x:c r="B205" s="295" t="str">
        <x:v>HD05.D.NHAN.DS_KINH_GUI.DAM</x:v>
      </x:c>
      <x:c r="C205" s="295" t="str">
        <x:v>HD05.D.NHAN.DS_KINH_GUI</x:v>
      </x:c>
      <x:c r="D205" s="295" t="str">
        <x:v>Người nhận trực tiếp</x:v>
      </x:c>
      <x:c r="E205" s="295" t="str">
        <x:v>Danh sách người nhận của công văn</x:v>
      </x:c>
      <x:c r="F205" s="295" t="str">
        <x:v>In đậm</x:v>
      </x:c>
      <x:c r="G205" s="295" t="str">
        <x:v>BOOLEAN</x:v>
      </x:c>
      <x:c r="H205" s="295"/>
      <x:c r="I205" s="296" t="b">
        <x:v>0</x:v>
      </x:c>
      <x:c r="J205" s="295" t="str">
        <x:v>Đúng giá trị/giới hạn riêng</x:v>
      </x:c>
      <x:c r="K205" s="296" t="b">
        <x:v>0</x:v>
      </x:c>
      <x:c r="L205" s="295" t="str">
        <x:v>PROFILE_CO_GIA_TRI_CHUA_DUYET</x:v>
      </x:c>
      <x:c r="M205" s="295" t="str">
        <x:v>DOI_CHIEU_CU_THE</x:v>
      </x:c>
      <x:c r="N205" s="295" t="str">
        <x:v>Chỉ khi có Kính gửi, danh sách gắn với nhãn</x:v>
      </x:c>
      <x:c r="O205" s="295" t="str">
        <x:v>Quy định gốc &gt; profile; khi chưa rõ điều kiện thì giữ nguyên; không sinh nội dung.</x:v>
      </x:c>
      <x:c r="P205" s="295" t="str">
        <x:v>PARAGRAPH / RUN / SHAPE tùy thuộc tính</x:v>
      </x:c>
      <x:c r="Q205" s="295" t="str">
        <x:v>Xác định đúng khối Danh sách người nhận của công văn; đọc giá trị thực; đối chiếu điều kiện; không sửa nội dung khi thiếu nguồn.</x:v>
      </x:c>
      <x:c r="R205" s="295" t="str">
        <x:v>Phần II, I.9; Phụ lục 2, TT9</x:v>
      </x:c>
      <x:c r="S205" s="295" t="str">
        <x:v>https://tulieuvankien.dangcongsan.vn/upload/2006988/20260529/HD_05_VPTW_e1550.pdf</x:v>
      </x:c>
      <x:c r="T205" s="295" t="str">
        <x:v>CÓ</x:v>
      </x:c>
      <x:c r="U205" s="295" t="str">
        <x:v>CHECK_ONLY</x:v>
      </x:c>
      <x:c r="V205" s="295" t="str"/>
    </x:row>
    <x:row r="206" ht="28" customHeight="1">
      <x:c r="A206" s="295" t="n">
        <x:v>201</x:v>
      </x:c>
      <x:c r="B206" s="295" t="str">
        <x:v>HD05.D.NHAN.DS_KINH_GUI.NGHIENG</x:v>
      </x:c>
      <x:c r="C206" s="295" t="str">
        <x:v>HD05.D.NHAN.DS_KINH_GUI</x:v>
      </x:c>
      <x:c r="D206" s="295" t="str">
        <x:v>Người nhận trực tiếp</x:v>
      </x:c>
      <x:c r="E206" s="295" t="str">
        <x:v>Danh sách người nhận của công văn</x:v>
      </x:c>
      <x:c r="F206" s="295" t="str">
        <x:v>In nghiêng</x:v>
      </x:c>
      <x:c r="G206" s="295" t="str">
        <x:v>BOOLEAN</x:v>
      </x:c>
      <x:c r="H206" s="295"/>
      <x:c r="I206" s="296" t="b">
        <x:v>0</x:v>
      </x:c>
      <x:c r="J206" s="295" t="str">
        <x:v>Đúng giá trị/giới hạn riêng</x:v>
      </x:c>
      <x:c r="K206" s="296" t="b">
        <x:v>1</x:v>
      </x:c>
      <x:c r="L206" s="295" t="str">
        <x:v>PROFILE_CO_GIA_TRI_CHUA_DUYET</x:v>
      </x:c>
      <x:c r="M206" s="295" t="str">
        <x:v>DOI_CHIEU_CU_THE</x:v>
      </x:c>
      <x:c r="N206" s="295" t="str">
        <x:v>Chỉ khi có Kính gửi, danh sách gắn với nhãn</x:v>
      </x:c>
      <x:c r="O206" s="295" t="str">
        <x:v>Quy định gốc &gt; profile; khi chưa rõ điều kiện thì giữ nguyên; không sinh nội dung.</x:v>
      </x:c>
      <x:c r="P206" s="295" t="str">
        <x:v>PARAGRAPH / RUN / SHAPE tùy thuộc tính</x:v>
      </x:c>
      <x:c r="Q206" s="295" t="str">
        <x:v>Xác định đúng khối Danh sách người nhận của công văn; đọc giá trị thực; đối chiếu điều kiện; không sửa nội dung khi thiếu nguồn.</x:v>
      </x:c>
      <x:c r="R206" s="295" t="str">
        <x:v>Phần II, I.9; Phụ lục 2, TT9</x:v>
      </x:c>
      <x:c r="S206" s="295" t="str">
        <x:v>https://tulieuvankien.dangcongsan.vn/upload/2006988/20260529/HD_05_VPTW_e1550.pdf</x:v>
      </x:c>
      <x:c r="T206" s="295" t="str">
        <x:v>CÓ</x:v>
      </x:c>
      <x:c r="U206" s="295" t="str">
        <x:v>CHECK_ONLY</x:v>
      </x:c>
      <x:c r="V206" s="295" t="str"/>
    </x:row>
    <x:row r="207" ht="28" customHeight="1">
      <x:c r="A207" s="295" t="n">
        <x:v>202</x:v>
      </x:c>
      <x:c r="B207" s="295" t="str">
        <x:v>HD05.D.NHAN.DS_KINH_GUI.KIEU_CHU</x:v>
      </x:c>
      <x:c r="C207" s="295" t="str">
        <x:v>HD05.D.NHAN.DS_KINH_GUI</x:v>
      </x:c>
      <x:c r="D207" s="295" t="str">
        <x:v>Người nhận trực tiếp</x:v>
      </x:c>
      <x:c r="E207" s="295" t="str">
        <x:v>Danh sách người nhận của công văn</x:v>
      </x:c>
      <x:c r="F207" s="295" t="str">
        <x:v>Kiểu viết hoa/thường</x:v>
      </x:c>
      <x:c r="G207" s="295" t="str">
        <x:v>ENUM</x:v>
      </x:c>
      <x:c r="H207" s="295"/>
      <x:c r="I207" s="295" t="str">
        <x:v>In thường</x:v>
      </x:c>
      <x:c r="J207" s="295" t="str">
        <x:v>Đúng giá trị/giới hạn riêng</x:v>
      </x:c>
      <x:c r="K207" s="295" t="str">
        <x:v>In thường</x:v>
      </x:c>
      <x:c r="L207" s="295" t="str">
        <x:v>PROFILE_CO_GIA_TRI_CHUA_DUYET</x:v>
      </x:c>
      <x:c r="M207" s="295" t="str">
        <x:v>DOI_CHIEU_CU_THE</x:v>
      </x:c>
      <x:c r="N207" s="295" t="str">
        <x:v>Chỉ khi có Kính gửi, danh sách gắn với nhãn</x:v>
      </x:c>
      <x:c r="O207" s="295" t="str">
        <x:v>Quy định gốc &gt; profile; khi chưa rõ điều kiện thì giữ nguyên; không sinh nội dung.</x:v>
      </x:c>
      <x:c r="P207" s="295" t="str">
        <x:v>PARAGRAPH / RUN / SHAPE tùy thuộc tính</x:v>
      </x:c>
      <x:c r="Q207" s="295" t="str">
        <x:v>Xác định đúng khối Danh sách người nhận của công văn; đọc giá trị thực; đối chiếu điều kiện; không sửa nội dung khi thiếu nguồn.</x:v>
      </x:c>
      <x:c r="R207" s="295" t="str">
        <x:v>Phần II, I.9; Phụ lục 2, TT9</x:v>
      </x:c>
      <x:c r="S207" s="295" t="str">
        <x:v>https://tulieuvankien.dangcongsan.vn/upload/2006988/20260529/HD_05_VPTW_e1550.pdf</x:v>
      </x:c>
      <x:c r="T207" s="295" t="str">
        <x:v>CÓ</x:v>
      </x:c>
      <x:c r="U207" s="295" t="str">
        <x:v>CHECK_ONLY</x:v>
      </x:c>
      <x:c r="V207" s="295" t="str"/>
    </x:row>
    <x:row r="208" ht="28" customHeight="1">
      <x:c r="A208" s="295" t="n">
        <x:v>203</x:v>
      </x:c>
      <x:c r="B208" s="295" t="str">
        <x:v>HD05.D.NHAN.DS_KINH_GUI.CAN_NGANG</x:v>
      </x:c>
      <x:c r="C208" s="295" t="str">
        <x:v>HD05.D.NHAN.DS_KINH_GUI</x:v>
      </x:c>
      <x:c r="D208" s="295" t="str">
        <x:v>Người nhận trực tiếp</x:v>
      </x:c>
      <x:c r="E208" s="295" t="str">
        <x:v>Danh sách người nhận của công văn</x:v>
      </x:c>
      <x:c r="F208" s="295" t="str">
        <x:v>Căn ngang</x:v>
      </x:c>
      <x:c r="G208" s="295" t="str">
        <x:v>ENUM</x:v>
      </x:c>
      <x:c r="H208" s="295"/>
      <x:c r="I208" s="295" t="str">
        <x:v>CENTER</x:v>
      </x:c>
      <x:c r="J208" s="295" t="str">
        <x:v>Đúng giá trị/giới hạn riêng</x:v>
      </x:c>
      <x:c r="K208" s="295"/>
      <x:c r="L208" s="295" t="str">
        <x:v>KHONG_AP_DUNG_HOAC_CHUA_DU_GIA_TRI</x:v>
      </x:c>
      <x:c r="M208" s="295" t="str">
        <x:v>DOI_CHIEU_CU_THE</x:v>
      </x:c>
      <x:c r="N208" s="295" t="str">
        <x:v>Chỉ khi có Kính gửi, danh sách gắn với nhãn</x:v>
      </x:c>
      <x:c r="O208" s="295" t="str">
        <x:v>Quy định gốc &gt; profile; khi chưa rõ điều kiện thì giữ nguyên; không sinh nội dung.</x:v>
      </x:c>
      <x:c r="P208" s="295" t="str">
        <x:v>PARAGRAPH / RUN / SHAPE tùy thuộc tính</x:v>
      </x:c>
      <x:c r="Q208" s="295" t="str">
        <x:v>Xác định đúng khối Danh sách người nhận của công văn; đọc giá trị thực; đối chiếu điều kiện; không sửa nội dung khi thiếu nguồn.</x:v>
      </x:c>
      <x:c r="R208" s="295" t="str">
        <x:v>Phần II, I.9; Phụ lục 2, TT9</x:v>
      </x:c>
      <x:c r="S208" s="295" t="str">
        <x:v>https://tulieuvankien.dangcongsan.vn/upload/2006988/20260529/HD_05_VPTW_e1550.pdf</x:v>
      </x:c>
      <x:c r="T208" s="295" t="str">
        <x:v>CÓ</x:v>
      </x:c>
      <x:c r="U208" s="295" t="str">
        <x:v>CHECK_ONLY</x:v>
      </x:c>
      <x:c r="V208" s="295" t="str"/>
    </x:row>
    <x:row r="209" ht="28" customHeight="1">
      <x:c r="A209" s="295" t="n">
        <x:v>204</x:v>
      </x:c>
      <x:c r="B209" s="295" t="str">
        <x:v>HD05.D.NHAN.DS_KINH_GUI.CACH_SAU</x:v>
      </x:c>
      <x:c r="C209" s="295" t="str">
        <x:v>HD05.D.NHAN.DS_KINH_GUI</x:v>
      </x:c>
      <x:c r="D209" s="295" t="str">
        <x:v>Người nhận trực tiếp</x:v>
      </x:c>
      <x:c r="E209" s="295" t="str">
        <x:v>Danh sách người nhận của công văn</x:v>
      </x:c>
      <x:c r="F209" s="295" t="str">
        <x:v>Khoảng cách sau đoạn</x:v>
      </x:c>
      <x:c r="G209" s="295" t="str">
        <x:v>NUMBER</x:v>
      </x:c>
      <x:c r="H209" s="295" t="str">
        <x:v>pt</x:v>
      </x:c>
      <x:c r="I209" s="295" t="str">
        <x:v>CHƯA XÁC MINH RIÊNG</x:v>
      </x:c>
      <x:c r="J209" s="295" t="str">
        <x:v>Không suy ra giới hạn pháp lý</x:v>
      </x:c>
      <x:c r="K209" s="295" t="n">
        <x:v>3</x:v>
      </x:c>
      <x:c r="L209" s="295" t="str">
        <x:v>PROFILE_CHO_RAO_SOAT</x:v>
      </x:c>
      <x:c r="M209" s="295" t="str">
        <x:v>CHUA_DOI_CHIEU_CU_THE</x:v>
      </x:c>
      <x:c r="N209" s="295" t="str">
        <x:v>Chỉ khi có Kính gửi, danh sách gắn với nhãn</x:v>
      </x:c>
      <x:c r="O209" s="295" t="str">
        <x:v>Quy định gốc &gt; profile; khi chưa rõ điều kiện thì giữ nguyên; không sinh nội dung.</x:v>
      </x:c>
      <x:c r="P209" s="295" t="str">
        <x:v>PARAGRAPH / RUN / SHAPE tùy thuộc tính</x:v>
      </x:c>
      <x:c r="Q209" s="295" t="str">
        <x:v>Xác định đúng khối Danh sách người nhận của công văn; đọc giá trị thực; đối chiếu điều kiện; không sửa nội dung khi thiếu nguồn.</x:v>
      </x:c>
      <x:c r="R209" s="295" t="str">
        <x:v>Chưa có locator xác minh riêng</x:v>
      </x:c>
      <x:c r="S209" s="295" t="str">
        <x:v>https://tulieuvankien.dangcongsan.vn/upload/2006988/20260529/HD_05_VPTW_e1550.pdf</x:v>
      </x:c>
      <x:c r="T209" s="295" t="str">
        <x:v>CÓ</x:v>
      </x:c>
      <x:c r="U209" s="295" t="str">
        <x:v>CHECK_ONLY</x:v>
      </x:c>
      <x:c r="V209" s="295" t="str">
        <x:v>Không tự chèn đoạn trắng</x:v>
      </x:c>
    </x:row>
    <x:row r="210" ht="28" customHeight="1">
      <x:c r="A210" s="295" t="n">
        <x:v>205</x:v>
      </x:c>
      <x:c r="B210" s="295" t="str">
        <x:v>HD05.D.NHAN.DS_KINH_GUI.GIAN_DONG</x:v>
      </x:c>
      <x:c r="C210" s="295" t="str">
        <x:v>HD05.D.NHAN.DS_KINH_GUI</x:v>
      </x:c>
      <x:c r="D210" s="295" t="str">
        <x:v>Người nhận trực tiếp</x:v>
      </x:c>
      <x:c r="E210" s="295" t="str">
        <x:v>Danh sách người nhận của công văn</x:v>
      </x:c>
      <x:c r="F210" s="295" t="str">
        <x:v>Giãn dòng</x:v>
      </x:c>
      <x:c r="G210" s="295" t="str">
        <x:v>NUMBER</x:v>
      </x:c>
      <x:c r="H210" s="295" t="str">
        <x:v>lines</x:v>
      </x:c>
      <x:c r="I210" s="295" t="str">
        <x:v>CHƯA XÁC MINH RIÊNG</x:v>
      </x:c>
      <x:c r="J210" s="295" t="str">
        <x:v>Không suy ra giới hạn pháp lý</x:v>
      </x:c>
      <x:c r="K210" s="295" t="str">
        <x:v>SINGLE</x:v>
      </x:c>
      <x:c r="L210" s="295" t="str">
        <x:v>PROFILE_CHO_RAO_SOAT</x:v>
      </x:c>
      <x:c r="M210" s="295" t="str">
        <x:v>CHUA_DOI_CHIEU_CU_THE</x:v>
      </x:c>
      <x:c r="N210" s="295" t="str">
        <x:v>Chỉ khi có Kính gửi, danh sách gắn với nhãn</x:v>
      </x:c>
      <x:c r="O210" s="295" t="str">
        <x:v>Quy định gốc &gt; profile; khi chưa rõ điều kiện thì giữ nguyên; không sinh nội dung.</x:v>
      </x:c>
      <x:c r="P210" s="295" t="str">
        <x:v>PARAGRAPH / RUN / SHAPE tùy thuộc tính</x:v>
      </x:c>
      <x:c r="Q210" s="295" t="str">
        <x:v>Xác định đúng khối Danh sách người nhận của công văn; đọc giá trị thực; đối chiếu điều kiện; không sửa nội dung khi thiếu nguồn.</x:v>
      </x:c>
      <x:c r="R210" s="295" t="str">
        <x:v>Chưa có locator xác minh riêng</x:v>
      </x:c>
      <x:c r="S210" s="295" t="str">
        <x:v>https://tulieuvankien.dangcongsan.vn/upload/2006988/20260529/HD_05_VPTW_e1550.pdf</x:v>
      </x:c>
      <x:c r="T210" s="295" t="str">
        <x:v>CÓ</x:v>
      </x:c>
      <x:c r="U210" s="295" t="str">
        <x:v>CHECK_ONLY</x:v>
      </x:c>
      <x:c r="V210" s="295" t="str">
        <x:v>Giãn dòng phần đầu không được tự đồng nhất với thân bài.</x:v>
      </x:c>
    </x:row>
    <x:row r="211" ht="28" customHeight="1">
      <x:c r="A211" s="295" t="n">
        <x:v>206</x:v>
      </x:c>
      <x:c r="B211" s="295" t="str">
        <x:v>HD05.D.NHAN.DS_KINH_GUI.BAO_VE_NOI_DUNG</x:v>
      </x:c>
      <x:c r="C211" s="295" t="str">
        <x:v>HD05.D.NHAN.DS_KINH_GUI</x:v>
      </x:c>
      <x:c r="D211" s="295" t="str">
        <x:v>Người nhận trực tiếp</x:v>
      </x:c>
      <x:c r="E211" s="295" t="str">
        <x:v>Danh sách người nhận của công văn</x:v>
      </x:c>
      <x:c r="F211" s="295" t="str">
        <x:v>Không tự suy diễn nội dung</x:v>
      </x:c>
      <x:c r="G211" s="295" t="str">
        <x:v>BOOLEAN</x:v>
      </x:c>
      <x:c r="H211" s="295"/>
      <x:c r="I211" s="295" t="str">
        <x:v>CHƯA XÁC MINH RIÊNG</x:v>
      </x:c>
      <x:c r="J211" s="295" t="str">
        <x:v>Không suy ra giới hạn pháp lý</x:v>
      </x:c>
      <x:c r="K211" s="296" t="b">
        <x:v>1</x:v>
      </x:c>
      <x:c r="L211" s="295" t="str">
        <x:v>NOI_DUNG_BAO_VE</x:v>
      </x:c>
      <x:c r="M211" s="295" t="str">
        <x:v>CHUA_DOI_CHIEU_CU_THE</x:v>
      </x:c>
      <x:c r="N211" s="295" t="str">
        <x:v>Chỉ khi có Kính gửi, danh sách gắn với nhãn</x:v>
      </x:c>
      <x:c r="O211" s="295" t="str">
        <x:v>Quy định gốc &gt; profile; khi chưa rõ điều kiện thì giữ nguyên; không sinh nội dung.</x:v>
      </x:c>
      <x:c r="P211" s="295" t="str">
        <x:v>PARAGRAPH / RUN / SHAPE tùy thuộc tính</x:v>
      </x:c>
      <x:c r="Q211" s="295" t="str">
        <x:v>Xác định đúng khối Danh sách người nhận của công văn; đọc giá trị thực; đối chiếu điều kiện; không sửa nội dung khi thiếu nguồn.</x:v>
      </x:c>
      <x:c r="R211" s="295" t="str">
        <x:v>Chưa có locator xác minh riêng</x:v>
      </x:c>
      <x:c r="S211" s="295" t="str">
        <x:v>https://tulieuvankien.dangcongsan.vn/upload/2006988/20260529/HD_05_VPTW_e1550.pdf</x:v>
      </x:c>
      <x:c r="T211" s="295" t="str">
        <x:v>CÓ</x:v>
      </x:c>
      <x:c r="U211" s="295" t="str">
        <x:v>CHECK_ONLY</x:v>
      </x:c>
      <x:c r="V211" s="295" t="str">
        <x:v>Chỉ chuẩn hóa hình thức sau khi xác nhận chính xác nội dung, không tự điền số/ngày/người nhận.</x:v>
      </x:c>
    </x:row>
    <x:row r="212" ht="28" customHeight="1">
      <x:c r="A212" s="295" t="n">
        <x:v>207</x:v>
      </x:c>
      <x:c r="B212" s="295" t="str">
        <x:v>HD05.D.NHAN.KINH_TRINH.HIEN_DIEN</x:v>
      </x:c>
      <x:c r="C212" s="295" t="str">
        <x:v>HD05.D.NHAN.KINH_TRINH</x:v>
      </x:c>
      <x:c r="D212" s="295" t="str">
        <x:v>Người nhận trực tiếp</x:v>
      </x:c>
      <x:c r="E212" s="295" t="str">
        <x:v>Nhãn Kính trình:</x:v>
      </x:c>
      <x:c r="F212" s="295" t="str">
        <x:v>Điều kiện hiện diện</x:v>
      </x:c>
      <x:c r="G212" s="295" t="str">
        <x:v>TEXT</x:v>
      </x:c>
      <x:c r="H212" s="295"/>
      <x:c r="I212" s="295" t="str">
        <x:v>CHƯA XÁC MINH RIÊNG</x:v>
      </x:c>
      <x:c r="J212" s="295" t="str">
        <x:v>Không suy ra giới hạn pháp lý</x:v>
      </x:c>
      <x:c r="K212" s="295" t="str">
        <x:v>Chỉ tờ trình Đảng theo HD05 (ô 9b)</x:v>
      </x:c>
      <x:c r="L212" s="295" t="str">
        <x:v>CHUA_DUYET_DINH_TUYEN</x:v>
      </x:c>
      <x:c r="M212" s="295" t="str">
        <x:v>CHUA_DOI_CHIEU_CU_THE</x:v>
      </x:c>
      <x:c r="N212" s="295" t="str">
        <x:v>Chỉ tờ trình Đảng theo HD05 (ô 9b)</x:v>
      </x:c>
      <x:c r="O212" s="295" t="str">
        <x:v>Quy định gốc &gt; profile; khi chưa rõ điều kiện thì giữ nguyên; không sinh nội dung.</x:v>
      </x:c>
      <x:c r="P212" s="295" t="str">
        <x:v>PARAGRAPH / RUN / SHAPE tùy thuộc tính</x:v>
      </x:c>
      <x:c r="Q212" s="295" t="str">
        <x:v>Xác định đúng khối Nhãn Kính trình:; đọc giá trị thực; đối chiếu điều kiện; không sửa nội dung khi thiếu nguồn.</x:v>
      </x:c>
      <x:c r="R212" s="295" t="str">
        <x:v>Chưa có locator xác minh riêng</x:v>
      </x:c>
      <x:c r="S212" s="295" t="str">
        <x:v>https://tulieuvankien.dangcongsan.vn/upload/2006988/20260529/HD_05_VPTW_e1550.pdf</x:v>
      </x:c>
      <x:c r="T212" s="295" t="str">
        <x:v>CÓ</x:v>
      </x:c>
      <x:c r="U212" s="295" t="str">
        <x:v>CHECK_ONLY</x:v>
      </x:c>
      <x:c r="V212" s="295" t="str">
        <x:v>Phải nhận diện chế độ và chủ thể trước khi áp dụng</x:v>
      </x:c>
    </x:row>
    <x:row r="213" ht="28" customHeight="1">
      <x:c r="A213" s="295" t="n">
        <x:v>208</x:v>
      </x:c>
      <x:c r="B213" s="295" t="str">
        <x:v>HD05.D.NHAN.KINH_TRINH.PHONG_CHU</x:v>
      </x:c>
      <x:c r="C213" s="295" t="str">
        <x:v>HD05.D.NHAN.KINH_TRINH</x:v>
      </x:c>
      <x:c r="D213" s="295" t="str">
        <x:v>Người nhận trực tiếp</x:v>
      </x:c>
      <x:c r="E213" s="295" t="str">
        <x:v>Nhãn Kính trình:</x:v>
      </x:c>
      <x:c r="F213" s="295" t="str">
        <x:v>Font chữ</x:v>
      </x:c>
      <x:c r="G213" s="295" t="str">
        <x:v>STRING</x:v>
      </x:c>
      <x:c r="H213" s="295"/>
      <x:c r="I213" s="295" t="str">
        <x:v>Times New Roman</x:v>
      </x:c>
      <x:c r="J213" s="295" t="str">
        <x:v>Đúng giá trị/giới hạn riêng</x:v>
      </x:c>
      <x:c r="K213" s="295" t="str">
        <x:v>Times New Roman</x:v>
      </x:c>
      <x:c r="L213" s="295" t="str">
        <x:v>PROFILE_CO_GIA_TRI_CHUA_DUYET</x:v>
      </x:c>
      <x:c r="M213" s="295" t="str">
        <x:v>DOI_CHIEU_CU_THE</x:v>
      </x:c>
      <x:c r="N213" s="295" t="str">
        <x:v>Chỉ tờ trình Đảng theo HD05 (ô 9b)</x:v>
      </x:c>
      <x:c r="O213" s="295" t="str">
        <x:v>Quy định gốc &gt; profile; khi chưa rõ điều kiện thì giữ nguyên; không sinh nội dung.</x:v>
      </x:c>
      <x:c r="P213" s="295" t="str">
        <x:v>PARAGRAPH / RUN / SHAPE tùy thuộc tính</x:v>
      </x:c>
      <x:c r="Q213" s="295" t="str">
        <x:v>Xác định đúng khối Nhãn Kính trình:; đọc giá trị thực; đối chiếu điều kiện; không sửa nội dung khi thiếu nguồn.</x:v>
      </x:c>
      <x:c r="R213" s="295" t="str">
        <x:v>Phần II, IV.1</x:v>
      </x:c>
      <x:c r="S213" s="295" t="str">
        <x:v>https://tulieuvankien.dangcongsan.vn/upload/2006988/20260529/HD_05_VPTW_e1550.pdf</x:v>
      </x:c>
      <x:c r="T213" s="295" t="str">
        <x:v>CÓ</x:v>
      </x:c>
      <x:c r="U213" s="295" t="str">
        <x:v>CHECK_ONLY</x:v>
      </x:c>
      <x:c r="V213" s="295" t="str"/>
    </x:row>
    <x:row r="214" ht="28" customHeight="1">
      <x:c r="A214" s="295" t="n">
        <x:v>209</x:v>
      </x:c>
      <x:c r="B214" s="295" t="str">
        <x:v>HD05.D.NHAN.KINH_TRINH.CO_CHU</x:v>
      </x:c>
      <x:c r="C214" s="295" t="str">
        <x:v>HD05.D.NHAN.KINH_TRINH</x:v>
      </x:c>
      <x:c r="D214" s="295" t="str">
        <x:v>Người nhận trực tiếp</x:v>
      </x:c>
      <x:c r="E214" s="295" t="str">
        <x:v>Nhãn Kính trình:</x:v>
      </x:c>
      <x:c r="F214" s="295" t="str">
        <x:v>Cỡ chữ</x:v>
      </x:c>
      <x:c r="G214" s="295" t="str">
        <x:v>NUMBER_OR_RANGE</x:v>
      </x:c>
      <x:c r="H214" s="295" t="str">
        <x:v>pt</x:v>
      </x:c>
      <x:c r="I214" s="295" t="str">
        <x:v>14</x:v>
      </x:c>
      <x:c r="J214" s="295" t="str">
        <x:v>Đúng giá trị/giới hạn riêng</x:v>
      </x:c>
      <x:c r="K214" s="295" t="n">
        <x:v>14</x:v>
      </x:c>
      <x:c r="L214" s="295" t="str">
        <x:v>PROFILE_CO_GIA_TRI_CHUA_DUYET</x:v>
      </x:c>
      <x:c r="M214" s="295" t="str">
        <x:v>DOI_CHIEU_CU_THE</x:v>
      </x:c>
      <x:c r="N214" s="295" t="str">
        <x:v>Chỉ tờ trình Đảng theo HD05 (ô 9b)</x:v>
      </x:c>
      <x:c r="O214" s="295" t="str">
        <x:v>Quy định gốc &gt; profile; khi chưa rõ điều kiện thì giữ nguyên; không sinh nội dung.</x:v>
      </x:c>
      <x:c r="P214" s="295" t="str">
        <x:v>PARAGRAPH / RUN / SHAPE tùy thuộc tính</x:v>
      </x:c>
      <x:c r="Q214" s="295" t="str">
        <x:v>Xác định đúng khối Nhãn Kính trình:; đọc giá trị thực; đối chiếu điều kiện; không sửa nội dung khi thiếu nguồn.</x:v>
      </x:c>
      <x:c r="R214" s="295" t="str">
        <x:v>Phần II, I.9.2.4; Phụ lục 2, TT9</x:v>
      </x:c>
      <x:c r="S214" s="295" t="str">
        <x:v>https://tulieuvankien.dangcongsan.vn/upload/2006988/20260529/HD_05_VPTW_e1550.pdf</x:v>
      </x:c>
      <x:c r="T214" s="295" t="str">
        <x:v>CÓ</x:v>
      </x:c>
      <x:c r="U214" s="295" t="str">
        <x:v>CHECK_ONLY</x:v>
      </x:c>
      <x:c r="V214" s="295" t="str"/>
    </x:row>
    <x:row r="215" ht="28" customHeight="1">
      <x:c r="A215" s="295" t="n">
        <x:v>210</x:v>
      </x:c>
      <x:c r="B215" s="295" t="str">
        <x:v>HD05.D.NHAN.KINH_TRINH.DAM</x:v>
      </x:c>
      <x:c r="C215" s="295" t="str">
        <x:v>HD05.D.NHAN.KINH_TRINH</x:v>
      </x:c>
      <x:c r="D215" s="295" t="str">
        <x:v>Người nhận trực tiếp</x:v>
      </x:c>
      <x:c r="E215" s="295" t="str">
        <x:v>Nhãn Kính trình:</x:v>
      </x:c>
      <x:c r="F215" s="295" t="str">
        <x:v>In đậm</x:v>
      </x:c>
      <x:c r="G215" s="295" t="str">
        <x:v>BOOLEAN</x:v>
      </x:c>
      <x:c r="H215" s="295"/>
      <x:c r="I215" s="296" t="b">
        <x:v>0</x:v>
      </x:c>
      <x:c r="J215" s="295" t="str">
        <x:v>Đúng giá trị/giới hạn riêng</x:v>
      </x:c>
      <x:c r="K215" s="296" t="b">
        <x:v>0</x:v>
      </x:c>
      <x:c r="L215" s="295" t="str">
        <x:v>PROFILE_CO_GIA_TRI_CHUA_DUYET</x:v>
      </x:c>
      <x:c r="M215" s="295" t="str">
        <x:v>DOI_CHIEU_CU_THE</x:v>
      </x:c>
      <x:c r="N215" s="295" t="str">
        <x:v>Chỉ tờ trình Đảng theo HD05 (ô 9b)</x:v>
      </x:c>
      <x:c r="O215" s="295" t="str">
        <x:v>Quy định gốc &gt; profile; khi chưa rõ điều kiện thì giữ nguyên; không sinh nội dung.</x:v>
      </x:c>
      <x:c r="P215" s="295" t="str">
        <x:v>PARAGRAPH / RUN / SHAPE tùy thuộc tính</x:v>
      </x:c>
      <x:c r="Q215" s="295" t="str">
        <x:v>Xác định đúng khối Nhãn Kính trình:; đọc giá trị thực; đối chiếu điều kiện; không sửa nội dung khi thiếu nguồn.</x:v>
      </x:c>
      <x:c r="R215" s="295" t="str">
        <x:v>Phần II, I.9.2.4; Phụ lục 2, TT9</x:v>
      </x:c>
      <x:c r="S215" s="295" t="str">
        <x:v>https://tulieuvankien.dangcongsan.vn/upload/2006988/20260529/HD_05_VPTW_e1550.pdf</x:v>
      </x:c>
      <x:c r="T215" s="295" t="str">
        <x:v>CÓ</x:v>
      </x:c>
      <x:c r="U215" s="295" t="str">
        <x:v>CHECK_ONLY</x:v>
      </x:c>
      <x:c r="V215" s="295" t="str"/>
    </x:row>
    <x:row r="216" ht="28" customHeight="1">
      <x:c r="A216" s="295" t="n">
        <x:v>211</x:v>
      </x:c>
      <x:c r="B216" s="295" t="str">
        <x:v>HD05.D.NHAN.KINH_TRINH.NGHIENG</x:v>
      </x:c>
      <x:c r="C216" s="295" t="str">
        <x:v>HD05.D.NHAN.KINH_TRINH</x:v>
      </x:c>
      <x:c r="D216" s="295" t="str">
        <x:v>Người nhận trực tiếp</x:v>
      </x:c>
      <x:c r="E216" s="295" t="str">
        <x:v>Nhãn Kính trình:</x:v>
      </x:c>
      <x:c r="F216" s="295" t="str">
        <x:v>In nghiêng</x:v>
      </x:c>
      <x:c r="G216" s="295" t="str">
        <x:v>BOOLEAN</x:v>
      </x:c>
      <x:c r="H216" s="295"/>
      <x:c r="I216" s="296" t="b">
        <x:v>1</x:v>
      </x:c>
      <x:c r="J216" s="295" t="str">
        <x:v>Đúng giá trị/giới hạn riêng</x:v>
      </x:c>
      <x:c r="K216" s="296" t="b">
        <x:v>1</x:v>
      </x:c>
      <x:c r="L216" s="295" t="str">
        <x:v>PROFILE_CO_GIA_TRI_CHUA_DUYET</x:v>
      </x:c>
      <x:c r="M216" s="295" t="str">
        <x:v>DOI_CHIEU_CU_THE</x:v>
      </x:c>
      <x:c r="N216" s="295" t="str">
        <x:v>Chỉ tờ trình Đảng theo HD05 (ô 9b)</x:v>
      </x:c>
      <x:c r="O216" s="295" t="str">
        <x:v>Quy định gốc &gt; profile; khi chưa rõ điều kiện thì giữ nguyên; không sinh nội dung.</x:v>
      </x:c>
      <x:c r="P216" s="295" t="str">
        <x:v>PARAGRAPH / RUN / SHAPE tùy thuộc tính</x:v>
      </x:c>
      <x:c r="Q216" s="295" t="str">
        <x:v>Xác định đúng khối Nhãn Kính trình:; đọc giá trị thực; đối chiếu điều kiện; không sửa nội dung khi thiếu nguồn.</x:v>
      </x:c>
      <x:c r="R216" s="295" t="str">
        <x:v>Phần II, I.9.2.4; Phụ lục 2, TT9</x:v>
      </x:c>
      <x:c r="S216" s="295" t="str">
        <x:v>https://tulieuvankien.dangcongsan.vn/upload/2006988/20260529/HD_05_VPTW_e1550.pdf</x:v>
      </x:c>
      <x:c r="T216" s="295" t="str">
        <x:v>CÓ</x:v>
      </x:c>
      <x:c r="U216" s="295" t="str">
        <x:v>CHECK_ONLY</x:v>
      </x:c>
      <x:c r="V216" s="295" t="str"/>
    </x:row>
    <x:row r="217" ht="28" customHeight="1">
      <x:c r="A217" s="295" t="n">
        <x:v>212</x:v>
      </x:c>
      <x:c r="B217" s="295" t="str">
        <x:v>HD05.D.NHAN.KINH_TRINH.KIEU_CHU</x:v>
      </x:c>
      <x:c r="C217" s="295" t="str">
        <x:v>HD05.D.NHAN.KINH_TRINH</x:v>
      </x:c>
      <x:c r="D217" s="295" t="str">
        <x:v>Người nhận trực tiếp</x:v>
      </x:c>
      <x:c r="E217" s="295" t="str">
        <x:v>Nhãn Kính trình:</x:v>
      </x:c>
      <x:c r="F217" s="295" t="str">
        <x:v>Kiểu viết hoa/thường</x:v>
      </x:c>
      <x:c r="G217" s="295" t="str">
        <x:v>ENUM</x:v>
      </x:c>
      <x:c r="H217" s="295"/>
      <x:c r="I217" s="295" t="str">
        <x:v>In thường</x:v>
      </x:c>
      <x:c r="J217" s="295" t="str">
        <x:v>Đúng giá trị/giới hạn riêng</x:v>
      </x:c>
      <x:c r="K217" s="295" t="str">
        <x:v>In thường</x:v>
      </x:c>
      <x:c r="L217" s="295" t="str">
        <x:v>PROFILE_CO_GIA_TRI_CHUA_DUYET</x:v>
      </x:c>
      <x:c r="M217" s="295" t="str">
        <x:v>DOI_CHIEU_CU_THE</x:v>
      </x:c>
      <x:c r="N217" s="295" t="str">
        <x:v>Chỉ tờ trình Đảng theo HD05 (ô 9b)</x:v>
      </x:c>
      <x:c r="O217" s="295" t="str">
        <x:v>Quy định gốc &gt; profile; khi chưa rõ điều kiện thì giữ nguyên; không sinh nội dung.</x:v>
      </x:c>
      <x:c r="P217" s="295" t="str">
        <x:v>PARAGRAPH / RUN / SHAPE tùy thuộc tính</x:v>
      </x:c>
      <x:c r="Q217" s="295" t="str">
        <x:v>Xác định đúng khối Nhãn Kính trình:; đọc giá trị thực; đối chiếu điều kiện; không sửa nội dung khi thiếu nguồn.</x:v>
      </x:c>
      <x:c r="R217" s="295" t="str">
        <x:v>Phần II, I.9.2.4; Phụ lục 2, TT9</x:v>
      </x:c>
      <x:c r="S217" s="295" t="str">
        <x:v>https://tulieuvankien.dangcongsan.vn/upload/2006988/20260529/HD_05_VPTW_e1550.pdf</x:v>
      </x:c>
      <x:c r="T217" s="295" t="str">
        <x:v>CÓ</x:v>
      </x:c>
      <x:c r="U217" s="295" t="str">
        <x:v>CHECK_ONLY</x:v>
      </x:c>
      <x:c r="V217" s="295" t="str"/>
    </x:row>
    <x:row r="218" ht="28" customHeight="1">
      <x:c r="A218" s="295" t="n">
        <x:v>213</x:v>
      </x:c>
      <x:c r="B218" s="295" t="str">
        <x:v>HD05.D.NHAN.KINH_TRINH.CAN_NGANG</x:v>
      </x:c>
      <x:c r="C218" s="295" t="str">
        <x:v>HD05.D.NHAN.KINH_TRINH</x:v>
      </x:c>
      <x:c r="D218" s="295" t="str">
        <x:v>Người nhận trực tiếp</x:v>
      </x:c>
      <x:c r="E218" s="295" t="str">
        <x:v>Nhãn Kính trình:</x:v>
      </x:c>
      <x:c r="F218" s="295" t="str">
        <x:v>Căn ngang</x:v>
      </x:c>
      <x:c r="G218" s="295" t="str">
        <x:v>ENUM</x:v>
      </x:c>
      <x:c r="H218" s="295"/>
      <x:c r="I218" s="295" t="str">
        <x:v>CENTER</x:v>
      </x:c>
      <x:c r="J218" s="295" t="str">
        <x:v>Đúng giá trị/giới hạn riêng</x:v>
      </x:c>
      <x:c r="K218" s="295"/>
      <x:c r="L218" s="295" t="str">
        <x:v>KHONG_AP_DUNG_HOAC_CHUA_DU_GIA_TRI</x:v>
      </x:c>
      <x:c r="M218" s="295" t="str">
        <x:v>DOI_CHIEU_CU_THE</x:v>
      </x:c>
      <x:c r="N218" s="295" t="str">
        <x:v>Chỉ tờ trình Đảng theo HD05 (ô 9b)</x:v>
      </x:c>
      <x:c r="O218" s="295" t="str">
        <x:v>Quy định gốc &gt; profile; khi chưa rõ điều kiện thì giữ nguyên; không sinh nội dung.</x:v>
      </x:c>
      <x:c r="P218" s="295" t="str">
        <x:v>PARAGRAPH / RUN / SHAPE tùy thuộc tính</x:v>
      </x:c>
      <x:c r="Q218" s="295" t="str">
        <x:v>Xác định đúng khối Nhãn Kính trình:; đọc giá trị thực; đối chiếu điều kiện; không sửa nội dung khi thiếu nguồn.</x:v>
      </x:c>
      <x:c r="R218" s="295" t="str">
        <x:v>Phần II, I.9.2.4; Phụ lục 2, TT9</x:v>
      </x:c>
      <x:c r="S218" s="295" t="str">
        <x:v>https://tulieuvankien.dangcongsan.vn/upload/2006988/20260529/HD_05_VPTW_e1550.pdf</x:v>
      </x:c>
      <x:c r="T218" s="295" t="str">
        <x:v>CÓ</x:v>
      </x:c>
      <x:c r="U218" s="295" t="str">
        <x:v>CHECK_ONLY</x:v>
      </x:c>
      <x:c r="V218" s="295" t="str"/>
    </x:row>
    <x:row r="219" ht="28" customHeight="1">
      <x:c r="A219" s="295" t="n">
        <x:v>214</x:v>
      </x:c>
      <x:c r="B219" s="295" t="str">
        <x:v>HD05.D.NHAN.KINH_TRINH.CACH_SAU</x:v>
      </x:c>
      <x:c r="C219" s="295" t="str">
        <x:v>HD05.D.NHAN.KINH_TRINH</x:v>
      </x:c>
      <x:c r="D219" s="295" t="str">
        <x:v>Người nhận trực tiếp</x:v>
      </x:c>
      <x:c r="E219" s="295" t="str">
        <x:v>Nhãn Kính trình:</x:v>
      </x:c>
      <x:c r="F219" s="295" t="str">
        <x:v>Khoảng cách sau đoạn</x:v>
      </x:c>
      <x:c r="G219" s="295" t="str">
        <x:v>NUMBER</x:v>
      </x:c>
      <x:c r="H219" s="295" t="str">
        <x:v>pt</x:v>
      </x:c>
      <x:c r="I219" s="295" t="str">
        <x:v>CHƯA XÁC MINH RIÊNG</x:v>
      </x:c>
      <x:c r="J219" s="295" t="str">
        <x:v>Không suy ra giới hạn pháp lý</x:v>
      </x:c>
      <x:c r="K219" s="295" t="n">
        <x:v>3</x:v>
      </x:c>
      <x:c r="L219" s="295" t="str">
        <x:v>PROFILE_CHO_RAO_SOAT</x:v>
      </x:c>
      <x:c r="M219" s="295" t="str">
        <x:v>CHUA_DOI_CHIEU_CU_THE</x:v>
      </x:c>
      <x:c r="N219" s="295" t="str">
        <x:v>Chỉ tờ trình Đảng theo HD05 (ô 9b)</x:v>
      </x:c>
      <x:c r="O219" s="295" t="str">
        <x:v>Quy định gốc &gt; profile; khi chưa rõ điều kiện thì giữ nguyên; không sinh nội dung.</x:v>
      </x:c>
      <x:c r="P219" s="295" t="str">
        <x:v>PARAGRAPH / RUN / SHAPE tùy thuộc tính</x:v>
      </x:c>
      <x:c r="Q219" s="295" t="str">
        <x:v>Xác định đúng khối Nhãn Kính trình:; đọc giá trị thực; đối chiếu điều kiện; không sửa nội dung khi thiếu nguồn.</x:v>
      </x:c>
      <x:c r="R219" s="295" t="str">
        <x:v>Chưa có locator xác minh riêng</x:v>
      </x:c>
      <x:c r="S219" s="295" t="str">
        <x:v>https://tulieuvankien.dangcongsan.vn/upload/2006988/20260529/HD_05_VPTW_e1550.pdf</x:v>
      </x:c>
      <x:c r="T219" s="295" t="str">
        <x:v>CÓ</x:v>
      </x:c>
      <x:c r="U219" s="295" t="str">
        <x:v>CHECK_ONLY</x:v>
      </x:c>
      <x:c r="V219" s="295" t="str">
        <x:v>Không tự chèn đoạn trắng</x:v>
      </x:c>
    </x:row>
    <x:row r="220" ht="28" customHeight="1">
      <x:c r="A220" s="295" t="n">
        <x:v>215</x:v>
      </x:c>
      <x:c r="B220" s="295" t="str">
        <x:v>HD05.D.NHAN.KINH_TRINH.GIAN_DONG</x:v>
      </x:c>
      <x:c r="C220" s="295" t="str">
        <x:v>HD05.D.NHAN.KINH_TRINH</x:v>
      </x:c>
      <x:c r="D220" s="295" t="str">
        <x:v>Người nhận trực tiếp</x:v>
      </x:c>
      <x:c r="E220" s="295" t="str">
        <x:v>Nhãn Kính trình:</x:v>
      </x:c>
      <x:c r="F220" s="295" t="str">
        <x:v>Giãn dòng</x:v>
      </x:c>
      <x:c r="G220" s="295" t="str">
        <x:v>NUMBER</x:v>
      </x:c>
      <x:c r="H220" s="295" t="str">
        <x:v>lines</x:v>
      </x:c>
      <x:c r="I220" s="295" t="str">
        <x:v>CHƯA XÁC MINH RIÊNG</x:v>
      </x:c>
      <x:c r="J220" s="295" t="str">
        <x:v>Không suy ra giới hạn pháp lý</x:v>
      </x:c>
      <x:c r="K220" s="295" t="str">
        <x:v>SINGLE</x:v>
      </x:c>
      <x:c r="L220" s="295" t="str">
        <x:v>PROFILE_CHO_RAO_SOAT</x:v>
      </x:c>
      <x:c r="M220" s="295" t="str">
        <x:v>CHUA_DOI_CHIEU_CU_THE</x:v>
      </x:c>
      <x:c r="N220" s="295" t="str">
        <x:v>Chỉ tờ trình Đảng theo HD05 (ô 9b)</x:v>
      </x:c>
      <x:c r="O220" s="295" t="str">
        <x:v>Quy định gốc &gt; profile; khi chưa rõ điều kiện thì giữ nguyên; không sinh nội dung.</x:v>
      </x:c>
      <x:c r="P220" s="295" t="str">
        <x:v>PARAGRAPH / RUN / SHAPE tùy thuộc tính</x:v>
      </x:c>
      <x:c r="Q220" s="295" t="str">
        <x:v>Xác định đúng khối Nhãn Kính trình:; đọc giá trị thực; đối chiếu điều kiện; không sửa nội dung khi thiếu nguồn.</x:v>
      </x:c>
      <x:c r="R220" s="295" t="str">
        <x:v>Chưa có locator xác minh riêng</x:v>
      </x:c>
      <x:c r="S220" s="295" t="str">
        <x:v>https://tulieuvankien.dangcongsan.vn/upload/2006988/20260529/HD_05_VPTW_e1550.pdf</x:v>
      </x:c>
      <x:c r="T220" s="295" t="str">
        <x:v>CÓ</x:v>
      </x:c>
      <x:c r="U220" s="295" t="str">
        <x:v>CHECK_ONLY</x:v>
      </x:c>
      <x:c r="V220" s="295" t="str">
        <x:v>Giãn dòng phần đầu không được tự đồng nhất với thân bài.</x:v>
      </x:c>
    </x:row>
    <x:row r="221" ht="28" customHeight="1">
      <x:c r="A221" s="295" t="n">
        <x:v>216</x:v>
      </x:c>
      <x:c r="B221" s="295" t="str">
        <x:v>HD05.D.NHAN.KINH_TRINH.CHUOI_CO_DINH</x:v>
      </x:c>
      <x:c r="C221" s="295" t="str">
        <x:v>HD05.D.NHAN.KINH_TRINH</x:v>
      </x:c>
      <x:c r="D221" s="295" t="str">
        <x:v>Người nhận trực tiếp</x:v>
      </x:c>
      <x:c r="E221" s="295" t="str">
        <x:v>Nhãn Kính trình:</x:v>
      </x:c>
      <x:c r="F221" s="295" t="str">
        <x:v>Nhãn hoặc chuỗi cố định</x:v>
      </x:c>
      <x:c r="G221" s="295" t="str">
        <x:v>TEXT</x:v>
      </x:c>
      <x:c r="H221" s="295"/>
      <x:c r="I221" s="295" t="str">
        <x:v>Kính trình:</x:v>
      </x:c>
      <x:c r="J221" s="295" t="str">
        <x:v>Đúng giá trị/giới hạn riêng</x:v>
      </x:c>
      <x:c r="K221" s="295" t="str">
        <x:v>Kính trình:</x:v>
      </x:c>
      <x:c r="L221" s="295" t="str">
        <x:v>PROFILE_CO_GIA_TRI_HOP_LE</x:v>
      </x:c>
      <x:c r="M221" s="295" t="str">
        <x:v>DOI_CHIEU_CU_THE</x:v>
      </x:c>
      <x:c r="N221" s="295" t="str">
        <x:v>Chỉ tờ trình Đảng theo HD05 (ô 9b)</x:v>
      </x:c>
      <x:c r="O221" s="295" t="str">
        <x:v>Quy định gốc &gt; profile; khi chưa rõ điều kiện thì giữ nguyên; không sinh nội dung.</x:v>
      </x:c>
      <x:c r="P221" s="295" t="str">
        <x:v>PARAGRAPH / RUN / SHAPE tùy thuộc tính</x:v>
      </x:c>
      <x:c r="Q221" s="295" t="str">
        <x:v>Xác định đúng khối Nhãn Kính trình:; đọc giá trị thực; đối chiếu điều kiện; không sửa nội dung khi thiếu nguồn.</x:v>
      </x:c>
      <x:c r="R221" s="295" t="str">
        <x:v>Phần II, I.1-9; Phụ lục 2</x:v>
      </x:c>
      <x:c r="S221" s="295" t="str">
        <x:v>https://tulieuvankien.dangcongsan.vn/upload/2006988/20260529/HD_05_VPTW_e1550.pdf</x:v>
      </x:c>
      <x:c r="T221" s="295" t="str">
        <x:v>CÓ</x:v>
      </x:c>
      <x:c r="U221" s="295" t="str">
        <x:v>CHECK_ONLY</x:v>
      </x:c>
      <x:c r="V221" s="295" t="str">
        <x:v>Không thêm nhãn khi thành phần không xuất hiện</x:v>
      </x:c>
    </x:row>
    <x:row r="222" ht="28" customHeight="1">
      <x:c r="A222" s="295" t="n">
        <x:v>217</x:v>
      </x:c>
      <x:c r="B222" s="295" t="str">
        <x:v>HD05.D.NHAN.KINH_TRINH.VI_TRI</x:v>
      </x:c>
      <x:c r="C222" s="295" t="str">
        <x:v>HD05.D.NHAN.KINH_TRINH</x:v>
      </x:c>
      <x:c r="D222" s="295" t="str">
        <x:v>Người nhận trực tiếp</x:v>
      </x:c>
      <x:c r="E222" s="295" t="str">
        <x:v>Nhãn Kính trình:</x:v>
      </x:c>
      <x:c r="F222" s="295" t="str">
        <x:v>Ô bố cục của Kính trình</x:v>
      </x:c>
      <x:c r="G222" s="295" t="str">
        <x:v>TEXT</x:v>
      </x:c>
      <x:c r="H222" s="295"/>
      <x:c r="I222" s="295" t="str">
        <x:v>9b</x:v>
      </x:c>
      <x:c r="J222" s="295" t="str">
        <x:v>Đúng giá trị/giới hạn riêng</x:v>
      </x:c>
      <x:c r="K222" s="295" t="str">
        <x:v>9b</x:v>
      </x:c>
      <x:c r="L222" s="295" t="str">
        <x:v>PROFILE_THEO_NGUON</x:v>
      </x:c>
      <x:c r="M222" s="295" t="str">
        <x:v>DOI_CHIEU_CU_THE</x:v>
      </x:c>
      <x:c r="N222" s="295" t="str">
        <x:v>Chỉ tờ trình Đảng theo HD05 (ô 9b)</x:v>
      </x:c>
      <x:c r="O222" s="295" t="str">
        <x:v>Quy định gốc &gt; profile; khi chưa rõ điều kiện thì giữ nguyên; không sinh nội dung.</x:v>
      </x:c>
      <x:c r="P222" s="295" t="str">
        <x:v>PARAGRAPH / RUN / SHAPE tùy thuộc tính</x:v>
      </x:c>
      <x:c r="Q222" s="295" t="str">
        <x:v>Xác định đúng khối Nhãn Kính trình:; đọc giá trị thực; đối chiếu điều kiện; không sửa nội dung khi thiếu nguồn.</x:v>
      </x:c>
      <x:c r="R222" s="295" t="str">
        <x:v>Phần II, I.9.2.4</x:v>
      </x:c>
      <x:c r="S222" s="295" t="str">
        <x:v>https://tulieuvankien.dangcongsan.vn/upload/2006988/20260529/HD_05_VPTW_e1550.pdf</x:v>
      </x:c>
      <x:c r="T222" s="295" t="str">
        <x:v>CÓ</x:v>
      </x:c>
      <x:c r="U222" s="295" t="str">
        <x:v>CHECK_ONLY</x:v>
      </x:c>
      <x:c r="V222" s="295" t="str">
        <x:v>Mã rule con chỉ phục vụ AI đọc; không tự tạo thao tác OOXML.</x:v>
      </x:c>
    </x:row>
    <x:row r="223" ht="28" customHeight="1">
      <x:c r="A223" s="295" t="n">
        <x:v>218</x:v>
      </x:c>
      <x:c r="B223" s="295" t="str">
        <x:v>HD05.D.NHAN.DS_KINH_TRINH.HIEN_DIEN</x:v>
      </x:c>
      <x:c r="C223" s="295" t="str">
        <x:v>HD05.D.NHAN.DS_KINH_TRINH</x:v>
      </x:c>
      <x:c r="D223" s="295" t="str">
        <x:v>Người nhận trực tiếp</x:v>
      </x:c>
      <x:c r="E223" s="295" t="str">
        <x:v>Danh sách đối tượng được trình</x:v>
      </x:c>
      <x:c r="F223" s="295" t="str">
        <x:v>Điều kiện hiện diện</x:v>
      </x:c>
      <x:c r="G223" s="295" t="str">
        <x:v>TEXT</x:v>
      </x:c>
      <x:c r="H223" s="295"/>
      <x:c r="I223" s="295" t="str">
        <x:v>CHƯA XÁC MINH RIÊNG</x:v>
      </x:c>
      <x:c r="J223" s="295" t="str">
        <x:v>Không suy ra giới hạn pháp lý</x:v>
      </x:c>
      <x:c r="K223" s="295" t="str">
        <x:v>Chỉ khi có Kính trình HD05 (ô 9b)</x:v>
      </x:c>
      <x:c r="L223" s="295" t="str">
        <x:v>CHUA_DUYET_DINH_TUYEN</x:v>
      </x:c>
      <x:c r="M223" s="295" t="str">
        <x:v>CHUA_DOI_CHIEU_CU_THE</x:v>
      </x:c>
      <x:c r="N223" s="295" t="str">
        <x:v>Chỉ khi có Kính trình HD05 (ô 9b)</x:v>
      </x:c>
      <x:c r="O223" s="295" t="str">
        <x:v>Quy định gốc &gt; profile; khi chưa rõ điều kiện thì giữ nguyên; không sinh nội dung.</x:v>
      </x:c>
      <x:c r="P223" s="295" t="str">
        <x:v>PARAGRAPH / RUN / SHAPE tùy thuộc tính</x:v>
      </x:c>
      <x:c r="Q223" s="295" t="str">
        <x:v>Xác định đúng khối Danh sách đối tượng được trình; đọc giá trị thực; đối chiếu điều kiện; không sửa nội dung khi thiếu nguồn.</x:v>
      </x:c>
      <x:c r="R223" s="295" t="str">
        <x:v>Chưa có locator xác minh riêng</x:v>
      </x:c>
      <x:c r="S223" s="295" t="str">
        <x:v>https://tulieuvankien.dangcongsan.vn/upload/2006988/20260529/HD_05_VPTW_e1550.pdf</x:v>
      </x:c>
      <x:c r="T223" s="295" t="str">
        <x:v>CÓ</x:v>
      </x:c>
      <x:c r="U223" s="295" t="str">
        <x:v>CHECK_ONLY</x:v>
      </x:c>
      <x:c r="V223" s="295" t="str">
        <x:v>Phải nhận diện chế độ và chủ thể trước khi áp dụng</x:v>
      </x:c>
    </x:row>
    <x:row r="224" ht="28" customHeight="1">
      <x:c r="A224" s="295" t="n">
        <x:v>219</x:v>
      </x:c>
      <x:c r="B224" s="295" t="str">
        <x:v>HD05.D.NHAN.DS_KINH_TRINH.PHONG_CHU</x:v>
      </x:c>
      <x:c r="C224" s="295" t="str">
        <x:v>HD05.D.NHAN.DS_KINH_TRINH</x:v>
      </x:c>
      <x:c r="D224" s="295" t="str">
        <x:v>Người nhận trực tiếp</x:v>
      </x:c>
      <x:c r="E224" s="295" t="str">
        <x:v>Danh sách đối tượng được trình</x:v>
      </x:c>
      <x:c r="F224" s="295" t="str">
        <x:v>Font chữ</x:v>
      </x:c>
      <x:c r="G224" s="295" t="str">
        <x:v>STRING</x:v>
      </x:c>
      <x:c r="H224" s="295"/>
      <x:c r="I224" s="295" t="str">
        <x:v>Times New Roman</x:v>
      </x:c>
      <x:c r="J224" s="295" t="str">
        <x:v>Đúng giá trị/giới hạn riêng</x:v>
      </x:c>
      <x:c r="K224" s="295" t="str">
        <x:v>Times New Roman</x:v>
      </x:c>
      <x:c r="L224" s="295" t="str">
        <x:v>PROFILE_CO_GIA_TRI_CHUA_DUYET</x:v>
      </x:c>
      <x:c r="M224" s="295" t="str">
        <x:v>DOI_CHIEU_CU_THE</x:v>
      </x:c>
      <x:c r="N224" s="295" t="str">
        <x:v>Chỉ khi có Kính trình HD05 (ô 9b)</x:v>
      </x:c>
      <x:c r="O224" s="295" t="str">
        <x:v>Quy định gốc &gt; profile; khi chưa rõ điều kiện thì giữ nguyên; không sinh nội dung.</x:v>
      </x:c>
      <x:c r="P224" s="295" t="str">
        <x:v>PARAGRAPH / RUN / SHAPE tùy thuộc tính</x:v>
      </x:c>
      <x:c r="Q224" s="295" t="str">
        <x:v>Xác định đúng khối Danh sách đối tượng được trình; đọc giá trị thực; đối chiếu điều kiện; không sửa nội dung khi thiếu nguồn.</x:v>
      </x:c>
      <x:c r="R224" s="295" t="str">
        <x:v>Phần II, IV.1</x:v>
      </x:c>
      <x:c r="S224" s="295" t="str">
        <x:v>https://tulieuvankien.dangcongsan.vn/upload/2006988/20260529/HD_05_VPTW_e1550.pdf</x:v>
      </x:c>
      <x:c r="T224" s="295" t="str">
        <x:v>CÓ</x:v>
      </x:c>
      <x:c r="U224" s="295" t="str">
        <x:v>CHECK_ONLY</x:v>
      </x:c>
      <x:c r="V224" s="295" t="str"/>
    </x:row>
    <x:row r="225" ht="28" customHeight="1">
      <x:c r="A225" s="295" t="n">
        <x:v>220</x:v>
      </x:c>
      <x:c r="B225" s="295" t="str">
        <x:v>HD05.D.NHAN.DS_KINH_TRINH.CO_CHU</x:v>
      </x:c>
      <x:c r="C225" s="295" t="str">
        <x:v>HD05.D.NHAN.DS_KINH_TRINH</x:v>
      </x:c>
      <x:c r="D225" s="295" t="str">
        <x:v>Người nhận trực tiếp</x:v>
      </x:c>
      <x:c r="E225" s="295" t="str">
        <x:v>Danh sách đối tượng được trình</x:v>
      </x:c>
      <x:c r="F225" s="295" t="str">
        <x:v>Cỡ chữ</x:v>
      </x:c>
      <x:c r="G225" s="295" t="str">
        <x:v>NUMBER_OR_RANGE</x:v>
      </x:c>
      <x:c r="H225" s="295" t="str">
        <x:v>pt</x:v>
      </x:c>
      <x:c r="I225" s="295" t="str">
        <x:v>14–15</x:v>
      </x:c>
      <x:c r="J225" s="295" t="str">
        <x:v>Đúng giá trị/giới hạn riêng</x:v>
      </x:c>
      <x:c r="K225" s="295" t="n">
        <x:v>14</x:v>
      </x:c>
      <x:c r="L225" s="295" t="str">
        <x:v>PROFILE_CO_GIA_TRI_CHUA_DUYET</x:v>
      </x:c>
      <x:c r="M225" s="295" t="str">
        <x:v>DOI_CHIEU_CU_THE</x:v>
      </x:c>
      <x:c r="N225" s="295" t="str">
        <x:v>Chỉ khi có Kính trình HD05 (ô 9b)</x:v>
      </x:c>
      <x:c r="O225" s="295" t="str">
        <x:v>Quy định gốc &gt; profile; khi chưa rõ điều kiện thì giữ nguyên; không sinh nội dung.</x:v>
      </x:c>
      <x:c r="P225" s="295" t="str">
        <x:v>PARAGRAPH / RUN / SHAPE tùy thuộc tính</x:v>
      </x:c>
      <x:c r="Q225" s="295" t="str">
        <x:v>Xác định đúng khối Danh sách đối tượng được trình; đọc giá trị thực; đối chiếu điều kiện; không sửa nội dung khi thiếu nguồn.</x:v>
      </x:c>
      <x:c r="R225" s="295" t="str">
        <x:v>Phần II, I.9; Phụ lục 2, TT9</x:v>
      </x:c>
      <x:c r="S225" s="295" t="str">
        <x:v>https://tulieuvankien.dangcongsan.vn/upload/2006988/20260529/HD_05_VPTW_e1550.pdf</x:v>
      </x:c>
      <x:c r="T225" s="295" t="str">
        <x:v>CÓ</x:v>
      </x:c>
      <x:c r="U225" s="295" t="str">
        <x:v>CHECK_ONLY</x:v>
      </x:c>
      <x:c r="V225" s="295" t="str"/>
    </x:row>
    <x:row r="226" ht="28" customHeight="1">
      <x:c r="A226" s="295" t="n">
        <x:v>221</x:v>
      </x:c>
      <x:c r="B226" s="295" t="str">
        <x:v>HD05.D.NHAN.DS_KINH_TRINH.DAM</x:v>
      </x:c>
      <x:c r="C226" s="295" t="str">
        <x:v>HD05.D.NHAN.DS_KINH_TRINH</x:v>
      </x:c>
      <x:c r="D226" s="295" t="str">
        <x:v>Người nhận trực tiếp</x:v>
      </x:c>
      <x:c r="E226" s="295" t="str">
        <x:v>Danh sách đối tượng được trình</x:v>
      </x:c>
      <x:c r="F226" s="295" t="str">
        <x:v>In đậm</x:v>
      </x:c>
      <x:c r="G226" s="295" t="str">
        <x:v>BOOLEAN</x:v>
      </x:c>
      <x:c r="H226" s="295"/>
      <x:c r="I226" s="296" t="b">
        <x:v>0</x:v>
      </x:c>
      <x:c r="J226" s="295" t="str">
        <x:v>Đúng giá trị/giới hạn riêng</x:v>
      </x:c>
      <x:c r="K226" s="296" t="b">
        <x:v>0</x:v>
      </x:c>
      <x:c r="L226" s="295" t="str">
        <x:v>PROFILE_CO_GIA_TRI_CHUA_DUYET</x:v>
      </x:c>
      <x:c r="M226" s="295" t="str">
        <x:v>DOI_CHIEU_CU_THE</x:v>
      </x:c>
      <x:c r="N226" s="295" t="str">
        <x:v>Chỉ khi có Kính trình HD05 (ô 9b)</x:v>
      </x:c>
      <x:c r="O226" s="295" t="str">
        <x:v>Quy định gốc &gt; profile; khi chưa rõ điều kiện thì giữ nguyên; không sinh nội dung.</x:v>
      </x:c>
      <x:c r="P226" s="295" t="str">
        <x:v>PARAGRAPH / RUN / SHAPE tùy thuộc tính</x:v>
      </x:c>
      <x:c r="Q226" s="295" t="str">
        <x:v>Xác định đúng khối Danh sách đối tượng được trình; đọc giá trị thực; đối chiếu điều kiện; không sửa nội dung khi thiếu nguồn.</x:v>
      </x:c>
      <x:c r="R226" s="295" t="str">
        <x:v>Phần II, I.9; Phụ lục 2, TT9</x:v>
      </x:c>
      <x:c r="S226" s="295" t="str">
        <x:v>https://tulieuvankien.dangcongsan.vn/upload/2006988/20260529/HD_05_VPTW_e1550.pdf</x:v>
      </x:c>
      <x:c r="T226" s="295" t="str">
        <x:v>CÓ</x:v>
      </x:c>
      <x:c r="U226" s="295" t="str">
        <x:v>CHECK_ONLY</x:v>
      </x:c>
      <x:c r="V226" s="295" t="str"/>
    </x:row>
    <x:row r="227" ht="28" customHeight="1">
      <x:c r="A227" s="295" t="n">
        <x:v>222</x:v>
      </x:c>
      <x:c r="B227" s="295" t="str">
        <x:v>HD05.D.NHAN.DS_KINH_TRINH.NGHIENG</x:v>
      </x:c>
      <x:c r="C227" s="295" t="str">
        <x:v>HD05.D.NHAN.DS_KINH_TRINH</x:v>
      </x:c>
      <x:c r="D227" s="295" t="str">
        <x:v>Người nhận trực tiếp</x:v>
      </x:c>
      <x:c r="E227" s="295" t="str">
        <x:v>Danh sách đối tượng được trình</x:v>
      </x:c>
      <x:c r="F227" s="295" t="str">
        <x:v>In nghiêng</x:v>
      </x:c>
      <x:c r="G227" s="295" t="str">
        <x:v>BOOLEAN</x:v>
      </x:c>
      <x:c r="H227" s="295"/>
      <x:c r="I227" s="296" t="b">
        <x:v>0</x:v>
      </x:c>
      <x:c r="J227" s="295" t="str">
        <x:v>Đúng giá trị/giới hạn riêng</x:v>
      </x:c>
      <x:c r="K227" s="296" t="b">
        <x:v>1</x:v>
      </x:c>
      <x:c r="L227" s="295" t="str">
        <x:v>PROFILE_CO_GIA_TRI_CHUA_DUYET</x:v>
      </x:c>
      <x:c r="M227" s="295" t="str">
        <x:v>DOI_CHIEU_CU_THE</x:v>
      </x:c>
      <x:c r="N227" s="295" t="str">
        <x:v>Chỉ khi có Kính trình HD05 (ô 9b)</x:v>
      </x:c>
      <x:c r="O227" s="295" t="str">
        <x:v>Quy định gốc &gt; profile; khi chưa rõ điều kiện thì giữ nguyên; không sinh nội dung.</x:v>
      </x:c>
      <x:c r="P227" s="295" t="str">
        <x:v>PARAGRAPH / RUN / SHAPE tùy thuộc tính</x:v>
      </x:c>
      <x:c r="Q227" s="295" t="str">
        <x:v>Xác định đúng khối Danh sách đối tượng được trình; đọc giá trị thực; đối chiếu điều kiện; không sửa nội dung khi thiếu nguồn.</x:v>
      </x:c>
      <x:c r="R227" s="295" t="str">
        <x:v>Phần II, I.9; Phụ lục 2, TT9</x:v>
      </x:c>
      <x:c r="S227" s="295" t="str">
        <x:v>https://tulieuvankien.dangcongsan.vn/upload/2006988/20260529/HD_05_VPTW_e1550.pdf</x:v>
      </x:c>
      <x:c r="T227" s="295" t="str">
        <x:v>CÓ</x:v>
      </x:c>
      <x:c r="U227" s="295" t="str">
        <x:v>CHECK_ONLY</x:v>
      </x:c>
      <x:c r="V227" s="295" t="str"/>
    </x:row>
    <x:row r="228" ht="28" customHeight="1">
      <x:c r="A228" s="295" t="n">
        <x:v>223</x:v>
      </x:c>
      <x:c r="B228" s="295" t="str">
        <x:v>HD05.D.NHAN.DS_KINH_TRINH.KIEU_CHU</x:v>
      </x:c>
      <x:c r="C228" s="295" t="str">
        <x:v>HD05.D.NHAN.DS_KINH_TRINH</x:v>
      </x:c>
      <x:c r="D228" s="295" t="str">
        <x:v>Người nhận trực tiếp</x:v>
      </x:c>
      <x:c r="E228" s="295" t="str">
        <x:v>Danh sách đối tượng được trình</x:v>
      </x:c>
      <x:c r="F228" s="295" t="str">
        <x:v>Kiểu viết hoa/thường</x:v>
      </x:c>
      <x:c r="G228" s="295" t="str">
        <x:v>ENUM</x:v>
      </x:c>
      <x:c r="H228" s="295"/>
      <x:c r="I228" s="295" t="str">
        <x:v>In thường</x:v>
      </x:c>
      <x:c r="J228" s="295" t="str">
        <x:v>Đúng giá trị/giới hạn riêng</x:v>
      </x:c>
      <x:c r="K228" s="295" t="str">
        <x:v>In thường</x:v>
      </x:c>
      <x:c r="L228" s="295" t="str">
        <x:v>PROFILE_CO_GIA_TRI_CHUA_DUYET</x:v>
      </x:c>
      <x:c r="M228" s="295" t="str">
        <x:v>DOI_CHIEU_CU_THE</x:v>
      </x:c>
      <x:c r="N228" s="295" t="str">
        <x:v>Chỉ khi có Kính trình HD05 (ô 9b)</x:v>
      </x:c>
      <x:c r="O228" s="295" t="str">
        <x:v>Quy định gốc &gt; profile; khi chưa rõ điều kiện thì giữ nguyên; không sinh nội dung.</x:v>
      </x:c>
      <x:c r="P228" s="295" t="str">
        <x:v>PARAGRAPH / RUN / SHAPE tùy thuộc tính</x:v>
      </x:c>
      <x:c r="Q228" s="295" t="str">
        <x:v>Xác định đúng khối Danh sách đối tượng được trình; đọc giá trị thực; đối chiếu điều kiện; không sửa nội dung khi thiếu nguồn.</x:v>
      </x:c>
      <x:c r="R228" s="295" t="str">
        <x:v>Phần II, I.9; Phụ lục 2, TT9</x:v>
      </x:c>
      <x:c r="S228" s="295" t="str">
        <x:v>https://tulieuvankien.dangcongsan.vn/upload/2006988/20260529/HD_05_VPTW_e1550.pdf</x:v>
      </x:c>
      <x:c r="T228" s="295" t="str">
        <x:v>CÓ</x:v>
      </x:c>
      <x:c r="U228" s="295" t="str">
        <x:v>CHECK_ONLY</x:v>
      </x:c>
      <x:c r="V228" s="295" t="str"/>
    </x:row>
    <x:row r="229" ht="28" customHeight="1">
      <x:c r="A229" s="295" t="n">
        <x:v>224</x:v>
      </x:c>
      <x:c r="B229" s="295" t="str">
        <x:v>HD05.D.NHAN.DS_KINH_TRINH.CAN_NGANG</x:v>
      </x:c>
      <x:c r="C229" s="295" t="str">
        <x:v>HD05.D.NHAN.DS_KINH_TRINH</x:v>
      </x:c>
      <x:c r="D229" s="295" t="str">
        <x:v>Người nhận trực tiếp</x:v>
      </x:c>
      <x:c r="E229" s="295" t="str">
        <x:v>Danh sách đối tượng được trình</x:v>
      </x:c>
      <x:c r="F229" s="295" t="str">
        <x:v>Căn ngang</x:v>
      </x:c>
      <x:c r="G229" s="295" t="str">
        <x:v>ENUM</x:v>
      </x:c>
      <x:c r="H229" s="295"/>
      <x:c r="I229" s="295" t="str">
        <x:v>CENTER</x:v>
      </x:c>
      <x:c r="J229" s="295" t="str">
        <x:v>Đúng giá trị/giới hạn riêng</x:v>
      </x:c>
      <x:c r="K229" s="295"/>
      <x:c r="L229" s="295" t="str">
        <x:v>KHONG_AP_DUNG_HOAC_CHUA_DU_GIA_TRI</x:v>
      </x:c>
      <x:c r="M229" s="295" t="str">
        <x:v>DOI_CHIEU_CU_THE</x:v>
      </x:c>
      <x:c r="N229" s="295" t="str">
        <x:v>Chỉ khi có Kính trình HD05 (ô 9b)</x:v>
      </x:c>
      <x:c r="O229" s="295" t="str">
        <x:v>Quy định gốc &gt; profile; khi chưa rõ điều kiện thì giữ nguyên; không sinh nội dung.</x:v>
      </x:c>
      <x:c r="P229" s="295" t="str">
        <x:v>PARAGRAPH / RUN / SHAPE tùy thuộc tính</x:v>
      </x:c>
      <x:c r="Q229" s="295" t="str">
        <x:v>Xác định đúng khối Danh sách đối tượng được trình; đọc giá trị thực; đối chiếu điều kiện; không sửa nội dung khi thiếu nguồn.</x:v>
      </x:c>
      <x:c r="R229" s="295" t="str">
        <x:v>Phần II, I.9; Phụ lục 2, TT9</x:v>
      </x:c>
      <x:c r="S229" s="295" t="str">
        <x:v>https://tulieuvankien.dangcongsan.vn/upload/2006988/20260529/HD_05_VPTW_e1550.pdf</x:v>
      </x:c>
      <x:c r="T229" s="295" t="str">
        <x:v>CÓ</x:v>
      </x:c>
      <x:c r="U229" s="295" t="str">
        <x:v>CHECK_ONLY</x:v>
      </x:c>
      <x:c r="V229" s="295" t="str"/>
    </x:row>
    <x:row r="230" ht="28" customHeight="1">
      <x:c r="A230" s="295" t="n">
        <x:v>225</x:v>
      </x:c>
      <x:c r="B230" s="295" t="str">
        <x:v>HD05.D.NHAN.DS_KINH_TRINH.CACH_SAU</x:v>
      </x:c>
      <x:c r="C230" s="295" t="str">
        <x:v>HD05.D.NHAN.DS_KINH_TRINH</x:v>
      </x:c>
      <x:c r="D230" s="295" t="str">
        <x:v>Người nhận trực tiếp</x:v>
      </x:c>
      <x:c r="E230" s="295" t="str">
        <x:v>Danh sách đối tượng được trình</x:v>
      </x:c>
      <x:c r="F230" s="295" t="str">
        <x:v>Khoảng cách sau đoạn</x:v>
      </x:c>
      <x:c r="G230" s="295" t="str">
        <x:v>NUMBER</x:v>
      </x:c>
      <x:c r="H230" s="295" t="str">
        <x:v>pt</x:v>
      </x:c>
      <x:c r="I230" s="295" t="str">
        <x:v>CHƯA XÁC MINH RIÊNG</x:v>
      </x:c>
      <x:c r="J230" s="295" t="str">
        <x:v>Không suy ra giới hạn pháp lý</x:v>
      </x:c>
      <x:c r="K230" s="295" t="n">
        <x:v>3</x:v>
      </x:c>
      <x:c r="L230" s="295" t="str">
        <x:v>PROFILE_CHO_RAO_SOAT</x:v>
      </x:c>
      <x:c r="M230" s="295" t="str">
        <x:v>CHUA_DOI_CHIEU_CU_THE</x:v>
      </x:c>
      <x:c r="N230" s="295" t="str">
        <x:v>Chỉ khi có Kính trình HD05 (ô 9b)</x:v>
      </x:c>
      <x:c r="O230" s="295" t="str">
        <x:v>Quy định gốc &gt; profile; khi chưa rõ điều kiện thì giữ nguyên; không sinh nội dung.</x:v>
      </x:c>
      <x:c r="P230" s="295" t="str">
        <x:v>PARAGRAPH / RUN / SHAPE tùy thuộc tính</x:v>
      </x:c>
      <x:c r="Q230" s="295" t="str">
        <x:v>Xác định đúng khối Danh sách đối tượng được trình; đọc giá trị thực; đối chiếu điều kiện; không sửa nội dung khi thiếu nguồn.</x:v>
      </x:c>
      <x:c r="R230" s="295" t="str">
        <x:v>Chưa có locator xác minh riêng</x:v>
      </x:c>
      <x:c r="S230" s="295" t="str">
        <x:v>https://tulieuvankien.dangcongsan.vn/upload/2006988/20260529/HD_05_VPTW_e1550.pdf</x:v>
      </x:c>
      <x:c r="T230" s="295" t="str">
        <x:v>CÓ</x:v>
      </x:c>
      <x:c r="U230" s="295" t="str">
        <x:v>CHECK_ONLY</x:v>
      </x:c>
      <x:c r="V230" s="295" t="str">
        <x:v>Không tự chèn đoạn trắng</x:v>
      </x:c>
    </x:row>
    <x:row r="231" ht="28" customHeight="1">
      <x:c r="A231" s="295" t="n">
        <x:v>226</x:v>
      </x:c>
      <x:c r="B231" s="295" t="str">
        <x:v>HD05.D.NHAN.DS_KINH_TRINH.GIAN_DONG</x:v>
      </x:c>
      <x:c r="C231" s="295" t="str">
        <x:v>HD05.D.NHAN.DS_KINH_TRINH</x:v>
      </x:c>
      <x:c r="D231" s="295" t="str">
        <x:v>Người nhận trực tiếp</x:v>
      </x:c>
      <x:c r="E231" s="295" t="str">
        <x:v>Danh sách đối tượng được trình</x:v>
      </x:c>
      <x:c r="F231" s="295" t="str">
        <x:v>Giãn dòng</x:v>
      </x:c>
      <x:c r="G231" s="295" t="str">
        <x:v>NUMBER</x:v>
      </x:c>
      <x:c r="H231" s="295" t="str">
        <x:v>lines</x:v>
      </x:c>
      <x:c r="I231" s="295" t="str">
        <x:v>CHƯA XÁC MINH RIÊNG</x:v>
      </x:c>
      <x:c r="J231" s="295" t="str">
        <x:v>Không suy ra giới hạn pháp lý</x:v>
      </x:c>
      <x:c r="K231" s="295" t="str">
        <x:v>SINGLE</x:v>
      </x:c>
      <x:c r="L231" s="295" t="str">
        <x:v>PROFILE_CHO_RAO_SOAT</x:v>
      </x:c>
      <x:c r="M231" s="295" t="str">
        <x:v>CHUA_DOI_CHIEU_CU_THE</x:v>
      </x:c>
      <x:c r="N231" s="295" t="str">
        <x:v>Chỉ khi có Kính trình HD05 (ô 9b)</x:v>
      </x:c>
      <x:c r="O231" s="295" t="str">
        <x:v>Quy định gốc &gt; profile; khi chưa rõ điều kiện thì giữ nguyên; không sinh nội dung.</x:v>
      </x:c>
      <x:c r="P231" s="295" t="str">
        <x:v>PARAGRAPH / RUN / SHAPE tùy thuộc tính</x:v>
      </x:c>
      <x:c r="Q231" s="295" t="str">
        <x:v>Xác định đúng khối Danh sách đối tượng được trình; đọc giá trị thực; đối chiếu điều kiện; không sửa nội dung khi thiếu nguồn.</x:v>
      </x:c>
      <x:c r="R231" s="295" t="str">
        <x:v>Chưa có locator xác minh riêng</x:v>
      </x:c>
      <x:c r="S231" s="295" t="str">
        <x:v>https://tulieuvankien.dangcongsan.vn/upload/2006988/20260529/HD_05_VPTW_e1550.pdf</x:v>
      </x:c>
      <x:c r="T231" s="295" t="str">
        <x:v>CÓ</x:v>
      </x:c>
      <x:c r="U231" s="295" t="str">
        <x:v>CHECK_ONLY</x:v>
      </x:c>
      <x:c r="V231" s="295" t="str">
        <x:v>Giãn dòng phần đầu không được tự đồng nhất với thân bài.</x:v>
      </x:c>
    </x:row>
    <x:row r="232" ht="28" customHeight="1">
      <x:c r="A232" s="295" t="n">
        <x:v>227</x:v>
      </x:c>
      <x:c r="B232" s="295" t="str">
        <x:v>HD05.D.NHAN.DS_KINH_TRINH.BAO_VE_NOI_DUNG</x:v>
      </x:c>
      <x:c r="C232" s="295" t="str">
        <x:v>HD05.D.NHAN.DS_KINH_TRINH</x:v>
      </x:c>
      <x:c r="D232" s="295" t="str">
        <x:v>Người nhận trực tiếp</x:v>
      </x:c>
      <x:c r="E232" s="295" t="str">
        <x:v>Danh sách đối tượng được trình</x:v>
      </x:c>
      <x:c r="F232" s="295" t="str">
        <x:v>Không tự suy diễn nội dung</x:v>
      </x:c>
      <x:c r="G232" s="295" t="str">
        <x:v>BOOLEAN</x:v>
      </x:c>
      <x:c r="H232" s="295"/>
      <x:c r="I232" s="295" t="str">
        <x:v>CHƯA XÁC MINH RIÊNG</x:v>
      </x:c>
      <x:c r="J232" s="295" t="str">
        <x:v>Không suy ra giới hạn pháp lý</x:v>
      </x:c>
      <x:c r="K232" s="296" t="b">
        <x:v>1</x:v>
      </x:c>
      <x:c r="L232" s="295" t="str">
        <x:v>NOI_DUNG_BAO_VE</x:v>
      </x:c>
      <x:c r="M232" s="295" t="str">
        <x:v>CHUA_DOI_CHIEU_CU_THE</x:v>
      </x:c>
      <x:c r="N232" s="295" t="str">
        <x:v>Chỉ khi có Kính trình HD05 (ô 9b)</x:v>
      </x:c>
      <x:c r="O232" s="295" t="str">
        <x:v>Quy định gốc &gt; profile; khi chưa rõ điều kiện thì giữ nguyên; không sinh nội dung.</x:v>
      </x:c>
      <x:c r="P232" s="295" t="str">
        <x:v>PARAGRAPH / RUN / SHAPE tùy thuộc tính</x:v>
      </x:c>
      <x:c r="Q232" s="295" t="str">
        <x:v>Xác định đúng khối Danh sách đối tượng được trình; đọc giá trị thực; đối chiếu điều kiện; không sửa nội dung khi thiếu nguồn.</x:v>
      </x:c>
      <x:c r="R232" s="295" t="str">
        <x:v>Chưa có locator xác minh riêng</x:v>
      </x:c>
      <x:c r="S232" s="295" t="str">
        <x:v>https://tulieuvankien.dangcongsan.vn/upload/2006988/20260529/HD_05_VPTW_e1550.pdf</x:v>
      </x:c>
      <x:c r="T232" s="295" t="str">
        <x:v>CÓ</x:v>
      </x:c>
      <x:c r="U232" s="295" t="str">
        <x:v>CHECK_ONLY</x:v>
      </x:c>
      <x:c r="V232" s="295" t="str">
        <x:v>Chỉ chuẩn hóa hình thức sau khi xác nhận chính xác nội dung, không tự điền số/ngày/người nhận.</x:v>
      </x:c>
    </x:row>
  </x:sheetData>
  <x:mergeCells>
    <x:mergeCell ref="A1:H2"/>
    <x:mergeCell ref="A3:H3"/>
  </x:mergeCells>
  <x:pageMargins left="0.7" right="0.7" top="0.75" bottom="0.75" header="0.3" footer="0.3"/>
  <x:tableParts count="1">
    <x:tablePart xmlns:r="http://schemas.openxmlformats.org/officeDocument/2006/relationships" r:id="R56ce7b4a33554c4d"/>
  </x:tableParts>
</x:worksheet>
</file>

<file path=xl/worksheets/sheet2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46" hidden="0" customWidth="1"/>
    <x:col min="3" max="3" width="16" hidden="0" customWidth="1"/>
    <x:col min="4" max="4" width="25" hidden="0" customWidth="1"/>
    <x:col min="5" max="5" width="20" hidden="0" customWidth="1"/>
    <x:col min="6" max="6" width="28" hidden="0" customWidth="1"/>
    <x:col min="7" max="7" width="67" hidden="0" customWidth="1"/>
    <x:col min="8" max="8" width="68" hidden="0" customWidth="1"/>
  </x:cols>
  <x:sheetData>
    <x:row r="1" ht="32" customHeight="1">
      <x:c r="A1" s="298" t="str">
        <x:v>Hệ</x:v>
      </x:c>
      <x:c r="B1" s="298" t="str">
        <x:v>Mã trường cha</x:v>
      </x:c>
      <x:c r="C1" s="298" t="str">
        <x:v>Số rule con</x:v>
      </x:c>
      <x:c r="D1" s="298" t="str">
        <x:v>Đã đối chiếu thuộc tính</x:v>
      </x:c>
      <x:c r="E1" s="298" t="str">
        <x:v>Chưa đối chiếu</x:v>
      </x:c>
      <x:c r="F1" s="298" t="str">
        <x:v>Trạng thái</x:v>
      </x:c>
      <x:c r="G1" s="298" t="str">
        <x:v>Điều kiện nghiệm thu</x:v>
      </x:c>
      <x:c r="H1" s="298" t="str">
        <x:v>Nguồn đối chiếu</x:v>
      </x:c>
    </x:row>
    <x:row r="2" ht="25" customHeight="1">
      <x:c r="A2" s="103" t="str">
        <x:v>ND30</x:v>
      </x:c>
      <x:c r="B2" s="103" t="str">
        <x:v>ND30.D.CQ.CAP_TREN</x:v>
      </x:c>
      <x:c r="C2" s="103" t="n">
        <x:v>10</x:v>
      </x:c>
      <x:c r="D2" s="103" t="n">
        <x:v>6</x:v>
      </x:c>
      <x:c r="E2" s="103" t="n">
        <x:v>4</x:v>
      </x:c>
      <x:c r="F2" s="103" t="str">
        <x:v>CẦN ĐỐI CHIẾU</x:v>
      </x:c>
      <x:c r="G2" s="103" t="str">
        <x:v>Đảm bảo mã con riêng, source cụ thể, rule áp dụng rõ, không suy diễn giá trị</x:v>
      </x:c>
      <x:c r="H2" s="103" t="str">
        <x:v>https://datafiles.chinhphu.vn/cpp/files/vbpq/2020/03/30.signed.pdf</x:v>
      </x:c>
    </x:row>
    <x:row r="3" ht="25" customHeight="1">
      <x:c r="A3" s="103" t="str">
        <x:v>ND30</x:v>
      </x:c>
      <x:c r="B3" s="103" t="str">
        <x:v>ND30.D.CQ.BAN_HANH</x:v>
      </x:c>
      <x:c r="C3" s="103" t="n">
        <x:v>10</x:v>
      </x:c>
      <x:c r="D3" s="103" t="n">
        <x:v>6</x:v>
      </x:c>
      <x:c r="E3" s="103" t="n">
        <x:v>4</x:v>
      </x:c>
      <x:c r="F3" s="103" t="str">
        <x:v>CẦN ĐỐI CHIẾU</x:v>
      </x:c>
      <x:c r="G3" s="103" t="str">
        <x:v>Đảm bảo mã con riêng, source cụ thể, rule áp dụng rõ, không suy diễn giá trị</x:v>
      </x:c>
      <x:c r="H3" s="103" t="str">
        <x:v>https://datafiles.chinhphu.vn/cpp/files/vbpq/2020/03/30.signed.pdf</x:v>
      </x:c>
    </x:row>
    <x:row r="4" ht="25" customHeight="1">
      <x:c r="A4" s="103" t="str">
        <x:v>ND30</x:v>
      </x:c>
      <x:c r="B4" s="103" t="str">
        <x:v>ND30.D.CQ.DUONG_KE</x:v>
      </x:c>
      <x:c r="C4" s="103" t="n">
        <x:v>4</x:v>
      </x:c>
      <x:c r="D4" s="103" t="n">
        <x:v>3</x:v>
      </x:c>
      <x:c r="E4" s="103" t="n">
        <x:v>1</x:v>
      </x:c>
      <x:c r="F4" s="103" t="str">
        <x:v>CẦN ĐỐI CHIẾU</x:v>
      </x:c>
      <x:c r="G4" s="103" t="str">
        <x:v>Đảm bảo mã con riêng, source cụ thể, rule áp dụng rõ, không suy diễn giá trị</x:v>
      </x:c>
      <x:c r="H4" s="103" t="str">
        <x:v>https://datafiles.chinhphu.vn/cpp/files/vbpq/2020/03/30.signed.pdf</x:v>
      </x:c>
    </x:row>
    <x:row r="5" ht="25" customHeight="1">
      <x:c r="A5" s="103" t="str">
        <x:v>ND30</x:v>
      </x:c>
      <x:c r="B5" s="103" t="str">
        <x:v>ND30.D.CQ.LIEN_CO_QUAN</x:v>
      </x:c>
      <x:c r="C5" s="103" t="n">
        <x:v>10</x:v>
      </x:c>
      <x:c r="D5" s="103" t="n">
        <x:v>1</x:v>
      </x:c>
      <x:c r="E5" s="103" t="n">
        <x:v>9</x:v>
      </x:c>
      <x:c r="F5" s="103" t="str">
        <x:v>CẦN ĐỐI CHIẾU</x:v>
      </x:c>
      <x:c r="G5" s="103" t="str">
        <x:v>Đảm bảo mã con riêng, source cụ thể, rule áp dụng rõ, không suy diễn giá trị</x:v>
      </x:c>
      <x:c r="H5" s="103" t="str">
        <x:v>https://datafiles.chinhphu.vn/cpp/files/vbpq/2020/03/30.signed.pdf</x:v>
      </x:c>
    </x:row>
    <x:row r="6" ht="25" customHeight="1">
      <x:c r="A6" s="103" t="str">
        <x:v>ND30</x:v>
      </x:c>
      <x:c r="B6" s="103" t="str">
        <x:v>ND30.D.QH.QUOC_HIEU</x:v>
      </x:c>
      <x:c r="C6" s="103" t="n">
        <x:v>10</x:v>
      </x:c>
      <x:c r="D6" s="103" t="n">
        <x:v>7</x:v>
      </x:c>
      <x:c r="E6" s="103" t="n">
        <x:v>3</x:v>
      </x:c>
      <x:c r="F6" s="103" t="str">
        <x:v>CẦN ĐỐI CHIẾU</x:v>
      </x:c>
      <x:c r="G6" s="103" t="str">
        <x:v>Đảm bảo mã con riêng, source cụ thể, rule áp dụng rõ, không suy diễn giá trị</x:v>
      </x:c>
      <x:c r="H6" s="103" t="str">
        <x:v>https://datafiles.chinhphu.vn/cpp/files/vbpq/2020/03/30.signed.pdf</x:v>
      </x:c>
    </x:row>
    <x:row r="7" ht="25" customHeight="1">
      <x:c r="A7" s="103" t="str">
        <x:v>ND30</x:v>
      </x:c>
      <x:c r="B7" s="103" t="str">
        <x:v>ND30.D.QH.TIEU_NGU</x:v>
      </x:c>
      <x:c r="C7" s="103" t="n">
        <x:v>10</x:v>
      </x:c>
      <x:c r="D7" s="103" t="n">
        <x:v>7</x:v>
      </x:c>
      <x:c r="E7" s="103" t="n">
        <x:v>3</x:v>
      </x:c>
      <x:c r="F7" s="103" t="str">
        <x:v>CẦN ĐỐI CHIẾU</x:v>
      </x:c>
      <x:c r="G7" s="103" t="str">
        <x:v>Đảm bảo mã con riêng, source cụ thể, rule áp dụng rõ, không suy diễn giá trị</x:v>
      </x:c>
      <x:c r="H7" s="103" t="str">
        <x:v>https://datafiles.chinhphu.vn/cpp/files/vbpq/2020/03/30.signed.pdf</x:v>
      </x:c>
    </x:row>
    <x:row r="8" ht="25" customHeight="1">
      <x:c r="A8" s="103" t="str">
        <x:v>ND30</x:v>
      </x:c>
      <x:c r="B8" s="103" t="str">
        <x:v>ND30.D.QH.DUONG_KE</x:v>
      </x:c>
      <x:c r="C8" s="103" t="n">
        <x:v>4</x:v>
      </x:c>
      <x:c r="D8" s="103" t="n">
        <x:v>3</x:v>
      </x:c>
      <x:c r="E8" s="103" t="n">
        <x:v>1</x:v>
      </x:c>
      <x:c r="F8" s="103" t="str">
        <x:v>CẦN ĐỐI CHIẾU</x:v>
      </x:c>
      <x:c r="G8" s="103" t="str">
        <x:v>Đảm bảo mã con riêng, source cụ thể, rule áp dụng rõ, không suy diễn giá trị</x:v>
      </x:c>
      <x:c r="H8" s="103" t="str">
        <x:v>https://datafiles.chinhphu.vn/cpp/files/vbpq/2020/03/30.signed.pdf</x:v>
      </x:c>
    </x:row>
    <x:row r="9" ht="25" customHeight="1">
      <x:c r="A9" s="103" t="str">
        <x:v>ND30</x:v>
      </x:c>
      <x:c r="B9" s="103" t="str">
        <x:v>ND30.D.SK.NHAN_SO</x:v>
      </x:c>
      <x:c r="C9" s="103" t="n">
        <x:v>10</x:v>
      </x:c>
      <x:c r="D9" s="103" t="n">
        <x:v>7</x:v>
      </x:c>
      <x:c r="E9" s="103" t="n">
        <x:v>3</x:v>
      </x:c>
      <x:c r="F9" s="103" t="str">
        <x:v>CẦN ĐỐI CHIẾU</x:v>
      </x:c>
      <x:c r="G9" s="103" t="str">
        <x:v>Đảm bảo mã con riêng, source cụ thể, rule áp dụng rõ, không suy diễn giá trị</x:v>
      </x:c>
      <x:c r="H9" s="103" t="str">
        <x:v>https://datafiles.chinhphu.vn/cpp/files/vbpq/2020/03/30.signed.pdf</x:v>
      </x:c>
    </x:row>
    <x:row r="10" ht="25" customHeight="1">
      <x:c r="A10" s="103" t="str">
        <x:v>ND30</x:v>
      </x:c>
      <x:c r="B10" s="103" t="str">
        <x:v>ND30.D.SK.SO_VAN_BAN</x:v>
      </x:c>
      <x:c r="C10" s="103" t="n">
        <x:v>11</x:v>
      </x:c>
      <x:c r="D10" s="103" t="n">
        <x:v>7</x:v>
      </x:c>
      <x:c r="E10" s="103" t="n">
        <x:v>4</x:v>
      </x:c>
      <x:c r="F10" s="103" t="str">
        <x:v>CẦN ĐỐI CHIẾU</x:v>
      </x:c>
      <x:c r="G10" s="103" t="str">
        <x:v>Đảm bảo mã con riêng, source cụ thể, rule áp dụng rõ, không suy diễn giá trị</x:v>
      </x:c>
      <x:c r="H10" s="103" t="str">
        <x:v>https://datafiles.chinhphu.vn/cpp/files/vbpq/2020/03/30.signed.pdf</x:v>
      </x:c>
    </x:row>
    <x:row r="11" ht="25" customHeight="1">
      <x:c r="A11" s="103" t="str">
        <x:v>ND30</x:v>
      </x:c>
      <x:c r="B11" s="103" t="str">
        <x:v>ND30.D.SK.KY_HIEU_LOAI</x:v>
      </x:c>
      <x:c r="C11" s="103" t="n">
        <x:v>9</x:v>
      </x:c>
      <x:c r="D11" s="103" t="n">
        <x:v>6</x:v>
      </x:c>
      <x:c r="E11" s="103" t="n">
        <x:v>3</x:v>
      </x:c>
      <x:c r="F11" s="103" t="str">
        <x:v>CẦN ĐỐI CHIẾU</x:v>
      </x:c>
      <x:c r="G11" s="103" t="str">
        <x:v>Đảm bảo mã con riêng, source cụ thể, rule áp dụng rõ, không suy diễn giá trị</x:v>
      </x:c>
      <x:c r="H11" s="103" t="str">
        <x:v>https://datafiles.chinhphu.vn/cpp/files/vbpq/2020/03/30.signed.pdf</x:v>
      </x:c>
    </x:row>
    <x:row r="12" ht="25" customHeight="1">
      <x:c r="A12" s="103" t="str">
        <x:v>ND30</x:v>
      </x:c>
      <x:c r="B12" s="103" t="str">
        <x:v>ND30.D.SK.KY_HIEU_CO_QUAN</x:v>
      </x:c>
      <x:c r="C12" s="103" t="n">
        <x:v>10</x:v>
      </x:c>
      <x:c r="D12" s="103" t="n">
        <x:v>6</x:v>
      </x:c>
      <x:c r="E12" s="103" t="n">
        <x:v>4</x:v>
      </x:c>
      <x:c r="F12" s="103" t="str">
        <x:v>CẦN ĐỐI CHIẾU</x:v>
      </x:c>
      <x:c r="G12" s="103" t="str">
        <x:v>Đảm bảo mã con riêng, source cụ thể, rule áp dụng rõ, không suy diễn giá trị</x:v>
      </x:c>
      <x:c r="H12" s="103" t="str">
        <x:v>https://datafiles.chinhphu.vn/cpp/files/vbpq/2020/03/30.signed.pdf</x:v>
      </x:c>
    </x:row>
    <x:row r="13" ht="25" customHeight="1">
      <x:c r="A13" s="103" t="str">
        <x:v>ND30</x:v>
      </x:c>
      <x:c r="B13" s="103" t="str">
        <x:v>ND30.D.SK.DAU_PHAN_CACH</x:v>
      </x:c>
      <x:c r="C13" s="103" t="n">
        <x:v>1</x:v>
      </x:c>
      <x:c r="D13" s="103" t="n">
        <x:v>0</x:v>
      </x:c>
      <x:c r="E13" s="103" t="n">
        <x:v>1</x:v>
      </x:c>
      <x:c r="F13" s="103" t="str">
        <x:v>CẦN ĐỐI CHIẾU</x:v>
      </x:c>
      <x:c r="G13" s="103" t="str">
        <x:v>Đảm bảo mã con riêng, source cụ thể, rule áp dụng rõ, không suy diễn giá trị</x:v>
      </x:c>
      <x:c r="H13" s="103" t="str">
        <x:v>https://datafiles.chinhphu.vn/cpp/files/vbpq/2020/03/30.signed.pdf</x:v>
      </x:c>
    </x:row>
    <x:row r="14" ht="25" customHeight="1">
      <x:c r="A14" s="103" t="str">
        <x:v>ND30</x:v>
      </x:c>
      <x:c r="B14" s="103" t="str">
        <x:v>ND30.D.NG.DIA_DANH</x:v>
      </x:c>
      <x:c r="C14" s="103" t="n">
        <x:v>10</x:v>
      </x:c>
      <x:c r="D14" s="103" t="n">
        <x:v>6</x:v>
      </x:c>
      <x:c r="E14" s="103" t="n">
        <x:v>4</x:v>
      </x:c>
      <x:c r="F14" s="103" t="str">
        <x:v>CẦN ĐỐI CHIẾU</x:v>
      </x:c>
      <x:c r="G14" s="103" t="str">
        <x:v>Đảm bảo mã con riêng, source cụ thể, rule áp dụng rõ, không suy diễn giá trị</x:v>
      </x:c>
      <x:c r="H14" s="103" t="str">
        <x:v>https://datafiles.chinhphu.vn/cpp/files/vbpq/2020/03/30.signed.pdf</x:v>
      </x:c>
    </x:row>
    <x:row r="15" ht="25" customHeight="1">
      <x:c r="A15" s="103" t="str">
        <x:v>ND30</x:v>
      </x:c>
      <x:c r="B15" s="103" t="str">
        <x:v>ND30.D.NG.NGAY</x:v>
      </x:c>
      <x:c r="C15" s="103" t="n">
        <x:v>11</x:v>
      </x:c>
      <x:c r="D15" s="103" t="n">
        <x:v>7</x:v>
      </x:c>
      <x:c r="E15" s="103" t="n">
        <x:v>4</x:v>
      </x:c>
      <x:c r="F15" s="103" t="str">
        <x:v>CẦN ĐỐI CHIẾU</x:v>
      </x:c>
      <x:c r="G15" s="103" t="str">
        <x:v>Đảm bảo mã con riêng, source cụ thể, rule áp dụng rõ, không suy diễn giá trị</x:v>
      </x:c>
      <x:c r="H15" s="103" t="str">
        <x:v>https://datafiles.chinhphu.vn/cpp/files/vbpq/2020/03/30.signed.pdf</x:v>
      </x:c>
    </x:row>
    <x:row r="16" ht="25" customHeight="1">
      <x:c r="A16" s="103" t="str">
        <x:v>ND30</x:v>
      </x:c>
      <x:c r="B16" s="103" t="str">
        <x:v>ND30.D.NG.THANG</x:v>
      </x:c>
      <x:c r="C16" s="103" t="n">
        <x:v>11</x:v>
      </x:c>
      <x:c r="D16" s="103" t="n">
        <x:v>7</x:v>
      </x:c>
      <x:c r="E16" s="103" t="n">
        <x:v>4</x:v>
      </x:c>
      <x:c r="F16" s="103" t="str">
        <x:v>CẦN ĐỐI CHIẾU</x:v>
      </x:c>
      <x:c r="G16" s="103" t="str">
        <x:v>Đảm bảo mã con riêng, source cụ thể, rule áp dụng rõ, không suy diễn giá trị</x:v>
      </x:c>
      <x:c r="H16" s="103" t="str">
        <x:v>https://datafiles.chinhphu.vn/cpp/files/vbpq/2020/03/30.signed.pdf</x:v>
      </x:c>
    </x:row>
    <x:row r="17" ht="25" customHeight="1">
      <x:c r="A17" s="103" t="str">
        <x:v>ND30</x:v>
      </x:c>
      <x:c r="B17" s="103" t="str">
        <x:v>ND30.D.NG.NAM</x:v>
      </x:c>
      <x:c r="C17" s="103" t="n">
        <x:v>10</x:v>
      </x:c>
      <x:c r="D17" s="103" t="n">
        <x:v>6</x:v>
      </x:c>
      <x:c r="E17" s="103" t="n">
        <x:v>4</x:v>
      </x:c>
      <x:c r="F17" s="103" t="str">
        <x:v>CẦN ĐỐI CHIẾU</x:v>
      </x:c>
      <x:c r="G17" s="103" t="str">
        <x:v>Đảm bảo mã con riêng, source cụ thể, rule áp dụng rõ, không suy diễn giá trị</x:v>
      </x:c>
      <x:c r="H17" s="103" t="str">
        <x:v>https://datafiles.chinhphu.vn/cpp/files/vbpq/2020/03/30.signed.pdf</x:v>
      </x:c>
    </x:row>
    <x:row r="18" ht="25" customHeight="1">
      <x:c r="A18" s="103" t="str">
        <x:v>ND30</x:v>
      </x:c>
      <x:c r="B18" s="103" t="str">
        <x:v>ND30.D.TY.TEN_LOAI</x:v>
      </x:c>
      <x:c r="C18" s="103" t="n">
        <x:v>10</x:v>
      </x:c>
      <x:c r="D18" s="103" t="n">
        <x:v>7</x:v>
      </x:c>
      <x:c r="E18" s="103" t="n">
        <x:v>3</x:v>
      </x:c>
      <x:c r="F18" s="103" t="str">
        <x:v>CẦN ĐỐI CHIẾU</x:v>
      </x:c>
      <x:c r="G18" s="103" t="str">
        <x:v>Đảm bảo mã con riêng, source cụ thể, rule áp dụng rõ, không suy diễn giá trị</x:v>
      </x:c>
      <x:c r="H18" s="103" t="str">
        <x:v>https://datafiles.chinhphu.vn/cpp/files/vbpq/2020/03/30.signed.pdf</x:v>
      </x:c>
    </x:row>
    <x:row r="19" ht="25" customHeight="1">
      <x:c r="A19" s="103" t="str">
        <x:v>ND30</x:v>
      </x:c>
      <x:c r="B19" s="103" t="str">
        <x:v>ND30.D.TY.TRICH_YEU</x:v>
      </x:c>
      <x:c r="C19" s="103" t="n">
        <x:v>10</x:v>
      </x:c>
      <x:c r="D19" s="103" t="n">
        <x:v>6</x:v>
      </x:c>
      <x:c r="E19" s="103" t="n">
        <x:v>4</x:v>
      </x:c>
      <x:c r="F19" s="103" t="str">
        <x:v>CẦN ĐỐI CHIẾU</x:v>
      </x:c>
      <x:c r="G19" s="103" t="str">
        <x:v>Đảm bảo mã con riêng, source cụ thể, rule áp dụng rõ, không suy diễn giá trị</x:v>
      </x:c>
      <x:c r="H19" s="103" t="str">
        <x:v>https://datafiles.chinhphu.vn/cpp/files/vbpq/2020/03/30.signed.pdf</x:v>
      </x:c>
    </x:row>
    <x:row r="20" ht="25" customHeight="1">
      <x:c r="A20" s="103" t="str">
        <x:v>ND30</x:v>
      </x:c>
      <x:c r="B20" s="103" t="str">
        <x:v>ND30.D.TY.DUONG_KE</x:v>
      </x:c>
      <x:c r="C20" s="103" t="n">
        <x:v>4</x:v>
      </x:c>
      <x:c r="D20" s="103" t="n">
        <x:v>3</x:v>
      </x:c>
      <x:c r="E20" s="103" t="n">
        <x:v>1</x:v>
      </x:c>
      <x:c r="F20" s="103" t="str">
        <x:v>CẦN ĐỐI CHIẾU</x:v>
      </x:c>
      <x:c r="G20" s="103" t="str">
        <x:v>Đảm bảo mã con riêng, source cụ thể, rule áp dụng rõ, không suy diễn giá trị</x:v>
      </x:c>
      <x:c r="H20" s="103" t="str">
        <x:v>https://datafiles.chinhphu.vn/cpp/files/vbpq/2020/03/30.signed.pdf</x:v>
      </x:c>
    </x:row>
    <x:row r="21" ht="25" customHeight="1">
      <x:c r="A21" s="103" t="str">
        <x:v>ND30</x:v>
      </x:c>
      <x:c r="B21" s="103" t="str">
        <x:v>ND30.D.TY.NHAN_VV</x:v>
      </x:c>
      <x:c r="C21" s="103" t="n">
        <x:v>10</x:v>
      </x:c>
      <x:c r="D21" s="103" t="n">
        <x:v>7</x:v>
      </x:c>
      <x:c r="E21" s="103" t="n">
        <x:v>3</x:v>
      </x:c>
      <x:c r="F21" s="103" t="str">
        <x:v>CẦN ĐỐI CHIẾU</x:v>
      </x:c>
      <x:c r="G21" s="103" t="str">
        <x:v>Đảm bảo mã con riêng, source cụ thể, rule áp dụng rõ, không suy diễn giá trị</x:v>
      </x:c>
      <x:c r="H21" s="103" t="str">
        <x:v>https://datafiles.chinhphu.vn/cpp/files/vbpq/2020/03/30.signed.pdf</x:v>
      </x:c>
    </x:row>
    <x:row r="22" ht="25" customHeight="1">
      <x:c r="A22" s="103" t="str">
        <x:v>ND30</x:v>
      </x:c>
      <x:c r="B22" s="103" t="str">
        <x:v>ND30.D.TY.TRICH_YEU_CV</x:v>
      </x:c>
      <x:c r="C22" s="103" t="n">
        <x:v>11</x:v>
      </x:c>
      <x:c r="D22" s="103" t="n">
        <x:v>7</x:v>
      </x:c>
      <x:c r="E22" s="103" t="n">
        <x:v>4</x:v>
      </x:c>
      <x:c r="F22" s="103" t="str">
        <x:v>CẦN ĐỐI CHIẾU</x:v>
      </x:c>
      <x:c r="G22" s="103" t="str">
        <x:v>Đảm bảo mã con riêng, source cụ thể, rule áp dụng rõ, không suy diễn giá trị</x:v>
      </x:c>
      <x:c r="H22" s="103" t="str">
        <x:v>https://datafiles.chinhphu.vn/cpp/files/vbpq/2020/03/30.signed.pdf</x:v>
      </x:c>
    </x:row>
    <x:row r="23" ht="25" customHeight="1">
      <x:c r="A23" s="103" t="str">
        <x:v>ND30</x:v>
      </x:c>
      <x:c r="B23" s="103" t="str">
        <x:v>ND30.D.NHAN.KINH_GUI</x:v>
      </x:c>
      <x:c r="C23" s="103" t="n">
        <x:v>11</x:v>
      </x:c>
      <x:c r="D23" s="103" t="n">
        <x:v>3</x:v>
      </x:c>
      <x:c r="E23" s="103" t="n">
        <x:v>8</x:v>
      </x:c>
      <x:c r="F23" s="103" t="str">
        <x:v>CẦN ĐỐI CHIẾU</x:v>
      </x:c>
      <x:c r="G23" s="103" t="str">
        <x:v>Đảm bảo mã con riêng, source cụ thể, rule áp dụng rõ, không suy diễn giá trị</x:v>
      </x:c>
      <x:c r="H23" s="103" t="str">
        <x:v>https://datafiles.chinhphu.vn/cpp/files/vbpq/2020/03/30.signed.pdf</x:v>
      </x:c>
    </x:row>
    <x:row r="24" ht="25" customHeight="1">
      <x:c r="A24" s="103" t="str">
        <x:v>ND30</x:v>
      </x:c>
      <x:c r="B24" s="103" t="str">
        <x:v>ND30.D.NHAN.DS_KINH_GUI</x:v>
      </x:c>
      <x:c r="C24" s="103" t="n">
        <x:v>10</x:v>
      </x:c>
      <x:c r="D24" s="103" t="n">
        <x:v>1</x:v>
      </x:c>
      <x:c r="E24" s="103" t="n">
        <x:v>9</x:v>
      </x:c>
      <x:c r="F24" s="103" t="str">
        <x:v>CẦN ĐỐI CHIẾU</x:v>
      </x:c>
      <x:c r="G24" s="103" t="str">
        <x:v>Đảm bảo mã con riêng, source cụ thể, rule áp dụng rõ, không suy diễn giá trị</x:v>
      </x:c>
      <x:c r="H24" s="103" t="str">
        <x:v>https://datafiles.chinhphu.vn/cpp/files/vbpq/2020/03/30.signed.pdf</x:v>
      </x:c>
    </x:row>
    <x:row r="25" ht="25" customHeight="1">
      <x:c r="A25" s="103" t="str">
        <x:v>HD05</x:v>
      </x:c>
      <x:c r="B25" s="103" t="str">
        <x:v>HD05.D.CQ.CAP_TREN</x:v>
      </x:c>
      <x:c r="C25" s="103" t="n">
        <x:v>10</x:v>
      </x:c>
      <x:c r="D25" s="103" t="n">
        <x:v>6</x:v>
      </x:c>
      <x:c r="E25" s="103" t="n">
        <x:v>4</x:v>
      </x:c>
      <x:c r="F25" s="103" t="str">
        <x:v>CẦN ĐỐI CHIẾU</x:v>
      </x:c>
      <x:c r="G25" s="103" t="str">
        <x:v>Đảm bảo mã con riêng, source cụ thể, rule áp dụng rõ, không suy diễn giá trị</x:v>
      </x:c>
      <x:c r="H25" s="103" t="str">
        <x:v>https://tulieuvankien.dangcongsan.vn/upload/2006988/20260529/HD_05_VPTW_e1550.pdf</x:v>
      </x:c>
    </x:row>
    <x:row r="26" ht="25" customHeight="1">
      <x:c r="A26" s="103" t="str">
        <x:v>HD05</x:v>
      </x:c>
      <x:c r="B26" s="103" t="str">
        <x:v>HD05.D.CQ.BAN_HANH</x:v>
      </x:c>
      <x:c r="C26" s="103" t="n">
        <x:v>10</x:v>
      </x:c>
      <x:c r="D26" s="103" t="n">
        <x:v>6</x:v>
      </x:c>
      <x:c r="E26" s="103" t="n">
        <x:v>4</x:v>
      </x:c>
      <x:c r="F26" s="103" t="str">
        <x:v>CẦN ĐỐI CHIẾU</x:v>
      </x:c>
      <x:c r="G26" s="103" t="str">
        <x:v>Đảm bảo mã con riêng, source cụ thể, rule áp dụng rõ, không suy diễn giá trị</x:v>
      </x:c>
      <x:c r="H26" s="103" t="str">
        <x:v>https://tulieuvankien.dangcongsan.vn/upload/2006988/20260529/HD_05_VPTW_e1550.pdf</x:v>
      </x:c>
    </x:row>
    <x:row r="27" ht="25" customHeight="1">
      <x:c r="A27" s="103" t="str">
        <x:v>HD05</x:v>
      </x:c>
      <x:c r="B27" s="103" t="str">
        <x:v>HD05.D.CQ.DAU_SAO</x:v>
      </x:c>
      <x:c r="C27" s="103" t="n">
        <x:v>4</x:v>
      </x:c>
      <x:c r="D27" s="103" t="n">
        <x:v>3</x:v>
      </x:c>
      <x:c r="E27" s="103" t="n">
        <x:v>1</x:v>
      </x:c>
      <x:c r="F27" s="103" t="str">
        <x:v>CẦN ĐỐI CHIẾU</x:v>
      </x:c>
      <x:c r="G27" s="103" t="str">
        <x:v>Đảm bảo mã con riêng, source cụ thể, rule áp dụng rõ, không suy diễn giá trị</x:v>
      </x:c>
      <x:c r="H27" s="103" t="str">
        <x:v>https://tulieuvankien.dangcongsan.vn/upload/2006988/20260529/HD_05_VPTW_e1550.pdf</x:v>
      </x:c>
    </x:row>
    <x:row r="28" ht="25" customHeight="1">
      <x:c r="A28" s="103" t="str">
        <x:v>HD05</x:v>
      </x:c>
      <x:c r="B28" s="103" t="str">
        <x:v>HD05.D.CQ.LIEN_CO_QUAN</x:v>
      </x:c>
      <x:c r="C28" s="103" t="n">
        <x:v>10</x:v>
      </x:c>
      <x:c r="D28" s="103" t="n">
        <x:v>1</x:v>
      </x:c>
      <x:c r="E28" s="103" t="n">
        <x:v>9</x:v>
      </x:c>
      <x:c r="F28" s="103" t="str">
        <x:v>CẦN ĐỐI CHIẾU</x:v>
      </x:c>
      <x:c r="G28" s="103" t="str">
        <x:v>Đảm bảo mã con riêng, source cụ thể, rule áp dụng rõ, không suy diễn giá trị</x:v>
      </x:c>
      <x:c r="H28" s="103" t="str">
        <x:v>https://tulieuvankien.dangcongsan.vn/upload/2006988/20260529/HD_05_VPTW_e1550.pdf</x:v>
      </x:c>
    </x:row>
    <x:row r="29" ht="25" customHeight="1">
      <x:c r="A29" s="103" t="str">
        <x:v>HD05</x:v>
      </x:c>
      <x:c r="B29" s="103" t="str">
        <x:v>HD05.D.CQ.DAI_HOI</x:v>
      </x:c>
      <x:c r="C29" s="103" t="n">
        <x:v>10</x:v>
      </x:c>
      <x:c r="D29" s="103" t="n">
        <x:v>1</x:v>
      </x:c>
      <x:c r="E29" s="103" t="n">
        <x:v>9</x:v>
      </x:c>
      <x:c r="F29" s="103" t="str">
        <x:v>CẦN ĐỐI CHIẾU</x:v>
      </x:c>
      <x:c r="G29" s="103" t="str">
        <x:v>Đảm bảo mã con riêng, source cụ thể, rule áp dụng rõ, không suy diễn giá trị</x:v>
      </x:c>
      <x:c r="H29" s="103" t="str">
        <x:v>https://tulieuvankien.dangcongsan.vn/upload/2006988/20260529/HD_05_VPTW_e1550.pdf</x:v>
      </x:c>
    </x:row>
    <x:row r="30" ht="25" customHeight="1">
      <x:c r="A30" s="103" t="str">
        <x:v>HD05</x:v>
      </x:c>
      <x:c r="B30" s="103" t="str">
        <x:v>HD05.D.TD.TIEU_DE_DANG</x:v>
      </x:c>
      <x:c r="C30" s="103" t="n">
        <x:v>10</x:v>
      </x:c>
      <x:c r="D30" s="103" t="n">
        <x:v>7</x:v>
      </x:c>
      <x:c r="E30" s="103" t="n">
        <x:v>3</x:v>
      </x:c>
      <x:c r="F30" s="103" t="str">
        <x:v>CẦN ĐỐI CHIẾU</x:v>
      </x:c>
      <x:c r="G30" s="103" t="str">
        <x:v>Đảm bảo mã con riêng, source cụ thể, rule áp dụng rõ, không suy diễn giá trị</x:v>
      </x:c>
      <x:c r="H30" s="103" t="str">
        <x:v>https://tulieuvankien.dangcongsan.vn/upload/2006988/20260529/HD_05_VPTW_e1550.pdf</x:v>
      </x:c>
    </x:row>
    <x:row r="31" ht="25" customHeight="1">
      <x:c r="A31" s="103" t="str">
        <x:v>HD05</x:v>
      </x:c>
      <x:c r="B31" s="103" t="str">
        <x:v>HD05.D.TD.DUONG_KE</x:v>
      </x:c>
      <x:c r="C31" s="103" t="n">
        <x:v>3</x:v>
      </x:c>
      <x:c r="D31" s="103" t="n">
        <x:v>2</x:v>
      </x:c>
      <x:c r="E31" s="103" t="n">
        <x:v>1</x:v>
      </x:c>
      <x:c r="F31" s="103" t="str">
        <x:v>CẦN ĐỐI CHIẾU</x:v>
      </x:c>
      <x:c r="G31" s="103" t="str">
        <x:v>Đảm bảo mã con riêng, source cụ thể, rule áp dụng rõ, không suy diễn giá trị</x:v>
      </x:c>
      <x:c r="H31" s="103" t="str">
        <x:v>https://tulieuvankien.dangcongsan.vn/upload/2006988/20260529/HD_05_VPTW_e1550.pdf</x:v>
      </x:c>
    </x:row>
    <x:row r="32" ht="25" customHeight="1">
      <x:c r="A32" s="103" t="str">
        <x:v>HD05</x:v>
      </x:c>
      <x:c r="B32" s="103" t="str">
        <x:v>HD05.D.SK.NHAN_SO</x:v>
      </x:c>
      <x:c r="C32" s="103" t="n">
        <x:v>10</x:v>
      </x:c>
      <x:c r="D32" s="103" t="n">
        <x:v>7</x:v>
      </x:c>
      <x:c r="E32" s="103" t="n">
        <x:v>3</x:v>
      </x:c>
      <x:c r="F32" s="103" t="str">
        <x:v>CẦN ĐỐI CHIẾU</x:v>
      </x:c>
      <x:c r="G32" s="103" t="str">
        <x:v>Đảm bảo mã con riêng, source cụ thể, rule áp dụng rõ, không suy diễn giá trị</x:v>
      </x:c>
      <x:c r="H32" s="103" t="str">
        <x:v>https://tulieuvankien.dangcongsan.vn/upload/2006988/20260529/HD_05_VPTW_e1550.pdf</x:v>
      </x:c>
    </x:row>
    <x:row r="33" ht="25" customHeight="1">
      <x:c r="A33" s="103" t="str">
        <x:v>HD05</x:v>
      </x:c>
      <x:c r="B33" s="103" t="str">
        <x:v>HD05.D.SK.SO_VAN_BAN</x:v>
      </x:c>
      <x:c r="C33" s="103" t="n">
        <x:v>11</x:v>
      </x:c>
      <x:c r="D33" s="103" t="n">
        <x:v>7</x:v>
      </x:c>
      <x:c r="E33" s="103" t="n">
        <x:v>4</x:v>
      </x:c>
      <x:c r="F33" s="103" t="str">
        <x:v>CẦN ĐỐI CHIẾU</x:v>
      </x:c>
      <x:c r="G33" s="103" t="str">
        <x:v>Đảm bảo mã con riêng, source cụ thể, rule áp dụng rõ, không suy diễn giá trị</x:v>
      </x:c>
      <x:c r="H33" s="103" t="str">
        <x:v>https://tulieuvankien.dangcongsan.vn/upload/2006988/20260529/HD_05_VPTW_e1550.pdf</x:v>
      </x:c>
    </x:row>
    <x:row r="34" ht="25" customHeight="1">
      <x:c r="A34" s="103" t="str">
        <x:v>HD05</x:v>
      </x:c>
      <x:c r="B34" s="103" t="str">
        <x:v>HD05.D.SK.KY_HIEU_LOAI</x:v>
      </x:c>
      <x:c r="C34" s="103" t="n">
        <x:v>9</x:v>
      </x:c>
      <x:c r="D34" s="103" t="n">
        <x:v>6</x:v>
      </x:c>
      <x:c r="E34" s="103" t="n">
        <x:v>3</x:v>
      </x:c>
      <x:c r="F34" s="103" t="str">
        <x:v>CẦN ĐỐI CHIẾU</x:v>
      </x:c>
      <x:c r="G34" s="103" t="str">
        <x:v>Đảm bảo mã con riêng, source cụ thể, rule áp dụng rõ, không suy diễn giá trị</x:v>
      </x:c>
      <x:c r="H34" s="103" t="str">
        <x:v>https://tulieuvankien.dangcongsan.vn/upload/2006988/20260529/HD_05_VPTW_e1550.pdf</x:v>
      </x:c>
    </x:row>
    <x:row r="35" ht="25" customHeight="1">
      <x:c r="A35" s="103" t="str">
        <x:v>HD05</x:v>
      </x:c>
      <x:c r="B35" s="103" t="str">
        <x:v>HD05.D.SK.KY_HIEU_CO_QUAN</x:v>
      </x:c>
      <x:c r="C35" s="103" t="n">
        <x:v>10</x:v>
      </x:c>
      <x:c r="D35" s="103" t="n">
        <x:v>6</x:v>
      </x:c>
      <x:c r="E35" s="103" t="n">
        <x:v>4</x:v>
      </x:c>
      <x:c r="F35" s="103" t="str">
        <x:v>CẦN ĐỐI CHIẾU</x:v>
      </x:c>
      <x:c r="G35" s="103" t="str">
        <x:v>Đảm bảo mã con riêng, source cụ thể, rule áp dụng rõ, không suy diễn giá trị</x:v>
      </x:c>
      <x:c r="H35" s="103" t="str">
        <x:v>https://tulieuvankien.dangcongsan.vn/upload/2006988/20260529/HD_05_VPTW_e1550.pdf</x:v>
      </x:c>
    </x:row>
    <x:row r="36" ht="25" customHeight="1">
      <x:c r="A36" s="103" t="str">
        <x:v>HD05</x:v>
      </x:c>
      <x:c r="B36" s="103" t="str">
        <x:v>HD05.D.SK.DAU_PHAN_CACH</x:v>
      </x:c>
      <x:c r="C36" s="103" t="n">
        <x:v>1</x:v>
      </x:c>
      <x:c r="D36" s="103" t="n">
        <x:v>0</x:v>
      </x:c>
      <x:c r="E36" s="103" t="n">
        <x:v>1</x:v>
      </x:c>
      <x:c r="F36" s="103" t="str">
        <x:v>CẦN ĐỐI CHIẾU</x:v>
      </x:c>
      <x:c r="G36" s="103" t="str">
        <x:v>Đảm bảo mã con riêng, source cụ thể, rule áp dụng rõ, không suy diễn giá trị</x:v>
      </x:c>
      <x:c r="H36" s="103" t="str">
        <x:v>https://tulieuvankien.dangcongsan.vn/upload/2006988/20260529/HD_05_VPTW_e1550.pdf</x:v>
      </x:c>
    </x:row>
    <x:row r="37" ht="25" customHeight="1">
      <x:c r="A37" s="103" t="str">
        <x:v>HD05</x:v>
      </x:c>
      <x:c r="B37" s="103" t="str">
        <x:v>HD05.D.NG.DIA_DANH</x:v>
      </x:c>
      <x:c r="C37" s="103" t="n">
        <x:v>10</x:v>
      </x:c>
      <x:c r="D37" s="103" t="n">
        <x:v>6</x:v>
      </x:c>
      <x:c r="E37" s="103" t="n">
        <x:v>4</x:v>
      </x:c>
      <x:c r="F37" s="103" t="str">
        <x:v>CẦN ĐỐI CHIẾU</x:v>
      </x:c>
      <x:c r="G37" s="103" t="str">
        <x:v>Đảm bảo mã con riêng, source cụ thể, rule áp dụng rõ, không suy diễn giá trị</x:v>
      </x:c>
      <x:c r="H37" s="103" t="str">
        <x:v>https://tulieuvankien.dangcongsan.vn/upload/2006988/20260529/HD_05_VPTW_e1550.pdf</x:v>
      </x:c>
    </x:row>
    <x:row r="38" ht="25" customHeight="1">
      <x:c r="A38" s="103" t="str">
        <x:v>HD05</x:v>
      </x:c>
      <x:c r="B38" s="103" t="str">
        <x:v>HD05.D.NG.NGAY</x:v>
      </x:c>
      <x:c r="C38" s="103" t="n">
        <x:v>11</x:v>
      </x:c>
      <x:c r="D38" s="103" t="n">
        <x:v>6</x:v>
      </x:c>
      <x:c r="E38" s="103" t="n">
        <x:v>5</x:v>
      </x:c>
      <x:c r="F38" s="103" t="str">
        <x:v>CẦN ĐỐI CHIẾU</x:v>
      </x:c>
      <x:c r="G38" s="103" t="str">
        <x:v>Đảm bảo mã con riêng, source cụ thể, rule áp dụng rõ, không suy diễn giá trị</x:v>
      </x:c>
      <x:c r="H38" s="103" t="str">
        <x:v>https://tulieuvankien.dangcongsan.vn/upload/2006988/20260529/HD_05_VPTW_e1550.pdf</x:v>
      </x:c>
    </x:row>
    <x:row r="39" ht="25" customHeight="1">
      <x:c r="A39" s="103" t="str">
        <x:v>HD05</x:v>
      </x:c>
      <x:c r="B39" s="103" t="str">
        <x:v>HD05.D.NG.THANG</x:v>
      </x:c>
      <x:c r="C39" s="103" t="n">
        <x:v>11</x:v>
      </x:c>
      <x:c r="D39" s="103" t="n">
        <x:v>6</x:v>
      </x:c>
      <x:c r="E39" s="103" t="n">
        <x:v>5</x:v>
      </x:c>
      <x:c r="F39" s="103" t="str">
        <x:v>CẦN ĐỐI CHIẾU</x:v>
      </x:c>
      <x:c r="G39" s="103" t="str">
        <x:v>Đảm bảo mã con riêng, source cụ thể, rule áp dụng rõ, không suy diễn giá trị</x:v>
      </x:c>
      <x:c r="H39" s="103" t="str">
        <x:v>https://tulieuvankien.dangcongsan.vn/upload/2006988/20260529/HD_05_VPTW_e1550.pdf</x:v>
      </x:c>
    </x:row>
    <x:row r="40" ht="25" customHeight="1">
      <x:c r="A40" s="103" t="str">
        <x:v>HD05</x:v>
      </x:c>
      <x:c r="B40" s="103" t="str">
        <x:v>HD05.D.NG.NAM</x:v>
      </x:c>
      <x:c r="C40" s="103" t="n">
        <x:v>10</x:v>
      </x:c>
      <x:c r="D40" s="103" t="n">
        <x:v>6</x:v>
      </x:c>
      <x:c r="E40" s="103" t="n">
        <x:v>4</x:v>
      </x:c>
      <x:c r="F40" s="103" t="str">
        <x:v>CẦN ĐỐI CHIẾU</x:v>
      </x:c>
      <x:c r="G40" s="103" t="str">
        <x:v>Đảm bảo mã con riêng, source cụ thể, rule áp dụng rõ, không suy diễn giá trị</x:v>
      </x:c>
      <x:c r="H40" s="103" t="str">
        <x:v>https://tulieuvankien.dangcongsan.vn/upload/2006988/20260529/HD_05_VPTW_e1550.pdf</x:v>
      </x:c>
    </x:row>
    <x:row r="41" ht="25" customHeight="1">
      <x:c r="A41" s="103" t="str">
        <x:v>HD05</x:v>
      </x:c>
      <x:c r="B41" s="103" t="str">
        <x:v>HD05.D.TY.TEN_LOAI</x:v>
      </x:c>
      <x:c r="C41" s="103" t="n">
        <x:v>10</x:v>
      </x:c>
      <x:c r="D41" s="103" t="n">
        <x:v>7</x:v>
      </x:c>
      <x:c r="E41" s="103" t="n">
        <x:v>3</x:v>
      </x:c>
      <x:c r="F41" s="103" t="str">
        <x:v>CẦN ĐỐI CHIẾU</x:v>
      </x:c>
      <x:c r="G41" s="103" t="str">
        <x:v>Đảm bảo mã con riêng, source cụ thể, rule áp dụng rõ, không suy diễn giá trị</x:v>
      </x:c>
      <x:c r="H41" s="103" t="str">
        <x:v>https://tulieuvankien.dangcongsan.vn/upload/2006988/20260529/HD_05_VPTW_e1550.pdf</x:v>
      </x:c>
    </x:row>
    <x:row r="42" ht="25" customHeight="1">
      <x:c r="A42" s="103" t="str">
        <x:v>HD05</x:v>
      </x:c>
      <x:c r="B42" s="103" t="str">
        <x:v>HD05.D.TY.TRICH_YEU</x:v>
      </x:c>
      <x:c r="C42" s="103" t="n">
        <x:v>10</x:v>
      </x:c>
      <x:c r="D42" s="103" t="n">
        <x:v>6</x:v>
      </x:c>
      <x:c r="E42" s="103" t="n">
        <x:v>4</x:v>
      </x:c>
      <x:c r="F42" s="103" t="str">
        <x:v>CẦN ĐỐI CHIẾU</x:v>
      </x:c>
      <x:c r="G42" s="103" t="str">
        <x:v>Đảm bảo mã con riêng, source cụ thể, rule áp dụng rõ, không suy diễn giá trị</x:v>
      </x:c>
      <x:c r="H42" s="103" t="str">
        <x:v>https://tulieuvankien.dangcongsan.vn/upload/2006988/20260529/HD_05_VPTW_e1550.pdf</x:v>
      </x:c>
    </x:row>
    <x:row r="43" ht="25" customHeight="1">
      <x:c r="A43" s="103" t="str">
        <x:v>HD05</x:v>
      </x:c>
      <x:c r="B43" s="103" t="str">
        <x:v>HD05.D.TY.NAM_DAU_GACH</x:v>
      </x:c>
      <x:c r="C43" s="103" t="n">
        <x:v>4</x:v>
      </x:c>
      <x:c r="D43" s="103" t="n">
        <x:v>3</x:v>
      </x:c>
      <x:c r="E43" s="103" t="n">
        <x:v>1</x:v>
      </x:c>
      <x:c r="F43" s="103" t="str">
        <x:v>CẦN ĐỐI CHIẾU</x:v>
      </x:c>
      <x:c r="G43" s="103" t="str">
        <x:v>Đảm bảo mã con riêng, source cụ thể, rule áp dụng rõ, không suy diễn giá trị</x:v>
      </x:c>
      <x:c r="H43" s="103" t="str">
        <x:v>https://tulieuvankien.dangcongsan.vn/upload/2006988/20260529/HD_05_VPTW_e1550.pdf</x:v>
      </x:c>
    </x:row>
    <x:row r="44" ht="25" customHeight="1">
      <x:c r="A44" s="103" t="str">
        <x:v>HD05</x:v>
      </x:c>
      <x:c r="B44" s="103" t="str">
        <x:v>HD05.D.TY.TRICH_YEU_CV</x:v>
      </x:c>
      <x:c r="C44" s="103" t="n">
        <x:v>11</x:v>
      </x:c>
      <x:c r="D44" s="103" t="n">
        <x:v>7</x:v>
      </x:c>
      <x:c r="E44" s="103" t="n">
        <x:v>4</x:v>
      </x:c>
      <x:c r="F44" s="103" t="str">
        <x:v>CẦN ĐỐI CHIẾU</x:v>
      </x:c>
      <x:c r="G44" s="103" t="str">
        <x:v>Đảm bảo mã con riêng, source cụ thể, rule áp dụng rõ, không suy diễn giá trị</x:v>
      </x:c>
      <x:c r="H44" s="103" t="str">
        <x:v>https://tulieuvankien.dangcongsan.vn/upload/2006988/20260529/HD_05_VPTW_e1550.pdf</x:v>
      </x:c>
    </x:row>
    <x:row r="45" ht="25" customHeight="1">
      <x:c r="A45" s="103" t="str">
        <x:v>HD05</x:v>
      </x:c>
      <x:c r="B45" s="103" t="str">
        <x:v>HD05.D.TY.CHU_DE_DAI_HOI</x:v>
      </x:c>
      <x:c r="C45" s="103" t="n">
        <x:v>10</x:v>
      </x:c>
      <x:c r="D45" s="103" t="n">
        <x:v>1</x:v>
      </x:c>
      <x:c r="E45" s="103" t="n">
        <x:v>9</x:v>
      </x:c>
      <x:c r="F45" s="103" t="str">
        <x:v>CẦN ĐỐI CHIẾU</x:v>
      </x:c>
      <x:c r="G45" s="103" t="str">
        <x:v>Đảm bảo mã con riêng, source cụ thể, rule áp dụng rõ, không suy diễn giá trị</x:v>
      </x:c>
      <x:c r="H45" s="103" t="str">
        <x:v>https://tulieuvankien.dangcongsan.vn/upload/2006988/20260529/HD_05_VPTW_e1550.pdf</x:v>
      </x:c>
    </x:row>
    <x:row r="46" ht="25" customHeight="1">
      <x:c r="A46" s="103" t="str">
        <x:v>HD05</x:v>
      </x:c>
      <x:c r="B46" s="103" t="str">
        <x:v>HD05.D.NHAN.KINH_GUI</x:v>
      </x:c>
      <x:c r="C46" s="103" t="n">
        <x:v>11</x:v>
      </x:c>
      <x:c r="D46" s="103" t="n">
        <x:v>8</x:v>
      </x:c>
      <x:c r="E46" s="103" t="n">
        <x:v>3</x:v>
      </x:c>
      <x:c r="F46" s="103" t="str">
        <x:v>CẦN ĐỐI CHIẾU</x:v>
      </x:c>
      <x:c r="G46" s="103" t="str">
        <x:v>Đảm bảo mã con riêng, source cụ thể, rule áp dụng rõ, không suy diễn giá trị</x:v>
      </x:c>
      <x:c r="H46" s="103" t="str">
        <x:v>https://tulieuvankien.dangcongsan.vn/upload/2006988/20260529/HD_05_VPTW_e1550.pdf</x:v>
      </x:c>
    </x:row>
    <x:row r="47" ht="25" customHeight="1">
      <x:c r="A47" s="103" t="str">
        <x:v>HD05</x:v>
      </x:c>
      <x:c r="B47" s="103" t="str">
        <x:v>HD05.D.NHAN.DS_KINH_GUI</x:v>
      </x:c>
      <x:c r="C47" s="103" t="n">
        <x:v>10</x:v>
      </x:c>
      <x:c r="D47" s="103" t="n">
        <x:v>6</x:v>
      </x:c>
      <x:c r="E47" s="103" t="n">
        <x:v>4</x:v>
      </x:c>
      <x:c r="F47" s="103" t="str">
        <x:v>CẦN ĐỐI CHIẾU</x:v>
      </x:c>
      <x:c r="G47" s="103" t="str">
        <x:v>Đảm bảo mã con riêng, source cụ thể, rule áp dụng rõ, không suy diễn giá trị</x:v>
      </x:c>
      <x:c r="H47" s="103" t="str">
        <x:v>https://tulieuvankien.dangcongsan.vn/upload/2006988/20260529/HD_05_VPTW_e1550.pdf</x:v>
      </x:c>
    </x:row>
    <x:row r="48" ht="25" customHeight="1">
      <x:c r="A48" s="103" t="str">
        <x:v>HD05</x:v>
      </x:c>
      <x:c r="B48" s="103" t="str">
        <x:v>HD05.D.NHAN.KINH_TRINH</x:v>
      </x:c>
      <x:c r="C48" s="103" t="n">
        <x:v>11</x:v>
      </x:c>
      <x:c r="D48" s="103" t="n">
        <x:v>8</x:v>
      </x:c>
      <x:c r="E48" s="103" t="n">
        <x:v>3</x:v>
      </x:c>
      <x:c r="F48" s="103" t="str">
        <x:v>CẦN ĐỐI CHIẾU</x:v>
      </x:c>
      <x:c r="G48" s="103" t="str">
        <x:v>Đảm bảo mã con riêng, source cụ thể, rule áp dụng rõ, không suy diễn giá trị</x:v>
      </x:c>
      <x:c r="H48" s="103" t="str">
        <x:v>https://tulieuvankien.dangcongsan.vn/upload/2006988/20260529/HD_05_VPTW_e1550.pdf</x:v>
      </x:c>
    </x:row>
    <x:row r="49" ht="25" customHeight="1">
      <x:c r="A49" s="103" t="str">
        <x:v>HD05</x:v>
      </x:c>
      <x:c r="B49" s="103" t="str">
        <x:v>HD05.D.NHAN.DS_KINH_TRINH</x:v>
      </x:c>
      <x:c r="C49" s="103" t="n">
        <x:v>10</x:v>
      </x:c>
      <x:c r="D49" s="103" t="n">
        <x:v>6</x:v>
      </x:c>
      <x:c r="E49" s="103" t="n">
        <x:v>4</x:v>
      </x:c>
      <x:c r="F49" s="103" t="str">
        <x:v>CẦN ĐỐI CHIẾU</x:v>
      </x:c>
      <x:c r="G49" s="103" t="str">
        <x:v>Đảm bảo mã con riêng, source cụ thể, rule áp dụng rõ, không suy diễn giá trị</x:v>
      </x:c>
      <x:c r="H49" s="103" t="str">
        <x:v>https://tulieuvankien.dangcongsan.vn/upload/2006988/20260529/HD_05_VPTW_e1550.pdf</x:v>
      </x:c>
    </x:row>
  </x:sheetData>
  <x:pageMargins left="0.7" right="0.7" top="0.75" bottom="0.75" header="0.3" footer="0.3"/>
  <x:tableParts count="1">
    <x:tablePart xmlns:r="http://schemas.openxmlformats.org/officeDocument/2006/relationships" r:id="Rdc801d1f279e4b0b"/>
  </x:tableParts>
</x:worksheet>
</file>

<file path=xl/worksheets/sheet2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12" hidden="0" customWidth="1"/>
  </x:cols>
  <x:sheetData>
    <x:row r="1" ht="36" customHeight="1">
      <x:c r="A1" s="299" t="str">
        <x:v>BỘ QUY TẮC PHẦN ĐẦU VĂN BẢN — v1.7.5</x:v>
      </x:c>
      <x:c r="B1" s="299" t="str">
        <x:v>Tách sâu nhóm D, chưa thực hiện C/N/G/X còn lại</x:v>
      </x:c>
    </x:row>
    <x:row r="2" ht="34" customHeight="1">
      <x:c r="A2" s="302" t="str">
        <x:v>MỤC TIÊU</x:v>
      </x:c>
      <x:c r="B2" s="103" t="str">
        <x:v>Dữ liệu offline để ChatGPT đọc, đối chiếu, thực hiện thủ công theo yêu cầu; KHÔNG phải formatter/validator OOXML.</x:v>
      </x:c>
    </x:row>
    <x:row r="3" ht="34" customHeight="1">
      <x:c r="A3" s="302" t="str">
        <x:v>NGUỒN GỐC</x:v>
      </x:c>
      <x:c r="B3" s="103" t="str">
        <x:v>Workbook v1.7.4 được giữ nguyên 22 sheet; các sheet DAU_* là lớp bổ sung, không ghi đè 165 mã gốc.</x:v>
      </x:c>
    </x:row>
    <x:row r="4" ht="34" customHeight="1">
      <x:c r="A4" s="302" t="str">
        <x:v>MÃ RULE</x:v>
      </x:c>
      <x:c r="B4" s="103" t="str">
        <x:v>ND30.D.CQ.BAN_HANH.CO_CHU: ND30=chế độ; D=phần đầu; CQ=nhóm; BAN_HANH=thành phần; CO_CHU=thuộc tính.</x:v>
      </x:c>
    </x:row>
    <x:row r="5" ht="34" customHeight="1">
      <x:c r="A5" s="302" t="str">
        <x:v>PHẠM VI</x:v>
      </x:c>
      <x:c r="B5" s="103" t="str">
        <x:v>Chỉ nhóm D; không tách luật theo Quyết định, Công văn, Báo cáo... ở thời điểm này. Chỉ ghi điều kiện biến thể khi cần.</x:v>
      </x:c>
    </x:row>
    <x:row r="6" ht="34" customHeight="1">
      <x:c r="A6" s="302" t="str">
        <x:v>ĐỌC DỮ LIỆU</x:v>
      </x:c>
      <x:c r="B6" s="103" t="str">
        <x:v>Tìm mã cha trong PROFILE_ND30/PROFILE_HD05 rồi lấy các mã con ở DAU_ND30/DAU_HD05.</x:v>
      </x:c>
    </x:row>
    <x:row r="7" ht="34" customHeight="1">
      <x:c r="A7" s="302" t="str">
        <x:v>THỨ TỰ ƯU TIÊN</x:v>
      </x:c>
      <x:c r="B7" s="103" t="str">
        <x:v>1. Phạm vi chủ thể và hiệu lực → 2. Quy định gốc đã xác minh → 3. Profile đã chốt → 4. Preset chưa duyệt chỉ tham khảo.</x:v>
      </x:c>
    </x:row>
    <x:row r="8" ht="34" customHeight="1">
      <x:c r="A8" s="302" t="str">
        <x:v>PHÂN BIỆT NGUỒN</x:v>
      </x:c>
      <x:c r="B8" s="103" t="str">
        <x:v>Giá trị quy định gốc ≠ giá trị profile. CHƯA XÁC MINH RIÊNG nghĩa là không được suy diễn thành quy định bắt buộc.</x:v>
      </x:c>
    </x:row>
    <x:row r="9" ht="34" customHeight="1">
      <x:c r="A9" s="302" t="str">
        <x:v>KHÔNG BẮT BUỘC MỌI Ô</x:v>
      </x:c>
      <x:c r="B9" s="103" t="str">
        <x:v>Không áp dụng = thuộc tính không thích hợp; giá trị trống = chưa có dữ liệu; 0 là giá trị số hợp lệ.</x:v>
      </x:c>
    </x:row>
    <x:row r="10" ht="34" customHeight="1">
      <x:c r="A10" s="302" t="str">
        <x:v>VĂN BẢN CÓ TÊN LOẠI</x:v>
      </x:c>
      <x:c r="B10" s="103" t="str">
        <x:v>D5 kiểu có tên loại và trích yếu 5a; không chèn nhãn Kính gửi hoặc dòng V/v nếu không thuộc trường hợp áp dụng.</x:v>
      </x:c>
    </x:row>
    <x:row r="11" ht="34" customHeight="1">
      <x:c r="A11" s="302" t="str">
        <x:v>CÔNG VĂN</x:v>
      </x:c>
      <x:c r="B11" s="103" t="str">
        <x:v>Công văn không có dòng tên loại riêng; trích yếu 5b; ND30 dùng V/v, HD05 dùng trích yếu công văn theo HD05.</x:v>
      </x:c>
    </x:row>
    <x:row r="12" ht="34" customHeight="1">
      <x:c r="A12" s="302" t="str">
        <x:v>HD05 — KÍNH GỬI</x:v>
      </x:c>
      <x:c r="B12" s="103" t="str">
        <x:v>Công văn có Kính gửi tại 5a; tờ trình có Kính trình tại 9b. Không suy ra cùng một ô cho mọi loại văn bản.</x:v>
      </x:c>
    </x:row>
    <x:row r="13" ht="34" customHeight="1">
      <x:c r="A13" s="302" t="str">
        <x:v>HD05 — DẤU PHÂN CÁCH</x:v>
      </x:c>
      <x:c r="B13" s="103" t="str">
        <x:v>Dấu * và 5 dấu gạch nối ----- là ký tự theo mẫu, không chuyển tùy tiện sang nét vẽ.</x:v>
      </x:c>
    </x:row>
    <x:row r="14" ht="34" customHeight="1">
      <x:c r="A14" s="302" t="str">
        <x:v>AN TOÀN NỘI DUNG</x:v>
      </x:c>
      <x:c r="B14" s="103" t="str">
        <x:v>Không tự điền số văn bản, ngày, địa danh, tên người nhận, ký hiệu tổ chức Đảng, tên cơ quan chưa xác minh.</x:v>
      </x:c>
    </x:row>
    <x:row r="15" ht="34" customHeight="1">
      <x:c r="A15" s="302" t="str">
        <x:v>HỒ SƠ TỔ CHỨC</x:v>
      </x:c>
      <x:c r="B15" s="103" t="str">
        <x:v>Tên Đảng ủy bộ phận và ký hiệu HTMB/ĐU đang cần chứng cứ chính thức; không tự coi là đã duyệt.</x:v>
      </x:c>
    </x:row>
    <x:row r="16" ht="34" customHeight="1">
      <x:c r="A16" s="302" t="str">
        <x:v>TNR TRONG BẢNG</x:v>
      </x:c>
      <x:c r="B16" s="103" t="str">
        <x:v>Cỡ 13 pt trong bảng và lặp hàng tiêu đề vẫn theo quyết định profile v1.7.4; không thay đổi tại bước này.</x:v>
      </x:c>
    </x:row>
    <x:row r="17" ht="34" customHeight="1">
      <x:c r="A17" s="302" t="str">
        <x:v>QUYỀN ÁP DỤNG</x:v>
      </x:c>
      <x:c r="B17" s="103" t="str">
        <x:v>CHECK_ONLY/PROTECTED ở workbook gốc được giữ nguyên; các rule DAU_* chỉ định nghĩa, không bật tự sửa DOCX.</x:v>
      </x:c>
    </x:row>
    <x:row r="18" ht="34" customHeight="1">
      <x:c r="A18" s="302" t="str">
        <x:v>SOURCE ND30</x:v>
      </x:c>
      <x:c r="B18" s="103" t="str">
        <x:v>https://datafiles.chinhphu.vn/cpp/files/vbpq/2020/03/30.signed.pdf</x:v>
      </x:c>
    </x:row>
    <x:row r="19" ht="34" customHeight="1">
      <x:c r="A19" s="302" t="str">
        <x:v>SOURCE HD05</x:v>
      </x:c>
      <x:c r="B19" s="103" t="str">
        <x:v>https://tulieuvankien.dangcongsan.vn/upload/2006988/20260529/HD_05_VPTW_e1550.pdf</x:v>
      </x:c>
    </x:row>
    <x:row r="20" ht="34" customHeight="1">
      <x:c r="A20" s="302" t="str">
        <x:v>TRẠNG THÁI</x:v>
      </x:c>
      <x:c r="B20" s="103" t="str">
        <x:v>Đã đối chiếu nguồn ở cấp thuộc tính chỉ khi có điều khoản cụ thể; preset chưa duyệt không nâng trạng thái.</x:v>
      </x:c>
    </x:row>
    <x:row r="21" ht="34" customHeight="1">
      <x:c r="A21" s="302" t="str">
        <x:v>QA</x:v>
      </x:c>
      <x:c r="B21" s="103" t="str">
        <x:v>Kiểm 2 namespace, mã cha tồn tại, mã con duy nhất, không lẫn rule ND30/HD05, kiểm dữ liệu gốc bảo toàn.</x:v>
      </x:c>
    </x:row>
    <x:row r="22" ht="34" customHeight="1">
      <x:c r="A22" s="302" t="str">
        <x:v>GIAI ĐOẠN SAU</x:v>
      </x:c>
      <x:c r="B22" s="103" t="str">
        <x:v>Tiếp tục nhóm C (Nơi nhận/Khối ký/Dấu) với phương pháp tương tự; không sửa plugin hoặc 209 template.</x:v>
      </x:c>
    </x:row>
  </x:sheetData>
  <x:pageMargins left="0.7" right="0.7" top="0.75" bottom="0.75" header="0.3" footer="0.3"/>
</x:worksheet>
</file>

<file path=xl/worksheets/sheet2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 hidden="0" customWidth="1"/>
    <x:col min="2" max="2" width="37" hidden="0" customWidth="1"/>
    <x:col min="3" max="3" width="32" hidden="0" customWidth="1"/>
    <x:col min="4" max="4" width="12" hidden="0" customWidth="1"/>
    <x:col min="5" max="5" width="26" hidden="0" customWidth="1"/>
    <x:col min="6" max="6" width="17" hidden="0" customWidth="1"/>
    <x:col min="7" max="7" width="25" hidden="0" customWidth="1"/>
    <x:col min="8" max="8" width="20" hidden="0" customWidth="1"/>
    <x:col min="9" max="9" width="22" hidden="0" customWidth="1"/>
    <x:col min="10" max="10" width="25" hidden="0" customWidth="1"/>
    <x:col min="11" max="11" width="38" hidden="0" customWidth="1"/>
    <x:col min="12" max="12" width="44" hidden="0" customWidth="1"/>
    <x:col min="13" max="13" width="10" hidden="0" customWidth="1"/>
    <x:col min="14" max="14" width="27" hidden="0" customWidth="1"/>
    <x:col min="15" max="15" width="25" hidden="0" customWidth="1"/>
    <x:col min="16" max="16" width="28" hidden="0" customWidth="1"/>
    <x:col min="17" max="17" width="14" hidden="0" customWidth="1"/>
    <x:col min="18" max="18" width="38" hidden="0" customWidth="1"/>
    <x:col min="19" max="19" width="22" hidden="0" customWidth="1"/>
    <x:col min="20" max="20" width="30" hidden="0" customWidth="1"/>
    <x:col min="21" max="21" width="24" hidden="0" customWidth="1"/>
  </x:cols>
  <x:sheetData>
    <x:row r="1" ht="28" customHeight="1">
      <x:c r="A1" s="305" t="str">
        <x:v>STT</x:v>
      </x:c>
      <x:c r="B1" s="305" t="str">
        <x:v>Mã rule con</x:v>
      </x:c>
      <x:c r="C1" s="305" t="str">
        <x:v>Mã cha gốc</x:v>
      </x:c>
      <x:c r="D1" s="305" t="str">
        <x:v>Nhóm</x:v>
      </x:c>
      <x:c r="E1" s="305" t="str">
        <x:v>Tên thành phần</x:v>
      </x:c>
      <x:c r="F1" s="305" t="str">
        <x:v>Thuộc tính</x:v>
      </x:c>
      <x:c r="G1" s="305" t="str">
        <x:v>Giá trị profile đang có</x:v>
      </x:c>
      <x:c r="H1" s="305" t="str">
        <x:v>Giá trị pháp lý kiểm chứng</x:v>
      </x:c>
      <x:c r="I1" s="305" t="str">
        <x:v>Trạng thái pháp lý thuộc tính</x:v>
      </x:c>
      <x:c r="J1" s="305" t="str">
        <x:v>Trạng thái quyết định profile</x:v>
      </x:c>
      <x:c r="K1" s="305" t="str">
        <x:v>Điều kiện áp dụng</x:v>
      </x:c>
      <x:c r="L1" s="305" t="str">
        <x:v>Ngoại lệ/phân nhánh</x:v>
      </x:c>
      <x:c r="M1" s="305" t="str">
        <x:v>Đơn vị</x:v>
      </x:c>
      <x:c r="N1" s="305" t="str">
        <x:v>Nguồn/định vị</x:v>
      </x:c>
      <x:c r="O1" s="305" t="str">
        <x:v>URL nguồn</x:v>
      </x:c>
      <x:c r="P1" s="305" t="str">
        <x:v>Nguồn profile/ghi chú</x:v>
      </x:c>
      <x:c r="Q1" s="305" t="str">
        <x:v>Quyền xử lý</x:v>
      </x:c>
      <x:c r="R1" s="305" t="str">
        <x:v>Cách kiểm tra offline</x:v>
      </x:c>
      <x:c r="S1" s="305" t="str">
        <x:v>Phân loại bằng chứng TQA-NR</x:v>
      </x:c>
      <x:c r="T1" s="305" t="str">
        <x:v>Giá trị cần bổ sung</x:v>
      </x:c>
      <x:c r="U1" s="305" t="str">
        <x:v>Đối tượng</x:v>
      </x:c>
    </x:row>
    <x:row r="2">
      <x:c r="A2" t="n">
        <x:v>1</x:v>
      </x:c>
      <x:c r="B2" t="str">
        <x:v>ND30.N.MD.MO_DAU.HIEN_DIEN</x:v>
      </x:c>
      <x:c r="C2" t="str">
        <x:v>ND30.N.MD.MO_DAU</x:v>
      </x:c>
      <x:c r="D2" t="str">
        <x:v>N</x:v>
      </x:c>
      <x:c r="E2" t="str">
        <x:v>Đoạn dẫn nhập</x:v>
      </x:c>
      <x:c r="F2" t="str">
        <x:v>HIEN_DIEN</x:v>
      </x:c>
      <x:c r="G2" t="str">
        <x:v>Theo loại văn bản và sự hiện diện thực tế; không áp dụng đồng loạt</x:v>
      </x:c>
      <x:c r="H2"/>
      <x:c r="I2" t="str">
        <x:v>UNVERIFIED_ATTRIBUTE</x:v>
      </x:c>
      <x:c r="J2" t="str">
        <x:v>SOURCE_DESCRIPTION_NOT_APPROVAL</x:v>
      </x:c>
      <x:c r="K2" t="str">
        <x:v>Chỉ đoạn nội dung thực; loại trừ bảng, chú thích, chữ ký và các thành phần phần đầu</x:v>
      </x:c>
      <x:c r="L2" t="str">
        <x:v>Bảo toàn cấu trúc/nội dung; nếu khác loại văn bản, ưu tiên đúng mẫu của loại đó; không sửa khi thiếu căn cứ.</x:v>
      </x:c>
      <x:c r="M2"/>
      <x:c r="N2" t="str">
        <x:v>NĐ30, Phụ lục I, Phần I, II.6; V.6</x:v>
      </x:c>
      <x:c r="O2" t="str">
        <x:v>https://congbao.chinhphu.vn/van-ban/nghi-dinh-so-30-2020-nd-cp-30858/30246.htm</x:v>
      </x:c>
      <x:c r="P2" t="str">
        <x:v>PLUGIN:hoa-tieu-mien-bac-administrative-v1 | user_approved_visual_reference</x:v>
      </x:c>
      <x:c r="Q2" t="str">
        <x:v>CHECK_ONLY</x:v>
      </x:c>
      <x:c r="R2" t="str">
        <x:v>Kiểm tra từng thuộc tính có mặt; so sánh nguồn/role; không suy đoán từ kết quả render chưa có</x:v>
      </x:c>
      <x:c r="S2" t="str">
        <x:v>STRUCTURE_READ_EXISTING_WORKBOOK</x:v>
      </x:c>
      <x:c r="T2"/>
      <x:c r="U2" t="str">
        <x:v>Paragraph/Run theo kiểu khối MD; preserve list numbering/table/drawing nếu có</x:v>
      </x:c>
    </x:row>
    <x:row r="3">
      <x:c r="A3" t="n">
        <x:v>2</x:v>
      </x:c>
      <x:c r="B3" t="str">
        <x:v>ND30.N.MD.MO_DAU.NOI_DUNG</x:v>
      </x:c>
      <x:c r="C3" t="str">
        <x:v>ND30.N.MD.MO_DAU</x:v>
      </x:c>
      <x:c r="D3" t="str">
        <x:v>N</x:v>
      </x:c>
      <x:c r="E3" t="str">
        <x:v>Đoạn dẫn nhập</x:v>
      </x:c>
      <x:c r="F3" t="str">
        <x:v>NOI_DUNG</x:v>
      </x:c>
      <x:c r="G3" t="str">
        <x:v>Dẫn nhập/câu mở đầu theo loại văn bản và nghĩa vụ nội dung</x:v>
      </x:c>
      <x:c r="H3"/>
      <x:c r="I3" t="str">
        <x:v>UNVERIFIED_ATTRIBUTE</x:v>
      </x:c>
      <x:c r="J3" t="str">
        <x:v>SOURCE_DESCRIPTION_NOT_APPROVAL</x:v>
      </x:c>
      <x:c r="K3" t="str">
        <x:v>Chỉ đoạn nội dung thực; loại trừ bảng, chú thích, chữ ký và các thành phần phần đầu</x:v>
      </x:c>
      <x:c r="L3" t="str">
        <x:v>Bảo toàn cấu trúc/nội dung; nếu khác loại văn bản, ưu tiên đúng mẫu của loại đó; không sửa khi thiếu căn cứ.</x:v>
      </x:c>
      <x:c r="M3"/>
      <x:c r="N3" t="str">
        <x:v>NĐ30, Phụ lục I, Phần I, II.6; V.6</x:v>
      </x:c>
      <x:c r="O3" t="str">
        <x:v>https://congbao.chinhphu.vn/van-ban/nghi-dinh-so-30-2020-nd-cp-30858/30246.htm</x:v>
      </x:c>
      <x:c r="P3" t="str">
        <x:v>PLUGIN:hoa-tieu-mien-bac-administrative-v1 | user_approved_visual_reference</x:v>
      </x:c>
      <x:c r="Q3" t="str">
        <x:v>CHECK_ONLY</x:v>
      </x:c>
      <x:c r="R3" t="str">
        <x:v>Kiểm tra từng thuộc tính có mặt; so sánh nguồn/role; không suy đoán từ kết quả render chưa có</x:v>
      </x:c>
      <x:c r="S3" t="str">
        <x:v>STRUCTURE_READ_EXISTING_WORKBOOK</x:v>
      </x:c>
      <x:c r="T3"/>
      <x:c r="U3" t="str">
        <x:v>Paragraph/Run theo kiểu khối MD; preserve list numbering/table/drawing nếu có</x:v>
      </x:c>
    </x:row>
    <x:row r="4">
      <x:c r="A4" t="n">
        <x:v>3</x:v>
      </x:c>
      <x:c r="B4" t="str">
        <x:v>ND30.N.MD.MO_DAU.PHONG_CHU</x:v>
      </x:c>
      <x:c r="C4" t="str">
        <x:v>ND30.N.MD.MO_DAU</x:v>
      </x:c>
      <x:c r="D4" t="str">
        <x:v>N</x:v>
      </x:c>
      <x:c r="E4" t="str">
        <x:v>Đoạn dẫn nhập</x:v>
      </x:c>
      <x:c r="F4" t="str">
        <x:v>PHONG_CHU</x:v>
      </x:c>
      <x:c r="G4" t="str">
        <x:v>Times New Roman</x:v>
      </x:c>
      <x:c r="H4"/>
      <x:c r="I4" t="str">
        <x:v>UNVERIFIED_ATTRIBUTE</x:v>
      </x:c>
      <x:c r="J4" t="str">
        <x:v>PROFILE_PRESET_UNAPPROVED</x:v>
      </x:c>
      <x:c r="K4" t="str">
        <x:v>Chỉ đoạn nội dung thực; loại trừ bảng, chú thích, chữ ký và các thành phần phần đầu</x:v>
      </x:c>
      <x:c r="L4" t="str">
        <x:v>Bảo toàn cấu trúc/nội dung; nếu khác loại văn bản, ưu tiên đúng mẫu của loại đó; không sửa khi thiếu căn cứ.</x:v>
      </x:c>
      <x:c r="M4"/>
      <x:c r="N4" t="str">
        <x:v>NĐ30, Phụ lục I, Phần I, II.6; V.6</x:v>
      </x:c>
      <x:c r="O4" t="str">
        <x:v>https://congbao.chinhphu.vn/van-ban/nghi-dinh-so-30-2020-nd-cp-30858/30246.htm</x:v>
      </x:c>
      <x:c r="P4" t="str">
        <x:v>PLUGIN:hoa-tieu-mien-bac-administrative-v1 | user_approved_visual_reference</x:v>
      </x:c>
      <x:c r="Q4" t="str">
        <x:v>CHECK_ONLY</x:v>
      </x:c>
      <x:c r="R4" t="str">
        <x:v>Kiểm tra từng thuộc tính có mặt; so sánh nguồn/role; không suy đoán từ kết quả render chưa có</x:v>
      </x:c>
      <x:c r="S4" t="str">
        <x:v>STRUCTURE_READ_EXISTING_WORKBOOK</x:v>
      </x:c>
      <x:c r="T4"/>
      <x:c r="U4" t="str">
        <x:v>Paragraph/Run theo kiểu khối MD; preserve list numbering/table/drawing nếu có</x:v>
      </x:c>
    </x:row>
    <x:row r="5">
      <x:c r="A5" t="n">
        <x:v>4</x:v>
      </x:c>
      <x:c r="B5" t="str">
        <x:v>ND30.N.MD.MO_DAU.CO_CHU</x:v>
      </x:c>
      <x:c r="C5" t="str">
        <x:v>ND30.N.MD.MO_DAU</x:v>
      </x:c>
      <x:c r="D5" t="str">
        <x:v>N</x:v>
      </x:c>
      <x:c r="E5" t="str">
        <x:v>Đoạn dẫn nhập</x:v>
      </x:c>
      <x:c r="F5" t="str">
        <x:v>CO_CHU</x:v>
      </x:c>
      <x:c r="G5" t="n">
        <x:v>14</x:v>
      </x:c>
      <x:c r="H5"/>
      <x:c r="I5" t="str">
        <x:v>UNVERIFIED_ATTRIBUTE</x:v>
      </x:c>
      <x:c r="J5" t="str">
        <x:v>PROFILE_PRESET_UNAPPROVED</x:v>
      </x:c>
      <x:c r="K5" t="str">
        <x:v>Chỉ đoạn nội dung thực; loại trừ bảng, chú thích, chữ ký và các thành phần phần đầu</x:v>
      </x:c>
      <x:c r="L5" t="str">
        <x:v>Bảo toàn cấu trúc/nội dung; nếu khác loại văn bản, ưu tiên đúng mẫu của loại đó; không sửa khi thiếu căn cứ.</x:v>
      </x:c>
      <x:c r="M5" t="str">
        <x:v>pt</x:v>
      </x:c>
      <x:c r="N5" t="str">
        <x:v>NĐ30, Phụ lục I, Phần I, II.6; V.6</x:v>
      </x:c>
      <x:c r="O5" t="str">
        <x:v>https://congbao.chinhphu.vn/van-ban/nghi-dinh-so-30-2020-nd-cp-30858/30246.htm</x:v>
      </x:c>
      <x:c r="P5" t="str">
        <x:v>PLUGIN:hoa-tieu-mien-bac-administrative-v1 | user_approved_visual_reference</x:v>
      </x:c>
      <x:c r="Q5" t="str">
        <x:v>CHECK_ONLY</x:v>
      </x:c>
      <x:c r="R5" t="str">
        <x:v>Kiểm tra từng thuộc tính có mặt; so sánh nguồn/role; không suy đoán từ kết quả render chưa có</x:v>
      </x:c>
      <x:c r="S5" t="str">
        <x:v>STRUCTURE_READ_EXISTING_WORKBOOK</x:v>
      </x:c>
      <x:c r="T5"/>
      <x:c r="U5" t="str">
        <x:v>Paragraph/Run theo kiểu khối MD; preserve list numbering/table/drawing nếu có</x:v>
      </x:c>
    </x:row>
    <x:row r="6">
      <x:c r="A6" t="n">
        <x:v>5</x:v>
      </x:c>
      <x:c r="B6" t="str">
        <x:v>ND30.N.MD.MO_DAU.DAM</x:v>
      </x:c>
      <x:c r="C6" t="str">
        <x:v>ND30.N.MD.MO_DAU</x:v>
      </x:c>
      <x:c r="D6" t="str">
        <x:v>N</x:v>
      </x:c>
      <x:c r="E6" t="str">
        <x:v>Đoạn dẫn nhập</x:v>
      </x:c>
      <x:c r="F6" t="str">
        <x:v>DAM</x:v>
      </x:c>
      <x:c r="G6" t="str">
        <x:v>KHÔNG</x:v>
      </x:c>
      <x:c r="H6"/>
      <x:c r="I6" t="str">
        <x:v>UNVERIFIED_ATTRIBUTE</x:v>
      </x:c>
      <x:c r="J6" t="str">
        <x:v>PROFILE_PRESET_UNAPPROVED</x:v>
      </x:c>
      <x:c r="K6" t="str">
        <x:v>Chỉ đoạn nội dung thực; loại trừ bảng, chú thích, chữ ký và các thành phần phần đầu</x:v>
      </x:c>
      <x:c r="L6" t="str">
        <x:v>Bảo toàn cấu trúc/nội dung; nếu khác loại văn bản, ưu tiên đúng mẫu của loại đó; không sửa khi thiếu căn cứ.</x:v>
      </x:c>
      <x:c r="M6"/>
      <x:c r="N6" t="str">
        <x:v>NĐ30, Phụ lục I, Phần I, II.6; V.6</x:v>
      </x:c>
      <x:c r="O6" t="str">
        <x:v>https://congbao.chinhphu.vn/van-ban/nghi-dinh-so-30-2020-nd-cp-30858/30246.htm</x:v>
      </x:c>
      <x:c r="P6" t="str">
        <x:v>PLUGIN:hoa-tieu-mien-bac-administrative-v1 | user_approved_visual_reference</x:v>
      </x:c>
      <x:c r="Q6" t="str">
        <x:v>CHECK_ONLY</x:v>
      </x:c>
      <x:c r="R6" t="str">
        <x:v>Kiểm tra từng thuộc tính có mặt; so sánh nguồn/role; không suy đoán từ kết quả render chưa có</x:v>
      </x:c>
      <x:c r="S6" t="str">
        <x:v>STRUCTURE_READ_EXISTING_WORKBOOK</x:v>
      </x:c>
      <x:c r="T6"/>
      <x:c r="U6" t="str">
        <x:v>Paragraph/Run theo kiểu khối MD; preserve list numbering/table/drawing nếu có</x:v>
      </x:c>
    </x:row>
    <x:row r="7">
      <x:c r="A7" t="n">
        <x:v>6</x:v>
      </x:c>
      <x:c r="B7" t="str">
        <x:v>ND30.N.MD.MO_DAU.NGHIENG</x:v>
      </x:c>
      <x:c r="C7" t="str">
        <x:v>ND30.N.MD.MO_DAU</x:v>
      </x:c>
      <x:c r="D7" t="str">
        <x:v>N</x:v>
      </x:c>
      <x:c r="E7" t="str">
        <x:v>Đoạn dẫn nhập</x:v>
      </x:c>
      <x:c r="F7" t="str">
        <x:v>NGHIENG</x:v>
      </x:c>
      <x:c r="G7"/>
      <x:c r="H7"/>
      <x:c r="I7" t="str">
        <x:v>UNVERIFIED_ATTRIBUTE</x:v>
      </x:c>
      <x:c r="J7" t="str">
        <x:v>BLOCKED_NO_ATTRIBUTE_VALUE</x:v>
      </x:c>
      <x:c r="K7" t="str">
        <x:v>Chỉ đoạn nội dung thực; loại trừ bảng, chú thích, chữ ký và các thành phần phần đầu</x:v>
      </x:c>
      <x:c r="L7" t="str">
        <x:v>Bảo toàn cấu trúc/nội dung; nếu khác loại văn bản, ưu tiên đúng mẫu của loại đó; không sửa khi thiếu căn cứ.</x:v>
      </x:c>
      <x:c r="M7"/>
      <x:c r="N7" t="str">
        <x:v>NĐ30, Phụ lục I, Phần I, II.6; V.6</x:v>
      </x:c>
      <x:c r="O7" t="str">
        <x:v>https://congbao.chinhphu.vn/van-ban/nghi-dinh-so-30-2020-nd-cp-30858/30246.htm</x:v>
      </x:c>
      <x:c r="P7" t="str">
        <x:v>PLUGIN:hoa-tieu-mien-bac-administrative-v1 | user_approved_visual_reference</x:v>
      </x:c>
      <x:c r="Q7" t="str">
        <x:v>CHECK_ONLY</x:v>
      </x:c>
      <x:c r="R7" t="str">
        <x:v>Kiểm tra từng thuộc tính có mặt; so sánh nguồn/role; không suy đoán từ kết quả render chưa có</x:v>
      </x:c>
      <x:c r="S7" t="str">
        <x:v>RULE_INFERENCE_NOT_MEASURED</x:v>
      </x:c>
      <x:c r="T7" t="str">
        <x:v>Xác minh căn cứ theo loại văn bản / tài liệu phát hành hoặc phê duyệt</x:v>
      </x:c>
      <x:c r="U7" t="str">
        <x:v>Paragraph/Run theo kiểu khối MD; preserve list numbering/table/drawing nếu có</x:v>
      </x:c>
    </x:row>
    <x:row r="8">
      <x:c r="A8" t="n">
        <x:v>7</x:v>
      </x:c>
      <x:c r="B8" t="str">
        <x:v>ND30.N.MD.MO_DAU.KIEU_CHU</x:v>
      </x:c>
      <x:c r="C8" t="str">
        <x:v>ND30.N.MD.MO_DAU</x:v>
      </x:c>
      <x:c r="D8" t="str">
        <x:v>N</x:v>
      </x:c>
      <x:c r="E8" t="str">
        <x:v>Đoạn dẫn nhập</x:v>
      </x:c>
      <x:c r="F8" t="str">
        <x:v>KIEU_CHU</x:v>
      </x:c>
      <x:c r="G8" t="str">
        <x:v>In thường (trừ tiêu đề)</x:v>
      </x:c>
      <x:c r="H8"/>
      <x:c r="I8" t="str">
        <x:v>UNVERIFIED_ATTRIBUTE</x:v>
      </x:c>
      <x:c r="J8" t="str">
        <x:v>PROFILE_PRESET_UNAPPROVED</x:v>
      </x:c>
      <x:c r="K8" t="str">
        <x:v>Chỉ đoạn nội dung thực; loại trừ bảng, chú thích, chữ ký và các thành phần phần đầu</x:v>
      </x:c>
      <x:c r="L8" t="str">
        <x:v>Bảo toàn cấu trúc/nội dung; nếu khác loại văn bản, ưu tiên đúng mẫu của loại đó; không sửa khi thiếu căn cứ.</x:v>
      </x:c>
      <x:c r="M8"/>
      <x:c r="N8" t="str">
        <x:v>NĐ30, Phụ lục I, Phần I, II.6; V.6</x:v>
      </x:c>
      <x:c r="O8" t="str">
        <x:v>https://congbao.chinhphu.vn/van-ban/nghi-dinh-so-30-2020-nd-cp-30858/30246.htm</x:v>
      </x:c>
      <x:c r="P8" t="str">
        <x:v>PLUGIN:hoa-tieu-mien-bac-administrative-v1 | user_approved_visual_reference</x:v>
      </x:c>
      <x:c r="Q8" t="str">
        <x:v>CHECK_ONLY</x:v>
      </x:c>
      <x:c r="R8" t="str">
        <x:v>Kiểm tra từng thuộc tính có mặt; so sánh nguồn/role; không suy đoán từ kết quả render chưa có</x:v>
      </x:c>
      <x:c r="S8" t="str">
        <x:v>STRUCTURE_READ_EXISTING_WORKBOOK</x:v>
      </x:c>
      <x:c r="T8"/>
      <x:c r="U8" t="str">
        <x:v>Paragraph/Run theo kiểu khối MD; preserve list numbering/table/drawing nếu có</x:v>
      </x:c>
    </x:row>
    <x:row r="9">
      <x:c r="A9" t="n">
        <x:v>8</x:v>
      </x:c>
      <x:c r="B9" t="str">
        <x:v>ND30.N.MD.MO_DAU.CAN_NGANG</x:v>
      </x:c>
      <x:c r="C9" t="str">
        <x:v>ND30.N.MD.MO_DAU</x:v>
      </x:c>
      <x:c r="D9" t="str">
        <x:v>N</x:v>
      </x:c>
      <x:c r="E9" t="str">
        <x:v>Đoạn dẫn nhập</x:v>
      </x:c>
      <x:c r="F9" t="str">
        <x:v>CAN_NGANG</x:v>
      </x:c>
      <x:c r="G9" t="str">
        <x:v>JUSTIFY</x:v>
      </x:c>
      <x:c r="H9"/>
      <x:c r="I9" t="str">
        <x:v>UNVERIFIED_ATTRIBUTE</x:v>
      </x:c>
      <x:c r="J9" t="str">
        <x:v>PROFILE_PRESET_UNAPPROVED</x:v>
      </x:c>
      <x:c r="K9" t="str">
        <x:v>Chỉ đoạn nội dung thực; loại trừ bảng, chú thích, chữ ký và các thành phần phần đầu</x:v>
      </x:c>
      <x:c r="L9" t="str">
        <x:v>Bảo toàn cấu trúc/nội dung; nếu khác loại văn bản, ưu tiên đúng mẫu của loại đó; không sửa khi thiếu căn cứ.</x:v>
      </x:c>
      <x:c r="M9"/>
      <x:c r="N9" t="str">
        <x:v>NĐ30, Phụ lục I, Phần I, II.6; V.6</x:v>
      </x:c>
      <x:c r="O9" t="str">
        <x:v>https://congbao.chinhphu.vn/van-ban/nghi-dinh-so-30-2020-nd-cp-30858/30246.htm</x:v>
      </x:c>
      <x:c r="P9" t="str">
        <x:v>PLUGIN:hoa-tieu-mien-bac-administrative-v1 | user_approved_visual_reference</x:v>
      </x:c>
      <x:c r="Q9" t="str">
        <x:v>CHECK_ONLY</x:v>
      </x:c>
      <x:c r="R9" t="str">
        <x:v>Kiểm tra từng thuộc tính có mặt; so sánh nguồn/role; không suy đoán từ kết quả render chưa có</x:v>
      </x:c>
      <x:c r="S9" t="str">
        <x:v>STRUCTURE_READ_EXISTING_WORKBOOK</x:v>
      </x:c>
      <x:c r="T9"/>
      <x:c r="U9" t="str">
        <x:v>Paragraph/Run theo kiểu khối MD; preserve list numbering/table/drawing nếu có</x:v>
      </x:c>
    </x:row>
    <x:row r="10">
      <x:c r="A10" t="n">
        <x:v>9</x:v>
      </x:c>
      <x:c r="B10" t="str">
        <x:v>ND30.N.MD.MO_DAU.GIAN_DONG</x:v>
      </x:c>
      <x:c r="C10" t="str">
        <x:v>ND30.N.MD.MO_DAU</x:v>
      </x:c>
      <x:c r="D10" t="str">
        <x:v>N</x:v>
      </x:c>
      <x:c r="E10" t="str">
        <x:v>Đoạn dẫn nhập</x:v>
      </x:c>
      <x:c r="F10" t="str">
        <x:v>GIAN_DONG</x:v>
      </x:c>
      <x:c r="G10" t="n">
        <x:v>19</x:v>
      </x:c>
      <x:c r="H10"/>
      <x:c r="I10" t="str">
        <x:v>UNVERIFIED_ATTRIBUTE</x:v>
      </x:c>
      <x:c r="J10" t="str">
        <x:v>PROFILE_PRESET_UNAPPROVED</x:v>
      </x:c>
      <x:c r="K10" t="str">
        <x:v>Chỉ đoạn nội dung thực; loại trừ bảng, chú thích, chữ ký và các thành phần phần đầu</x:v>
      </x:c>
      <x:c r="L10" t="str">
        <x:v>Bảo toàn cấu trúc/nội dung; nếu khác loại văn bản, ưu tiên đúng mẫu của loại đó; không sửa khi thiếu căn cứ.</x:v>
      </x:c>
      <x:c r="M10" t="str">
        <x:v>pt</x:v>
      </x:c>
      <x:c r="N10" t="str">
        <x:v>NĐ30, Phụ lục I, Phần I, II.6; V.6</x:v>
      </x:c>
      <x:c r="O10" t="str">
        <x:v>https://congbao.chinhphu.vn/van-ban/nghi-dinh-so-30-2020-nd-cp-30858/30246.htm</x:v>
      </x:c>
      <x:c r="P10" t="str">
        <x:v>PLUGIN:hoa-tieu-mien-bac-administrative-v1 | user_approved_visual_reference</x:v>
      </x:c>
      <x:c r="Q10" t="str">
        <x:v>CHECK_ONLY</x:v>
      </x:c>
      <x:c r="R10" t="str">
        <x:v>Kiểm tra từng thuộc tính có mặt; so sánh nguồn/role; không suy đoán từ kết quả render chưa có</x:v>
      </x:c>
      <x:c r="S10" t="str">
        <x:v>STRUCTURE_READ_EXISTING_WORKBOOK</x:v>
      </x:c>
      <x:c r="T10"/>
      <x:c r="U10" t="str">
        <x:v>Paragraph/Run theo kiểu khối MD; preserve list numbering/table/drawing nếu có</x:v>
      </x:c>
    </x:row>
    <x:row r="11">
      <x:c r="A11" t="n">
        <x:v>10</x:v>
      </x:c>
      <x:c r="B11" t="str">
        <x:v>ND30.N.MD.MO_DAU.CACH_TRUOC</x:v>
      </x:c>
      <x:c r="C11" t="str">
        <x:v>ND30.N.MD.MO_DAU</x:v>
      </x:c>
      <x:c r="D11" t="str">
        <x:v>N</x:v>
      </x:c>
      <x:c r="E11" t="str">
        <x:v>Đoạn dẫn nhập</x:v>
      </x:c>
      <x:c r="F11" t="str">
        <x:v>CACH_TRUOC</x:v>
      </x:c>
      <x:c r="G11" t="n">
        <x:v>0</x:v>
      </x:c>
      <x:c r="H11"/>
      <x:c r="I11" t="str">
        <x:v>UNVERIFIED_ATTRIBUTE</x:v>
      </x:c>
      <x:c r="J11" t="str">
        <x:v>PROFILE_PRESET_UNAPPROVED</x:v>
      </x:c>
      <x:c r="K11" t="str">
        <x:v>Chỉ đoạn nội dung thực; loại trừ bảng, chú thích, chữ ký và các thành phần phần đầu</x:v>
      </x:c>
      <x:c r="L11" t="str">
        <x:v>Bảo toàn cấu trúc/nội dung; nếu khác loại văn bản, ưu tiên đúng mẫu của loại đó; không sửa khi thiếu căn cứ.</x:v>
      </x:c>
      <x:c r="M11" t="str">
        <x:v>pt</x:v>
      </x:c>
      <x:c r="N11" t="str">
        <x:v>NĐ30, Phụ lục I, Phần I, II.6; V.6</x:v>
      </x:c>
      <x:c r="O11" t="str">
        <x:v>https://congbao.chinhphu.vn/van-ban/nghi-dinh-so-30-2020-nd-cp-30858/30246.htm</x:v>
      </x:c>
      <x:c r="P11" t="str">
        <x:v>PLUGIN:hoa-tieu-mien-bac-administrative-v1 | user_approved_visual_reference</x:v>
      </x:c>
      <x:c r="Q11" t="str">
        <x:v>CHECK_ONLY</x:v>
      </x:c>
      <x:c r="R11" t="str">
        <x:v>Kiểm tra từng thuộc tính có mặt; so sánh nguồn/role; không suy đoán từ kết quả render chưa có</x:v>
      </x:c>
      <x:c r="S11" t="str">
        <x:v>STRUCTURE_READ_EXISTING_WORKBOOK</x:v>
      </x:c>
      <x:c r="T11"/>
      <x:c r="U11" t="str">
        <x:v>Paragraph/Run theo kiểu khối MD; preserve list numbering/table/drawing nếu có</x:v>
      </x:c>
    </x:row>
    <x:row r="12">
      <x:c r="A12" t="n">
        <x:v>11</x:v>
      </x:c>
      <x:c r="B12" t="str">
        <x:v>ND30.N.MD.MO_DAU.CACH_SAU</x:v>
      </x:c>
      <x:c r="C12" t="str">
        <x:v>ND30.N.MD.MO_DAU</x:v>
      </x:c>
      <x:c r="D12" t="str">
        <x:v>N</x:v>
      </x:c>
      <x:c r="E12" t="str">
        <x:v>Đoạn dẫn nhập</x:v>
      </x:c>
      <x:c r="F12" t="str">
        <x:v>CACH_SAU</x:v>
      </x:c>
      <x:c r="G12" t="n">
        <x:v>6</x:v>
      </x:c>
      <x:c r="H12"/>
      <x:c r="I12" t="str">
        <x:v>UNVERIFIED_ATTRIBUTE</x:v>
      </x:c>
      <x:c r="J12" t="str">
        <x:v>PROFILE_PRESET_UNAPPROVED</x:v>
      </x:c>
      <x:c r="K12" t="str">
        <x:v>Chỉ đoạn nội dung thực; loại trừ bảng, chú thích, chữ ký và các thành phần phần đầu</x:v>
      </x:c>
      <x:c r="L12" t="str">
        <x:v>Bảo toàn cấu trúc/nội dung; nếu khác loại văn bản, ưu tiên đúng mẫu của loại đó; không sửa khi thiếu căn cứ.</x:v>
      </x:c>
      <x:c r="M12" t="str">
        <x:v>pt</x:v>
      </x:c>
      <x:c r="N12" t="str">
        <x:v>NĐ30, Phụ lục I, Phần I, II.6; V.6</x:v>
      </x:c>
      <x:c r="O12" t="str">
        <x:v>https://congbao.chinhphu.vn/van-ban/nghi-dinh-so-30-2020-nd-cp-30858/30246.htm</x:v>
      </x:c>
      <x:c r="P12" t="str">
        <x:v>PLUGIN:hoa-tieu-mien-bac-administrative-v1 | user_approved_visual_reference</x:v>
      </x:c>
      <x:c r="Q12" t="str">
        <x:v>CHECK_ONLY</x:v>
      </x:c>
      <x:c r="R12" t="str">
        <x:v>Kiểm tra từng thuộc tính có mặt; so sánh nguồn/role; không suy đoán từ kết quả render chưa có</x:v>
      </x:c>
      <x:c r="S12" t="str">
        <x:v>STRUCTURE_READ_EXISTING_WORKBOOK</x:v>
      </x:c>
      <x:c r="T12"/>
      <x:c r="U12" t="str">
        <x:v>Paragraph/Run theo kiểu khối MD; preserve list numbering/table/drawing nếu có</x:v>
      </x:c>
    </x:row>
    <x:row r="13">
      <x:c r="A13" t="n">
        <x:v>12</x:v>
      </x:c>
      <x:c r="B13" t="str">
        <x:v>ND30.N.MD.MO_DAU.THUT_DONG_DAU</x:v>
      </x:c>
      <x:c r="C13" t="str">
        <x:v>ND30.N.MD.MO_DAU</x:v>
      </x:c>
      <x:c r="D13" t="str">
        <x:v>N</x:v>
      </x:c>
      <x:c r="E13" t="str">
        <x:v>Đoạn dẫn nhập</x:v>
      </x:c>
      <x:c r="F13" t="str">
        <x:v>THUT_DONG_DAU</x:v>
      </x:c>
      <x:c r="G13" t="n">
        <x:v>12.7</x:v>
      </x:c>
      <x:c r="H13"/>
      <x:c r="I13" t="str">
        <x:v>UNVERIFIED_ATTRIBUTE</x:v>
      </x:c>
      <x:c r="J13" t="str">
        <x:v>PROFILE_PRESET_UNAPPROVED</x:v>
      </x:c>
      <x:c r="K13" t="str">
        <x:v>Chỉ đoạn nội dung thực; loại trừ bảng, chú thích, chữ ký và các thành phần phần đầu</x:v>
      </x:c>
      <x:c r="L13" t="str">
        <x:v>Bảo toàn cấu trúc/nội dung; nếu khác loại văn bản, ưu tiên đúng mẫu của loại đó; không sửa khi thiếu căn cứ.</x:v>
      </x:c>
      <x:c r="M13" t="str">
        <x:v>mm</x:v>
      </x:c>
      <x:c r="N13" t="str">
        <x:v>NĐ30, Phụ lục I, Phần I, II.6; V.6</x:v>
      </x:c>
      <x:c r="O13" t="str">
        <x:v>https://congbao.chinhphu.vn/van-ban/nghi-dinh-so-30-2020-nd-cp-30858/30246.htm</x:v>
      </x:c>
      <x:c r="P13" t="str">
        <x:v>PLUGIN:hoa-tieu-mien-bac-administrative-v1 | user_approved_visual_reference</x:v>
      </x:c>
      <x:c r="Q13" t="str">
        <x:v>CHECK_ONLY</x:v>
      </x:c>
      <x:c r="R13" t="str">
        <x:v>Kiểm tra từng thuộc tính có mặt; so sánh nguồn/role; không suy đoán từ kết quả render chưa có</x:v>
      </x:c>
      <x:c r="S13" t="str">
        <x:v>STRUCTURE_READ_EXISTING_WORKBOOK</x:v>
      </x:c>
      <x:c r="T13"/>
      <x:c r="U13" t="str">
        <x:v>Paragraph/Run theo kiểu khối MD; preserve list numbering/table/drawing nếu có</x:v>
      </x:c>
    </x:row>
    <x:row r="14">
      <x:c r="A14" t="n">
        <x:v>13</x:v>
      </x:c>
      <x:c r="B14" t="str">
        <x:v>ND30.N.MD.MO_DAU.DAU_CAU</x:v>
      </x:c>
      <x:c r="C14" t="str">
        <x:v>ND30.N.MD.MO_DAU</x:v>
      </x:c>
      <x:c r="D14" t="str">
        <x:v>N</x:v>
      </x:c>
      <x:c r="E14" t="str">
        <x:v>Đoạn dẫn nhập</x:v>
      </x:c>
      <x:c r="F14" t="str">
        <x:v>DAU_CAU</x:v>
      </x:c>
      <x:c r="G14"/>
      <x:c r="H14"/>
      <x:c r="I14" t="str">
        <x:v>UNVERIFIED_ATTRIBUTE</x:v>
      </x:c>
      <x:c r="J14" t="str">
        <x:v>BLOCKED_NO_ATTRIBUTE_VALUE</x:v>
      </x:c>
      <x:c r="K14" t="str">
        <x:v>Chỉ đoạn nội dung thực; loại trừ bảng, chú thích, chữ ký và các thành phần phần đầu</x:v>
      </x:c>
      <x:c r="L14" t="str">
        <x:v>Bảo toàn cấu trúc/nội dung; nếu khác loại văn bản, ưu tiên đúng mẫu của loại đó; không sửa khi thiếu căn cứ.</x:v>
      </x:c>
      <x:c r="M14"/>
      <x:c r="N14" t="str">
        <x:v>NĐ30, Phụ lục I, Phần I, II.6; V.6</x:v>
      </x:c>
      <x:c r="O14" t="str">
        <x:v>https://congbao.chinhphu.vn/van-ban/nghi-dinh-so-30-2020-nd-cp-30858/30246.htm</x:v>
      </x:c>
      <x:c r="P14" t="str">
        <x:v>PLUGIN:hoa-tieu-mien-bac-administrative-v1 | user_approved_visual_reference</x:v>
      </x:c>
      <x:c r="Q14" t="str">
        <x:v>CHECK_ONLY</x:v>
      </x:c>
      <x:c r="R14" t="str">
        <x:v>Kiểm tra từng thuộc tính có mặt; so sánh nguồn/role; không suy đoán từ kết quả render chưa có</x:v>
      </x:c>
      <x:c r="S14" t="str">
        <x:v>RULE_INFERENCE_NOT_MEASURED</x:v>
      </x:c>
      <x:c r="T14" t="str">
        <x:v>Xác minh căn cứ theo loại văn bản / tài liệu phát hành hoặc phê duyệt</x:v>
      </x:c>
      <x:c r="U14" t="str">
        <x:v>Paragraph/Run theo kiểu khối MD; preserve list numbering/table/drawing nếu có</x:v>
      </x:c>
    </x:row>
    <x:row r="15">
      <x:c r="A15" t="n">
        <x:v>14</x:v>
      </x:c>
      <x:c r="B15" t="str">
        <x:v>ND30.N.MD.CAN_CU.HIEN_DIEN</x:v>
      </x:c>
      <x:c r="C15" t="str">
        <x:v>ND30.N.MD.CAN_CU</x:v>
      </x:c>
      <x:c r="D15" t="str">
        <x:v>N</x:v>
      </x:c>
      <x:c r="E15" t="str">
        <x:v>Căn cứ ban hành</x:v>
      </x:c>
      <x:c r="F15" t="str">
        <x:v>HIEN_DIEN</x:v>
      </x:c>
      <x:c r="G15" t="str">
        <x:v>Theo loại văn bản và sự hiện diện thực tế; không áp dụng đồng loạt</x:v>
      </x:c>
      <x:c r="H15"/>
      <x:c r="I15" t="str">
        <x:v>UNVERIFIED_ATTRIBUTE</x:v>
      </x:c>
      <x:c r="J15" t="str">
        <x:v>SOURCE_DESCRIPTION_NOT_APPROVAL</x:v>
      </x:c>
      <x:c r="K15" t="str">
        <x:v>Chỉ khi loại văn bản có phần căn cứ; kiểm tra mẫu theo tên loại; không tự thêm/cắt nguồn viện dẫn</x:v>
      </x:c>
      <x:c r="L15" t="str">
        <x:v>Dùng style căn cứ theo loại văn bản, KHÔNG mặc định in nghiêng mọi căn cứ; không tự thay dấu câu.</x:v>
      </x:c>
      <x:c r="M15"/>
      <x:c r="N15" t="str">
        <x:v>NĐ30, Phụ lục I, Phần I, mục II.6.a; đối chiếu Phụ lục III theo tên loại</x:v>
      </x:c>
      <x:c r="O15" t="str">
        <x:v>https://congbao.chinhphu.vn/van-ban/nghi-dinh-so-30-2020-nd-cp-30858/30246.htm</x:v>
      </x:c>
      <x:c r="P15" t="str">
        <x:v>PLUGIN:hoa-tieu-mien-bac-administrative-v1 | user_approved_visual_reference</x:v>
      </x:c>
      <x:c r="Q15" t="str">
        <x:v>CHECK_ONLY</x:v>
      </x:c>
      <x:c r="R15" t="str">
        <x:v>Kiểm tra từng thuộc tính có mặt; so sánh nguồn/role; không suy đoán từ kết quả render chưa có</x:v>
      </x:c>
      <x:c r="S15" t="str">
        <x:v>STRUCTURE_READ_EXISTING_WORKBOOK</x:v>
      </x:c>
      <x:c r="T15"/>
      <x:c r="U15" t="str">
        <x:v>Paragraph/Run theo kiểu khối MD; preserve list numbering/table/drawing nếu có</x:v>
      </x:c>
    </x:row>
    <x:row r="16">
      <x:c r="A16" t="n">
        <x:v>15</x:v>
      </x:c>
      <x:c r="B16" t="str">
        <x:v>ND30.N.MD.CAN_CU.NOI_DUNG</x:v>
      </x:c>
      <x:c r="C16" t="str">
        <x:v>ND30.N.MD.CAN_CU</x:v>
      </x:c>
      <x:c r="D16" t="str">
        <x:v>N</x:v>
      </x:c>
      <x:c r="E16" t="str">
        <x:v>Căn cứ ban hành</x:v>
      </x:c>
      <x:c r="F16" t="str">
        <x:v>NOI_DUNG</x:v>
      </x:c>
      <x:c r="G16" t="str">
        <x:v>Căn cứ theo loại văn bản; không áp dụng một style cho mọi loại</x:v>
      </x:c>
      <x:c r="H16"/>
      <x:c r="I16" t="str">
        <x:v>UNVERIFIED_ATTRIBUTE</x:v>
      </x:c>
      <x:c r="J16" t="str">
        <x:v>SOURCE_DESCRIPTION_NOT_APPROVAL</x:v>
      </x:c>
      <x:c r="K16" t="str">
        <x:v>Chỉ khi loại văn bản có phần căn cứ; kiểm tra mẫu theo tên loại; không tự thêm/cắt nguồn viện dẫn</x:v>
      </x:c>
      <x:c r="L16" t="str">
        <x:v>Dùng style căn cứ theo loại văn bản, KHÔNG mặc định in nghiêng mọi căn cứ; không tự thay dấu câu.</x:v>
      </x:c>
      <x:c r="M16"/>
      <x:c r="N16" t="str">
        <x:v>NĐ30, Phụ lục I, Phần I, mục II.6.a; đối chiếu Phụ lục III theo tên loại</x:v>
      </x:c>
      <x:c r="O16" t="str">
        <x:v>https://congbao.chinhphu.vn/van-ban/nghi-dinh-so-30-2020-nd-cp-30858/30246.htm</x:v>
      </x:c>
      <x:c r="P16" t="str">
        <x:v>PLUGIN:hoa-tieu-mien-bac-administrative-v1 | user_approved_visual_reference</x:v>
      </x:c>
      <x:c r="Q16" t="str">
        <x:v>CHECK_ONLY</x:v>
      </x:c>
      <x:c r="R16" t="str">
        <x:v>Kiểm tra từng thuộc tính có mặt; so sánh nguồn/role; không suy đoán từ kết quả render chưa có</x:v>
      </x:c>
      <x:c r="S16" t="str">
        <x:v>STRUCTURE_READ_EXISTING_WORKBOOK</x:v>
      </x:c>
      <x:c r="T16"/>
      <x:c r="U16" t="str">
        <x:v>Paragraph/Run theo kiểu khối MD; preserve list numbering/table/drawing nếu có</x:v>
      </x:c>
    </x:row>
    <x:row r="17">
      <x:c r="A17" t="n">
        <x:v>16</x:v>
      </x:c>
      <x:c r="B17" t="str">
        <x:v>ND30.N.MD.CAN_CU.PHONG_CHU</x:v>
      </x:c>
      <x:c r="C17" t="str">
        <x:v>ND30.N.MD.CAN_CU</x:v>
      </x:c>
      <x:c r="D17" t="str">
        <x:v>N</x:v>
      </x:c>
      <x:c r="E17" t="str">
        <x:v>Căn cứ ban hành</x:v>
      </x:c>
      <x:c r="F17" t="str">
        <x:v>PHONG_CHU</x:v>
      </x:c>
      <x:c r="G17" t="str">
        <x:v>Times New Roman</x:v>
      </x:c>
      <x:c r="H17"/>
      <x:c r="I17" t="str">
        <x:v>UNVERIFIED_ATTRIBUTE</x:v>
      </x:c>
      <x:c r="J17" t="str">
        <x:v>PROFILE_PRESET_UNAPPROVED</x:v>
      </x:c>
      <x:c r="K17" t="str">
        <x:v>Chỉ khi loại văn bản có phần căn cứ; kiểm tra mẫu theo tên loại; không tự thêm/cắt nguồn viện dẫn</x:v>
      </x:c>
      <x:c r="L17" t="str">
        <x:v>Dùng style căn cứ theo loại văn bản, KHÔNG mặc định in nghiêng mọi căn cứ; không tự thay dấu câu.</x:v>
      </x:c>
      <x:c r="M17"/>
      <x:c r="N17" t="str">
        <x:v>NĐ30, Phụ lục I, Phần I, mục II.6.a; đối chiếu Phụ lục III theo tên loại</x:v>
      </x:c>
      <x:c r="O17" t="str">
        <x:v>https://congbao.chinhphu.vn/van-ban/nghi-dinh-so-30-2020-nd-cp-30858/30246.htm</x:v>
      </x:c>
      <x:c r="P17" t="str">
        <x:v>PLUGIN:hoa-tieu-mien-bac-administrative-v1 | user_approved_visual_reference</x:v>
      </x:c>
      <x:c r="Q17" t="str">
        <x:v>CHECK_ONLY</x:v>
      </x:c>
      <x:c r="R17" t="str">
        <x:v>Kiểm tra từng thuộc tính có mặt; so sánh nguồn/role; không suy đoán từ kết quả render chưa có</x:v>
      </x:c>
      <x:c r="S17" t="str">
        <x:v>STRUCTURE_READ_EXISTING_WORKBOOK</x:v>
      </x:c>
      <x:c r="T17"/>
      <x:c r="U17" t="str">
        <x:v>Paragraph/Run theo kiểu khối MD; preserve list numbering/table/drawing nếu có</x:v>
      </x:c>
    </x:row>
    <x:row r="18">
      <x:c r="A18" t="n">
        <x:v>17</x:v>
      </x:c>
      <x:c r="B18" t="str">
        <x:v>ND30.N.MD.CAN_CU.CO_CHU</x:v>
      </x:c>
      <x:c r="C18" t="str">
        <x:v>ND30.N.MD.CAN_CU</x:v>
      </x:c>
      <x:c r="D18" t="str">
        <x:v>N</x:v>
      </x:c>
      <x:c r="E18" t="str">
        <x:v>Căn cứ ban hành</x:v>
      </x:c>
      <x:c r="F18" t="str">
        <x:v>CO_CHU</x:v>
      </x:c>
      <x:c r="G18" t="n">
        <x:v>14</x:v>
      </x:c>
      <x:c r="H18"/>
      <x:c r="I18" t="str">
        <x:v>UNVERIFIED_ATTRIBUTE</x:v>
      </x:c>
      <x:c r="J18" t="str">
        <x:v>PROFILE_PRESET_UNAPPROVED</x:v>
      </x:c>
      <x:c r="K18" t="str">
        <x:v>Chỉ khi loại văn bản có phần căn cứ; kiểm tra mẫu theo tên loại; không tự thêm/cắt nguồn viện dẫn</x:v>
      </x:c>
      <x:c r="L18" t="str">
        <x:v>Dùng style căn cứ theo loại văn bản, KHÔNG mặc định in nghiêng mọi căn cứ; không tự thay dấu câu.</x:v>
      </x:c>
      <x:c r="M18" t="str">
        <x:v>pt</x:v>
      </x:c>
      <x:c r="N18" t="str">
        <x:v>NĐ30, Phụ lục I, Phần I, mục II.6.a; đối chiếu Phụ lục III theo tên loại</x:v>
      </x:c>
      <x:c r="O18" t="str">
        <x:v>https://congbao.chinhphu.vn/van-ban/nghi-dinh-so-30-2020-nd-cp-30858/30246.htm</x:v>
      </x:c>
      <x:c r="P18" t="str">
        <x:v>PLUGIN:hoa-tieu-mien-bac-administrative-v1 | user_approved_visual_reference</x:v>
      </x:c>
      <x:c r="Q18" t="str">
        <x:v>CHECK_ONLY</x:v>
      </x:c>
      <x:c r="R18" t="str">
        <x:v>Kiểm tra từng thuộc tính có mặt; so sánh nguồn/role; không suy đoán từ kết quả render chưa có</x:v>
      </x:c>
      <x:c r="S18" t="str">
        <x:v>STRUCTURE_READ_EXISTING_WORKBOOK</x:v>
      </x:c>
      <x:c r="T18"/>
      <x:c r="U18" t="str">
        <x:v>Paragraph/Run theo kiểu khối MD; preserve list numbering/table/drawing nếu có</x:v>
      </x:c>
    </x:row>
    <x:row r="19">
      <x:c r="A19" t="n">
        <x:v>18</x:v>
      </x:c>
      <x:c r="B19" t="str">
        <x:v>ND30.N.MD.CAN_CU.DAM</x:v>
      </x:c>
      <x:c r="C19" t="str">
        <x:v>ND30.N.MD.CAN_CU</x:v>
      </x:c>
      <x:c r="D19" t="str">
        <x:v>N</x:v>
      </x:c>
      <x:c r="E19" t="str">
        <x:v>Căn cứ ban hành</x:v>
      </x:c>
      <x:c r="F19" t="str">
        <x:v>DAM</x:v>
      </x:c>
      <x:c r="G19"/>
      <x:c r="H19"/>
      <x:c r="I19" t="str">
        <x:v>UNVERIFIED_ATTRIBUTE</x:v>
      </x:c>
      <x:c r="J19" t="str">
        <x:v>BLOCKED_NO_ATTRIBUTE_VALUE</x:v>
      </x:c>
      <x:c r="K19" t="str">
        <x:v>Chỉ khi loại văn bản có phần căn cứ; kiểm tra mẫu theo tên loại; không tự thêm/cắt nguồn viện dẫn</x:v>
      </x:c>
      <x:c r="L19" t="str">
        <x:v>Dùng style căn cứ theo loại văn bản, KHÔNG mặc định in nghiêng mọi căn cứ; không tự thay dấu câu.</x:v>
      </x:c>
      <x:c r="M19"/>
      <x:c r="N19" t="str">
        <x:v>NĐ30, Phụ lục I, Phần I, mục II.6.a; đối chiếu Phụ lục III theo tên loại</x:v>
      </x:c>
      <x:c r="O19" t="str">
        <x:v>https://congbao.chinhphu.vn/van-ban/nghi-dinh-so-30-2020-nd-cp-30858/30246.htm</x:v>
      </x:c>
      <x:c r="P19" t="str">
        <x:v>PLUGIN:hoa-tieu-mien-bac-administrative-v1 | user_approved_visual_reference</x:v>
      </x:c>
      <x:c r="Q19" t="str">
        <x:v>CHECK_ONLY</x:v>
      </x:c>
      <x:c r="R19" t="str">
        <x:v>Kiểm tra từng thuộc tính có mặt; so sánh nguồn/role; không suy đoán từ kết quả render chưa có</x:v>
      </x:c>
      <x:c r="S19" t="str">
        <x:v>RULE_INFERENCE_NOT_MEASURED</x:v>
      </x:c>
      <x:c r="T19" t="str">
        <x:v>Xác minh căn cứ theo loại văn bản / tài liệu phát hành hoặc phê duyệt</x:v>
      </x:c>
      <x:c r="U19" t="str">
        <x:v>Paragraph/Run theo kiểu khối MD; preserve list numbering/table/drawing nếu có</x:v>
      </x:c>
    </x:row>
    <x:row r="20">
      <x:c r="A20" t="n">
        <x:v>19</x:v>
      </x:c>
      <x:c r="B20" t="str">
        <x:v>ND30.N.MD.CAN_CU.NGHIENG</x:v>
      </x:c>
      <x:c r="C20" t="str">
        <x:v>ND30.N.MD.CAN_CU</x:v>
      </x:c>
      <x:c r="D20" t="str">
        <x:v>N</x:v>
      </x:c>
      <x:c r="E20" t="str">
        <x:v>Căn cứ ban hành</x:v>
      </x:c>
      <x:c r="F20" t="str">
        <x:v>NGHIENG</x:v>
      </x:c>
      <x:c r="G20"/>
      <x:c r="H20"/>
      <x:c r="I20" t="str">
        <x:v>UNVERIFIED_ATTRIBUTE</x:v>
      </x:c>
      <x:c r="J20" t="str">
        <x:v>BLOCKED_NO_ATTRIBUTE_VALUE</x:v>
      </x:c>
      <x:c r="K20" t="str">
        <x:v>Chỉ khi loại văn bản có phần căn cứ; kiểm tra mẫu theo tên loại; không tự thêm/cắt nguồn viện dẫn</x:v>
      </x:c>
      <x:c r="L20" t="str">
        <x:v>Dùng style căn cứ theo loại văn bản, KHÔNG mặc định in nghiêng mọi căn cứ; không tự thay dấu câu.</x:v>
      </x:c>
      <x:c r="M20"/>
      <x:c r="N20" t="str">
        <x:v>NĐ30, Phụ lục I, Phần I, mục II.6.a; đối chiếu Phụ lục III theo tên loại</x:v>
      </x:c>
      <x:c r="O20" t="str">
        <x:v>https://congbao.chinhphu.vn/van-ban/nghi-dinh-so-30-2020-nd-cp-30858/30246.htm</x:v>
      </x:c>
      <x:c r="P20" t="str">
        <x:v>PLUGIN:hoa-tieu-mien-bac-administrative-v1 | user_approved_visual_reference</x:v>
      </x:c>
      <x:c r="Q20" t="str">
        <x:v>CHECK_ONLY</x:v>
      </x:c>
      <x:c r="R20" t="str">
        <x:v>Kiểm tra từng thuộc tính có mặt; so sánh nguồn/role; không suy đoán từ kết quả render chưa có</x:v>
      </x:c>
      <x:c r="S20" t="str">
        <x:v>RULE_INFERENCE_NOT_MEASURED</x:v>
      </x:c>
      <x:c r="T20" t="str">
        <x:v>Xác minh căn cứ theo loại văn bản / tài liệu phát hành hoặc phê duyệt</x:v>
      </x:c>
      <x:c r="U20" t="str">
        <x:v>Paragraph/Run theo kiểu khối MD; preserve list numbering/table/drawing nếu có</x:v>
      </x:c>
    </x:row>
    <x:row r="21">
      <x:c r="A21" t="n">
        <x:v>20</x:v>
      </x:c>
      <x:c r="B21" t="str">
        <x:v>ND30.N.MD.CAN_CU.KIEU_CHU</x:v>
      </x:c>
      <x:c r="C21" t="str">
        <x:v>ND30.N.MD.CAN_CU</x:v>
      </x:c>
      <x:c r="D21" t="str">
        <x:v>N</x:v>
      </x:c>
      <x:c r="E21" t="str">
        <x:v>Căn cứ ban hành</x:v>
      </x:c>
      <x:c r="F21" t="str">
        <x:v>KIEU_CHU</x:v>
      </x:c>
      <x:c r="G21" t="str">
        <x:v>In thường (trừ tiêu đề)</x:v>
      </x:c>
      <x:c r="H21"/>
      <x:c r="I21" t="str">
        <x:v>UNVERIFIED_ATTRIBUTE</x:v>
      </x:c>
      <x:c r="J21" t="str">
        <x:v>PROFILE_PRESET_UNAPPROVED</x:v>
      </x:c>
      <x:c r="K21" t="str">
        <x:v>Chỉ khi loại văn bản có phần căn cứ; kiểm tra mẫu theo tên loại; không tự thêm/cắt nguồn viện dẫn</x:v>
      </x:c>
      <x:c r="L21" t="str">
        <x:v>Dùng style căn cứ theo loại văn bản, KHÔNG mặc định in nghiêng mọi căn cứ; không tự thay dấu câu.</x:v>
      </x:c>
      <x:c r="M21"/>
      <x:c r="N21" t="str">
        <x:v>NĐ30, Phụ lục I, Phần I, mục II.6.a; đối chiếu Phụ lục III theo tên loại</x:v>
      </x:c>
      <x:c r="O21" t="str">
        <x:v>https://congbao.chinhphu.vn/van-ban/nghi-dinh-so-30-2020-nd-cp-30858/30246.htm</x:v>
      </x:c>
      <x:c r="P21" t="str">
        <x:v>PLUGIN:hoa-tieu-mien-bac-administrative-v1 | user_approved_visual_reference</x:v>
      </x:c>
      <x:c r="Q21" t="str">
        <x:v>CHECK_ONLY</x:v>
      </x:c>
      <x:c r="R21" t="str">
        <x:v>Kiểm tra từng thuộc tính có mặt; so sánh nguồn/role; không suy đoán từ kết quả render chưa có</x:v>
      </x:c>
      <x:c r="S21" t="str">
        <x:v>STRUCTURE_READ_EXISTING_WORKBOOK</x:v>
      </x:c>
      <x:c r="T21"/>
      <x:c r="U21" t="str">
        <x:v>Paragraph/Run theo kiểu khối MD; preserve list numbering/table/drawing nếu có</x:v>
      </x:c>
    </x:row>
    <x:row r="22">
      <x:c r="A22" t="n">
        <x:v>21</x:v>
      </x:c>
      <x:c r="B22" t="str">
        <x:v>ND30.N.MD.CAN_CU.CAN_NGANG</x:v>
      </x:c>
      <x:c r="C22" t="str">
        <x:v>ND30.N.MD.CAN_CU</x:v>
      </x:c>
      <x:c r="D22" t="str">
        <x:v>N</x:v>
      </x:c>
      <x:c r="E22" t="str">
        <x:v>Căn cứ ban hành</x:v>
      </x:c>
      <x:c r="F22" t="str">
        <x:v>CAN_NGANG</x:v>
      </x:c>
      <x:c r="G22" t="str">
        <x:v>JUSTIFY</x:v>
      </x:c>
      <x:c r="H22"/>
      <x:c r="I22" t="str">
        <x:v>UNVERIFIED_ATTRIBUTE</x:v>
      </x:c>
      <x:c r="J22" t="str">
        <x:v>PROFILE_PRESET_UNAPPROVED</x:v>
      </x:c>
      <x:c r="K22" t="str">
        <x:v>Chỉ khi loại văn bản có phần căn cứ; kiểm tra mẫu theo tên loại; không tự thêm/cắt nguồn viện dẫn</x:v>
      </x:c>
      <x:c r="L22" t="str">
        <x:v>Dùng style căn cứ theo loại văn bản, KHÔNG mặc định in nghiêng mọi căn cứ; không tự thay dấu câu.</x:v>
      </x:c>
      <x:c r="M22"/>
      <x:c r="N22" t="str">
        <x:v>NĐ30, Phụ lục I, Phần I, mục II.6.a; đối chiếu Phụ lục III theo tên loại</x:v>
      </x:c>
      <x:c r="O22" t="str">
        <x:v>https://congbao.chinhphu.vn/van-ban/nghi-dinh-so-30-2020-nd-cp-30858/30246.htm</x:v>
      </x:c>
      <x:c r="P22" t="str">
        <x:v>PLUGIN:hoa-tieu-mien-bac-administrative-v1 | user_approved_visual_reference</x:v>
      </x:c>
      <x:c r="Q22" t="str">
        <x:v>CHECK_ONLY</x:v>
      </x:c>
      <x:c r="R22" t="str">
        <x:v>Kiểm tra từng thuộc tính có mặt; so sánh nguồn/role; không suy đoán từ kết quả render chưa có</x:v>
      </x:c>
      <x:c r="S22" t="str">
        <x:v>STRUCTURE_READ_EXISTING_WORKBOOK</x:v>
      </x:c>
      <x:c r="T22"/>
      <x:c r="U22" t="str">
        <x:v>Paragraph/Run theo kiểu khối MD; preserve list numbering/table/drawing nếu có</x:v>
      </x:c>
    </x:row>
    <x:row r="23">
      <x:c r="A23" t="n">
        <x:v>22</x:v>
      </x:c>
      <x:c r="B23" t="str">
        <x:v>ND30.N.MD.CAN_CU.GIAN_DONG</x:v>
      </x:c>
      <x:c r="C23" t="str">
        <x:v>ND30.N.MD.CAN_CU</x:v>
      </x:c>
      <x:c r="D23" t="str">
        <x:v>N</x:v>
      </x:c>
      <x:c r="E23" t="str">
        <x:v>Căn cứ ban hành</x:v>
      </x:c>
      <x:c r="F23" t="str">
        <x:v>GIAN_DONG</x:v>
      </x:c>
      <x:c r="G23" t="n">
        <x:v>19</x:v>
      </x:c>
      <x:c r="H23"/>
      <x:c r="I23" t="str">
        <x:v>UNVERIFIED_ATTRIBUTE</x:v>
      </x:c>
      <x:c r="J23" t="str">
        <x:v>PROFILE_PRESET_UNAPPROVED</x:v>
      </x:c>
      <x:c r="K23" t="str">
        <x:v>Chỉ khi loại văn bản có phần căn cứ; kiểm tra mẫu theo tên loại; không tự thêm/cắt nguồn viện dẫn</x:v>
      </x:c>
      <x:c r="L23" t="str">
        <x:v>Dùng style căn cứ theo loại văn bản, KHÔNG mặc định in nghiêng mọi căn cứ; không tự thay dấu câu.</x:v>
      </x:c>
      <x:c r="M23" t="str">
        <x:v>pt</x:v>
      </x:c>
      <x:c r="N23" t="str">
        <x:v>NĐ30, Phụ lục I, Phần I, mục II.6.a; đối chiếu Phụ lục III theo tên loại</x:v>
      </x:c>
      <x:c r="O23" t="str">
        <x:v>https://congbao.chinhphu.vn/van-ban/nghi-dinh-so-30-2020-nd-cp-30858/30246.htm</x:v>
      </x:c>
      <x:c r="P23" t="str">
        <x:v>PLUGIN:hoa-tieu-mien-bac-administrative-v1 | user_approved_visual_reference</x:v>
      </x:c>
      <x:c r="Q23" t="str">
        <x:v>CHECK_ONLY</x:v>
      </x:c>
      <x:c r="R23" t="str">
        <x:v>Kiểm tra từng thuộc tính có mặt; so sánh nguồn/role; không suy đoán từ kết quả render chưa có</x:v>
      </x:c>
      <x:c r="S23" t="str">
        <x:v>STRUCTURE_READ_EXISTING_WORKBOOK</x:v>
      </x:c>
      <x:c r="T23"/>
      <x:c r="U23" t="str">
        <x:v>Paragraph/Run theo kiểu khối MD; preserve list numbering/table/drawing nếu có</x:v>
      </x:c>
    </x:row>
    <x:row r="24">
      <x:c r="A24" t="n">
        <x:v>23</x:v>
      </x:c>
      <x:c r="B24" t="str">
        <x:v>ND30.N.MD.CAN_CU.CACH_TRUOC</x:v>
      </x:c>
      <x:c r="C24" t="str">
        <x:v>ND30.N.MD.CAN_CU</x:v>
      </x:c>
      <x:c r="D24" t="str">
        <x:v>N</x:v>
      </x:c>
      <x:c r="E24" t="str">
        <x:v>Căn cứ ban hành</x:v>
      </x:c>
      <x:c r="F24" t="str">
        <x:v>CACH_TRUOC</x:v>
      </x:c>
      <x:c r="G24" t="n">
        <x:v>0</x:v>
      </x:c>
      <x:c r="H24"/>
      <x:c r="I24" t="str">
        <x:v>UNVERIFIED_ATTRIBUTE</x:v>
      </x:c>
      <x:c r="J24" t="str">
        <x:v>PROFILE_PRESET_UNAPPROVED</x:v>
      </x:c>
      <x:c r="K24" t="str">
        <x:v>Chỉ khi loại văn bản có phần căn cứ; kiểm tra mẫu theo tên loại; không tự thêm/cắt nguồn viện dẫn</x:v>
      </x:c>
      <x:c r="L24" t="str">
        <x:v>Dùng style căn cứ theo loại văn bản, KHÔNG mặc định in nghiêng mọi căn cứ; không tự thay dấu câu.</x:v>
      </x:c>
      <x:c r="M24" t="str">
        <x:v>pt</x:v>
      </x:c>
      <x:c r="N24" t="str">
        <x:v>NĐ30, Phụ lục I, Phần I, mục II.6.a; đối chiếu Phụ lục III theo tên loại</x:v>
      </x:c>
      <x:c r="O24" t="str">
        <x:v>https://congbao.chinhphu.vn/van-ban/nghi-dinh-so-30-2020-nd-cp-30858/30246.htm</x:v>
      </x:c>
      <x:c r="P24" t="str">
        <x:v>PLUGIN:hoa-tieu-mien-bac-administrative-v1 | user_approved_visual_reference</x:v>
      </x:c>
      <x:c r="Q24" t="str">
        <x:v>CHECK_ONLY</x:v>
      </x:c>
      <x:c r="R24" t="str">
        <x:v>Kiểm tra từng thuộc tính có mặt; so sánh nguồn/role; không suy đoán từ kết quả render chưa có</x:v>
      </x:c>
      <x:c r="S24" t="str">
        <x:v>STRUCTURE_READ_EXISTING_WORKBOOK</x:v>
      </x:c>
      <x:c r="T24"/>
      <x:c r="U24" t="str">
        <x:v>Paragraph/Run theo kiểu khối MD; preserve list numbering/table/drawing nếu có</x:v>
      </x:c>
    </x:row>
    <x:row r="25">
      <x:c r="A25" t="n">
        <x:v>24</x:v>
      </x:c>
      <x:c r="B25" t="str">
        <x:v>ND30.N.MD.CAN_CU.CACH_SAU</x:v>
      </x:c>
      <x:c r="C25" t="str">
        <x:v>ND30.N.MD.CAN_CU</x:v>
      </x:c>
      <x:c r="D25" t="str">
        <x:v>N</x:v>
      </x:c>
      <x:c r="E25" t="str">
        <x:v>Căn cứ ban hành</x:v>
      </x:c>
      <x:c r="F25" t="str">
        <x:v>CACH_SAU</x:v>
      </x:c>
      <x:c r="G25" t="n">
        <x:v>6</x:v>
      </x:c>
      <x:c r="H25"/>
      <x:c r="I25" t="str">
        <x:v>UNVERIFIED_ATTRIBUTE</x:v>
      </x:c>
      <x:c r="J25" t="str">
        <x:v>PROFILE_PRESET_UNAPPROVED</x:v>
      </x:c>
      <x:c r="K25" t="str">
        <x:v>Chỉ khi loại văn bản có phần căn cứ; kiểm tra mẫu theo tên loại; không tự thêm/cắt nguồn viện dẫn</x:v>
      </x:c>
      <x:c r="L25" t="str">
        <x:v>Dùng style căn cứ theo loại văn bản, KHÔNG mặc định in nghiêng mọi căn cứ; không tự thay dấu câu.</x:v>
      </x:c>
      <x:c r="M25" t="str">
        <x:v>pt</x:v>
      </x:c>
      <x:c r="N25" t="str">
        <x:v>NĐ30, Phụ lục I, Phần I, mục II.6.a; đối chiếu Phụ lục III theo tên loại</x:v>
      </x:c>
      <x:c r="O25" t="str">
        <x:v>https://congbao.chinhphu.vn/van-ban/nghi-dinh-so-30-2020-nd-cp-30858/30246.htm</x:v>
      </x:c>
      <x:c r="P25" t="str">
        <x:v>PLUGIN:hoa-tieu-mien-bac-administrative-v1 | user_approved_visual_reference</x:v>
      </x:c>
      <x:c r="Q25" t="str">
        <x:v>CHECK_ONLY</x:v>
      </x:c>
      <x:c r="R25" t="str">
        <x:v>Kiểm tra từng thuộc tính có mặt; so sánh nguồn/role; không suy đoán từ kết quả render chưa có</x:v>
      </x:c>
      <x:c r="S25" t="str">
        <x:v>STRUCTURE_READ_EXISTING_WORKBOOK</x:v>
      </x:c>
      <x:c r="T25"/>
      <x:c r="U25" t="str">
        <x:v>Paragraph/Run theo kiểu khối MD; preserve list numbering/table/drawing nếu có</x:v>
      </x:c>
    </x:row>
    <x:row r="26">
      <x:c r="A26" t="n">
        <x:v>25</x:v>
      </x:c>
      <x:c r="B26" t="str">
        <x:v>ND30.N.MD.CAN_CU.THUT_DONG_DAU</x:v>
      </x:c>
      <x:c r="C26" t="str">
        <x:v>ND30.N.MD.CAN_CU</x:v>
      </x:c>
      <x:c r="D26" t="str">
        <x:v>N</x:v>
      </x:c>
      <x:c r="E26" t="str">
        <x:v>Căn cứ ban hành</x:v>
      </x:c>
      <x:c r="F26" t="str">
        <x:v>THUT_DONG_DAU</x:v>
      </x:c>
      <x:c r="G26" t="n">
        <x:v>12.7</x:v>
      </x:c>
      <x:c r="H26"/>
      <x:c r="I26" t="str">
        <x:v>UNVERIFIED_ATTRIBUTE</x:v>
      </x:c>
      <x:c r="J26" t="str">
        <x:v>PROFILE_PRESET_UNAPPROVED</x:v>
      </x:c>
      <x:c r="K26" t="str">
        <x:v>Chỉ khi loại văn bản có phần căn cứ; kiểm tra mẫu theo tên loại; không tự thêm/cắt nguồn viện dẫn</x:v>
      </x:c>
      <x:c r="L26" t="str">
        <x:v>Dùng style căn cứ theo loại văn bản, KHÔNG mặc định in nghiêng mọi căn cứ; không tự thay dấu câu.</x:v>
      </x:c>
      <x:c r="M26" t="str">
        <x:v>mm</x:v>
      </x:c>
      <x:c r="N26" t="str">
        <x:v>NĐ30, Phụ lục I, Phần I, mục II.6.a; đối chiếu Phụ lục III theo tên loại</x:v>
      </x:c>
      <x:c r="O26" t="str">
        <x:v>https://congbao.chinhphu.vn/van-ban/nghi-dinh-so-30-2020-nd-cp-30858/30246.htm</x:v>
      </x:c>
      <x:c r="P26" t="str">
        <x:v>PLUGIN:hoa-tieu-mien-bac-administrative-v1 | user_approved_visual_reference</x:v>
      </x:c>
      <x:c r="Q26" t="str">
        <x:v>CHECK_ONLY</x:v>
      </x:c>
      <x:c r="R26" t="str">
        <x:v>Kiểm tra từng thuộc tính có mặt; so sánh nguồn/role; không suy đoán từ kết quả render chưa có</x:v>
      </x:c>
      <x:c r="S26" t="str">
        <x:v>STRUCTURE_READ_EXISTING_WORKBOOK</x:v>
      </x:c>
      <x:c r="T26"/>
      <x:c r="U26" t="str">
        <x:v>Paragraph/Run theo kiểu khối MD; preserve list numbering/table/drawing nếu có</x:v>
      </x:c>
    </x:row>
    <x:row r="27">
      <x:c r="A27" t="n">
        <x:v>26</x:v>
      </x:c>
      <x:c r="B27" t="str">
        <x:v>ND30.N.MD.CAN_CU.DAU_CAU</x:v>
      </x:c>
      <x:c r="C27" t="str">
        <x:v>ND30.N.MD.CAN_CU</x:v>
      </x:c>
      <x:c r="D27" t="str">
        <x:v>N</x:v>
      </x:c>
      <x:c r="E27" t="str">
        <x:v>Căn cứ ban hành</x:v>
      </x:c>
      <x:c r="F27" t="str">
        <x:v>DAU_CAU</x:v>
      </x:c>
      <x:c r="G27"/>
      <x:c r="H27"/>
      <x:c r="I27" t="str">
        <x:v>UNVERIFIED_ATTRIBUTE</x:v>
      </x:c>
      <x:c r="J27" t="str">
        <x:v>BLOCKED_NO_ATTRIBUTE_VALUE</x:v>
      </x:c>
      <x:c r="K27" t="str">
        <x:v>Chỉ khi loại văn bản có phần căn cứ; kiểm tra mẫu theo tên loại; không tự thêm/cắt nguồn viện dẫn</x:v>
      </x:c>
      <x:c r="L27" t="str">
        <x:v>Dùng style căn cứ theo loại văn bản, KHÔNG mặc định in nghiêng mọi căn cứ; không tự thay dấu câu.</x:v>
      </x:c>
      <x:c r="M27"/>
      <x:c r="N27" t="str">
        <x:v>NĐ30, Phụ lục I, Phần I, mục II.6.a; đối chiếu Phụ lục III theo tên loại</x:v>
      </x:c>
      <x:c r="O27" t="str">
        <x:v>https://congbao.chinhphu.vn/van-ban/nghi-dinh-so-30-2020-nd-cp-30858/30246.htm</x:v>
      </x:c>
      <x:c r="P27" t="str">
        <x:v>PLUGIN:hoa-tieu-mien-bac-administrative-v1 | user_approved_visual_reference</x:v>
      </x:c>
      <x:c r="Q27" t="str">
        <x:v>CHECK_ONLY</x:v>
      </x:c>
      <x:c r="R27" t="str">
        <x:v>Kiểm tra từng thuộc tính có mặt; so sánh nguồn/role; không suy đoán từ kết quả render chưa có</x:v>
      </x:c>
      <x:c r="S27" t="str">
        <x:v>RULE_INFERENCE_NOT_MEASURED</x:v>
      </x:c>
      <x:c r="T27" t="str">
        <x:v>Xác minh căn cứ theo loại văn bản / tài liệu phát hành hoặc phê duyệt</x:v>
      </x:c>
      <x:c r="U27" t="str">
        <x:v>Paragraph/Run theo kiểu khối MD; preserve list numbering/table/drawing nếu có</x:v>
      </x:c>
    </x:row>
    <x:row r="28">
      <x:c r="A28" t="n">
        <x:v>27</x:v>
      </x:c>
      <x:c r="B28" t="str">
        <x:v>ND30.N.MD.CAN_CU.DAU_MUC</x:v>
      </x:c>
      <x:c r="C28" t="str">
        <x:v>ND30.N.MD.CAN_CU</x:v>
      </x:c>
      <x:c r="D28" t="str">
        <x:v>N</x:v>
      </x:c>
      <x:c r="E28" t="str">
        <x:v>Căn cứ ban hành</x:v>
      </x:c>
      <x:c r="F28" t="str">
        <x:v>DAU_MUC</x:v>
      </x:c>
      <x:c r="G28"/>
      <x:c r="H28"/>
      <x:c r="I28" t="str">
        <x:v>UNVERIFIED_ATTRIBUTE</x:v>
      </x:c>
      <x:c r="J28" t="str">
        <x:v>BLOCKED_NO_ATTRIBUTE_VALUE</x:v>
      </x:c>
      <x:c r="K28" t="str">
        <x:v>Chỉ khi loại văn bản có phần căn cứ; kiểm tra mẫu theo tên loại; không tự thêm/cắt nguồn viện dẫn</x:v>
      </x:c>
      <x:c r="L28" t="str">
        <x:v>Dùng style căn cứ theo loại văn bản, KHÔNG mặc định in nghiêng mọi căn cứ; không tự thay dấu câu.</x:v>
      </x:c>
      <x:c r="M28"/>
      <x:c r="N28" t="str">
        <x:v>NĐ30, Phụ lục I, Phần I, mục II.6.a; đối chiếu Phụ lục III theo tên loại</x:v>
      </x:c>
      <x:c r="O28" t="str">
        <x:v>https://congbao.chinhphu.vn/van-ban/nghi-dinh-so-30-2020-nd-cp-30858/30246.htm</x:v>
      </x:c>
      <x:c r="P28" t="str">
        <x:v>PLUGIN:hoa-tieu-mien-bac-administrative-v1 | user_approved_visual_reference</x:v>
      </x:c>
      <x:c r="Q28" t="str">
        <x:v>CHECK_ONLY</x:v>
      </x:c>
      <x:c r="R28" t="str">
        <x:v>Kiểm tra từng thuộc tính có mặt; so sánh nguồn/role; không suy đoán từ kết quả render chưa có</x:v>
      </x:c>
      <x:c r="S28" t="str">
        <x:v>RULE_INFERENCE_NOT_MEASURED</x:v>
      </x:c>
      <x:c r="T28" t="str">
        <x:v>Xác minh căn cứ theo loại văn bản / tài liệu phát hành hoặc phê duyệt</x:v>
      </x:c>
      <x:c r="U28" t="str">
        <x:v>Paragraph/Run theo kiểu khối MD; preserve list numbering/table/drawing nếu có</x:v>
      </x:c>
    </x:row>
    <x:row r="29">
      <x:c r="A29" t="n">
        <x:v>28</x:v>
      </x:c>
      <x:c r="B29" t="str">
        <x:v>ND30.N.DM.PHAN.HIEN_DIEN</x:v>
      </x:c>
      <x:c r="C29" t="str">
        <x:v>ND30.N.DM.PHAN</x:v>
      </x:c>
      <x:c r="D29" t="str">
        <x:v>N</x:v>
      </x:c>
      <x:c r="E29" t="str">
        <x:v>Phần</x:v>
      </x:c>
      <x:c r="F29" t="str">
        <x:v>HIEN_DIEN</x:v>
      </x:c>
      <x:c r="G29" t="str">
        <x:v>Theo loại văn bản và sự hiện diện thực tế; không áp dụng đồng loạt</x:v>
      </x:c>
      <x:c r="H29"/>
      <x:c r="I29" t="str">
        <x:v>UNVERIFIED_ATTRIBUTE</x:v>
      </x:c>
      <x:c r="J29" t="str">
        <x:v>SOURCE_DESCRIPTION_NOT_APPROVAL</x:v>
      </x:c>
      <x:c r="K29" t="str">
        <x:v>Chỉ khi văn bản có phân cấp này; giữ số, tên và thứ bậc thực tế; không tự đánh lại số</x:v>
      </x:c>
      <x:c r="L29" t="str">
        <x:v>Bảo toàn cấu trúc/nội dung; nếu khác loại văn bản, ưu tiên đúng mẫu của loại đó; không sửa khi thiếu căn cứ.</x:v>
      </x:c>
      <x:c r="M29"/>
      <x:c r="N29" t="str">
        <x:v>NĐ30, Phụ lục I, Phần I, II.6; V.6</x:v>
      </x:c>
      <x:c r="O29" t="str">
        <x:v>https://congbao.chinhphu.vn/van-ban/nghi-dinh-so-30-2020-nd-cp-30858/30246.htm</x:v>
      </x:c>
      <x:c r="P29" t="str">
        <x:v>PLUGIN:hoa-tieu-mien-bac-administrative-v1 | user_approved_visual_reference</x:v>
      </x:c>
      <x:c r="Q29" t="str">
        <x:v>CHECK_ONLY</x:v>
      </x:c>
      <x:c r="R29" t="str">
        <x:v>Kiểm tra từng thuộc tính có mặt; so sánh nguồn/role; không suy đoán từ kết quả render chưa có</x:v>
      </x:c>
      <x:c r="S29" t="str">
        <x:v>STRUCTURE_READ_EXISTING_WORKBOOK</x:v>
      </x:c>
      <x:c r="T29"/>
      <x:c r="U29" t="str">
        <x:v>Paragraph/Run theo kiểu khối DM; preserve list numbering/table/drawing nếu có</x:v>
      </x:c>
    </x:row>
    <x:row r="30">
      <x:c r="A30" t="n">
        <x:v>29</x:v>
      </x:c>
      <x:c r="B30" t="str">
        <x:v>ND30.N.DM.PHAN.NOI_DUNG</x:v>
      </x:c>
      <x:c r="C30" t="str">
        <x:v>ND30.N.DM.PHAN</x:v>
      </x:c>
      <x:c r="D30" t="str">
        <x:v>N</x:v>
      </x:c>
      <x:c r="E30" t="str">
        <x:v>Phần</x:v>
      </x:c>
      <x:c r="F30" t="str">
        <x:v>NOI_DUNG</x:v>
      </x:c>
      <x:c r="G30" t="str">
        <x:v>Nhận diện số thứ tự và tiêu đề; tiêu đề phần/chương in hoa, đậm</x:v>
      </x:c>
      <x:c r="H30"/>
      <x:c r="I30" t="str">
        <x:v>UNVERIFIED_ATTRIBUTE</x:v>
      </x:c>
      <x:c r="J30" t="str">
        <x:v>SOURCE_DESCRIPTION_NOT_APPROVAL</x:v>
      </x:c>
      <x:c r="K30" t="str">
        <x:v>Chỉ khi văn bản có phân cấp này; giữ số, tên và thứ bậc thực tế; không tự đánh lại số</x:v>
      </x:c>
      <x:c r="L30" t="str">
        <x:v>Bảo toàn cấu trúc/nội dung; nếu khác loại văn bản, ưu tiên đúng mẫu của loại đó; không sửa khi thiếu căn cứ.</x:v>
      </x:c>
      <x:c r="M30"/>
      <x:c r="N30" t="str">
        <x:v>NĐ30, Phụ lục I, Phần I, II.6; V.6</x:v>
      </x:c>
      <x:c r="O30" t="str">
        <x:v>https://congbao.chinhphu.vn/van-ban/nghi-dinh-so-30-2020-nd-cp-30858/30246.htm</x:v>
      </x:c>
      <x:c r="P30" t="str">
        <x:v>PLUGIN:hoa-tieu-mien-bac-administrative-v1 | user_approved_visual_reference</x:v>
      </x:c>
      <x:c r="Q30" t="str">
        <x:v>CHECK_ONLY</x:v>
      </x:c>
      <x:c r="R30" t="str">
        <x:v>Kiểm tra từng thuộc tính có mặt; so sánh nguồn/role; không suy đoán từ kết quả render chưa có</x:v>
      </x:c>
      <x:c r="S30" t="str">
        <x:v>STRUCTURE_READ_EXISTING_WORKBOOK</x:v>
      </x:c>
      <x:c r="T30"/>
      <x:c r="U30" t="str">
        <x:v>Paragraph/Run theo kiểu khối DM; preserve list numbering/table/drawing nếu có</x:v>
      </x:c>
    </x:row>
    <x:row r="31">
      <x:c r="A31" t="n">
        <x:v>30</x:v>
      </x:c>
      <x:c r="B31" t="str">
        <x:v>ND30.N.DM.PHAN.PHONG_CHU</x:v>
      </x:c>
      <x:c r="C31" t="str">
        <x:v>ND30.N.DM.PHAN</x:v>
      </x:c>
      <x:c r="D31" t="str">
        <x:v>N</x:v>
      </x:c>
      <x:c r="E31" t="str">
        <x:v>Phần</x:v>
      </x:c>
      <x:c r="F31" t="str">
        <x:v>PHONG_CHU</x:v>
      </x:c>
      <x:c r="G31" t="str">
        <x:v>Times New Roman</x:v>
      </x:c>
      <x:c r="H31"/>
      <x:c r="I31" t="str">
        <x:v>UNVERIFIED_ATTRIBUTE</x:v>
      </x:c>
      <x:c r="J31" t="str">
        <x:v>PROFILE_PRESET_UNAPPROVED</x:v>
      </x:c>
      <x:c r="K31" t="str">
        <x:v>Chỉ khi văn bản có phân cấp này; giữ số, tên và thứ bậc thực tế; không tự đánh lại số</x:v>
      </x:c>
      <x:c r="L31" t="str">
        <x:v>Bảo toàn cấu trúc/nội dung; nếu khác loại văn bản, ưu tiên đúng mẫu của loại đó; không sửa khi thiếu căn cứ.</x:v>
      </x:c>
      <x:c r="M31"/>
      <x:c r="N31" t="str">
        <x:v>NĐ30, Phụ lục I, Phần I, II.6; V.6</x:v>
      </x:c>
      <x:c r="O31" t="str">
        <x:v>https://congbao.chinhphu.vn/van-ban/nghi-dinh-so-30-2020-nd-cp-30858/30246.htm</x:v>
      </x:c>
      <x:c r="P31" t="str">
        <x:v>PLUGIN:hoa-tieu-mien-bac-administrative-v1 | user_approved_visual_reference</x:v>
      </x:c>
      <x:c r="Q31" t="str">
        <x:v>CHECK_ONLY</x:v>
      </x:c>
      <x:c r="R31" t="str">
        <x:v>Kiểm tra từng thuộc tính có mặt; so sánh nguồn/role; không suy đoán từ kết quả render chưa có</x:v>
      </x:c>
      <x:c r="S31" t="str">
        <x:v>STRUCTURE_READ_EXISTING_WORKBOOK</x:v>
      </x:c>
      <x:c r="T31"/>
      <x:c r="U31" t="str">
        <x:v>Paragraph/Run theo kiểu khối DM; preserve list numbering/table/drawing nếu có</x:v>
      </x:c>
    </x:row>
    <x:row r="32">
      <x:c r="A32" t="n">
        <x:v>31</x:v>
      </x:c>
      <x:c r="B32" t="str">
        <x:v>ND30.N.DM.PHAN.CO_CHU</x:v>
      </x:c>
      <x:c r="C32" t="str">
        <x:v>ND30.N.DM.PHAN</x:v>
      </x:c>
      <x:c r="D32" t="str">
        <x:v>N</x:v>
      </x:c>
      <x:c r="E32" t="str">
        <x:v>Phần</x:v>
      </x:c>
      <x:c r="F32" t="str">
        <x:v>CO_CHU</x:v>
      </x:c>
      <x:c r="G32" t="n">
        <x:v>14</x:v>
      </x:c>
      <x:c r="H32"/>
      <x:c r="I32" t="str">
        <x:v>UNVERIFIED_ATTRIBUTE</x:v>
      </x:c>
      <x:c r="J32" t="str">
        <x:v>PROFILE_PRESET_UNAPPROVED</x:v>
      </x:c>
      <x:c r="K32" t="str">
        <x:v>Chỉ khi văn bản có phân cấp này; giữ số, tên và thứ bậc thực tế; không tự đánh lại số</x:v>
      </x:c>
      <x:c r="L32" t="str">
        <x:v>Bảo toàn cấu trúc/nội dung; nếu khác loại văn bản, ưu tiên đúng mẫu của loại đó; không sửa khi thiếu căn cứ.</x:v>
      </x:c>
      <x:c r="M32" t="str">
        <x:v>pt</x:v>
      </x:c>
      <x:c r="N32" t="str">
        <x:v>NĐ30, Phụ lục I, Phần I, II.6; V.6</x:v>
      </x:c>
      <x:c r="O32" t="str">
        <x:v>https://congbao.chinhphu.vn/van-ban/nghi-dinh-so-30-2020-nd-cp-30858/30246.htm</x:v>
      </x:c>
      <x:c r="P32" t="str">
        <x:v>PLUGIN:hoa-tieu-mien-bac-administrative-v1 | user_approved_visual_reference</x:v>
      </x:c>
      <x:c r="Q32" t="str">
        <x:v>CHECK_ONLY</x:v>
      </x:c>
      <x:c r="R32" t="str">
        <x:v>Kiểm tra từng thuộc tính có mặt; so sánh nguồn/role; không suy đoán từ kết quả render chưa có</x:v>
      </x:c>
      <x:c r="S32" t="str">
        <x:v>STRUCTURE_READ_EXISTING_WORKBOOK</x:v>
      </x:c>
      <x:c r="T32"/>
      <x:c r="U32" t="str">
        <x:v>Paragraph/Run theo kiểu khối DM; preserve list numbering/table/drawing nếu có</x:v>
      </x:c>
    </x:row>
    <x:row r="33">
      <x:c r="A33" t="n">
        <x:v>32</x:v>
      </x:c>
      <x:c r="B33" t="str">
        <x:v>ND30.N.DM.PHAN.DAM</x:v>
      </x:c>
      <x:c r="C33" t="str">
        <x:v>ND30.N.DM.PHAN</x:v>
      </x:c>
      <x:c r="D33" t="str">
        <x:v>N</x:v>
      </x:c>
      <x:c r="E33" t="str">
        <x:v>Phần</x:v>
      </x:c>
      <x:c r="F33" t="str">
        <x:v>DAM</x:v>
      </x:c>
      <x:c r="G33" t="str">
        <x:v>CÓ</x:v>
      </x:c>
      <x:c r="H33"/>
      <x:c r="I33" t="str">
        <x:v>UNVERIFIED_ATTRIBUTE</x:v>
      </x:c>
      <x:c r="J33" t="str">
        <x:v>PROFILE_PRESET_UNAPPROVED</x:v>
      </x:c>
      <x:c r="K33" t="str">
        <x:v>Chỉ khi văn bản có phân cấp này; giữ số, tên và thứ bậc thực tế; không tự đánh lại số</x:v>
      </x:c>
      <x:c r="L33" t="str">
        <x:v>Bảo toàn cấu trúc/nội dung; nếu khác loại văn bản, ưu tiên đúng mẫu của loại đó; không sửa khi thiếu căn cứ.</x:v>
      </x:c>
      <x:c r="M33"/>
      <x:c r="N33" t="str">
        <x:v>NĐ30, Phụ lục I, Phần I, II.6; V.6</x:v>
      </x:c>
      <x:c r="O33" t="str">
        <x:v>https://congbao.chinhphu.vn/van-ban/nghi-dinh-so-30-2020-nd-cp-30858/30246.htm</x:v>
      </x:c>
      <x:c r="P33" t="str">
        <x:v>PLUGIN:hoa-tieu-mien-bac-administrative-v1 | user_approved_visual_reference</x:v>
      </x:c>
      <x:c r="Q33" t="str">
        <x:v>CHECK_ONLY</x:v>
      </x:c>
      <x:c r="R33" t="str">
        <x:v>Kiểm tra từng thuộc tính có mặt; so sánh nguồn/role; không suy đoán từ kết quả render chưa có</x:v>
      </x:c>
      <x:c r="S33" t="str">
        <x:v>STRUCTURE_READ_EXISTING_WORKBOOK</x:v>
      </x:c>
      <x:c r="T33"/>
      <x:c r="U33" t="str">
        <x:v>Paragraph/Run theo kiểu khối DM; preserve list numbering/table/drawing nếu có</x:v>
      </x:c>
    </x:row>
    <x:row r="34">
      <x:c r="A34" t="n">
        <x:v>33</x:v>
      </x:c>
      <x:c r="B34" t="str">
        <x:v>ND30.N.DM.PHAN.NGHIENG</x:v>
      </x:c>
      <x:c r="C34" t="str">
        <x:v>ND30.N.DM.PHAN</x:v>
      </x:c>
      <x:c r="D34" t="str">
        <x:v>N</x:v>
      </x:c>
      <x:c r="E34" t="str">
        <x:v>Phần</x:v>
      </x:c>
      <x:c r="F34" t="str">
        <x:v>NGHIENG</x:v>
      </x:c>
      <x:c r="G34"/>
      <x:c r="H34"/>
      <x:c r="I34" t="str">
        <x:v>UNVERIFIED_ATTRIBUTE</x:v>
      </x:c>
      <x:c r="J34" t="str">
        <x:v>BLOCKED_NO_ATTRIBUTE_VALUE</x:v>
      </x:c>
      <x:c r="K34" t="str">
        <x:v>Chỉ khi văn bản có phân cấp này; giữ số, tên và thứ bậc thực tế; không tự đánh lại số</x:v>
      </x:c>
      <x:c r="L34" t="str">
        <x:v>Bảo toàn cấu trúc/nội dung; nếu khác loại văn bản, ưu tiên đúng mẫu của loại đó; không sửa khi thiếu căn cứ.</x:v>
      </x:c>
      <x:c r="M34"/>
      <x:c r="N34" t="str">
        <x:v>NĐ30, Phụ lục I, Phần I, II.6; V.6</x:v>
      </x:c>
      <x:c r="O34" t="str">
        <x:v>https://congbao.chinhphu.vn/van-ban/nghi-dinh-so-30-2020-nd-cp-30858/30246.htm</x:v>
      </x:c>
      <x:c r="P34" t="str">
        <x:v>PLUGIN:hoa-tieu-mien-bac-administrative-v1 | user_approved_visual_reference</x:v>
      </x:c>
      <x:c r="Q34" t="str">
        <x:v>CHECK_ONLY</x:v>
      </x:c>
      <x:c r="R34" t="str">
        <x:v>Kiểm tra từng thuộc tính có mặt; so sánh nguồn/role; không suy đoán từ kết quả render chưa có</x:v>
      </x:c>
      <x:c r="S34" t="str">
        <x:v>RULE_INFERENCE_NOT_MEASURED</x:v>
      </x:c>
      <x:c r="T34" t="str">
        <x:v>Xác minh căn cứ theo loại văn bản / tài liệu phát hành hoặc phê duyệt</x:v>
      </x:c>
      <x:c r="U34" t="str">
        <x:v>Paragraph/Run theo kiểu khối DM; preserve list numbering/table/drawing nếu có</x:v>
      </x:c>
    </x:row>
    <x:row r="35">
      <x:c r="A35" t="n">
        <x:v>34</x:v>
      </x:c>
      <x:c r="B35" t="str">
        <x:v>ND30.N.DM.PHAN.KIEU_CHU</x:v>
      </x:c>
      <x:c r="C35" t="str">
        <x:v>ND30.N.DM.PHAN</x:v>
      </x:c>
      <x:c r="D35" t="str">
        <x:v>N</x:v>
      </x:c>
      <x:c r="E35" t="str">
        <x:v>Phần</x:v>
      </x:c>
      <x:c r="F35" t="str">
        <x:v>KIEU_CHU</x:v>
      </x:c>
      <x:c r="G35" t="str">
        <x:v>Nhãn thường; tiêu đề IN HOA</x:v>
      </x:c>
      <x:c r="H35"/>
      <x:c r="I35" t="str">
        <x:v>UNVERIFIED_ATTRIBUTE</x:v>
      </x:c>
      <x:c r="J35" t="str">
        <x:v>PROFILE_PRESET_UNAPPROVED</x:v>
      </x:c>
      <x:c r="K35" t="str">
        <x:v>Chỉ khi văn bản có phân cấp này; giữ số, tên và thứ bậc thực tế; không tự đánh lại số</x:v>
      </x:c>
      <x:c r="L35" t="str">
        <x:v>Bảo toàn cấu trúc/nội dung; nếu khác loại văn bản, ưu tiên đúng mẫu của loại đó; không sửa khi thiếu căn cứ.</x:v>
      </x:c>
      <x:c r="M35"/>
      <x:c r="N35" t="str">
        <x:v>NĐ30, Phụ lục I, Phần I, II.6; V.6</x:v>
      </x:c>
      <x:c r="O35" t="str">
        <x:v>https://congbao.chinhphu.vn/van-ban/nghi-dinh-so-30-2020-nd-cp-30858/30246.htm</x:v>
      </x:c>
      <x:c r="P35" t="str">
        <x:v>PLUGIN:hoa-tieu-mien-bac-administrative-v1 | user_approved_visual_reference</x:v>
      </x:c>
      <x:c r="Q35" t="str">
        <x:v>CHECK_ONLY</x:v>
      </x:c>
      <x:c r="R35" t="str">
        <x:v>Kiểm tra từng thuộc tính có mặt; so sánh nguồn/role; không suy đoán từ kết quả render chưa có</x:v>
      </x:c>
      <x:c r="S35" t="str">
        <x:v>STRUCTURE_READ_EXISTING_WORKBOOK</x:v>
      </x:c>
      <x:c r="T35"/>
      <x:c r="U35" t="str">
        <x:v>Paragraph/Run theo kiểu khối DM; preserve list numbering/table/drawing nếu có</x:v>
      </x:c>
    </x:row>
    <x:row r="36">
      <x:c r="A36" t="n">
        <x:v>35</x:v>
      </x:c>
      <x:c r="B36" t="str">
        <x:v>ND30.N.DM.PHAN.CAN_NGANG</x:v>
      </x:c>
      <x:c r="C36" t="str">
        <x:v>ND30.N.DM.PHAN</x:v>
      </x:c>
      <x:c r="D36" t="str">
        <x:v>N</x:v>
      </x:c>
      <x:c r="E36" t="str">
        <x:v>Phần</x:v>
      </x:c>
      <x:c r="F36" t="str">
        <x:v>CAN_NGANG</x:v>
      </x:c>
      <x:c r="G36" t="str">
        <x:v>CENTER</x:v>
      </x:c>
      <x:c r="H36"/>
      <x:c r="I36" t="str">
        <x:v>UNVERIFIED_ATTRIBUTE</x:v>
      </x:c>
      <x:c r="J36" t="str">
        <x:v>PROFILE_PRESET_UNAPPROVED</x:v>
      </x:c>
      <x:c r="K36" t="str">
        <x:v>Chỉ khi văn bản có phân cấp này; giữ số, tên và thứ bậc thực tế; không tự đánh lại số</x:v>
      </x:c>
      <x:c r="L36" t="str">
        <x:v>Bảo toàn cấu trúc/nội dung; nếu khác loại văn bản, ưu tiên đúng mẫu của loại đó; không sửa khi thiếu căn cứ.</x:v>
      </x:c>
      <x:c r="M36"/>
      <x:c r="N36" t="str">
        <x:v>NĐ30, Phụ lục I, Phần I, II.6; V.6</x:v>
      </x:c>
      <x:c r="O36" t="str">
        <x:v>https://congbao.chinhphu.vn/van-ban/nghi-dinh-so-30-2020-nd-cp-30858/30246.htm</x:v>
      </x:c>
      <x:c r="P36" t="str">
        <x:v>PLUGIN:hoa-tieu-mien-bac-administrative-v1 | user_approved_visual_reference</x:v>
      </x:c>
      <x:c r="Q36" t="str">
        <x:v>CHECK_ONLY</x:v>
      </x:c>
      <x:c r="R36" t="str">
        <x:v>Kiểm tra từng thuộc tính có mặt; so sánh nguồn/role; không suy đoán từ kết quả render chưa có</x:v>
      </x:c>
      <x:c r="S36" t="str">
        <x:v>STRUCTURE_READ_EXISTING_WORKBOOK</x:v>
      </x:c>
      <x:c r="T36"/>
      <x:c r="U36" t="str">
        <x:v>Paragraph/Run theo kiểu khối DM; preserve list numbering/table/drawing nếu có</x:v>
      </x:c>
    </x:row>
    <x:row r="37">
      <x:c r="A37" t="n">
        <x:v>36</x:v>
      </x:c>
      <x:c r="B37" t="str">
        <x:v>ND30.N.DM.PHAN.GIAN_DONG</x:v>
      </x:c>
      <x:c r="C37" t="str">
        <x:v>ND30.N.DM.PHAN</x:v>
      </x:c>
      <x:c r="D37" t="str">
        <x:v>N</x:v>
      </x:c>
      <x:c r="E37" t="str">
        <x:v>Phần</x:v>
      </x:c>
      <x:c r="F37" t="str">
        <x:v>GIAN_DONG</x:v>
      </x:c>
      <x:c r="G37" t="n">
        <x:v>19</x:v>
      </x:c>
      <x:c r="H37"/>
      <x:c r="I37" t="str">
        <x:v>UNVERIFIED_ATTRIBUTE</x:v>
      </x:c>
      <x:c r="J37" t="str">
        <x:v>PROFILE_PRESET_UNAPPROVED</x:v>
      </x:c>
      <x:c r="K37" t="str">
        <x:v>Chỉ khi văn bản có phân cấp này; giữ số, tên và thứ bậc thực tế; không tự đánh lại số</x:v>
      </x:c>
      <x:c r="L37" t="str">
        <x:v>Bảo toàn cấu trúc/nội dung; nếu khác loại văn bản, ưu tiên đúng mẫu của loại đó; không sửa khi thiếu căn cứ.</x:v>
      </x:c>
      <x:c r="M37" t="str">
        <x:v>pt</x:v>
      </x:c>
      <x:c r="N37" t="str">
        <x:v>NĐ30, Phụ lục I, Phần I, II.6; V.6</x:v>
      </x:c>
      <x:c r="O37" t="str">
        <x:v>https://congbao.chinhphu.vn/van-ban/nghi-dinh-so-30-2020-nd-cp-30858/30246.htm</x:v>
      </x:c>
      <x:c r="P37" t="str">
        <x:v>PLUGIN:hoa-tieu-mien-bac-administrative-v1 | user_approved_visual_reference</x:v>
      </x:c>
      <x:c r="Q37" t="str">
        <x:v>CHECK_ONLY</x:v>
      </x:c>
      <x:c r="R37" t="str">
        <x:v>Kiểm tra từng thuộc tính có mặt; so sánh nguồn/role; không suy đoán từ kết quả render chưa có</x:v>
      </x:c>
      <x:c r="S37" t="str">
        <x:v>STRUCTURE_READ_EXISTING_WORKBOOK</x:v>
      </x:c>
      <x:c r="T37"/>
      <x:c r="U37" t="str">
        <x:v>Paragraph/Run theo kiểu khối DM; preserve list numbering/table/drawing nếu có</x:v>
      </x:c>
    </x:row>
    <x:row r="38">
      <x:c r="A38" t="n">
        <x:v>37</x:v>
      </x:c>
      <x:c r="B38" t="str">
        <x:v>ND30.N.DM.PHAN.CACH_TRUOC</x:v>
      </x:c>
      <x:c r="C38" t="str">
        <x:v>ND30.N.DM.PHAN</x:v>
      </x:c>
      <x:c r="D38" t="str">
        <x:v>N</x:v>
      </x:c>
      <x:c r="E38" t="str">
        <x:v>Phần</x:v>
      </x:c>
      <x:c r="F38" t="str">
        <x:v>CACH_TRUOC</x:v>
      </x:c>
      <x:c r="G38" t="n">
        <x:v>6</x:v>
      </x:c>
      <x:c r="H38"/>
      <x:c r="I38" t="str">
        <x:v>UNVERIFIED_ATTRIBUTE</x:v>
      </x:c>
      <x:c r="J38" t="str">
        <x:v>PROFILE_PRESET_UNAPPROVED</x:v>
      </x:c>
      <x:c r="K38" t="str">
        <x:v>Chỉ khi văn bản có phân cấp này; giữ số, tên và thứ bậc thực tế; không tự đánh lại số</x:v>
      </x:c>
      <x:c r="L38" t="str">
        <x:v>Bảo toàn cấu trúc/nội dung; nếu khác loại văn bản, ưu tiên đúng mẫu của loại đó; không sửa khi thiếu căn cứ.</x:v>
      </x:c>
      <x:c r="M38" t="str">
        <x:v>pt</x:v>
      </x:c>
      <x:c r="N38" t="str">
        <x:v>NĐ30, Phụ lục I, Phần I, II.6; V.6</x:v>
      </x:c>
      <x:c r="O38" t="str">
        <x:v>https://congbao.chinhphu.vn/van-ban/nghi-dinh-so-30-2020-nd-cp-30858/30246.htm</x:v>
      </x:c>
      <x:c r="P38" t="str">
        <x:v>PLUGIN:hoa-tieu-mien-bac-administrative-v1 | user_approved_visual_reference</x:v>
      </x:c>
      <x:c r="Q38" t="str">
        <x:v>CHECK_ONLY</x:v>
      </x:c>
      <x:c r="R38" t="str">
        <x:v>Kiểm tra từng thuộc tính có mặt; so sánh nguồn/role; không suy đoán từ kết quả render chưa có</x:v>
      </x:c>
      <x:c r="S38" t="str">
        <x:v>STRUCTURE_READ_EXISTING_WORKBOOK</x:v>
      </x:c>
      <x:c r="T38"/>
      <x:c r="U38" t="str">
        <x:v>Paragraph/Run theo kiểu khối DM; preserve list numbering/table/drawing nếu có</x:v>
      </x:c>
    </x:row>
    <x:row r="39">
      <x:c r="A39" t="n">
        <x:v>38</x:v>
      </x:c>
      <x:c r="B39" t="str">
        <x:v>ND30.N.DM.PHAN.CACH_SAU</x:v>
      </x:c>
      <x:c r="C39" t="str">
        <x:v>ND30.N.DM.PHAN</x:v>
      </x:c>
      <x:c r="D39" t="str">
        <x:v>N</x:v>
      </x:c>
      <x:c r="E39" t="str">
        <x:v>Phần</x:v>
      </x:c>
      <x:c r="F39" t="str">
        <x:v>CACH_SAU</x:v>
      </x:c>
      <x:c r="G39" t="n">
        <x:v>6</x:v>
      </x:c>
      <x:c r="H39"/>
      <x:c r="I39" t="str">
        <x:v>UNVERIFIED_ATTRIBUTE</x:v>
      </x:c>
      <x:c r="J39" t="str">
        <x:v>PROFILE_PRESET_UNAPPROVED</x:v>
      </x:c>
      <x:c r="K39" t="str">
        <x:v>Chỉ khi văn bản có phân cấp này; giữ số, tên và thứ bậc thực tế; không tự đánh lại số</x:v>
      </x:c>
      <x:c r="L39" t="str">
        <x:v>Bảo toàn cấu trúc/nội dung; nếu khác loại văn bản, ưu tiên đúng mẫu của loại đó; không sửa khi thiếu căn cứ.</x:v>
      </x:c>
      <x:c r="M39" t="str">
        <x:v>pt</x:v>
      </x:c>
      <x:c r="N39" t="str">
        <x:v>NĐ30, Phụ lục I, Phần I, II.6; V.6</x:v>
      </x:c>
      <x:c r="O39" t="str">
        <x:v>https://congbao.chinhphu.vn/van-ban/nghi-dinh-so-30-2020-nd-cp-30858/30246.htm</x:v>
      </x:c>
      <x:c r="P39" t="str">
        <x:v>PLUGIN:hoa-tieu-mien-bac-administrative-v1 | user_approved_visual_reference</x:v>
      </x:c>
      <x:c r="Q39" t="str">
        <x:v>CHECK_ONLY</x:v>
      </x:c>
      <x:c r="R39" t="str">
        <x:v>Kiểm tra từng thuộc tính có mặt; so sánh nguồn/role; không suy đoán từ kết quả render chưa có</x:v>
      </x:c>
      <x:c r="S39" t="str">
        <x:v>STRUCTURE_READ_EXISTING_WORKBOOK</x:v>
      </x:c>
      <x:c r="T39"/>
      <x:c r="U39" t="str">
        <x:v>Paragraph/Run theo kiểu khối DM; preserve list numbering/table/drawing nếu có</x:v>
      </x:c>
    </x:row>
    <x:row r="40">
      <x:c r="A40" t="n">
        <x:v>39</x:v>
      </x:c>
      <x:c r="B40" t="str">
        <x:v>ND30.N.DM.PHAN.THUT_DONG_DAU</x:v>
      </x:c>
      <x:c r="C40" t="str">
        <x:v>ND30.N.DM.PHAN</x:v>
      </x:c>
      <x:c r="D40" t="str">
        <x:v>N</x:v>
      </x:c>
      <x:c r="E40" t="str">
        <x:v>Phần</x:v>
      </x:c>
      <x:c r="F40" t="str">
        <x:v>THUT_DONG_DAU</x:v>
      </x:c>
      <x:c r="G40" t="n">
        <x:v>0</x:v>
      </x:c>
      <x:c r="H40"/>
      <x:c r="I40" t="str">
        <x:v>UNVERIFIED_ATTRIBUTE</x:v>
      </x:c>
      <x:c r="J40" t="str">
        <x:v>PROFILE_PRESET_UNAPPROVED</x:v>
      </x:c>
      <x:c r="K40" t="str">
        <x:v>Chỉ khi văn bản có phân cấp này; giữ số, tên và thứ bậc thực tế; không tự đánh lại số</x:v>
      </x:c>
      <x:c r="L40" t="str">
        <x:v>Bảo toàn cấu trúc/nội dung; nếu khác loại văn bản, ưu tiên đúng mẫu của loại đó; không sửa khi thiếu căn cứ.</x:v>
      </x:c>
      <x:c r="M40" t="str">
        <x:v>mm</x:v>
      </x:c>
      <x:c r="N40" t="str">
        <x:v>NĐ30, Phụ lục I, Phần I, II.6; V.6</x:v>
      </x:c>
      <x:c r="O40" t="str">
        <x:v>https://congbao.chinhphu.vn/van-ban/nghi-dinh-so-30-2020-nd-cp-30858/30246.htm</x:v>
      </x:c>
      <x:c r="P40" t="str">
        <x:v>PLUGIN:hoa-tieu-mien-bac-administrative-v1 | user_approved_visual_reference</x:v>
      </x:c>
      <x:c r="Q40" t="str">
        <x:v>CHECK_ONLY</x:v>
      </x:c>
      <x:c r="R40" t="str">
        <x:v>Kiểm tra từng thuộc tính có mặt; so sánh nguồn/role; không suy đoán từ kết quả render chưa có</x:v>
      </x:c>
      <x:c r="S40" t="str">
        <x:v>STRUCTURE_READ_EXISTING_WORKBOOK</x:v>
      </x:c>
      <x:c r="T40"/>
      <x:c r="U40" t="str">
        <x:v>Paragraph/Run theo kiểu khối DM; preserve list numbering/table/drawing nếu có</x:v>
      </x:c>
    </x:row>
    <x:row r="41">
      <x:c r="A41" t="n">
        <x:v>40</x:v>
      </x:c>
      <x:c r="B41" t="str">
        <x:v>ND30.N.DM.PHAN.KEEP_NEXT</x:v>
      </x:c>
      <x:c r="C41" t="str">
        <x:v>ND30.N.DM.PHAN</x:v>
      </x:c>
      <x:c r="D41" t="str">
        <x:v>N</x:v>
      </x:c>
      <x:c r="E41" t="str">
        <x:v>Phần</x:v>
      </x:c>
      <x:c r="F41" t="str">
        <x:v>KEEP_NEXT</x:v>
      </x:c>
      <x:c r="G41" t="str">
        <x:v>CÓ</x:v>
      </x:c>
      <x:c r="H41"/>
      <x:c r="I41" t="str">
        <x:v>UNVERIFIED_ATTRIBUTE</x:v>
      </x:c>
      <x:c r="J41" t="str">
        <x:v>PROFILE_PRESET_UNAPPROVED</x:v>
      </x:c>
      <x:c r="K41" t="str">
        <x:v>Chỉ khi văn bản có phân cấp này; giữ số, tên và thứ bậc thực tế; không tự đánh lại số</x:v>
      </x:c>
      <x:c r="L41" t="str">
        <x:v>Bảo toàn cấu trúc/nội dung; nếu khác loại văn bản, ưu tiên đúng mẫu của loại đó; không sửa khi thiếu căn cứ.</x:v>
      </x:c>
      <x:c r="M41"/>
      <x:c r="N41" t="str">
        <x:v>NĐ30, Phụ lục I, Phần I, II.6; V.6</x:v>
      </x:c>
      <x:c r="O41" t="str">
        <x:v>https://congbao.chinhphu.vn/van-ban/nghi-dinh-so-30-2020-nd-cp-30858/30246.htm</x:v>
      </x:c>
      <x:c r="P41" t="str">
        <x:v>PLUGIN:hoa-tieu-mien-bac-administrative-v1 | user_approved_visual_reference</x:v>
      </x:c>
      <x:c r="Q41" t="str">
        <x:v>CHECK_ONLY</x:v>
      </x:c>
      <x:c r="R41" t="str">
        <x:v>Kiểm tra từng thuộc tính có mặt; so sánh nguồn/role; không suy đoán từ kết quả render chưa có</x:v>
      </x:c>
      <x:c r="S41" t="str">
        <x:v>STRUCTURE_READ_EXISTING_WORKBOOK</x:v>
      </x:c>
      <x:c r="T41"/>
      <x:c r="U41" t="str">
        <x:v>Paragraph/Run theo kiểu khối DM; preserve list numbering/table/drawing nếu có</x:v>
      </x:c>
    </x:row>
    <x:row r="42">
      <x:c r="A42" t="n">
        <x:v>41</x:v>
      </x:c>
      <x:c r="B42" t="str">
        <x:v>ND30.N.DM.PHAN.SO_THU_TU</x:v>
      </x:c>
      <x:c r="C42" t="str">
        <x:v>ND30.N.DM.PHAN</x:v>
      </x:c>
      <x:c r="D42" t="str">
        <x:v>N</x:v>
      </x:c>
      <x:c r="E42" t="str">
        <x:v>Phần</x:v>
      </x:c>
      <x:c r="F42" t="str">
        <x:v>SO_THU_TU</x:v>
      </x:c>
      <x:c r="G42"/>
      <x:c r="H42"/>
      <x:c r="I42" t="str">
        <x:v>UNVERIFIED_ATTRIBUTE</x:v>
      </x:c>
      <x:c r="J42" t="str">
        <x:v>BLOCKED_NO_ATTRIBUTE_VALUE</x:v>
      </x:c>
      <x:c r="K42" t="str">
        <x:v>Chỉ khi văn bản có phân cấp này; giữ số, tên và thứ bậc thực tế; không tự đánh lại số</x:v>
      </x:c>
      <x:c r="L42" t="str">
        <x:v>Bảo toàn cấu trúc/nội dung; nếu khác loại văn bản, ưu tiên đúng mẫu của loại đó; không sửa khi thiếu căn cứ.</x:v>
      </x:c>
      <x:c r="M42"/>
      <x:c r="N42" t="str">
        <x:v>NĐ30, Phụ lục I, Phần I, II.6; V.6</x:v>
      </x:c>
      <x:c r="O42" t="str">
        <x:v>https://congbao.chinhphu.vn/van-ban/nghi-dinh-so-30-2020-nd-cp-30858/30246.htm</x:v>
      </x:c>
      <x:c r="P42" t="str">
        <x:v>PLUGIN:hoa-tieu-mien-bac-administrative-v1 | user_approved_visual_reference</x:v>
      </x:c>
      <x:c r="Q42" t="str">
        <x:v>CHECK_ONLY</x:v>
      </x:c>
      <x:c r="R42" t="str">
        <x:v>Kiểm tra từng thuộc tính có mặt; so sánh nguồn/role; không suy đoán từ kết quả render chưa có</x:v>
      </x:c>
      <x:c r="S42" t="str">
        <x:v>RULE_INFERENCE_NOT_MEASURED</x:v>
      </x:c>
      <x:c r="T42" t="str">
        <x:v>Xác minh căn cứ theo loại văn bản / tài liệu phát hành hoặc phê duyệt</x:v>
      </x:c>
      <x:c r="U42" t="str">
        <x:v>Paragraph/Run theo kiểu khối DM; preserve list numbering/table/drawing nếu có</x:v>
      </x:c>
    </x:row>
    <x:row r="43">
      <x:c r="A43" t="n">
        <x:v>42</x:v>
      </x:c>
      <x:c r="B43" t="str">
        <x:v>ND30.N.DM.PHAN.CAU_TRUC</x:v>
      </x:c>
      <x:c r="C43" t="str">
        <x:v>ND30.N.DM.PHAN</x:v>
      </x:c>
      <x:c r="D43" t="str">
        <x:v>N</x:v>
      </x:c>
      <x:c r="E43" t="str">
        <x:v>Phần</x:v>
      </x:c>
      <x:c r="F43" t="str">
        <x:v>CAU_TRUC</x:v>
      </x:c>
      <x:c r="G43"/>
      <x:c r="H43"/>
      <x:c r="I43" t="str">
        <x:v>UNVERIFIED_ATTRIBUTE</x:v>
      </x:c>
      <x:c r="J43" t="str">
        <x:v>BLOCKED_NO_ATTRIBUTE_VALUE</x:v>
      </x:c>
      <x:c r="K43" t="str">
        <x:v>Chỉ khi văn bản có phân cấp này; giữ số, tên và thứ bậc thực tế; không tự đánh lại số</x:v>
      </x:c>
      <x:c r="L43" t="str">
        <x:v>Bảo toàn cấu trúc/nội dung; nếu khác loại văn bản, ưu tiên đúng mẫu của loại đó; không sửa khi thiếu căn cứ.</x:v>
      </x:c>
      <x:c r="M43"/>
      <x:c r="N43" t="str">
        <x:v>NĐ30, Phụ lục I, Phần I, II.6; V.6</x:v>
      </x:c>
      <x:c r="O43" t="str">
        <x:v>https://congbao.chinhphu.vn/van-ban/nghi-dinh-so-30-2020-nd-cp-30858/30246.htm</x:v>
      </x:c>
      <x:c r="P43" t="str">
        <x:v>PLUGIN:hoa-tieu-mien-bac-administrative-v1 | user_approved_visual_reference</x:v>
      </x:c>
      <x:c r="Q43" t="str">
        <x:v>CHECK_ONLY</x:v>
      </x:c>
      <x:c r="R43" t="str">
        <x:v>Kiểm tra từng thuộc tính có mặt; so sánh nguồn/role; không suy đoán từ kết quả render chưa có</x:v>
      </x:c>
      <x:c r="S43" t="str">
        <x:v>RULE_INFERENCE_NOT_MEASURED</x:v>
      </x:c>
      <x:c r="T43" t="str">
        <x:v>Xác minh căn cứ theo loại văn bản / tài liệu phát hành hoặc phê duyệt</x:v>
      </x:c>
      <x:c r="U43" t="str">
        <x:v>Paragraph/Run theo kiểu khối DM; preserve list numbering/table/drawing nếu có</x:v>
      </x:c>
    </x:row>
    <x:row r="44">
      <x:c r="A44" t="n">
        <x:v>43</x:v>
      </x:c>
      <x:c r="B44" t="str">
        <x:v>ND30.N.DM.PHAN.DAU_CAU</x:v>
      </x:c>
      <x:c r="C44" t="str">
        <x:v>ND30.N.DM.PHAN</x:v>
      </x:c>
      <x:c r="D44" t="str">
        <x:v>N</x:v>
      </x:c>
      <x:c r="E44" t="str">
        <x:v>Phần</x:v>
      </x:c>
      <x:c r="F44" t="str">
        <x:v>DAU_CAU</x:v>
      </x:c>
      <x:c r="G44"/>
      <x:c r="H44"/>
      <x:c r="I44" t="str">
        <x:v>UNVERIFIED_ATTRIBUTE</x:v>
      </x:c>
      <x:c r="J44" t="str">
        <x:v>BLOCKED_NO_ATTRIBUTE_VALUE</x:v>
      </x:c>
      <x:c r="K44" t="str">
        <x:v>Chỉ khi văn bản có phân cấp này; giữ số, tên và thứ bậc thực tế; không tự đánh lại số</x:v>
      </x:c>
      <x:c r="L44" t="str">
        <x:v>Bảo toàn cấu trúc/nội dung; nếu khác loại văn bản, ưu tiên đúng mẫu của loại đó; không sửa khi thiếu căn cứ.</x:v>
      </x:c>
      <x:c r="M44"/>
      <x:c r="N44" t="str">
        <x:v>NĐ30, Phụ lục I, Phần I, II.6; V.6</x:v>
      </x:c>
      <x:c r="O44" t="str">
        <x:v>https://congbao.chinhphu.vn/van-ban/nghi-dinh-so-30-2020-nd-cp-30858/30246.htm</x:v>
      </x:c>
      <x:c r="P44" t="str">
        <x:v>PLUGIN:hoa-tieu-mien-bac-administrative-v1 | user_approved_visual_reference</x:v>
      </x:c>
      <x:c r="Q44" t="str">
        <x:v>CHECK_ONLY</x:v>
      </x:c>
      <x:c r="R44" t="str">
        <x:v>Kiểm tra từng thuộc tính có mặt; so sánh nguồn/role; không suy đoán từ kết quả render chưa có</x:v>
      </x:c>
      <x:c r="S44" t="str">
        <x:v>RULE_INFERENCE_NOT_MEASURED</x:v>
      </x:c>
      <x:c r="T44" t="str">
        <x:v>Xác minh căn cứ theo loại văn bản / tài liệu phát hành hoặc phê duyệt</x:v>
      </x:c>
      <x:c r="U44" t="str">
        <x:v>Paragraph/Run theo kiểu khối DM; preserve list numbering/table/drawing nếu có</x:v>
      </x:c>
    </x:row>
    <x:row r="45">
      <x:c r="A45" t="n">
        <x:v>44</x:v>
      </x:c>
      <x:c r="B45" t="str">
        <x:v>ND30.N.DM.CHUONG.HIEN_DIEN</x:v>
      </x:c>
      <x:c r="C45" t="str">
        <x:v>ND30.N.DM.CHUONG</x:v>
      </x:c>
      <x:c r="D45" t="str">
        <x:v>N</x:v>
      </x:c>
      <x:c r="E45" t="str">
        <x:v>Chương</x:v>
      </x:c>
      <x:c r="F45" t="str">
        <x:v>HIEN_DIEN</x:v>
      </x:c>
      <x:c r="G45" t="str">
        <x:v>Theo loại văn bản và sự hiện diện thực tế; không áp dụng đồng loạt</x:v>
      </x:c>
      <x:c r="H45"/>
      <x:c r="I45" t="str">
        <x:v>UNVERIFIED_ATTRIBUTE</x:v>
      </x:c>
      <x:c r="J45" t="str">
        <x:v>SOURCE_DESCRIPTION_NOT_APPROVAL</x:v>
      </x:c>
      <x:c r="K45" t="str">
        <x:v>Chỉ khi văn bản có phân cấp này; giữ số, tên và thứ bậc thực tế; không tự đánh lại số</x:v>
      </x:c>
      <x:c r="L45" t="str">
        <x:v>Bảo toàn cấu trúc/nội dung; nếu khác loại văn bản, ưu tiên đúng mẫu của loại đó; không sửa khi thiếu căn cứ.</x:v>
      </x:c>
      <x:c r="M45"/>
      <x:c r="N45" t="str">
        <x:v>NĐ30, Phụ lục I, Phần I, II.6; V.6</x:v>
      </x:c>
      <x:c r="O45" t="str">
        <x:v>https://congbao.chinhphu.vn/van-ban/nghi-dinh-so-30-2020-nd-cp-30858/30246.htm</x:v>
      </x:c>
      <x:c r="P45" t="str">
        <x:v>PLUGIN:hoa-tieu-mien-bac-administrative-v1 | user_approved_visual_reference</x:v>
      </x:c>
      <x:c r="Q45" t="str">
        <x:v>CHECK_ONLY</x:v>
      </x:c>
      <x:c r="R45" t="str">
        <x:v>Kiểm tra từng thuộc tính có mặt; so sánh nguồn/role; không suy đoán từ kết quả render chưa có</x:v>
      </x:c>
      <x:c r="S45" t="str">
        <x:v>STRUCTURE_READ_EXISTING_WORKBOOK</x:v>
      </x:c>
      <x:c r="T45"/>
      <x:c r="U45" t="str">
        <x:v>Paragraph/Run theo kiểu khối DM; preserve list numbering/table/drawing nếu có</x:v>
      </x:c>
    </x:row>
    <x:row r="46">
      <x:c r="A46" t="n">
        <x:v>45</x:v>
      </x:c>
      <x:c r="B46" t="str">
        <x:v>ND30.N.DM.CHUONG.NOI_DUNG</x:v>
      </x:c>
      <x:c r="C46" t="str">
        <x:v>ND30.N.DM.CHUONG</x:v>
      </x:c>
      <x:c r="D46" t="str">
        <x:v>N</x:v>
      </x:c>
      <x:c r="E46" t="str">
        <x:v>Chương</x:v>
      </x:c>
      <x:c r="F46" t="str">
        <x:v>NOI_DUNG</x:v>
      </x:c>
      <x:c r="G46" t="str">
        <x:v>Nhận diện số thứ tự và tiêu đề; tiêu đề phần/chương in hoa, đậm</x:v>
      </x:c>
      <x:c r="H46"/>
      <x:c r="I46" t="str">
        <x:v>UNVERIFIED_ATTRIBUTE</x:v>
      </x:c>
      <x:c r="J46" t="str">
        <x:v>SOURCE_DESCRIPTION_NOT_APPROVAL</x:v>
      </x:c>
      <x:c r="K46" t="str">
        <x:v>Chỉ khi văn bản có phân cấp này; giữ số, tên và thứ bậc thực tế; không tự đánh lại số</x:v>
      </x:c>
      <x:c r="L46" t="str">
        <x:v>Bảo toàn cấu trúc/nội dung; nếu khác loại văn bản, ưu tiên đúng mẫu của loại đó; không sửa khi thiếu căn cứ.</x:v>
      </x:c>
      <x:c r="M46"/>
      <x:c r="N46" t="str">
        <x:v>NĐ30, Phụ lục I, Phần I, II.6; V.6</x:v>
      </x:c>
      <x:c r="O46" t="str">
        <x:v>https://congbao.chinhphu.vn/van-ban/nghi-dinh-so-30-2020-nd-cp-30858/30246.htm</x:v>
      </x:c>
      <x:c r="P46" t="str">
        <x:v>PLUGIN:hoa-tieu-mien-bac-administrative-v1 | user_approved_visual_reference</x:v>
      </x:c>
      <x:c r="Q46" t="str">
        <x:v>CHECK_ONLY</x:v>
      </x:c>
      <x:c r="R46" t="str">
        <x:v>Kiểm tra từng thuộc tính có mặt; so sánh nguồn/role; không suy đoán từ kết quả render chưa có</x:v>
      </x:c>
      <x:c r="S46" t="str">
        <x:v>STRUCTURE_READ_EXISTING_WORKBOOK</x:v>
      </x:c>
      <x:c r="T46"/>
      <x:c r="U46" t="str">
        <x:v>Paragraph/Run theo kiểu khối DM; preserve list numbering/table/drawing nếu có</x:v>
      </x:c>
    </x:row>
    <x:row r="47">
      <x:c r="A47" t="n">
        <x:v>46</x:v>
      </x:c>
      <x:c r="B47" t="str">
        <x:v>ND30.N.DM.CHUONG.PHONG_CHU</x:v>
      </x:c>
      <x:c r="C47" t="str">
        <x:v>ND30.N.DM.CHUONG</x:v>
      </x:c>
      <x:c r="D47" t="str">
        <x:v>N</x:v>
      </x:c>
      <x:c r="E47" t="str">
        <x:v>Chương</x:v>
      </x:c>
      <x:c r="F47" t="str">
        <x:v>PHONG_CHU</x:v>
      </x:c>
      <x:c r="G47" t="str">
        <x:v>Times New Roman</x:v>
      </x:c>
      <x:c r="H47"/>
      <x:c r="I47" t="str">
        <x:v>UNVERIFIED_ATTRIBUTE</x:v>
      </x:c>
      <x:c r="J47" t="str">
        <x:v>PROFILE_PRESET_UNAPPROVED</x:v>
      </x:c>
      <x:c r="K47" t="str">
        <x:v>Chỉ khi văn bản có phân cấp này; giữ số, tên và thứ bậc thực tế; không tự đánh lại số</x:v>
      </x:c>
      <x:c r="L47" t="str">
        <x:v>Bảo toàn cấu trúc/nội dung; nếu khác loại văn bản, ưu tiên đúng mẫu của loại đó; không sửa khi thiếu căn cứ.</x:v>
      </x:c>
      <x:c r="M47"/>
      <x:c r="N47" t="str">
        <x:v>NĐ30, Phụ lục I, Phần I, II.6; V.6</x:v>
      </x:c>
      <x:c r="O47" t="str">
        <x:v>https://congbao.chinhphu.vn/van-ban/nghi-dinh-so-30-2020-nd-cp-30858/30246.htm</x:v>
      </x:c>
      <x:c r="P47" t="str">
        <x:v>PLUGIN:hoa-tieu-mien-bac-administrative-v1 | user_approved_visual_reference</x:v>
      </x:c>
      <x:c r="Q47" t="str">
        <x:v>CHECK_ONLY</x:v>
      </x:c>
      <x:c r="R47" t="str">
        <x:v>Kiểm tra từng thuộc tính có mặt; so sánh nguồn/role; không suy đoán từ kết quả render chưa có</x:v>
      </x:c>
      <x:c r="S47" t="str">
        <x:v>STRUCTURE_READ_EXISTING_WORKBOOK</x:v>
      </x:c>
      <x:c r="T47"/>
      <x:c r="U47" t="str">
        <x:v>Paragraph/Run theo kiểu khối DM; preserve list numbering/table/drawing nếu có</x:v>
      </x:c>
    </x:row>
    <x:row r="48">
      <x:c r="A48" t="n">
        <x:v>47</x:v>
      </x:c>
      <x:c r="B48" t="str">
        <x:v>ND30.N.DM.CHUONG.CO_CHU</x:v>
      </x:c>
      <x:c r="C48" t="str">
        <x:v>ND30.N.DM.CHUONG</x:v>
      </x:c>
      <x:c r="D48" t="str">
        <x:v>N</x:v>
      </x:c>
      <x:c r="E48" t="str">
        <x:v>Chương</x:v>
      </x:c>
      <x:c r="F48" t="str">
        <x:v>CO_CHU</x:v>
      </x:c>
      <x:c r="G48" t="n">
        <x:v>14</x:v>
      </x:c>
      <x:c r="H48"/>
      <x:c r="I48" t="str">
        <x:v>UNVERIFIED_ATTRIBUTE</x:v>
      </x:c>
      <x:c r="J48" t="str">
        <x:v>PROFILE_PRESET_UNAPPROVED</x:v>
      </x:c>
      <x:c r="K48" t="str">
        <x:v>Chỉ khi văn bản có phân cấp này; giữ số, tên và thứ bậc thực tế; không tự đánh lại số</x:v>
      </x:c>
      <x:c r="L48" t="str">
        <x:v>Bảo toàn cấu trúc/nội dung; nếu khác loại văn bản, ưu tiên đúng mẫu của loại đó; không sửa khi thiếu căn cứ.</x:v>
      </x:c>
      <x:c r="M48" t="str">
        <x:v>pt</x:v>
      </x:c>
      <x:c r="N48" t="str">
        <x:v>NĐ30, Phụ lục I, Phần I, II.6; V.6</x:v>
      </x:c>
      <x:c r="O48" t="str">
        <x:v>https://congbao.chinhphu.vn/van-ban/nghi-dinh-so-30-2020-nd-cp-30858/30246.htm</x:v>
      </x:c>
      <x:c r="P48" t="str">
        <x:v>PLUGIN:hoa-tieu-mien-bac-administrative-v1 | user_approved_visual_reference</x:v>
      </x:c>
      <x:c r="Q48" t="str">
        <x:v>CHECK_ONLY</x:v>
      </x:c>
      <x:c r="R48" t="str">
        <x:v>Kiểm tra từng thuộc tính có mặt; so sánh nguồn/role; không suy đoán từ kết quả render chưa có</x:v>
      </x:c>
      <x:c r="S48" t="str">
        <x:v>STRUCTURE_READ_EXISTING_WORKBOOK</x:v>
      </x:c>
      <x:c r="T48"/>
      <x:c r="U48" t="str">
        <x:v>Paragraph/Run theo kiểu khối DM; preserve list numbering/table/drawing nếu có</x:v>
      </x:c>
    </x:row>
    <x:row r="49">
      <x:c r="A49" t="n">
        <x:v>48</x:v>
      </x:c>
      <x:c r="B49" t="str">
        <x:v>ND30.N.DM.CHUONG.DAM</x:v>
      </x:c>
      <x:c r="C49" t="str">
        <x:v>ND30.N.DM.CHUONG</x:v>
      </x:c>
      <x:c r="D49" t="str">
        <x:v>N</x:v>
      </x:c>
      <x:c r="E49" t="str">
        <x:v>Chương</x:v>
      </x:c>
      <x:c r="F49" t="str">
        <x:v>DAM</x:v>
      </x:c>
      <x:c r="G49" t="str">
        <x:v>CÓ</x:v>
      </x:c>
      <x:c r="H49"/>
      <x:c r="I49" t="str">
        <x:v>UNVERIFIED_ATTRIBUTE</x:v>
      </x:c>
      <x:c r="J49" t="str">
        <x:v>PROFILE_PRESET_UNAPPROVED</x:v>
      </x:c>
      <x:c r="K49" t="str">
        <x:v>Chỉ khi văn bản có phân cấp này; giữ số, tên và thứ bậc thực tế; không tự đánh lại số</x:v>
      </x:c>
      <x:c r="L49" t="str">
        <x:v>Bảo toàn cấu trúc/nội dung; nếu khác loại văn bản, ưu tiên đúng mẫu của loại đó; không sửa khi thiếu căn cứ.</x:v>
      </x:c>
      <x:c r="M49"/>
      <x:c r="N49" t="str">
        <x:v>NĐ30, Phụ lục I, Phần I, II.6; V.6</x:v>
      </x:c>
      <x:c r="O49" t="str">
        <x:v>https://congbao.chinhphu.vn/van-ban/nghi-dinh-so-30-2020-nd-cp-30858/30246.htm</x:v>
      </x:c>
      <x:c r="P49" t="str">
        <x:v>PLUGIN:hoa-tieu-mien-bac-administrative-v1 | user_approved_visual_reference</x:v>
      </x:c>
      <x:c r="Q49" t="str">
        <x:v>CHECK_ONLY</x:v>
      </x:c>
      <x:c r="R49" t="str">
        <x:v>Kiểm tra từng thuộc tính có mặt; so sánh nguồn/role; không suy đoán từ kết quả render chưa có</x:v>
      </x:c>
      <x:c r="S49" t="str">
        <x:v>STRUCTURE_READ_EXISTING_WORKBOOK</x:v>
      </x:c>
      <x:c r="T49"/>
      <x:c r="U49" t="str">
        <x:v>Paragraph/Run theo kiểu khối DM; preserve list numbering/table/drawing nếu có</x:v>
      </x:c>
    </x:row>
    <x:row r="50">
      <x:c r="A50" t="n">
        <x:v>49</x:v>
      </x:c>
      <x:c r="B50" t="str">
        <x:v>ND30.N.DM.CHUONG.NGHIENG</x:v>
      </x:c>
      <x:c r="C50" t="str">
        <x:v>ND30.N.DM.CHUONG</x:v>
      </x:c>
      <x:c r="D50" t="str">
        <x:v>N</x:v>
      </x:c>
      <x:c r="E50" t="str">
        <x:v>Chương</x:v>
      </x:c>
      <x:c r="F50" t="str">
        <x:v>NGHIENG</x:v>
      </x:c>
      <x:c r="G50"/>
      <x:c r="H50"/>
      <x:c r="I50" t="str">
        <x:v>UNVERIFIED_ATTRIBUTE</x:v>
      </x:c>
      <x:c r="J50" t="str">
        <x:v>BLOCKED_NO_ATTRIBUTE_VALUE</x:v>
      </x:c>
      <x:c r="K50" t="str">
        <x:v>Chỉ khi văn bản có phân cấp này; giữ số, tên và thứ bậc thực tế; không tự đánh lại số</x:v>
      </x:c>
      <x:c r="L50" t="str">
        <x:v>Bảo toàn cấu trúc/nội dung; nếu khác loại văn bản, ưu tiên đúng mẫu của loại đó; không sửa khi thiếu căn cứ.</x:v>
      </x:c>
      <x:c r="M50"/>
      <x:c r="N50" t="str">
        <x:v>NĐ30, Phụ lục I, Phần I, II.6; V.6</x:v>
      </x:c>
      <x:c r="O50" t="str">
        <x:v>https://congbao.chinhphu.vn/van-ban/nghi-dinh-so-30-2020-nd-cp-30858/30246.htm</x:v>
      </x:c>
      <x:c r="P50" t="str">
        <x:v>PLUGIN:hoa-tieu-mien-bac-administrative-v1 | user_approved_visual_reference</x:v>
      </x:c>
      <x:c r="Q50" t="str">
        <x:v>CHECK_ONLY</x:v>
      </x:c>
      <x:c r="R50" t="str">
        <x:v>Kiểm tra từng thuộc tính có mặt; so sánh nguồn/role; không suy đoán từ kết quả render chưa có</x:v>
      </x:c>
      <x:c r="S50" t="str">
        <x:v>RULE_INFERENCE_NOT_MEASURED</x:v>
      </x:c>
      <x:c r="T50" t="str">
        <x:v>Xác minh căn cứ theo loại văn bản / tài liệu phát hành hoặc phê duyệt</x:v>
      </x:c>
      <x:c r="U50" t="str">
        <x:v>Paragraph/Run theo kiểu khối DM; preserve list numbering/table/drawing nếu có</x:v>
      </x:c>
    </x:row>
    <x:row r="51">
      <x:c r="A51" t="n">
        <x:v>50</x:v>
      </x:c>
      <x:c r="B51" t="str">
        <x:v>ND30.N.DM.CHUONG.KIEU_CHU</x:v>
      </x:c>
      <x:c r="C51" t="str">
        <x:v>ND30.N.DM.CHUONG</x:v>
      </x:c>
      <x:c r="D51" t="str">
        <x:v>N</x:v>
      </x:c>
      <x:c r="E51" t="str">
        <x:v>Chương</x:v>
      </x:c>
      <x:c r="F51" t="str">
        <x:v>KIEU_CHU</x:v>
      </x:c>
      <x:c r="G51" t="str">
        <x:v>Nhãn thường; tiêu đề IN HOA</x:v>
      </x:c>
      <x:c r="H51"/>
      <x:c r="I51" t="str">
        <x:v>UNVERIFIED_ATTRIBUTE</x:v>
      </x:c>
      <x:c r="J51" t="str">
        <x:v>PROFILE_PRESET_UNAPPROVED</x:v>
      </x:c>
      <x:c r="K51" t="str">
        <x:v>Chỉ khi văn bản có phân cấp này; giữ số, tên và thứ bậc thực tế; không tự đánh lại số</x:v>
      </x:c>
      <x:c r="L51" t="str">
        <x:v>Bảo toàn cấu trúc/nội dung; nếu khác loại văn bản, ưu tiên đúng mẫu của loại đó; không sửa khi thiếu căn cứ.</x:v>
      </x:c>
      <x:c r="M51"/>
      <x:c r="N51" t="str">
        <x:v>NĐ30, Phụ lục I, Phần I, II.6; V.6</x:v>
      </x:c>
      <x:c r="O51" t="str">
        <x:v>https://congbao.chinhphu.vn/van-ban/nghi-dinh-so-30-2020-nd-cp-30858/30246.htm</x:v>
      </x:c>
      <x:c r="P51" t="str">
        <x:v>PLUGIN:hoa-tieu-mien-bac-administrative-v1 | user_approved_visual_reference</x:v>
      </x:c>
      <x:c r="Q51" t="str">
        <x:v>CHECK_ONLY</x:v>
      </x:c>
      <x:c r="R51" t="str">
        <x:v>Kiểm tra từng thuộc tính có mặt; so sánh nguồn/role; không suy đoán từ kết quả render chưa có</x:v>
      </x:c>
      <x:c r="S51" t="str">
        <x:v>STRUCTURE_READ_EXISTING_WORKBOOK</x:v>
      </x:c>
      <x:c r="T51"/>
      <x:c r="U51" t="str">
        <x:v>Paragraph/Run theo kiểu khối DM; preserve list numbering/table/drawing nếu có</x:v>
      </x:c>
    </x:row>
    <x:row r="52">
      <x:c r="A52" t="n">
        <x:v>51</x:v>
      </x:c>
      <x:c r="B52" t="str">
        <x:v>ND30.N.DM.CHUONG.CAN_NGANG</x:v>
      </x:c>
      <x:c r="C52" t="str">
        <x:v>ND30.N.DM.CHUONG</x:v>
      </x:c>
      <x:c r="D52" t="str">
        <x:v>N</x:v>
      </x:c>
      <x:c r="E52" t="str">
        <x:v>Chương</x:v>
      </x:c>
      <x:c r="F52" t="str">
        <x:v>CAN_NGANG</x:v>
      </x:c>
      <x:c r="G52" t="str">
        <x:v>CENTER</x:v>
      </x:c>
      <x:c r="H52"/>
      <x:c r="I52" t="str">
        <x:v>UNVERIFIED_ATTRIBUTE</x:v>
      </x:c>
      <x:c r="J52" t="str">
        <x:v>PROFILE_PRESET_UNAPPROVED</x:v>
      </x:c>
      <x:c r="K52" t="str">
        <x:v>Chỉ khi văn bản có phân cấp này; giữ số, tên và thứ bậc thực tế; không tự đánh lại số</x:v>
      </x:c>
      <x:c r="L52" t="str">
        <x:v>Bảo toàn cấu trúc/nội dung; nếu khác loại văn bản, ưu tiên đúng mẫu của loại đó; không sửa khi thiếu căn cứ.</x:v>
      </x:c>
      <x:c r="M52"/>
      <x:c r="N52" t="str">
        <x:v>NĐ30, Phụ lục I, Phần I, II.6; V.6</x:v>
      </x:c>
      <x:c r="O52" t="str">
        <x:v>https://congbao.chinhphu.vn/van-ban/nghi-dinh-so-30-2020-nd-cp-30858/30246.htm</x:v>
      </x:c>
      <x:c r="P52" t="str">
        <x:v>PLUGIN:hoa-tieu-mien-bac-administrative-v1 | user_approved_visual_reference</x:v>
      </x:c>
      <x:c r="Q52" t="str">
        <x:v>CHECK_ONLY</x:v>
      </x:c>
      <x:c r="R52" t="str">
        <x:v>Kiểm tra từng thuộc tính có mặt; so sánh nguồn/role; không suy đoán từ kết quả render chưa có</x:v>
      </x:c>
      <x:c r="S52" t="str">
        <x:v>STRUCTURE_READ_EXISTING_WORKBOOK</x:v>
      </x:c>
      <x:c r="T52"/>
      <x:c r="U52" t="str">
        <x:v>Paragraph/Run theo kiểu khối DM; preserve list numbering/table/drawing nếu có</x:v>
      </x:c>
    </x:row>
    <x:row r="53">
      <x:c r="A53" t="n">
        <x:v>52</x:v>
      </x:c>
      <x:c r="B53" t="str">
        <x:v>ND30.N.DM.CHUONG.GIAN_DONG</x:v>
      </x:c>
      <x:c r="C53" t="str">
        <x:v>ND30.N.DM.CHUONG</x:v>
      </x:c>
      <x:c r="D53" t="str">
        <x:v>N</x:v>
      </x:c>
      <x:c r="E53" t="str">
        <x:v>Chương</x:v>
      </x:c>
      <x:c r="F53" t="str">
        <x:v>GIAN_DONG</x:v>
      </x:c>
      <x:c r="G53" t="n">
        <x:v>19</x:v>
      </x:c>
      <x:c r="H53"/>
      <x:c r="I53" t="str">
        <x:v>UNVERIFIED_ATTRIBUTE</x:v>
      </x:c>
      <x:c r="J53" t="str">
        <x:v>PROFILE_PRESET_UNAPPROVED</x:v>
      </x:c>
      <x:c r="K53" t="str">
        <x:v>Chỉ khi văn bản có phân cấp này; giữ số, tên và thứ bậc thực tế; không tự đánh lại số</x:v>
      </x:c>
      <x:c r="L53" t="str">
        <x:v>Bảo toàn cấu trúc/nội dung; nếu khác loại văn bản, ưu tiên đúng mẫu của loại đó; không sửa khi thiếu căn cứ.</x:v>
      </x:c>
      <x:c r="M53" t="str">
        <x:v>pt</x:v>
      </x:c>
      <x:c r="N53" t="str">
        <x:v>NĐ30, Phụ lục I, Phần I, II.6; V.6</x:v>
      </x:c>
      <x:c r="O53" t="str">
        <x:v>https://congbao.chinhphu.vn/van-ban/nghi-dinh-so-30-2020-nd-cp-30858/30246.htm</x:v>
      </x:c>
      <x:c r="P53" t="str">
        <x:v>PLUGIN:hoa-tieu-mien-bac-administrative-v1 | user_approved_visual_reference</x:v>
      </x:c>
      <x:c r="Q53" t="str">
        <x:v>CHECK_ONLY</x:v>
      </x:c>
      <x:c r="R53" t="str">
        <x:v>Kiểm tra từng thuộc tính có mặt; so sánh nguồn/role; không suy đoán từ kết quả render chưa có</x:v>
      </x:c>
      <x:c r="S53" t="str">
        <x:v>STRUCTURE_READ_EXISTING_WORKBOOK</x:v>
      </x:c>
      <x:c r="T53"/>
      <x:c r="U53" t="str">
        <x:v>Paragraph/Run theo kiểu khối DM; preserve list numbering/table/drawing nếu có</x:v>
      </x:c>
    </x:row>
    <x:row r="54">
      <x:c r="A54" t="n">
        <x:v>53</x:v>
      </x:c>
      <x:c r="B54" t="str">
        <x:v>ND30.N.DM.CHUONG.CACH_TRUOC</x:v>
      </x:c>
      <x:c r="C54" t="str">
        <x:v>ND30.N.DM.CHUONG</x:v>
      </x:c>
      <x:c r="D54" t="str">
        <x:v>N</x:v>
      </x:c>
      <x:c r="E54" t="str">
        <x:v>Chương</x:v>
      </x:c>
      <x:c r="F54" t="str">
        <x:v>CACH_TRUOC</x:v>
      </x:c>
      <x:c r="G54" t="n">
        <x:v>6</x:v>
      </x:c>
      <x:c r="H54"/>
      <x:c r="I54" t="str">
        <x:v>UNVERIFIED_ATTRIBUTE</x:v>
      </x:c>
      <x:c r="J54" t="str">
        <x:v>PROFILE_PRESET_UNAPPROVED</x:v>
      </x:c>
      <x:c r="K54" t="str">
        <x:v>Chỉ khi văn bản có phân cấp này; giữ số, tên và thứ bậc thực tế; không tự đánh lại số</x:v>
      </x:c>
      <x:c r="L54" t="str">
        <x:v>Bảo toàn cấu trúc/nội dung; nếu khác loại văn bản, ưu tiên đúng mẫu của loại đó; không sửa khi thiếu căn cứ.</x:v>
      </x:c>
      <x:c r="M54" t="str">
        <x:v>pt</x:v>
      </x:c>
      <x:c r="N54" t="str">
        <x:v>NĐ30, Phụ lục I, Phần I, II.6; V.6</x:v>
      </x:c>
      <x:c r="O54" t="str">
        <x:v>https://congbao.chinhphu.vn/van-ban/nghi-dinh-so-30-2020-nd-cp-30858/30246.htm</x:v>
      </x:c>
      <x:c r="P54" t="str">
        <x:v>PLUGIN:hoa-tieu-mien-bac-administrative-v1 | user_approved_visual_reference</x:v>
      </x:c>
      <x:c r="Q54" t="str">
        <x:v>CHECK_ONLY</x:v>
      </x:c>
      <x:c r="R54" t="str">
        <x:v>Kiểm tra từng thuộc tính có mặt; so sánh nguồn/role; không suy đoán từ kết quả render chưa có</x:v>
      </x:c>
      <x:c r="S54" t="str">
        <x:v>STRUCTURE_READ_EXISTING_WORKBOOK</x:v>
      </x:c>
      <x:c r="T54"/>
      <x:c r="U54" t="str">
        <x:v>Paragraph/Run theo kiểu khối DM; preserve list numbering/table/drawing nếu có</x:v>
      </x:c>
    </x:row>
    <x:row r="55">
      <x:c r="A55" t="n">
        <x:v>54</x:v>
      </x:c>
      <x:c r="B55" t="str">
        <x:v>ND30.N.DM.CHUONG.CACH_SAU</x:v>
      </x:c>
      <x:c r="C55" t="str">
        <x:v>ND30.N.DM.CHUONG</x:v>
      </x:c>
      <x:c r="D55" t="str">
        <x:v>N</x:v>
      </x:c>
      <x:c r="E55" t="str">
        <x:v>Chương</x:v>
      </x:c>
      <x:c r="F55" t="str">
        <x:v>CACH_SAU</x:v>
      </x:c>
      <x:c r="G55" t="n">
        <x:v>6</x:v>
      </x:c>
      <x:c r="H55"/>
      <x:c r="I55" t="str">
        <x:v>UNVERIFIED_ATTRIBUTE</x:v>
      </x:c>
      <x:c r="J55" t="str">
        <x:v>PROFILE_PRESET_UNAPPROVED</x:v>
      </x:c>
      <x:c r="K55" t="str">
        <x:v>Chỉ khi văn bản có phân cấp này; giữ số, tên và thứ bậc thực tế; không tự đánh lại số</x:v>
      </x:c>
      <x:c r="L55" t="str">
        <x:v>Bảo toàn cấu trúc/nội dung; nếu khác loại văn bản, ưu tiên đúng mẫu của loại đó; không sửa khi thiếu căn cứ.</x:v>
      </x:c>
      <x:c r="M55" t="str">
        <x:v>pt</x:v>
      </x:c>
      <x:c r="N55" t="str">
        <x:v>NĐ30, Phụ lục I, Phần I, II.6; V.6</x:v>
      </x:c>
      <x:c r="O55" t="str">
        <x:v>https://congbao.chinhphu.vn/van-ban/nghi-dinh-so-30-2020-nd-cp-30858/30246.htm</x:v>
      </x:c>
      <x:c r="P55" t="str">
        <x:v>PLUGIN:hoa-tieu-mien-bac-administrative-v1 | user_approved_visual_reference</x:v>
      </x:c>
      <x:c r="Q55" t="str">
        <x:v>CHECK_ONLY</x:v>
      </x:c>
      <x:c r="R55" t="str">
        <x:v>Kiểm tra từng thuộc tính có mặt; so sánh nguồn/role; không suy đoán từ kết quả render chưa có</x:v>
      </x:c>
      <x:c r="S55" t="str">
        <x:v>STRUCTURE_READ_EXISTING_WORKBOOK</x:v>
      </x:c>
      <x:c r="T55"/>
      <x:c r="U55" t="str">
        <x:v>Paragraph/Run theo kiểu khối DM; preserve list numbering/table/drawing nếu có</x:v>
      </x:c>
    </x:row>
    <x:row r="56">
      <x:c r="A56" t="n">
        <x:v>55</x:v>
      </x:c>
      <x:c r="B56" t="str">
        <x:v>ND30.N.DM.CHUONG.THUT_DONG_DAU</x:v>
      </x:c>
      <x:c r="C56" t="str">
        <x:v>ND30.N.DM.CHUONG</x:v>
      </x:c>
      <x:c r="D56" t="str">
        <x:v>N</x:v>
      </x:c>
      <x:c r="E56" t="str">
        <x:v>Chương</x:v>
      </x:c>
      <x:c r="F56" t="str">
        <x:v>THUT_DONG_DAU</x:v>
      </x:c>
      <x:c r="G56" t="n">
        <x:v>0</x:v>
      </x:c>
      <x:c r="H56"/>
      <x:c r="I56" t="str">
        <x:v>UNVERIFIED_ATTRIBUTE</x:v>
      </x:c>
      <x:c r="J56" t="str">
        <x:v>PROFILE_PRESET_UNAPPROVED</x:v>
      </x:c>
      <x:c r="K56" t="str">
        <x:v>Chỉ khi văn bản có phân cấp này; giữ số, tên và thứ bậc thực tế; không tự đánh lại số</x:v>
      </x:c>
      <x:c r="L56" t="str">
        <x:v>Bảo toàn cấu trúc/nội dung; nếu khác loại văn bản, ưu tiên đúng mẫu của loại đó; không sửa khi thiếu căn cứ.</x:v>
      </x:c>
      <x:c r="M56" t="str">
        <x:v>mm</x:v>
      </x:c>
      <x:c r="N56" t="str">
        <x:v>NĐ30, Phụ lục I, Phần I, II.6; V.6</x:v>
      </x:c>
      <x:c r="O56" t="str">
        <x:v>https://congbao.chinhphu.vn/van-ban/nghi-dinh-so-30-2020-nd-cp-30858/30246.htm</x:v>
      </x:c>
      <x:c r="P56" t="str">
        <x:v>PLUGIN:hoa-tieu-mien-bac-administrative-v1 | user_approved_visual_reference</x:v>
      </x:c>
      <x:c r="Q56" t="str">
        <x:v>CHECK_ONLY</x:v>
      </x:c>
      <x:c r="R56" t="str">
        <x:v>Kiểm tra từng thuộc tính có mặt; so sánh nguồn/role; không suy đoán từ kết quả render chưa có</x:v>
      </x:c>
      <x:c r="S56" t="str">
        <x:v>STRUCTURE_READ_EXISTING_WORKBOOK</x:v>
      </x:c>
      <x:c r="T56"/>
      <x:c r="U56" t="str">
        <x:v>Paragraph/Run theo kiểu khối DM; preserve list numbering/table/drawing nếu có</x:v>
      </x:c>
    </x:row>
    <x:row r="57">
      <x:c r="A57" t="n">
        <x:v>56</x:v>
      </x:c>
      <x:c r="B57" t="str">
        <x:v>ND30.N.DM.CHUONG.KEEP_NEXT</x:v>
      </x:c>
      <x:c r="C57" t="str">
        <x:v>ND30.N.DM.CHUONG</x:v>
      </x:c>
      <x:c r="D57" t="str">
        <x:v>N</x:v>
      </x:c>
      <x:c r="E57" t="str">
        <x:v>Chương</x:v>
      </x:c>
      <x:c r="F57" t="str">
        <x:v>KEEP_NEXT</x:v>
      </x:c>
      <x:c r="G57" t="str">
        <x:v>CÓ</x:v>
      </x:c>
      <x:c r="H57"/>
      <x:c r="I57" t="str">
        <x:v>UNVERIFIED_ATTRIBUTE</x:v>
      </x:c>
      <x:c r="J57" t="str">
        <x:v>PROFILE_PRESET_UNAPPROVED</x:v>
      </x:c>
      <x:c r="K57" t="str">
        <x:v>Chỉ khi văn bản có phân cấp này; giữ số, tên và thứ bậc thực tế; không tự đánh lại số</x:v>
      </x:c>
      <x:c r="L57" t="str">
        <x:v>Bảo toàn cấu trúc/nội dung; nếu khác loại văn bản, ưu tiên đúng mẫu của loại đó; không sửa khi thiếu căn cứ.</x:v>
      </x:c>
      <x:c r="M57"/>
      <x:c r="N57" t="str">
        <x:v>NĐ30, Phụ lục I, Phần I, II.6; V.6</x:v>
      </x:c>
      <x:c r="O57" t="str">
        <x:v>https://congbao.chinhphu.vn/van-ban/nghi-dinh-so-30-2020-nd-cp-30858/30246.htm</x:v>
      </x:c>
      <x:c r="P57" t="str">
        <x:v>PLUGIN:hoa-tieu-mien-bac-administrative-v1 | user_approved_visual_reference</x:v>
      </x:c>
      <x:c r="Q57" t="str">
        <x:v>CHECK_ONLY</x:v>
      </x:c>
      <x:c r="R57" t="str">
        <x:v>Kiểm tra từng thuộc tính có mặt; so sánh nguồn/role; không suy đoán từ kết quả render chưa có</x:v>
      </x:c>
      <x:c r="S57" t="str">
        <x:v>STRUCTURE_READ_EXISTING_WORKBOOK</x:v>
      </x:c>
      <x:c r="T57"/>
      <x:c r="U57" t="str">
        <x:v>Paragraph/Run theo kiểu khối DM; preserve list numbering/table/drawing nếu có</x:v>
      </x:c>
    </x:row>
    <x:row r="58">
      <x:c r="A58" t="n">
        <x:v>57</x:v>
      </x:c>
      <x:c r="B58" t="str">
        <x:v>ND30.N.DM.CHUONG.SO_THU_TU</x:v>
      </x:c>
      <x:c r="C58" t="str">
        <x:v>ND30.N.DM.CHUONG</x:v>
      </x:c>
      <x:c r="D58" t="str">
        <x:v>N</x:v>
      </x:c>
      <x:c r="E58" t="str">
        <x:v>Chương</x:v>
      </x:c>
      <x:c r="F58" t="str">
        <x:v>SO_THU_TU</x:v>
      </x:c>
      <x:c r="G58"/>
      <x:c r="H58"/>
      <x:c r="I58" t="str">
        <x:v>UNVERIFIED_ATTRIBUTE</x:v>
      </x:c>
      <x:c r="J58" t="str">
        <x:v>BLOCKED_NO_ATTRIBUTE_VALUE</x:v>
      </x:c>
      <x:c r="K58" t="str">
        <x:v>Chỉ khi văn bản có phân cấp này; giữ số, tên và thứ bậc thực tế; không tự đánh lại số</x:v>
      </x:c>
      <x:c r="L58" t="str">
        <x:v>Bảo toàn cấu trúc/nội dung; nếu khác loại văn bản, ưu tiên đúng mẫu của loại đó; không sửa khi thiếu căn cứ.</x:v>
      </x:c>
      <x:c r="M58"/>
      <x:c r="N58" t="str">
        <x:v>NĐ30, Phụ lục I, Phần I, II.6; V.6</x:v>
      </x:c>
      <x:c r="O58" t="str">
        <x:v>https://congbao.chinhphu.vn/van-ban/nghi-dinh-so-30-2020-nd-cp-30858/30246.htm</x:v>
      </x:c>
      <x:c r="P58" t="str">
        <x:v>PLUGIN:hoa-tieu-mien-bac-administrative-v1 | user_approved_visual_reference</x:v>
      </x:c>
      <x:c r="Q58" t="str">
        <x:v>CHECK_ONLY</x:v>
      </x:c>
      <x:c r="R58" t="str">
        <x:v>Kiểm tra từng thuộc tính có mặt; so sánh nguồn/role; không suy đoán từ kết quả render chưa có</x:v>
      </x:c>
      <x:c r="S58" t="str">
        <x:v>RULE_INFERENCE_NOT_MEASURED</x:v>
      </x:c>
      <x:c r="T58" t="str">
        <x:v>Xác minh căn cứ theo loại văn bản / tài liệu phát hành hoặc phê duyệt</x:v>
      </x:c>
      <x:c r="U58" t="str">
        <x:v>Paragraph/Run theo kiểu khối DM; preserve list numbering/table/drawing nếu có</x:v>
      </x:c>
    </x:row>
    <x:row r="59">
      <x:c r="A59" t="n">
        <x:v>58</x:v>
      </x:c>
      <x:c r="B59" t="str">
        <x:v>ND30.N.DM.CHUONG.CAU_TRUC</x:v>
      </x:c>
      <x:c r="C59" t="str">
        <x:v>ND30.N.DM.CHUONG</x:v>
      </x:c>
      <x:c r="D59" t="str">
        <x:v>N</x:v>
      </x:c>
      <x:c r="E59" t="str">
        <x:v>Chương</x:v>
      </x:c>
      <x:c r="F59" t="str">
        <x:v>CAU_TRUC</x:v>
      </x:c>
      <x:c r="G59"/>
      <x:c r="H59"/>
      <x:c r="I59" t="str">
        <x:v>UNVERIFIED_ATTRIBUTE</x:v>
      </x:c>
      <x:c r="J59" t="str">
        <x:v>BLOCKED_NO_ATTRIBUTE_VALUE</x:v>
      </x:c>
      <x:c r="K59" t="str">
        <x:v>Chỉ khi văn bản có phân cấp này; giữ số, tên và thứ bậc thực tế; không tự đánh lại số</x:v>
      </x:c>
      <x:c r="L59" t="str">
        <x:v>Bảo toàn cấu trúc/nội dung; nếu khác loại văn bản, ưu tiên đúng mẫu của loại đó; không sửa khi thiếu căn cứ.</x:v>
      </x:c>
      <x:c r="M59"/>
      <x:c r="N59" t="str">
        <x:v>NĐ30, Phụ lục I, Phần I, II.6; V.6</x:v>
      </x:c>
      <x:c r="O59" t="str">
        <x:v>https://congbao.chinhphu.vn/van-ban/nghi-dinh-so-30-2020-nd-cp-30858/30246.htm</x:v>
      </x:c>
      <x:c r="P59" t="str">
        <x:v>PLUGIN:hoa-tieu-mien-bac-administrative-v1 | user_approved_visual_reference</x:v>
      </x:c>
      <x:c r="Q59" t="str">
        <x:v>CHECK_ONLY</x:v>
      </x:c>
      <x:c r="R59" t="str">
        <x:v>Kiểm tra từng thuộc tính có mặt; so sánh nguồn/role; không suy đoán từ kết quả render chưa có</x:v>
      </x:c>
      <x:c r="S59" t="str">
        <x:v>RULE_INFERENCE_NOT_MEASURED</x:v>
      </x:c>
      <x:c r="T59" t="str">
        <x:v>Xác minh căn cứ theo loại văn bản / tài liệu phát hành hoặc phê duyệt</x:v>
      </x:c>
      <x:c r="U59" t="str">
        <x:v>Paragraph/Run theo kiểu khối DM; preserve list numbering/table/drawing nếu có</x:v>
      </x:c>
    </x:row>
    <x:row r="60">
      <x:c r="A60" t="n">
        <x:v>59</x:v>
      </x:c>
      <x:c r="B60" t="str">
        <x:v>ND30.N.DM.CHUONG.DAU_CAU</x:v>
      </x:c>
      <x:c r="C60" t="str">
        <x:v>ND30.N.DM.CHUONG</x:v>
      </x:c>
      <x:c r="D60" t="str">
        <x:v>N</x:v>
      </x:c>
      <x:c r="E60" t="str">
        <x:v>Chương</x:v>
      </x:c>
      <x:c r="F60" t="str">
        <x:v>DAU_CAU</x:v>
      </x:c>
      <x:c r="G60"/>
      <x:c r="H60"/>
      <x:c r="I60" t="str">
        <x:v>UNVERIFIED_ATTRIBUTE</x:v>
      </x:c>
      <x:c r="J60" t="str">
        <x:v>BLOCKED_NO_ATTRIBUTE_VALUE</x:v>
      </x:c>
      <x:c r="K60" t="str">
        <x:v>Chỉ khi văn bản có phân cấp này; giữ số, tên và thứ bậc thực tế; không tự đánh lại số</x:v>
      </x:c>
      <x:c r="L60" t="str">
        <x:v>Bảo toàn cấu trúc/nội dung; nếu khác loại văn bản, ưu tiên đúng mẫu của loại đó; không sửa khi thiếu căn cứ.</x:v>
      </x:c>
      <x:c r="M60"/>
      <x:c r="N60" t="str">
        <x:v>NĐ30, Phụ lục I, Phần I, II.6; V.6</x:v>
      </x:c>
      <x:c r="O60" t="str">
        <x:v>https://congbao.chinhphu.vn/van-ban/nghi-dinh-so-30-2020-nd-cp-30858/30246.htm</x:v>
      </x:c>
      <x:c r="P60" t="str">
        <x:v>PLUGIN:hoa-tieu-mien-bac-administrative-v1 | user_approved_visual_reference</x:v>
      </x:c>
      <x:c r="Q60" t="str">
        <x:v>CHECK_ONLY</x:v>
      </x:c>
      <x:c r="R60" t="str">
        <x:v>Kiểm tra từng thuộc tính có mặt; so sánh nguồn/role; không suy đoán từ kết quả render chưa có</x:v>
      </x:c>
      <x:c r="S60" t="str">
        <x:v>RULE_INFERENCE_NOT_MEASURED</x:v>
      </x:c>
      <x:c r="T60" t="str">
        <x:v>Xác minh căn cứ theo loại văn bản / tài liệu phát hành hoặc phê duyệt</x:v>
      </x:c>
      <x:c r="U60" t="str">
        <x:v>Paragraph/Run theo kiểu khối DM; preserve list numbering/table/drawing nếu có</x:v>
      </x:c>
    </x:row>
    <x:row r="61">
      <x:c r="A61" t="n">
        <x:v>60</x:v>
      </x:c>
      <x:c r="B61" t="str">
        <x:v>ND30.N.DM.MUC.HIEN_DIEN</x:v>
      </x:c>
      <x:c r="C61" t="str">
        <x:v>ND30.N.DM.MUC</x:v>
      </x:c>
      <x:c r="D61" t="str">
        <x:v>N</x:v>
      </x:c>
      <x:c r="E61" t="str">
        <x:v>Mục</x:v>
      </x:c>
      <x:c r="F61" t="str">
        <x:v>HIEN_DIEN</x:v>
      </x:c>
      <x:c r="G61" t="str">
        <x:v>Theo loại văn bản và sự hiện diện thực tế; không áp dụng đồng loạt</x:v>
      </x:c>
      <x:c r="H61"/>
      <x:c r="I61" t="str">
        <x:v>UNVERIFIED_ATTRIBUTE</x:v>
      </x:c>
      <x:c r="J61" t="str">
        <x:v>SOURCE_DESCRIPTION_NOT_APPROVAL</x:v>
      </x:c>
      <x:c r="K61" t="str">
        <x:v>Chỉ khi văn bản có phân cấp này; giữ số, tên và thứ bậc thực tế; không tự đánh lại số</x:v>
      </x:c>
      <x:c r="L61" t="str">
        <x:v>Bảo toàn cấu trúc/nội dung; nếu khác loại văn bản, ưu tiên đúng mẫu của loại đó; không sửa khi thiếu căn cứ.</x:v>
      </x:c>
      <x:c r="M61"/>
      <x:c r="N61" t="str">
        <x:v>NĐ30, Phụ lục I, Phần I, II.6; V.6</x:v>
      </x:c>
      <x:c r="O61" t="str">
        <x:v>https://congbao.chinhphu.vn/van-ban/nghi-dinh-so-30-2020-nd-cp-30858/30246.htm</x:v>
      </x:c>
      <x:c r="P61" t="str">
        <x:v>PLUGIN:hoa-tieu-mien-bac-administrative-v1 | user_approved_visual_reference</x:v>
      </x:c>
      <x:c r="Q61" t="str">
        <x:v>CHECK_ONLY</x:v>
      </x:c>
      <x:c r="R61" t="str">
        <x:v>Kiểm tra từng thuộc tính có mặt; so sánh nguồn/role; không suy đoán từ kết quả render chưa có</x:v>
      </x:c>
      <x:c r="S61" t="str">
        <x:v>STRUCTURE_READ_EXISTING_WORKBOOK</x:v>
      </x:c>
      <x:c r="T61"/>
      <x:c r="U61" t="str">
        <x:v>Paragraph/Run theo kiểu khối DM; preserve list numbering/table/drawing nếu có</x:v>
      </x:c>
    </x:row>
    <x:row r="62">
      <x:c r="A62" t="n">
        <x:v>61</x:v>
      </x:c>
      <x:c r="B62" t="str">
        <x:v>ND30.N.DM.MUC.NOI_DUNG</x:v>
      </x:c>
      <x:c r="C62" t="str">
        <x:v>ND30.N.DM.MUC</x:v>
      </x:c>
      <x:c r="D62" t="str">
        <x:v>N</x:v>
      </x:c>
      <x:c r="E62" t="str">
        <x:v>Mục</x:v>
      </x:c>
      <x:c r="F62" t="str">
        <x:v>NOI_DUNG</x:v>
      </x:c>
      <x:c r="G62" t="str">
        <x:v>Nhận diện số/tên Mục, Tiểu mục; xác minh biến thể</x:v>
      </x:c>
      <x:c r="H62"/>
      <x:c r="I62" t="str">
        <x:v>UNVERIFIED_ATTRIBUTE</x:v>
      </x:c>
      <x:c r="J62" t="str">
        <x:v>SOURCE_DESCRIPTION_NOT_APPROVAL</x:v>
      </x:c>
      <x:c r="K62" t="str">
        <x:v>Chỉ khi văn bản có phân cấp này; giữ số, tên và thứ bậc thực tế; không tự đánh lại số</x:v>
      </x:c>
      <x:c r="L62" t="str">
        <x:v>Bảo toàn cấu trúc/nội dung; nếu khác loại văn bản, ưu tiên đúng mẫu của loại đó; không sửa khi thiếu căn cứ.</x:v>
      </x:c>
      <x:c r="M62"/>
      <x:c r="N62" t="str">
        <x:v>NĐ30, Phụ lục I, Phần I, II.6; V.6</x:v>
      </x:c>
      <x:c r="O62" t="str">
        <x:v>https://congbao.chinhphu.vn/van-ban/nghi-dinh-so-30-2020-nd-cp-30858/30246.htm</x:v>
      </x:c>
      <x:c r="P62" t="str">
        <x:v>PLUGIN:hoa-tieu-mien-bac-administrative-v1 | user_approved_visual_reference</x:v>
      </x:c>
      <x:c r="Q62" t="str">
        <x:v>CHECK_ONLY</x:v>
      </x:c>
      <x:c r="R62" t="str">
        <x:v>Kiểm tra từng thuộc tính có mặt; so sánh nguồn/role; không suy đoán từ kết quả render chưa có</x:v>
      </x:c>
      <x:c r="S62" t="str">
        <x:v>STRUCTURE_READ_EXISTING_WORKBOOK</x:v>
      </x:c>
      <x:c r="T62"/>
      <x:c r="U62" t="str">
        <x:v>Paragraph/Run theo kiểu khối DM; preserve list numbering/table/drawing nếu có</x:v>
      </x:c>
    </x:row>
    <x:row r="63">
      <x:c r="A63" t="n">
        <x:v>62</x:v>
      </x:c>
      <x:c r="B63" t="str">
        <x:v>ND30.N.DM.MUC.PHONG_CHU</x:v>
      </x:c>
      <x:c r="C63" t="str">
        <x:v>ND30.N.DM.MUC</x:v>
      </x:c>
      <x:c r="D63" t="str">
        <x:v>N</x:v>
      </x:c>
      <x:c r="E63" t="str">
        <x:v>Mục</x:v>
      </x:c>
      <x:c r="F63" t="str">
        <x:v>PHONG_CHU</x:v>
      </x:c>
      <x:c r="G63" t="str">
        <x:v>Times New Roman</x:v>
      </x:c>
      <x:c r="H63"/>
      <x:c r="I63" t="str">
        <x:v>UNVERIFIED_ATTRIBUTE</x:v>
      </x:c>
      <x:c r="J63" t="str">
        <x:v>PROFILE_PRESET_UNAPPROVED</x:v>
      </x:c>
      <x:c r="K63" t="str">
        <x:v>Chỉ khi văn bản có phân cấp này; giữ số, tên và thứ bậc thực tế; không tự đánh lại số</x:v>
      </x:c>
      <x:c r="L63" t="str">
        <x:v>Bảo toàn cấu trúc/nội dung; nếu khác loại văn bản, ưu tiên đúng mẫu của loại đó; không sửa khi thiếu căn cứ.</x:v>
      </x:c>
      <x:c r="M63"/>
      <x:c r="N63" t="str">
        <x:v>NĐ30, Phụ lục I, Phần I, II.6; V.6</x:v>
      </x:c>
      <x:c r="O63" t="str">
        <x:v>https://congbao.chinhphu.vn/van-ban/nghi-dinh-so-30-2020-nd-cp-30858/30246.htm</x:v>
      </x:c>
      <x:c r="P63" t="str">
        <x:v>PLUGIN:hoa-tieu-mien-bac-administrative-v1 | user_approved_visual_reference</x:v>
      </x:c>
      <x:c r="Q63" t="str">
        <x:v>CHECK_ONLY</x:v>
      </x:c>
      <x:c r="R63" t="str">
        <x:v>Kiểm tra từng thuộc tính có mặt; so sánh nguồn/role; không suy đoán từ kết quả render chưa có</x:v>
      </x:c>
      <x:c r="S63" t="str">
        <x:v>STRUCTURE_READ_EXISTING_WORKBOOK</x:v>
      </x:c>
      <x:c r="T63"/>
      <x:c r="U63" t="str">
        <x:v>Paragraph/Run theo kiểu khối DM; preserve list numbering/table/drawing nếu có</x:v>
      </x:c>
    </x:row>
    <x:row r="64">
      <x:c r="A64" t="n">
        <x:v>63</x:v>
      </x:c>
      <x:c r="B64" t="str">
        <x:v>ND30.N.DM.MUC.CO_CHU</x:v>
      </x:c>
      <x:c r="C64" t="str">
        <x:v>ND30.N.DM.MUC</x:v>
      </x:c>
      <x:c r="D64" t="str">
        <x:v>N</x:v>
      </x:c>
      <x:c r="E64" t="str">
        <x:v>Mục</x:v>
      </x:c>
      <x:c r="F64" t="str">
        <x:v>CO_CHU</x:v>
      </x:c>
      <x:c r="G64" t="n">
        <x:v>14</x:v>
      </x:c>
      <x:c r="H64"/>
      <x:c r="I64" t="str">
        <x:v>UNVERIFIED_ATTRIBUTE</x:v>
      </x:c>
      <x:c r="J64" t="str">
        <x:v>PROFILE_PRESET_UNAPPROVED</x:v>
      </x:c>
      <x:c r="K64" t="str">
        <x:v>Chỉ khi văn bản có phân cấp này; giữ số, tên và thứ bậc thực tế; không tự đánh lại số</x:v>
      </x:c>
      <x:c r="L64" t="str">
        <x:v>Bảo toàn cấu trúc/nội dung; nếu khác loại văn bản, ưu tiên đúng mẫu của loại đó; không sửa khi thiếu căn cứ.</x:v>
      </x:c>
      <x:c r="M64" t="str">
        <x:v>pt</x:v>
      </x:c>
      <x:c r="N64" t="str">
        <x:v>NĐ30, Phụ lục I, Phần I, II.6; V.6</x:v>
      </x:c>
      <x:c r="O64" t="str">
        <x:v>https://congbao.chinhphu.vn/van-ban/nghi-dinh-so-30-2020-nd-cp-30858/30246.htm</x:v>
      </x:c>
      <x:c r="P64" t="str">
        <x:v>PLUGIN:hoa-tieu-mien-bac-administrative-v1 | user_approved_visual_reference</x:v>
      </x:c>
      <x:c r="Q64" t="str">
        <x:v>CHECK_ONLY</x:v>
      </x:c>
      <x:c r="R64" t="str">
        <x:v>Kiểm tra từng thuộc tính có mặt; so sánh nguồn/role; không suy đoán từ kết quả render chưa có</x:v>
      </x:c>
      <x:c r="S64" t="str">
        <x:v>STRUCTURE_READ_EXISTING_WORKBOOK</x:v>
      </x:c>
      <x:c r="T64"/>
      <x:c r="U64" t="str">
        <x:v>Paragraph/Run theo kiểu khối DM; preserve list numbering/table/drawing nếu có</x:v>
      </x:c>
    </x:row>
    <x:row r="65">
      <x:c r="A65" t="n">
        <x:v>64</x:v>
      </x:c>
      <x:c r="B65" t="str">
        <x:v>ND30.N.DM.MUC.DAM</x:v>
      </x:c>
      <x:c r="C65" t="str">
        <x:v>ND30.N.DM.MUC</x:v>
      </x:c>
      <x:c r="D65" t="str">
        <x:v>N</x:v>
      </x:c>
      <x:c r="E65" t="str">
        <x:v>Mục</x:v>
      </x:c>
      <x:c r="F65" t="str">
        <x:v>DAM</x:v>
      </x:c>
      <x:c r="G65" t="str">
        <x:v>CÓ</x:v>
      </x:c>
      <x:c r="H65"/>
      <x:c r="I65" t="str">
        <x:v>UNVERIFIED_ATTRIBUTE</x:v>
      </x:c>
      <x:c r="J65" t="str">
        <x:v>PROFILE_PRESET_UNAPPROVED</x:v>
      </x:c>
      <x:c r="K65" t="str">
        <x:v>Chỉ khi văn bản có phân cấp này; giữ số, tên và thứ bậc thực tế; không tự đánh lại số</x:v>
      </x:c>
      <x:c r="L65" t="str">
        <x:v>Bảo toàn cấu trúc/nội dung; nếu khác loại văn bản, ưu tiên đúng mẫu của loại đó; không sửa khi thiếu căn cứ.</x:v>
      </x:c>
      <x:c r="M65"/>
      <x:c r="N65" t="str">
        <x:v>NĐ30, Phụ lục I, Phần I, II.6; V.6</x:v>
      </x:c>
      <x:c r="O65" t="str">
        <x:v>https://congbao.chinhphu.vn/van-ban/nghi-dinh-so-30-2020-nd-cp-30858/30246.htm</x:v>
      </x:c>
      <x:c r="P65" t="str">
        <x:v>PLUGIN:hoa-tieu-mien-bac-administrative-v1 | user_approved_visual_reference</x:v>
      </x:c>
      <x:c r="Q65" t="str">
        <x:v>CHECK_ONLY</x:v>
      </x:c>
      <x:c r="R65" t="str">
        <x:v>Kiểm tra từng thuộc tính có mặt; so sánh nguồn/role; không suy đoán từ kết quả render chưa có</x:v>
      </x:c>
      <x:c r="S65" t="str">
        <x:v>STRUCTURE_READ_EXISTING_WORKBOOK</x:v>
      </x:c>
      <x:c r="T65"/>
      <x:c r="U65" t="str">
        <x:v>Paragraph/Run theo kiểu khối DM; preserve list numbering/table/drawing nếu có</x:v>
      </x:c>
    </x:row>
    <x:row r="66">
      <x:c r="A66" t="n">
        <x:v>65</x:v>
      </x:c>
      <x:c r="B66" t="str">
        <x:v>ND30.N.DM.MUC.NGHIENG</x:v>
      </x:c>
      <x:c r="C66" t="str">
        <x:v>ND30.N.DM.MUC</x:v>
      </x:c>
      <x:c r="D66" t="str">
        <x:v>N</x:v>
      </x:c>
      <x:c r="E66" t="str">
        <x:v>Mục</x:v>
      </x:c>
      <x:c r="F66" t="str">
        <x:v>NGHIENG</x:v>
      </x:c>
      <x:c r="G66"/>
      <x:c r="H66"/>
      <x:c r="I66" t="str">
        <x:v>UNVERIFIED_ATTRIBUTE</x:v>
      </x:c>
      <x:c r="J66" t="str">
        <x:v>BLOCKED_NO_ATTRIBUTE_VALUE</x:v>
      </x:c>
      <x:c r="K66" t="str">
        <x:v>Chỉ khi văn bản có phân cấp này; giữ số, tên và thứ bậc thực tế; không tự đánh lại số</x:v>
      </x:c>
      <x:c r="L66" t="str">
        <x:v>Bảo toàn cấu trúc/nội dung; nếu khác loại văn bản, ưu tiên đúng mẫu của loại đó; không sửa khi thiếu căn cứ.</x:v>
      </x:c>
      <x:c r="M66"/>
      <x:c r="N66" t="str">
        <x:v>NĐ30, Phụ lục I, Phần I, II.6; V.6</x:v>
      </x:c>
      <x:c r="O66" t="str">
        <x:v>https://congbao.chinhphu.vn/van-ban/nghi-dinh-so-30-2020-nd-cp-30858/30246.htm</x:v>
      </x:c>
      <x:c r="P66" t="str">
        <x:v>PLUGIN:hoa-tieu-mien-bac-administrative-v1 | user_approved_visual_reference</x:v>
      </x:c>
      <x:c r="Q66" t="str">
        <x:v>CHECK_ONLY</x:v>
      </x:c>
      <x:c r="R66" t="str">
        <x:v>Kiểm tra từng thuộc tính có mặt; so sánh nguồn/role; không suy đoán từ kết quả render chưa có</x:v>
      </x:c>
      <x:c r="S66" t="str">
        <x:v>RULE_INFERENCE_NOT_MEASURED</x:v>
      </x:c>
      <x:c r="T66" t="str">
        <x:v>Xác minh căn cứ theo loại văn bản / tài liệu phát hành hoặc phê duyệt</x:v>
      </x:c>
      <x:c r="U66" t="str">
        <x:v>Paragraph/Run theo kiểu khối DM; preserve list numbering/table/drawing nếu có</x:v>
      </x:c>
    </x:row>
    <x:row r="67">
      <x:c r="A67" t="n">
        <x:v>66</x:v>
      </x:c>
      <x:c r="B67" t="str">
        <x:v>ND30.N.DM.MUC.KIEU_CHU</x:v>
      </x:c>
      <x:c r="C67" t="str">
        <x:v>ND30.N.DM.MUC</x:v>
      </x:c>
      <x:c r="D67" t="str">
        <x:v>N</x:v>
      </x:c>
      <x:c r="E67" t="str">
        <x:v>Mục</x:v>
      </x:c>
      <x:c r="F67" t="str">
        <x:v>KIEU_CHU</x:v>
      </x:c>
      <x:c r="G67" t="str">
        <x:v>Nhãn thường; tiêu đề IN HOA</x:v>
      </x:c>
      <x:c r="H67"/>
      <x:c r="I67" t="str">
        <x:v>UNVERIFIED_ATTRIBUTE</x:v>
      </x:c>
      <x:c r="J67" t="str">
        <x:v>PROFILE_PRESET_UNAPPROVED</x:v>
      </x:c>
      <x:c r="K67" t="str">
        <x:v>Chỉ khi văn bản có phân cấp này; giữ số, tên và thứ bậc thực tế; không tự đánh lại số</x:v>
      </x:c>
      <x:c r="L67" t="str">
        <x:v>Bảo toàn cấu trúc/nội dung; nếu khác loại văn bản, ưu tiên đúng mẫu của loại đó; không sửa khi thiếu căn cứ.</x:v>
      </x:c>
      <x:c r="M67"/>
      <x:c r="N67" t="str">
        <x:v>NĐ30, Phụ lục I, Phần I, II.6; V.6</x:v>
      </x:c>
      <x:c r="O67" t="str">
        <x:v>https://congbao.chinhphu.vn/van-ban/nghi-dinh-so-30-2020-nd-cp-30858/30246.htm</x:v>
      </x:c>
      <x:c r="P67" t="str">
        <x:v>PLUGIN:hoa-tieu-mien-bac-administrative-v1 | user_approved_visual_reference</x:v>
      </x:c>
      <x:c r="Q67" t="str">
        <x:v>CHECK_ONLY</x:v>
      </x:c>
      <x:c r="R67" t="str">
        <x:v>Kiểm tra từng thuộc tính có mặt; so sánh nguồn/role; không suy đoán từ kết quả render chưa có</x:v>
      </x:c>
      <x:c r="S67" t="str">
        <x:v>STRUCTURE_READ_EXISTING_WORKBOOK</x:v>
      </x:c>
      <x:c r="T67"/>
      <x:c r="U67" t="str">
        <x:v>Paragraph/Run theo kiểu khối DM; preserve list numbering/table/drawing nếu có</x:v>
      </x:c>
    </x:row>
    <x:row r="68">
      <x:c r="A68" t="n">
        <x:v>67</x:v>
      </x:c>
      <x:c r="B68" t="str">
        <x:v>ND30.N.DM.MUC.CAN_NGANG</x:v>
      </x:c>
      <x:c r="C68" t="str">
        <x:v>ND30.N.DM.MUC</x:v>
      </x:c>
      <x:c r="D68" t="str">
        <x:v>N</x:v>
      </x:c>
      <x:c r="E68" t="str">
        <x:v>Mục</x:v>
      </x:c>
      <x:c r="F68" t="str">
        <x:v>CAN_NGANG</x:v>
      </x:c>
      <x:c r="G68" t="str">
        <x:v>CENTER</x:v>
      </x:c>
      <x:c r="H68"/>
      <x:c r="I68" t="str">
        <x:v>UNVERIFIED_ATTRIBUTE</x:v>
      </x:c>
      <x:c r="J68" t="str">
        <x:v>PROFILE_PRESET_UNAPPROVED</x:v>
      </x:c>
      <x:c r="K68" t="str">
        <x:v>Chỉ khi văn bản có phân cấp này; giữ số, tên và thứ bậc thực tế; không tự đánh lại số</x:v>
      </x:c>
      <x:c r="L68" t="str">
        <x:v>Bảo toàn cấu trúc/nội dung; nếu khác loại văn bản, ưu tiên đúng mẫu của loại đó; không sửa khi thiếu căn cứ.</x:v>
      </x:c>
      <x:c r="M68"/>
      <x:c r="N68" t="str">
        <x:v>NĐ30, Phụ lục I, Phần I, II.6; V.6</x:v>
      </x:c>
      <x:c r="O68" t="str">
        <x:v>https://congbao.chinhphu.vn/van-ban/nghi-dinh-so-30-2020-nd-cp-30858/30246.htm</x:v>
      </x:c>
      <x:c r="P68" t="str">
        <x:v>PLUGIN:hoa-tieu-mien-bac-administrative-v1 | user_approved_visual_reference</x:v>
      </x:c>
      <x:c r="Q68" t="str">
        <x:v>CHECK_ONLY</x:v>
      </x:c>
      <x:c r="R68" t="str">
        <x:v>Kiểm tra từng thuộc tính có mặt; so sánh nguồn/role; không suy đoán từ kết quả render chưa có</x:v>
      </x:c>
      <x:c r="S68" t="str">
        <x:v>STRUCTURE_READ_EXISTING_WORKBOOK</x:v>
      </x:c>
      <x:c r="T68"/>
      <x:c r="U68" t="str">
        <x:v>Paragraph/Run theo kiểu khối DM; preserve list numbering/table/drawing nếu có</x:v>
      </x:c>
    </x:row>
    <x:row r="69">
      <x:c r="A69" t="n">
        <x:v>68</x:v>
      </x:c>
      <x:c r="B69" t="str">
        <x:v>ND30.N.DM.MUC.GIAN_DONG</x:v>
      </x:c>
      <x:c r="C69" t="str">
        <x:v>ND30.N.DM.MUC</x:v>
      </x:c>
      <x:c r="D69" t="str">
        <x:v>N</x:v>
      </x:c>
      <x:c r="E69" t="str">
        <x:v>Mục</x:v>
      </x:c>
      <x:c r="F69" t="str">
        <x:v>GIAN_DONG</x:v>
      </x:c>
      <x:c r="G69" t="n">
        <x:v>19</x:v>
      </x:c>
      <x:c r="H69"/>
      <x:c r="I69" t="str">
        <x:v>UNVERIFIED_ATTRIBUTE</x:v>
      </x:c>
      <x:c r="J69" t="str">
        <x:v>PROFILE_PRESET_UNAPPROVED</x:v>
      </x:c>
      <x:c r="K69" t="str">
        <x:v>Chỉ khi văn bản có phân cấp này; giữ số, tên và thứ bậc thực tế; không tự đánh lại số</x:v>
      </x:c>
      <x:c r="L69" t="str">
        <x:v>Bảo toàn cấu trúc/nội dung; nếu khác loại văn bản, ưu tiên đúng mẫu của loại đó; không sửa khi thiếu căn cứ.</x:v>
      </x:c>
      <x:c r="M69" t="str">
        <x:v>pt</x:v>
      </x:c>
      <x:c r="N69" t="str">
        <x:v>NĐ30, Phụ lục I, Phần I, II.6; V.6</x:v>
      </x:c>
      <x:c r="O69" t="str">
        <x:v>https://congbao.chinhphu.vn/van-ban/nghi-dinh-so-30-2020-nd-cp-30858/30246.htm</x:v>
      </x:c>
      <x:c r="P69" t="str">
        <x:v>PLUGIN:hoa-tieu-mien-bac-administrative-v1 | user_approved_visual_reference</x:v>
      </x:c>
      <x:c r="Q69" t="str">
        <x:v>CHECK_ONLY</x:v>
      </x:c>
      <x:c r="R69" t="str">
        <x:v>Kiểm tra từng thuộc tính có mặt; so sánh nguồn/role; không suy đoán từ kết quả render chưa có</x:v>
      </x:c>
      <x:c r="S69" t="str">
        <x:v>STRUCTURE_READ_EXISTING_WORKBOOK</x:v>
      </x:c>
      <x:c r="T69"/>
      <x:c r="U69" t="str">
        <x:v>Paragraph/Run theo kiểu khối DM; preserve list numbering/table/drawing nếu có</x:v>
      </x:c>
    </x:row>
    <x:row r="70">
      <x:c r="A70" t="n">
        <x:v>69</x:v>
      </x:c>
      <x:c r="B70" t="str">
        <x:v>ND30.N.DM.MUC.CACH_TRUOC</x:v>
      </x:c>
      <x:c r="C70" t="str">
        <x:v>ND30.N.DM.MUC</x:v>
      </x:c>
      <x:c r="D70" t="str">
        <x:v>N</x:v>
      </x:c>
      <x:c r="E70" t="str">
        <x:v>Mục</x:v>
      </x:c>
      <x:c r="F70" t="str">
        <x:v>CACH_TRUOC</x:v>
      </x:c>
      <x:c r="G70" t="n">
        <x:v>6</x:v>
      </x:c>
      <x:c r="H70"/>
      <x:c r="I70" t="str">
        <x:v>UNVERIFIED_ATTRIBUTE</x:v>
      </x:c>
      <x:c r="J70" t="str">
        <x:v>PROFILE_PRESET_UNAPPROVED</x:v>
      </x:c>
      <x:c r="K70" t="str">
        <x:v>Chỉ khi văn bản có phân cấp này; giữ số, tên và thứ bậc thực tế; không tự đánh lại số</x:v>
      </x:c>
      <x:c r="L70" t="str">
        <x:v>Bảo toàn cấu trúc/nội dung; nếu khác loại văn bản, ưu tiên đúng mẫu của loại đó; không sửa khi thiếu căn cứ.</x:v>
      </x:c>
      <x:c r="M70" t="str">
        <x:v>pt</x:v>
      </x:c>
      <x:c r="N70" t="str">
        <x:v>NĐ30, Phụ lục I, Phần I, II.6; V.6</x:v>
      </x:c>
      <x:c r="O70" t="str">
        <x:v>https://congbao.chinhphu.vn/van-ban/nghi-dinh-so-30-2020-nd-cp-30858/30246.htm</x:v>
      </x:c>
      <x:c r="P70" t="str">
        <x:v>PLUGIN:hoa-tieu-mien-bac-administrative-v1 | user_approved_visual_reference</x:v>
      </x:c>
      <x:c r="Q70" t="str">
        <x:v>CHECK_ONLY</x:v>
      </x:c>
      <x:c r="R70" t="str">
        <x:v>Kiểm tra từng thuộc tính có mặt; so sánh nguồn/role; không suy đoán từ kết quả render chưa có</x:v>
      </x:c>
      <x:c r="S70" t="str">
        <x:v>STRUCTURE_READ_EXISTING_WORKBOOK</x:v>
      </x:c>
      <x:c r="T70"/>
      <x:c r="U70" t="str">
        <x:v>Paragraph/Run theo kiểu khối DM; preserve list numbering/table/drawing nếu có</x:v>
      </x:c>
    </x:row>
    <x:row r="71">
      <x:c r="A71" t="n">
        <x:v>70</x:v>
      </x:c>
      <x:c r="B71" t="str">
        <x:v>ND30.N.DM.MUC.CACH_SAU</x:v>
      </x:c>
      <x:c r="C71" t="str">
        <x:v>ND30.N.DM.MUC</x:v>
      </x:c>
      <x:c r="D71" t="str">
        <x:v>N</x:v>
      </x:c>
      <x:c r="E71" t="str">
        <x:v>Mục</x:v>
      </x:c>
      <x:c r="F71" t="str">
        <x:v>CACH_SAU</x:v>
      </x:c>
      <x:c r="G71" t="n">
        <x:v>6</x:v>
      </x:c>
      <x:c r="H71"/>
      <x:c r="I71" t="str">
        <x:v>UNVERIFIED_ATTRIBUTE</x:v>
      </x:c>
      <x:c r="J71" t="str">
        <x:v>PROFILE_PRESET_UNAPPROVED</x:v>
      </x:c>
      <x:c r="K71" t="str">
        <x:v>Chỉ khi văn bản có phân cấp này; giữ số, tên và thứ bậc thực tế; không tự đánh lại số</x:v>
      </x:c>
      <x:c r="L71" t="str">
        <x:v>Bảo toàn cấu trúc/nội dung; nếu khác loại văn bản, ưu tiên đúng mẫu của loại đó; không sửa khi thiếu căn cứ.</x:v>
      </x:c>
      <x:c r="M71" t="str">
        <x:v>pt</x:v>
      </x:c>
      <x:c r="N71" t="str">
        <x:v>NĐ30, Phụ lục I, Phần I, II.6; V.6</x:v>
      </x:c>
      <x:c r="O71" t="str">
        <x:v>https://congbao.chinhphu.vn/van-ban/nghi-dinh-so-30-2020-nd-cp-30858/30246.htm</x:v>
      </x:c>
      <x:c r="P71" t="str">
        <x:v>PLUGIN:hoa-tieu-mien-bac-administrative-v1 | user_approved_visual_reference</x:v>
      </x:c>
      <x:c r="Q71" t="str">
        <x:v>CHECK_ONLY</x:v>
      </x:c>
      <x:c r="R71" t="str">
        <x:v>Kiểm tra từng thuộc tính có mặt; so sánh nguồn/role; không suy đoán từ kết quả render chưa có</x:v>
      </x:c>
      <x:c r="S71" t="str">
        <x:v>STRUCTURE_READ_EXISTING_WORKBOOK</x:v>
      </x:c>
      <x:c r="T71"/>
      <x:c r="U71" t="str">
        <x:v>Paragraph/Run theo kiểu khối DM; preserve list numbering/table/drawing nếu có</x:v>
      </x:c>
    </x:row>
    <x:row r="72">
      <x:c r="A72" t="n">
        <x:v>71</x:v>
      </x:c>
      <x:c r="B72" t="str">
        <x:v>ND30.N.DM.MUC.THUT_DONG_DAU</x:v>
      </x:c>
      <x:c r="C72" t="str">
        <x:v>ND30.N.DM.MUC</x:v>
      </x:c>
      <x:c r="D72" t="str">
        <x:v>N</x:v>
      </x:c>
      <x:c r="E72" t="str">
        <x:v>Mục</x:v>
      </x:c>
      <x:c r="F72" t="str">
        <x:v>THUT_DONG_DAU</x:v>
      </x:c>
      <x:c r="G72" t="n">
        <x:v>0</x:v>
      </x:c>
      <x:c r="H72"/>
      <x:c r="I72" t="str">
        <x:v>UNVERIFIED_ATTRIBUTE</x:v>
      </x:c>
      <x:c r="J72" t="str">
        <x:v>PROFILE_PRESET_UNAPPROVED</x:v>
      </x:c>
      <x:c r="K72" t="str">
        <x:v>Chỉ khi văn bản có phân cấp này; giữ số, tên và thứ bậc thực tế; không tự đánh lại số</x:v>
      </x:c>
      <x:c r="L72" t="str">
        <x:v>Bảo toàn cấu trúc/nội dung; nếu khác loại văn bản, ưu tiên đúng mẫu của loại đó; không sửa khi thiếu căn cứ.</x:v>
      </x:c>
      <x:c r="M72" t="str">
        <x:v>mm</x:v>
      </x:c>
      <x:c r="N72" t="str">
        <x:v>NĐ30, Phụ lục I, Phần I, II.6; V.6</x:v>
      </x:c>
      <x:c r="O72" t="str">
        <x:v>https://congbao.chinhphu.vn/van-ban/nghi-dinh-so-30-2020-nd-cp-30858/30246.htm</x:v>
      </x:c>
      <x:c r="P72" t="str">
        <x:v>PLUGIN:hoa-tieu-mien-bac-administrative-v1 | user_approved_visual_reference</x:v>
      </x:c>
      <x:c r="Q72" t="str">
        <x:v>CHECK_ONLY</x:v>
      </x:c>
      <x:c r="R72" t="str">
        <x:v>Kiểm tra từng thuộc tính có mặt; so sánh nguồn/role; không suy đoán từ kết quả render chưa có</x:v>
      </x:c>
      <x:c r="S72" t="str">
        <x:v>STRUCTURE_READ_EXISTING_WORKBOOK</x:v>
      </x:c>
      <x:c r="T72"/>
      <x:c r="U72" t="str">
        <x:v>Paragraph/Run theo kiểu khối DM; preserve list numbering/table/drawing nếu có</x:v>
      </x:c>
    </x:row>
    <x:row r="73">
      <x:c r="A73" t="n">
        <x:v>72</x:v>
      </x:c>
      <x:c r="B73" t="str">
        <x:v>ND30.N.DM.MUC.KEEP_NEXT</x:v>
      </x:c>
      <x:c r="C73" t="str">
        <x:v>ND30.N.DM.MUC</x:v>
      </x:c>
      <x:c r="D73" t="str">
        <x:v>N</x:v>
      </x:c>
      <x:c r="E73" t="str">
        <x:v>Mục</x:v>
      </x:c>
      <x:c r="F73" t="str">
        <x:v>KEEP_NEXT</x:v>
      </x:c>
      <x:c r="G73" t="str">
        <x:v>CÓ</x:v>
      </x:c>
      <x:c r="H73"/>
      <x:c r="I73" t="str">
        <x:v>UNVERIFIED_ATTRIBUTE</x:v>
      </x:c>
      <x:c r="J73" t="str">
        <x:v>PROFILE_PRESET_UNAPPROVED</x:v>
      </x:c>
      <x:c r="K73" t="str">
        <x:v>Chỉ khi văn bản có phân cấp này; giữ số, tên và thứ bậc thực tế; không tự đánh lại số</x:v>
      </x:c>
      <x:c r="L73" t="str">
        <x:v>Bảo toàn cấu trúc/nội dung; nếu khác loại văn bản, ưu tiên đúng mẫu của loại đó; không sửa khi thiếu căn cứ.</x:v>
      </x:c>
      <x:c r="M73"/>
      <x:c r="N73" t="str">
        <x:v>NĐ30, Phụ lục I, Phần I, II.6; V.6</x:v>
      </x:c>
      <x:c r="O73" t="str">
        <x:v>https://congbao.chinhphu.vn/van-ban/nghi-dinh-so-30-2020-nd-cp-30858/30246.htm</x:v>
      </x:c>
      <x:c r="P73" t="str">
        <x:v>PLUGIN:hoa-tieu-mien-bac-administrative-v1 | user_approved_visual_reference</x:v>
      </x:c>
      <x:c r="Q73" t="str">
        <x:v>CHECK_ONLY</x:v>
      </x:c>
      <x:c r="R73" t="str">
        <x:v>Kiểm tra từng thuộc tính có mặt; so sánh nguồn/role; không suy đoán từ kết quả render chưa có</x:v>
      </x:c>
      <x:c r="S73" t="str">
        <x:v>STRUCTURE_READ_EXISTING_WORKBOOK</x:v>
      </x:c>
      <x:c r="T73"/>
      <x:c r="U73" t="str">
        <x:v>Paragraph/Run theo kiểu khối DM; preserve list numbering/table/drawing nếu có</x:v>
      </x:c>
    </x:row>
    <x:row r="74">
      <x:c r="A74" t="n">
        <x:v>73</x:v>
      </x:c>
      <x:c r="B74" t="str">
        <x:v>ND30.N.DM.MUC.SO_THU_TU</x:v>
      </x:c>
      <x:c r="C74" t="str">
        <x:v>ND30.N.DM.MUC</x:v>
      </x:c>
      <x:c r="D74" t="str">
        <x:v>N</x:v>
      </x:c>
      <x:c r="E74" t="str">
        <x:v>Mục</x:v>
      </x:c>
      <x:c r="F74" t="str">
        <x:v>SO_THU_TU</x:v>
      </x:c>
      <x:c r="G74"/>
      <x:c r="H74"/>
      <x:c r="I74" t="str">
        <x:v>UNVERIFIED_ATTRIBUTE</x:v>
      </x:c>
      <x:c r="J74" t="str">
        <x:v>BLOCKED_NO_ATTRIBUTE_VALUE</x:v>
      </x:c>
      <x:c r="K74" t="str">
        <x:v>Chỉ khi văn bản có phân cấp này; giữ số, tên và thứ bậc thực tế; không tự đánh lại số</x:v>
      </x:c>
      <x:c r="L74" t="str">
        <x:v>Bảo toàn cấu trúc/nội dung; nếu khác loại văn bản, ưu tiên đúng mẫu của loại đó; không sửa khi thiếu căn cứ.</x:v>
      </x:c>
      <x:c r="M74"/>
      <x:c r="N74" t="str">
        <x:v>NĐ30, Phụ lục I, Phần I, II.6; V.6</x:v>
      </x:c>
      <x:c r="O74" t="str">
        <x:v>https://congbao.chinhphu.vn/van-ban/nghi-dinh-so-30-2020-nd-cp-30858/30246.htm</x:v>
      </x:c>
      <x:c r="P74" t="str">
        <x:v>PLUGIN:hoa-tieu-mien-bac-administrative-v1 | user_approved_visual_reference</x:v>
      </x:c>
      <x:c r="Q74" t="str">
        <x:v>CHECK_ONLY</x:v>
      </x:c>
      <x:c r="R74" t="str">
        <x:v>Kiểm tra từng thuộc tính có mặt; so sánh nguồn/role; không suy đoán từ kết quả render chưa có</x:v>
      </x:c>
      <x:c r="S74" t="str">
        <x:v>RULE_INFERENCE_NOT_MEASURED</x:v>
      </x:c>
      <x:c r="T74" t="str">
        <x:v>Xác minh căn cứ theo loại văn bản / tài liệu phát hành hoặc phê duyệt</x:v>
      </x:c>
      <x:c r="U74" t="str">
        <x:v>Paragraph/Run theo kiểu khối DM; preserve list numbering/table/drawing nếu có</x:v>
      </x:c>
    </x:row>
    <x:row r="75">
      <x:c r="A75" t="n">
        <x:v>74</x:v>
      </x:c>
      <x:c r="B75" t="str">
        <x:v>ND30.N.DM.MUC.CAU_TRUC</x:v>
      </x:c>
      <x:c r="C75" t="str">
        <x:v>ND30.N.DM.MUC</x:v>
      </x:c>
      <x:c r="D75" t="str">
        <x:v>N</x:v>
      </x:c>
      <x:c r="E75" t="str">
        <x:v>Mục</x:v>
      </x:c>
      <x:c r="F75" t="str">
        <x:v>CAU_TRUC</x:v>
      </x:c>
      <x:c r="G75"/>
      <x:c r="H75"/>
      <x:c r="I75" t="str">
        <x:v>UNVERIFIED_ATTRIBUTE</x:v>
      </x:c>
      <x:c r="J75" t="str">
        <x:v>BLOCKED_NO_ATTRIBUTE_VALUE</x:v>
      </x:c>
      <x:c r="K75" t="str">
        <x:v>Chỉ khi văn bản có phân cấp này; giữ số, tên và thứ bậc thực tế; không tự đánh lại số</x:v>
      </x:c>
      <x:c r="L75" t="str">
        <x:v>Bảo toàn cấu trúc/nội dung; nếu khác loại văn bản, ưu tiên đúng mẫu của loại đó; không sửa khi thiếu căn cứ.</x:v>
      </x:c>
      <x:c r="M75"/>
      <x:c r="N75" t="str">
        <x:v>NĐ30, Phụ lục I, Phần I, II.6; V.6</x:v>
      </x:c>
      <x:c r="O75" t="str">
        <x:v>https://congbao.chinhphu.vn/van-ban/nghi-dinh-so-30-2020-nd-cp-30858/30246.htm</x:v>
      </x:c>
      <x:c r="P75" t="str">
        <x:v>PLUGIN:hoa-tieu-mien-bac-administrative-v1 | user_approved_visual_reference</x:v>
      </x:c>
      <x:c r="Q75" t="str">
        <x:v>CHECK_ONLY</x:v>
      </x:c>
      <x:c r="R75" t="str">
        <x:v>Kiểm tra từng thuộc tính có mặt; so sánh nguồn/role; không suy đoán từ kết quả render chưa có</x:v>
      </x:c>
      <x:c r="S75" t="str">
        <x:v>RULE_INFERENCE_NOT_MEASURED</x:v>
      </x:c>
      <x:c r="T75" t="str">
        <x:v>Xác minh căn cứ theo loại văn bản / tài liệu phát hành hoặc phê duyệt</x:v>
      </x:c>
      <x:c r="U75" t="str">
        <x:v>Paragraph/Run theo kiểu khối DM; preserve list numbering/table/drawing nếu có</x:v>
      </x:c>
    </x:row>
    <x:row r="76">
      <x:c r="A76" t="n">
        <x:v>75</x:v>
      </x:c>
      <x:c r="B76" t="str">
        <x:v>ND30.N.DM.MUC.DAU_CAU</x:v>
      </x:c>
      <x:c r="C76" t="str">
        <x:v>ND30.N.DM.MUC</x:v>
      </x:c>
      <x:c r="D76" t="str">
        <x:v>N</x:v>
      </x:c>
      <x:c r="E76" t="str">
        <x:v>Mục</x:v>
      </x:c>
      <x:c r="F76" t="str">
        <x:v>DAU_CAU</x:v>
      </x:c>
      <x:c r="G76"/>
      <x:c r="H76"/>
      <x:c r="I76" t="str">
        <x:v>UNVERIFIED_ATTRIBUTE</x:v>
      </x:c>
      <x:c r="J76" t="str">
        <x:v>BLOCKED_NO_ATTRIBUTE_VALUE</x:v>
      </x:c>
      <x:c r="K76" t="str">
        <x:v>Chỉ khi văn bản có phân cấp này; giữ số, tên và thứ bậc thực tế; không tự đánh lại số</x:v>
      </x:c>
      <x:c r="L76" t="str">
        <x:v>Bảo toàn cấu trúc/nội dung; nếu khác loại văn bản, ưu tiên đúng mẫu của loại đó; không sửa khi thiếu căn cứ.</x:v>
      </x:c>
      <x:c r="M76"/>
      <x:c r="N76" t="str">
        <x:v>NĐ30, Phụ lục I, Phần I, II.6; V.6</x:v>
      </x:c>
      <x:c r="O76" t="str">
        <x:v>https://congbao.chinhphu.vn/van-ban/nghi-dinh-so-30-2020-nd-cp-30858/30246.htm</x:v>
      </x:c>
      <x:c r="P76" t="str">
        <x:v>PLUGIN:hoa-tieu-mien-bac-administrative-v1 | user_approved_visual_reference</x:v>
      </x:c>
      <x:c r="Q76" t="str">
        <x:v>CHECK_ONLY</x:v>
      </x:c>
      <x:c r="R76" t="str">
        <x:v>Kiểm tra từng thuộc tính có mặt; so sánh nguồn/role; không suy đoán từ kết quả render chưa có</x:v>
      </x:c>
      <x:c r="S76" t="str">
        <x:v>RULE_INFERENCE_NOT_MEASURED</x:v>
      </x:c>
      <x:c r="T76" t="str">
        <x:v>Xác minh căn cứ theo loại văn bản / tài liệu phát hành hoặc phê duyệt</x:v>
      </x:c>
      <x:c r="U76" t="str">
        <x:v>Paragraph/Run theo kiểu khối DM; preserve list numbering/table/drawing nếu có</x:v>
      </x:c>
    </x:row>
    <x:row r="77">
      <x:c r="A77" t="n">
        <x:v>76</x:v>
      </x:c>
      <x:c r="B77" t="str">
        <x:v>ND30.N.DM.TIEU_MUC.HIEN_DIEN</x:v>
      </x:c>
      <x:c r="C77" t="str">
        <x:v>ND30.N.DM.TIEU_MUC</x:v>
      </x:c>
      <x:c r="D77" t="str">
        <x:v>N</x:v>
      </x:c>
      <x:c r="E77" t="str">
        <x:v>Tiểu mục</x:v>
      </x:c>
      <x:c r="F77" t="str">
        <x:v>HIEN_DIEN</x:v>
      </x:c>
      <x:c r="G77" t="str">
        <x:v>Theo loại văn bản và sự hiện diện thực tế; không áp dụng đồng loạt</x:v>
      </x:c>
      <x:c r="H77"/>
      <x:c r="I77" t="str">
        <x:v>UNVERIFIED_ATTRIBUTE</x:v>
      </x:c>
      <x:c r="J77" t="str">
        <x:v>SOURCE_DESCRIPTION_NOT_APPROVAL</x:v>
      </x:c>
      <x:c r="K77" t="str">
        <x:v>Chỉ khi văn bản có phân cấp này; giữ số, tên và thứ bậc thực tế; không tự đánh lại số</x:v>
      </x:c>
      <x:c r="L77" t="str">
        <x:v>Bảo toàn cấu trúc/nội dung; nếu khác loại văn bản, ưu tiên đúng mẫu của loại đó; không sửa khi thiếu căn cứ.</x:v>
      </x:c>
      <x:c r="M77"/>
      <x:c r="N77" t="str">
        <x:v>NĐ30, Phụ lục I, Phần I, II.6; V.6</x:v>
      </x:c>
      <x:c r="O77" t="str">
        <x:v>https://congbao.chinhphu.vn/van-ban/nghi-dinh-so-30-2020-nd-cp-30858/30246.htm</x:v>
      </x:c>
      <x:c r="P77" t="str">
        <x:v>PLUGIN:hoa-tieu-mien-bac-administrative-v1 | user_approved_visual_reference</x:v>
      </x:c>
      <x:c r="Q77" t="str">
        <x:v>CHECK_ONLY</x:v>
      </x:c>
      <x:c r="R77" t="str">
        <x:v>Kiểm tra từng thuộc tính có mặt; so sánh nguồn/role; không suy đoán từ kết quả render chưa có</x:v>
      </x:c>
      <x:c r="S77" t="str">
        <x:v>STRUCTURE_READ_EXISTING_WORKBOOK</x:v>
      </x:c>
      <x:c r="T77"/>
      <x:c r="U77" t="str">
        <x:v>Paragraph/Run theo kiểu khối DM; preserve list numbering/table/drawing nếu có</x:v>
      </x:c>
    </x:row>
    <x:row r="78">
      <x:c r="A78" t="n">
        <x:v>77</x:v>
      </x:c>
      <x:c r="B78" t="str">
        <x:v>ND30.N.DM.TIEU_MUC.NOI_DUNG</x:v>
      </x:c>
      <x:c r="C78" t="str">
        <x:v>ND30.N.DM.TIEU_MUC</x:v>
      </x:c>
      <x:c r="D78" t="str">
        <x:v>N</x:v>
      </x:c>
      <x:c r="E78" t="str">
        <x:v>Tiểu mục</x:v>
      </x:c>
      <x:c r="F78" t="str">
        <x:v>NOI_DUNG</x:v>
      </x:c>
      <x:c r="G78" t="str">
        <x:v>Nhận diện số/tên Mục, Tiểu mục; xác minh biến thể</x:v>
      </x:c>
      <x:c r="H78"/>
      <x:c r="I78" t="str">
        <x:v>UNVERIFIED_ATTRIBUTE</x:v>
      </x:c>
      <x:c r="J78" t="str">
        <x:v>SOURCE_DESCRIPTION_NOT_APPROVAL</x:v>
      </x:c>
      <x:c r="K78" t="str">
        <x:v>Chỉ khi văn bản có phân cấp này; giữ số, tên và thứ bậc thực tế; không tự đánh lại số</x:v>
      </x:c>
      <x:c r="L78" t="str">
        <x:v>Bảo toàn cấu trúc/nội dung; nếu khác loại văn bản, ưu tiên đúng mẫu của loại đó; không sửa khi thiếu căn cứ.</x:v>
      </x:c>
      <x:c r="M78"/>
      <x:c r="N78" t="str">
        <x:v>NĐ30, Phụ lục I, Phần I, II.6; V.6</x:v>
      </x:c>
      <x:c r="O78" t="str">
        <x:v>https://congbao.chinhphu.vn/van-ban/nghi-dinh-so-30-2020-nd-cp-30858/30246.htm</x:v>
      </x:c>
      <x:c r="P78" t="str">
        <x:v>PLUGIN:hoa-tieu-mien-bac-administrative-v1 | user_approved_visual_reference</x:v>
      </x:c>
      <x:c r="Q78" t="str">
        <x:v>CHECK_ONLY</x:v>
      </x:c>
      <x:c r="R78" t="str">
        <x:v>Kiểm tra từng thuộc tính có mặt; so sánh nguồn/role; không suy đoán từ kết quả render chưa có</x:v>
      </x:c>
      <x:c r="S78" t="str">
        <x:v>STRUCTURE_READ_EXISTING_WORKBOOK</x:v>
      </x:c>
      <x:c r="T78"/>
      <x:c r="U78" t="str">
        <x:v>Paragraph/Run theo kiểu khối DM; preserve list numbering/table/drawing nếu có</x:v>
      </x:c>
    </x:row>
    <x:row r="79">
      <x:c r="A79" t="n">
        <x:v>78</x:v>
      </x:c>
      <x:c r="B79" t="str">
        <x:v>ND30.N.DM.TIEU_MUC.PHONG_CHU</x:v>
      </x:c>
      <x:c r="C79" t="str">
        <x:v>ND30.N.DM.TIEU_MUC</x:v>
      </x:c>
      <x:c r="D79" t="str">
        <x:v>N</x:v>
      </x:c>
      <x:c r="E79" t="str">
        <x:v>Tiểu mục</x:v>
      </x:c>
      <x:c r="F79" t="str">
        <x:v>PHONG_CHU</x:v>
      </x:c>
      <x:c r="G79" t="str">
        <x:v>Times New Roman</x:v>
      </x:c>
      <x:c r="H79"/>
      <x:c r="I79" t="str">
        <x:v>UNVERIFIED_ATTRIBUTE</x:v>
      </x:c>
      <x:c r="J79" t="str">
        <x:v>PROFILE_PRESET_UNAPPROVED</x:v>
      </x:c>
      <x:c r="K79" t="str">
        <x:v>Chỉ khi văn bản có phân cấp này; giữ số, tên và thứ bậc thực tế; không tự đánh lại số</x:v>
      </x:c>
      <x:c r="L79" t="str">
        <x:v>Bảo toàn cấu trúc/nội dung; nếu khác loại văn bản, ưu tiên đúng mẫu của loại đó; không sửa khi thiếu căn cứ.</x:v>
      </x:c>
      <x:c r="M79"/>
      <x:c r="N79" t="str">
        <x:v>NĐ30, Phụ lục I, Phần I, II.6; V.6</x:v>
      </x:c>
      <x:c r="O79" t="str">
        <x:v>https://congbao.chinhphu.vn/van-ban/nghi-dinh-so-30-2020-nd-cp-30858/30246.htm</x:v>
      </x:c>
      <x:c r="P79" t="str">
        <x:v>PLUGIN:hoa-tieu-mien-bac-administrative-v1 | user_approved_visual_reference</x:v>
      </x:c>
      <x:c r="Q79" t="str">
        <x:v>CHECK_ONLY</x:v>
      </x:c>
      <x:c r="R79" t="str">
        <x:v>Kiểm tra từng thuộc tính có mặt; so sánh nguồn/role; không suy đoán từ kết quả render chưa có</x:v>
      </x:c>
      <x:c r="S79" t="str">
        <x:v>STRUCTURE_READ_EXISTING_WORKBOOK</x:v>
      </x:c>
      <x:c r="T79"/>
      <x:c r="U79" t="str">
        <x:v>Paragraph/Run theo kiểu khối DM; preserve list numbering/table/drawing nếu có</x:v>
      </x:c>
    </x:row>
    <x:row r="80">
      <x:c r="A80" t="n">
        <x:v>79</x:v>
      </x:c>
      <x:c r="B80" t="str">
        <x:v>ND30.N.DM.TIEU_MUC.CO_CHU</x:v>
      </x:c>
      <x:c r="C80" t="str">
        <x:v>ND30.N.DM.TIEU_MUC</x:v>
      </x:c>
      <x:c r="D80" t="str">
        <x:v>N</x:v>
      </x:c>
      <x:c r="E80" t="str">
        <x:v>Tiểu mục</x:v>
      </x:c>
      <x:c r="F80" t="str">
        <x:v>CO_CHU</x:v>
      </x:c>
      <x:c r="G80" t="n">
        <x:v>14</x:v>
      </x:c>
      <x:c r="H80"/>
      <x:c r="I80" t="str">
        <x:v>UNVERIFIED_ATTRIBUTE</x:v>
      </x:c>
      <x:c r="J80" t="str">
        <x:v>PROFILE_PRESET_UNAPPROVED</x:v>
      </x:c>
      <x:c r="K80" t="str">
        <x:v>Chỉ khi văn bản có phân cấp này; giữ số, tên và thứ bậc thực tế; không tự đánh lại số</x:v>
      </x:c>
      <x:c r="L80" t="str">
        <x:v>Bảo toàn cấu trúc/nội dung; nếu khác loại văn bản, ưu tiên đúng mẫu của loại đó; không sửa khi thiếu căn cứ.</x:v>
      </x:c>
      <x:c r="M80" t="str">
        <x:v>pt</x:v>
      </x:c>
      <x:c r="N80" t="str">
        <x:v>NĐ30, Phụ lục I, Phần I, II.6; V.6</x:v>
      </x:c>
      <x:c r="O80" t="str">
        <x:v>https://congbao.chinhphu.vn/van-ban/nghi-dinh-so-30-2020-nd-cp-30858/30246.htm</x:v>
      </x:c>
      <x:c r="P80" t="str">
        <x:v>PLUGIN:hoa-tieu-mien-bac-administrative-v1 | user_approved_visual_reference</x:v>
      </x:c>
      <x:c r="Q80" t="str">
        <x:v>CHECK_ONLY</x:v>
      </x:c>
      <x:c r="R80" t="str">
        <x:v>Kiểm tra từng thuộc tính có mặt; so sánh nguồn/role; không suy đoán từ kết quả render chưa có</x:v>
      </x:c>
      <x:c r="S80" t="str">
        <x:v>STRUCTURE_READ_EXISTING_WORKBOOK</x:v>
      </x:c>
      <x:c r="T80"/>
      <x:c r="U80" t="str">
        <x:v>Paragraph/Run theo kiểu khối DM; preserve list numbering/table/drawing nếu có</x:v>
      </x:c>
    </x:row>
    <x:row r="81">
      <x:c r="A81" t="n">
        <x:v>80</x:v>
      </x:c>
      <x:c r="B81" t="str">
        <x:v>ND30.N.DM.TIEU_MUC.DAM</x:v>
      </x:c>
      <x:c r="C81" t="str">
        <x:v>ND30.N.DM.TIEU_MUC</x:v>
      </x:c>
      <x:c r="D81" t="str">
        <x:v>N</x:v>
      </x:c>
      <x:c r="E81" t="str">
        <x:v>Tiểu mục</x:v>
      </x:c>
      <x:c r="F81" t="str">
        <x:v>DAM</x:v>
      </x:c>
      <x:c r="G81" t="str">
        <x:v>CÓ</x:v>
      </x:c>
      <x:c r="H81"/>
      <x:c r="I81" t="str">
        <x:v>UNVERIFIED_ATTRIBUTE</x:v>
      </x:c>
      <x:c r="J81" t="str">
        <x:v>PROFILE_PRESET_UNAPPROVED</x:v>
      </x:c>
      <x:c r="K81" t="str">
        <x:v>Chỉ khi văn bản có phân cấp này; giữ số, tên và thứ bậc thực tế; không tự đánh lại số</x:v>
      </x:c>
      <x:c r="L81" t="str">
        <x:v>Bảo toàn cấu trúc/nội dung; nếu khác loại văn bản, ưu tiên đúng mẫu của loại đó; không sửa khi thiếu căn cứ.</x:v>
      </x:c>
      <x:c r="M81"/>
      <x:c r="N81" t="str">
        <x:v>NĐ30, Phụ lục I, Phần I, II.6; V.6</x:v>
      </x:c>
      <x:c r="O81" t="str">
        <x:v>https://congbao.chinhphu.vn/van-ban/nghi-dinh-so-30-2020-nd-cp-30858/30246.htm</x:v>
      </x:c>
      <x:c r="P81" t="str">
        <x:v>PLUGIN:hoa-tieu-mien-bac-administrative-v1 | user_approved_visual_reference</x:v>
      </x:c>
      <x:c r="Q81" t="str">
        <x:v>CHECK_ONLY</x:v>
      </x:c>
      <x:c r="R81" t="str">
        <x:v>Kiểm tra từng thuộc tính có mặt; so sánh nguồn/role; không suy đoán từ kết quả render chưa có</x:v>
      </x:c>
      <x:c r="S81" t="str">
        <x:v>STRUCTURE_READ_EXISTING_WORKBOOK</x:v>
      </x:c>
      <x:c r="T81"/>
      <x:c r="U81" t="str">
        <x:v>Paragraph/Run theo kiểu khối DM; preserve list numbering/table/drawing nếu có</x:v>
      </x:c>
    </x:row>
    <x:row r="82">
      <x:c r="A82" t="n">
        <x:v>81</x:v>
      </x:c>
      <x:c r="B82" t="str">
        <x:v>ND30.N.DM.TIEU_MUC.NGHIENG</x:v>
      </x:c>
      <x:c r="C82" t="str">
        <x:v>ND30.N.DM.TIEU_MUC</x:v>
      </x:c>
      <x:c r="D82" t="str">
        <x:v>N</x:v>
      </x:c>
      <x:c r="E82" t="str">
        <x:v>Tiểu mục</x:v>
      </x:c>
      <x:c r="F82" t="str">
        <x:v>NGHIENG</x:v>
      </x:c>
      <x:c r="G82"/>
      <x:c r="H82"/>
      <x:c r="I82" t="str">
        <x:v>UNVERIFIED_ATTRIBUTE</x:v>
      </x:c>
      <x:c r="J82" t="str">
        <x:v>BLOCKED_NO_ATTRIBUTE_VALUE</x:v>
      </x:c>
      <x:c r="K82" t="str">
        <x:v>Chỉ khi văn bản có phân cấp này; giữ số, tên và thứ bậc thực tế; không tự đánh lại số</x:v>
      </x:c>
      <x:c r="L82" t="str">
        <x:v>Bảo toàn cấu trúc/nội dung; nếu khác loại văn bản, ưu tiên đúng mẫu của loại đó; không sửa khi thiếu căn cứ.</x:v>
      </x:c>
      <x:c r="M82"/>
      <x:c r="N82" t="str">
        <x:v>NĐ30, Phụ lục I, Phần I, II.6; V.6</x:v>
      </x:c>
      <x:c r="O82" t="str">
        <x:v>https://congbao.chinhphu.vn/van-ban/nghi-dinh-so-30-2020-nd-cp-30858/30246.htm</x:v>
      </x:c>
      <x:c r="P82" t="str">
        <x:v>PLUGIN:hoa-tieu-mien-bac-administrative-v1 | user_approved_visual_reference</x:v>
      </x:c>
      <x:c r="Q82" t="str">
        <x:v>CHECK_ONLY</x:v>
      </x:c>
      <x:c r="R82" t="str">
        <x:v>Kiểm tra từng thuộc tính có mặt; so sánh nguồn/role; không suy đoán từ kết quả render chưa có</x:v>
      </x:c>
      <x:c r="S82" t="str">
        <x:v>RULE_INFERENCE_NOT_MEASURED</x:v>
      </x:c>
      <x:c r="T82" t="str">
        <x:v>Xác minh căn cứ theo loại văn bản / tài liệu phát hành hoặc phê duyệt</x:v>
      </x:c>
      <x:c r="U82" t="str">
        <x:v>Paragraph/Run theo kiểu khối DM; preserve list numbering/table/drawing nếu có</x:v>
      </x:c>
    </x:row>
    <x:row r="83">
      <x:c r="A83" t="n">
        <x:v>82</x:v>
      </x:c>
      <x:c r="B83" t="str">
        <x:v>ND30.N.DM.TIEU_MUC.KIEU_CHU</x:v>
      </x:c>
      <x:c r="C83" t="str">
        <x:v>ND30.N.DM.TIEU_MUC</x:v>
      </x:c>
      <x:c r="D83" t="str">
        <x:v>N</x:v>
      </x:c>
      <x:c r="E83" t="str">
        <x:v>Tiểu mục</x:v>
      </x:c>
      <x:c r="F83" t="str">
        <x:v>KIEU_CHU</x:v>
      </x:c>
      <x:c r="G83" t="str">
        <x:v>Nhãn thường; tiêu đề IN HOA</x:v>
      </x:c>
      <x:c r="H83"/>
      <x:c r="I83" t="str">
        <x:v>UNVERIFIED_ATTRIBUTE</x:v>
      </x:c>
      <x:c r="J83" t="str">
        <x:v>PROFILE_PRESET_UNAPPROVED</x:v>
      </x:c>
      <x:c r="K83" t="str">
        <x:v>Chỉ khi văn bản có phân cấp này; giữ số, tên và thứ bậc thực tế; không tự đánh lại số</x:v>
      </x:c>
      <x:c r="L83" t="str">
        <x:v>Bảo toàn cấu trúc/nội dung; nếu khác loại văn bản, ưu tiên đúng mẫu của loại đó; không sửa khi thiếu căn cứ.</x:v>
      </x:c>
      <x:c r="M83"/>
      <x:c r="N83" t="str">
        <x:v>NĐ30, Phụ lục I, Phần I, II.6; V.6</x:v>
      </x:c>
      <x:c r="O83" t="str">
        <x:v>https://congbao.chinhphu.vn/van-ban/nghi-dinh-so-30-2020-nd-cp-30858/30246.htm</x:v>
      </x:c>
      <x:c r="P83" t="str">
        <x:v>PLUGIN:hoa-tieu-mien-bac-administrative-v1 | user_approved_visual_reference</x:v>
      </x:c>
      <x:c r="Q83" t="str">
        <x:v>CHECK_ONLY</x:v>
      </x:c>
      <x:c r="R83" t="str">
        <x:v>Kiểm tra từng thuộc tính có mặt; so sánh nguồn/role; không suy đoán từ kết quả render chưa có</x:v>
      </x:c>
      <x:c r="S83" t="str">
        <x:v>STRUCTURE_READ_EXISTING_WORKBOOK</x:v>
      </x:c>
      <x:c r="T83"/>
      <x:c r="U83" t="str">
        <x:v>Paragraph/Run theo kiểu khối DM; preserve list numbering/table/drawing nếu có</x:v>
      </x:c>
    </x:row>
    <x:row r="84">
      <x:c r="A84" t="n">
        <x:v>83</x:v>
      </x:c>
      <x:c r="B84" t="str">
        <x:v>ND30.N.DM.TIEU_MUC.CAN_NGANG</x:v>
      </x:c>
      <x:c r="C84" t="str">
        <x:v>ND30.N.DM.TIEU_MUC</x:v>
      </x:c>
      <x:c r="D84" t="str">
        <x:v>N</x:v>
      </x:c>
      <x:c r="E84" t="str">
        <x:v>Tiểu mục</x:v>
      </x:c>
      <x:c r="F84" t="str">
        <x:v>CAN_NGANG</x:v>
      </x:c>
      <x:c r="G84" t="str">
        <x:v>CENTER</x:v>
      </x:c>
      <x:c r="H84"/>
      <x:c r="I84" t="str">
        <x:v>UNVERIFIED_ATTRIBUTE</x:v>
      </x:c>
      <x:c r="J84" t="str">
        <x:v>PROFILE_PRESET_UNAPPROVED</x:v>
      </x:c>
      <x:c r="K84" t="str">
        <x:v>Chỉ khi văn bản có phân cấp này; giữ số, tên và thứ bậc thực tế; không tự đánh lại số</x:v>
      </x:c>
      <x:c r="L84" t="str">
        <x:v>Bảo toàn cấu trúc/nội dung; nếu khác loại văn bản, ưu tiên đúng mẫu của loại đó; không sửa khi thiếu căn cứ.</x:v>
      </x:c>
      <x:c r="M84"/>
      <x:c r="N84" t="str">
        <x:v>NĐ30, Phụ lục I, Phần I, II.6; V.6</x:v>
      </x:c>
      <x:c r="O84" t="str">
        <x:v>https://congbao.chinhphu.vn/van-ban/nghi-dinh-so-30-2020-nd-cp-30858/30246.htm</x:v>
      </x:c>
      <x:c r="P84" t="str">
        <x:v>PLUGIN:hoa-tieu-mien-bac-administrative-v1 | user_approved_visual_reference</x:v>
      </x:c>
      <x:c r="Q84" t="str">
        <x:v>CHECK_ONLY</x:v>
      </x:c>
      <x:c r="R84" t="str">
        <x:v>Kiểm tra từng thuộc tính có mặt; so sánh nguồn/role; không suy đoán từ kết quả render chưa có</x:v>
      </x:c>
      <x:c r="S84" t="str">
        <x:v>STRUCTURE_READ_EXISTING_WORKBOOK</x:v>
      </x:c>
      <x:c r="T84"/>
      <x:c r="U84" t="str">
        <x:v>Paragraph/Run theo kiểu khối DM; preserve list numbering/table/drawing nếu có</x:v>
      </x:c>
    </x:row>
    <x:row r="85">
      <x:c r="A85" t="n">
        <x:v>84</x:v>
      </x:c>
      <x:c r="B85" t="str">
        <x:v>ND30.N.DM.TIEU_MUC.GIAN_DONG</x:v>
      </x:c>
      <x:c r="C85" t="str">
        <x:v>ND30.N.DM.TIEU_MUC</x:v>
      </x:c>
      <x:c r="D85" t="str">
        <x:v>N</x:v>
      </x:c>
      <x:c r="E85" t="str">
        <x:v>Tiểu mục</x:v>
      </x:c>
      <x:c r="F85" t="str">
        <x:v>GIAN_DONG</x:v>
      </x:c>
      <x:c r="G85" t="n">
        <x:v>19</x:v>
      </x:c>
      <x:c r="H85"/>
      <x:c r="I85" t="str">
        <x:v>UNVERIFIED_ATTRIBUTE</x:v>
      </x:c>
      <x:c r="J85" t="str">
        <x:v>PROFILE_PRESET_UNAPPROVED</x:v>
      </x:c>
      <x:c r="K85" t="str">
        <x:v>Chỉ khi văn bản có phân cấp này; giữ số, tên và thứ bậc thực tế; không tự đánh lại số</x:v>
      </x:c>
      <x:c r="L85" t="str">
        <x:v>Bảo toàn cấu trúc/nội dung; nếu khác loại văn bản, ưu tiên đúng mẫu của loại đó; không sửa khi thiếu căn cứ.</x:v>
      </x:c>
      <x:c r="M85" t="str">
        <x:v>pt</x:v>
      </x:c>
      <x:c r="N85" t="str">
        <x:v>NĐ30, Phụ lục I, Phần I, II.6; V.6</x:v>
      </x:c>
      <x:c r="O85" t="str">
        <x:v>https://congbao.chinhphu.vn/van-ban/nghi-dinh-so-30-2020-nd-cp-30858/30246.htm</x:v>
      </x:c>
      <x:c r="P85" t="str">
        <x:v>PLUGIN:hoa-tieu-mien-bac-administrative-v1 | user_approved_visual_reference</x:v>
      </x:c>
      <x:c r="Q85" t="str">
        <x:v>CHECK_ONLY</x:v>
      </x:c>
      <x:c r="R85" t="str">
        <x:v>Kiểm tra từng thuộc tính có mặt; so sánh nguồn/role; không suy đoán từ kết quả render chưa có</x:v>
      </x:c>
      <x:c r="S85" t="str">
        <x:v>STRUCTURE_READ_EXISTING_WORKBOOK</x:v>
      </x:c>
      <x:c r="T85"/>
      <x:c r="U85" t="str">
        <x:v>Paragraph/Run theo kiểu khối DM; preserve list numbering/table/drawing nếu có</x:v>
      </x:c>
    </x:row>
    <x:row r="86">
      <x:c r="A86" t="n">
        <x:v>85</x:v>
      </x:c>
      <x:c r="B86" t="str">
        <x:v>ND30.N.DM.TIEU_MUC.CACH_TRUOC</x:v>
      </x:c>
      <x:c r="C86" t="str">
        <x:v>ND30.N.DM.TIEU_MUC</x:v>
      </x:c>
      <x:c r="D86" t="str">
        <x:v>N</x:v>
      </x:c>
      <x:c r="E86" t="str">
        <x:v>Tiểu mục</x:v>
      </x:c>
      <x:c r="F86" t="str">
        <x:v>CACH_TRUOC</x:v>
      </x:c>
      <x:c r="G86" t="n">
        <x:v>6</x:v>
      </x:c>
      <x:c r="H86"/>
      <x:c r="I86" t="str">
        <x:v>UNVERIFIED_ATTRIBUTE</x:v>
      </x:c>
      <x:c r="J86" t="str">
        <x:v>PROFILE_PRESET_UNAPPROVED</x:v>
      </x:c>
      <x:c r="K86" t="str">
        <x:v>Chỉ khi văn bản có phân cấp này; giữ số, tên và thứ bậc thực tế; không tự đánh lại số</x:v>
      </x:c>
      <x:c r="L86" t="str">
        <x:v>Bảo toàn cấu trúc/nội dung; nếu khác loại văn bản, ưu tiên đúng mẫu của loại đó; không sửa khi thiếu căn cứ.</x:v>
      </x:c>
      <x:c r="M86" t="str">
        <x:v>pt</x:v>
      </x:c>
      <x:c r="N86" t="str">
        <x:v>NĐ30, Phụ lục I, Phần I, II.6; V.6</x:v>
      </x:c>
      <x:c r="O86" t="str">
        <x:v>https://congbao.chinhphu.vn/van-ban/nghi-dinh-so-30-2020-nd-cp-30858/30246.htm</x:v>
      </x:c>
      <x:c r="P86" t="str">
        <x:v>PLUGIN:hoa-tieu-mien-bac-administrative-v1 | user_approved_visual_reference</x:v>
      </x:c>
      <x:c r="Q86" t="str">
        <x:v>CHECK_ONLY</x:v>
      </x:c>
      <x:c r="R86" t="str">
        <x:v>Kiểm tra từng thuộc tính có mặt; so sánh nguồn/role; không suy đoán từ kết quả render chưa có</x:v>
      </x:c>
      <x:c r="S86" t="str">
        <x:v>STRUCTURE_READ_EXISTING_WORKBOOK</x:v>
      </x:c>
      <x:c r="T86"/>
      <x:c r="U86" t="str">
        <x:v>Paragraph/Run theo kiểu khối DM; preserve list numbering/table/drawing nếu có</x:v>
      </x:c>
    </x:row>
    <x:row r="87">
      <x:c r="A87" t="n">
        <x:v>86</x:v>
      </x:c>
      <x:c r="B87" t="str">
        <x:v>ND30.N.DM.TIEU_MUC.CACH_SAU</x:v>
      </x:c>
      <x:c r="C87" t="str">
        <x:v>ND30.N.DM.TIEU_MUC</x:v>
      </x:c>
      <x:c r="D87" t="str">
        <x:v>N</x:v>
      </x:c>
      <x:c r="E87" t="str">
        <x:v>Tiểu mục</x:v>
      </x:c>
      <x:c r="F87" t="str">
        <x:v>CACH_SAU</x:v>
      </x:c>
      <x:c r="G87" t="n">
        <x:v>6</x:v>
      </x:c>
      <x:c r="H87"/>
      <x:c r="I87" t="str">
        <x:v>UNVERIFIED_ATTRIBUTE</x:v>
      </x:c>
      <x:c r="J87" t="str">
        <x:v>PROFILE_PRESET_UNAPPROVED</x:v>
      </x:c>
      <x:c r="K87" t="str">
        <x:v>Chỉ khi văn bản có phân cấp này; giữ số, tên và thứ bậc thực tế; không tự đánh lại số</x:v>
      </x:c>
      <x:c r="L87" t="str">
        <x:v>Bảo toàn cấu trúc/nội dung; nếu khác loại văn bản, ưu tiên đúng mẫu của loại đó; không sửa khi thiếu căn cứ.</x:v>
      </x:c>
      <x:c r="M87" t="str">
        <x:v>pt</x:v>
      </x:c>
      <x:c r="N87" t="str">
        <x:v>NĐ30, Phụ lục I, Phần I, II.6; V.6</x:v>
      </x:c>
      <x:c r="O87" t="str">
        <x:v>https://congbao.chinhphu.vn/van-ban/nghi-dinh-so-30-2020-nd-cp-30858/30246.htm</x:v>
      </x:c>
      <x:c r="P87" t="str">
        <x:v>PLUGIN:hoa-tieu-mien-bac-administrative-v1 | user_approved_visual_reference</x:v>
      </x:c>
      <x:c r="Q87" t="str">
        <x:v>CHECK_ONLY</x:v>
      </x:c>
      <x:c r="R87" t="str">
        <x:v>Kiểm tra từng thuộc tính có mặt; so sánh nguồn/role; không suy đoán từ kết quả render chưa có</x:v>
      </x:c>
      <x:c r="S87" t="str">
        <x:v>STRUCTURE_READ_EXISTING_WORKBOOK</x:v>
      </x:c>
      <x:c r="T87"/>
      <x:c r="U87" t="str">
        <x:v>Paragraph/Run theo kiểu khối DM; preserve list numbering/table/drawing nếu có</x:v>
      </x:c>
    </x:row>
    <x:row r="88">
      <x:c r="A88" t="n">
        <x:v>87</x:v>
      </x:c>
      <x:c r="B88" t="str">
        <x:v>ND30.N.DM.TIEU_MUC.THUT_DONG_DAU</x:v>
      </x:c>
      <x:c r="C88" t="str">
        <x:v>ND30.N.DM.TIEU_MUC</x:v>
      </x:c>
      <x:c r="D88" t="str">
        <x:v>N</x:v>
      </x:c>
      <x:c r="E88" t="str">
        <x:v>Tiểu mục</x:v>
      </x:c>
      <x:c r="F88" t="str">
        <x:v>THUT_DONG_DAU</x:v>
      </x:c>
      <x:c r="G88" t="n">
        <x:v>0</x:v>
      </x:c>
      <x:c r="H88"/>
      <x:c r="I88" t="str">
        <x:v>UNVERIFIED_ATTRIBUTE</x:v>
      </x:c>
      <x:c r="J88" t="str">
        <x:v>PROFILE_PRESET_UNAPPROVED</x:v>
      </x:c>
      <x:c r="K88" t="str">
        <x:v>Chỉ khi văn bản có phân cấp này; giữ số, tên và thứ bậc thực tế; không tự đánh lại số</x:v>
      </x:c>
      <x:c r="L88" t="str">
        <x:v>Bảo toàn cấu trúc/nội dung; nếu khác loại văn bản, ưu tiên đúng mẫu của loại đó; không sửa khi thiếu căn cứ.</x:v>
      </x:c>
      <x:c r="M88" t="str">
        <x:v>mm</x:v>
      </x:c>
      <x:c r="N88" t="str">
        <x:v>NĐ30, Phụ lục I, Phần I, II.6; V.6</x:v>
      </x:c>
      <x:c r="O88" t="str">
        <x:v>https://congbao.chinhphu.vn/van-ban/nghi-dinh-so-30-2020-nd-cp-30858/30246.htm</x:v>
      </x:c>
      <x:c r="P88" t="str">
        <x:v>PLUGIN:hoa-tieu-mien-bac-administrative-v1 | user_approved_visual_reference</x:v>
      </x:c>
      <x:c r="Q88" t="str">
        <x:v>CHECK_ONLY</x:v>
      </x:c>
      <x:c r="R88" t="str">
        <x:v>Kiểm tra từng thuộc tính có mặt; so sánh nguồn/role; không suy đoán từ kết quả render chưa có</x:v>
      </x:c>
      <x:c r="S88" t="str">
        <x:v>STRUCTURE_READ_EXISTING_WORKBOOK</x:v>
      </x:c>
      <x:c r="T88"/>
      <x:c r="U88" t="str">
        <x:v>Paragraph/Run theo kiểu khối DM; preserve list numbering/table/drawing nếu có</x:v>
      </x:c>
    </x:row>
    <x:row r="89">
      <x:c r="A89" t="n">
        <x:v>88</x:v>
      </x:c>
      <x:c r="B89" t="str">
        <x:v>ND30.N.DM.TIEU_MUC.KEEP_NEXT</x:v>
      </x:c>
      <x:c r="C89" t="str">
        <x:v>ND30.N.DM.TIEU_MUC</x:v>
      </x:c>
      <x:c r="D89" t="str">
        <x:v>N</x:v>
      </x:c>
      <x:c r="E89" t="str">
        <x:v>Tiểu mục</x:v>
      </x:c>
      <x:c r="F89" t="str">
        <x:v>KEEP_NEXT</x:v>
      </x:c>
      <x:c r="G89" t="str">
        <x:v>CÓ</x:v>
      </x:c>
      <x:c r="H89"/>
      <x:c r="I89" t="str">
        <x:v>UNVERIFIED_ATTRIBUTE</x:v>
      </x:c>
      <x:c r="J89" t="str">
        <x:v>PROFILE_PRESET_UNAPPROVED</x:v>
      </x:c>
      <x:c r="K89" t="str">
        <x:v>Chỉ khi văn bản có phân cấp này; giữ số, tên và thứ bậc thực tế; không tự đánh lại số</x:v>
      </x:c>
      <x:c r="L89" t="str">
        <x:v>Bảo toàn cấu trúc/nội dung; nếu khác loại văn bản, ưu tiên đúng mẫu của loại đó; không sửa khi thiếu căn cứ.</x:v>
      </x:c>
      <x:c r="M89"/>
      <x:c r="N89" t="str">
        <x:v>NĐ30, Phụ lục I, Phần I, II.6; V.6</x:v>
      </x:c>
      <x:c r="O89" t="str">
        <x:v>https://congbao.chinhphu.vn/van-ban/nghi-dinh-so-30-2020-nd-cp-30858/30246.htm</x:v>
      </x:c>
      <x:c r="P89" t="str">
        <x:v>PLUGIN:hoa-tieu-mien-bac-administrative-v1 | user_approved_visual_reference</x:v>
      </x:c>
      <x:c r="Q89" t="str">
        <x:v>CHECK_ONLY</x:v>
      </x:c>
      <x:c r="R89" t="str">
        <x:v>Kiểm tra từng thuộc tính có mặt; so sánh nguồn/role; không suy đoán từ kết quả render chưa có</x:v>
      </x:c>
      <x:c r="S89" t="str">
        <x:v>STRUCTURE_READ_EXISTING_WORKBOOK</x:v>
      </x:c>
      <x:c r="T89"/>
      <x:c r="U89" t="str">
        <x:v>Paragraph/Run theo kiểu khối DM; preserve list numbering/table/drawing nếu có</x:v>
      </x:c>
    </x:row>
    <x:row r="90">
      <x:c r="A90" t="n">
        <x:v>89</x:v>
      </x:c>
      <x:c r="B90" t="str">
        <x:v>ND30.N.DM.TIEU_MUC.SO_THU_TU</x:v>
      </x:c>
      <x:c r="C90" t="str">
        <x:v>ND30.N.DM.TIEU_MUC</x:v>
      </x:c>
      <x:c r="D90" t="str">
        <x:v>N</x:v>
      </x:c>
      <x:c r="E90" t="str">
        <x:v>Tiểu mục</x:v>
      </x:c>
      <x:c r="F90" t="str">
        <x:v>SO_THU_TU</x:v>
      </x:c>
      <x:c r="G90"/>
      <x:c r="H90"/>
      <x:c r="I90" t="str">
        <x:v>UNVERIFIED_ATTRIBUTE</x:v>
      </x:c>
      <x:c r="J90" t="str">
        <x:v>BLOCKED_NO_ATTRIBUTE_VALUE</x:v>
      </x:c>
      <x:c r="K90" t="str">
        <x:v>Chỉ khi văn bản có phân cấp này; giữ số, tên và thứ bậc thực tế; không tự đánh lại số</x:v>
      </x:c>
      <x:c r="L90" t="str">
        <x:v>Bảo toàn cấu trúc/nội dung; nếu khác loại văn bản, ưu tiên đúng mẫu của loại đó; không sửa khi thiếu căn cứ.</x:v>
      </x:c>
      <x:c r="M90"/>
      <x:c r="N90" t="str">
        <x:v>NĐ30, Phụ lục I, Phần I, II.6; V.6</x:v>
      </x:c>
      <x:c r="O90" t="str">
        <x:v>https://congbao.chinhphu.vn/van-ban/nghi-dinh-so-30-2020-nd-cp-30858/30246.htm</x:v>
      </x:c>
      <x:c r="P90" t="str">
        <x:v>PLUGIN:hoa-tieu-mien-bac-administrative-v1 | user_approved_visual_reference</x:v>
      </x:c>
      <x:c r="Q90" t="str">
        <x:v>CHECK_ONLY</x:v>
      </x:c>
      <x:c r="R90" t="str">
        <x:v>Kiểm tra từng thuộc tính có mặt; so sánh nguồn/role; không suy đoán từ kết quả render chưa có</x:v>
      </x:c>
      <x:c r="S90" t="str">
        <x:v>RULE_INFERENCE_NOT_MEASURED</x:v>
      </x:c>
      <x:c r="T90" t="str">
        <x:v>Xác minh căn cứ theo loại văn bản / tài liệu phát hành hoặc phê duyệt</x:v>
      </x:c>
      <x:c r="U90" t="str">
        <x:v>Paragraph/Run theo kiểu khối DM; preserve list numbering/table/drawing nếu có</x:v>
      </x:c>
    </x:row>
    <x:row r="91">
      <x:c r="A91" t="n">
        <x:v>90</x:v>
      </x:c>
      <x:c r="B91" t="str">
        <x:v>ND30.N.DM.TIEU_MUC.CAU_TRUC</x:v>
      </x:c>
      <x:c r="C91" t="str">
        <x:v>ND30.N.DM.TIEU_MUC</x:v>
      </x:c>
      <x:c r="D91" t="str">
        <x:v>N</x:v>
      </x:c>
      <x:c r="E91" t="str">
        <x:v>Tiểu mục</x:v>
      </x:c>
      <x:c r="F91" t="str">
        <x:v>CAU_TRUC</x:v>
      </x:c>
      <x:c r="G91"/>
      <x:c r="H91"/>
      <x:c r="I91" t="str">
        <x:v>UNVERIFIED_ATTRIBUTE</x:v>
      </x:c>
      <x:c r="J91" t="str">
        <x:v>BLOCKED_NO_ATTRIBUTE_VALUE</x:v>
      </x:c>
      <x:c r="K91" t="str">
        <x:v>Chỉ khi văn bản có phân cấp này; giữ số, tên và thứ bậc thực tế; không tự đánh lại số</x:v>
      </x:c>
      <x:c r="L91" t="str">
        <x:v>Bảo toàn cấu trúc/nội dung; nếu khác loại văn bản, ưu tiên đúng mẫu của loại đó; không sửa khi thiếu căn cứ.</x:v>
      </x:c>
      <x:c r="M91"/>
      <x:c r="N91" t="str">
        <x:v>NĐ30, Phụ lục I, Phần I, II.6; V.6</x:v>
      </x:c>
      <x:c r="O91" t="str">
        <x:v>https://congbao.chinhphu.vn/van-ban/nghi-dinh-so-30-2020-nd-cp-30858/30246.htm</x:v>
      </x:c>
      <x:c r="P91" t="str">
        <x:v>PLUGIN:hoa-tieu-mien-bac-administrative-v1 | user_approved_visual_reference</x:v>
      </x:c>
      <x:c r="Q91" t="str">
        <x:v>CHECK_ONLY</x:v>
      </x:c>
      <x:c r="R91" t="str">
        <x:v>Kiểm tra từng thuộc tính có mặt; so sánh nguồn/role; không suy đoán từ kết quả render chưa có</x:v>
      </x:c>
      <x:c r="S91" t="str">
        <x:v>RULE_INFERENCE_NOT_MEASURED</x:v>
      </x:c>
      <x:c r="T91" t="str">
        <x:v>Xác minh căn cứ theo loại văn bản / tài liệu phát hành hoặc phê duyệt</x:v>
      </x:c>
      <x:c r="U91" t="str">
        <x:v>Paragraph/Run theo kiểu khối DM; preserve list numbering/table/drawing nếu có</x:v>
      </x:c>
    </x:row>
    <x:row r="92">
      <x:c r="A92" t="n">
        <x:v>91</x:v>
      </x:c>
      <x:c r="B92" t="str">
        <x:v>ND30.N.DM.TIEU_MUC.DAU_CAU</x:v>
      </x:c>
      <x:c r="C92" t="str">
        <x:v>ND30.N.DM.TIEU_MUC</x:v>
      </x:c>
      <x:c r="D92" t="str">
        <x:v>N</x:v>
      </x:c>
      <x:c r="E92" t="str">
        <x:v>Tiểu mục</x:v>
      </x:c>
      <x:c r="F92" t="str">
        <x:v>DAU_CAU</x:v>
      </x:c>
      <x:c r="G92"/>
      <x:c r="H92"/>
      <x:c r="I92" t="str">
        <x:v>UNVERIFIED_ATTRIBUTE</x:v>
      </x:c>
      <x:c r="J92" t="str">
        <x:v>BLOCKED_NO_ATTRIBUTE_VALUE</x:v>
      </x:c>
      <x:c r="K92" t="str">
        <x:v>Chỉ khi văn bản có phân cấp này; giữ số, tên và thứ bậc thực tế; không tự đánh lại số</x:v>
      </x:c>
      <x:c r="L92" t="str">
        <x:v>Bảo toàn cấu trúc/nội dung; nếu khác loại văn bản, ưu tiên đúng mẫu của loại đó; không sửa khi thiếu căn cứ.</x:v>
      </x:c>
      <x:c r="M92"/>
      <x:c r="N92" t="str">
        <x:v>NĐ30, Phụ lục I, Phần I, II.6; V.6</x:v>
      </x:c>
      <x:c r="O92" t="str">
        <x:v>https://congbao.chinhphu.vn/van-ban/nghi-dinh-so-30-2020-nd-cp-30858/30246.htm</x:v>
      </x:c>
      <x:c r="P92" t="str">
        <x:v>PLUGIN:hoa-tieu-mien-bac-administrative-v1 | user_approved_visual_reference</x:v>
      </x:c>
      <x:c r="Q92" t="str">
        <x:v>CHECK_ONLY</x:v>
      </x:c>
      <x:c r="R92" t="str">
        <x:v>Kiểm tra từng thuộc tính có mặt; so sánh nguồn/role; không suy đoán từ kết quả render chưa có</x:v>
      </x:c>
      <x:c r="S92" t="str">
        <x:v>RULE_INFERENCE_NOT_MEASURED</x:v>
      </x:c>
      <x:c r="T92" t="str">
        <x:v>Xác minh căn cứ theo loại văn bản / tài liệu phát hành hoặc phê duyệt</x:v>
      </x:c>
      <x:c r="U92" t="str">
        <x:v>Paragraph/Run theo kiểu khối DM; preserve list numbering/table/drawing nếu có</x:v>
      </x:c>
    </x:row>
    <x:row r="93">
      <x:c r="A93" t="n">
        <x:v>92</x:v>
      </x:c>
      <x:c r="B93" t="str">
        <x:v>ND30.N.DIEU.SO_DIEU.HIEN_DIEN</x:v>
      </x:c>
      <x:c r="C93" t="str">
        <x:v>ND30.N.DIEU.SO_DIEU</x:v>
      </x:c>
      <x:c r="D93" t="str">
        <x:v>N</x:v>
      </x:c>
      <x:c r="E93" t="str">
        <x:v>Số điều</x:v>
      </x:c>
      <x:c r="F93" t="str">
        <x:v>HIEN_DIEN</x:v>
      </x:c>
      <x:c r="G93" t="str">
        <x:v>Theo loại văn bản và sự hiện diện thực tế; không áp dụng đồng loạt</x:v>
      </x:c>
      <x:c r="H93"/>
      <x:c r="I93" t="str">
        <x:v>UNVERIFIED_ATTRIBUTE</x:v>
      </x:c>
      <x:c r="J93" t="str">
        <x:v>SOURCE_DESCRIPTION_NOT_APPROVAL</x:v>
      </x:c>
      <x:c r="K93" t="str">
        <x:v>Chỉ khi văn bản có phân cấp này; giữ số, tên và thứ bậc thực tế; không tự đánh lại số</x:v>
      </x:c>
      <x:c r="L93" t="str">
        <x:v>Bảo toàn cấu trúc/nội dung; nếu khác loại văn bản, ưu tiên đúng mẫu của loại đó; không sửa khi thiếu căn cứ.</x:v>
      </x:c>
      <x:c r="M93"/>
      <x:c r="N93" t="str">
        <x:v>NĐ30, Phụ lục I, Phần I, II.6; V.6</x:v>
      </x:c>
      <x:c r="O93" t="str">
        <x:v>https://congbao.chinhphu.vn/van-ban/nghi-dinh-so-30-2020-nd-cp-30858/30246.htm</x:v>
      </x:c>
      <x:c r="P93" t="str">
        <x:v>PLUGIN:hoa-tieu-mien-bac-administrative-v1 | user_approved_visual_reference</x:v>
      </x:c>
      <x:c r="Q93" t="str">
        <x:v>CHECK_ONLY</x:v>
      </x:c>
      <x:c r="R93" t="str">
        <x:v>Kiểm tra từng thuộc tính có mặt; so sánh nguồn/role; không suy đoán từ kết quả render chưa có</x:v>
      </x:c>
      <x:c r="S93" t="str">
        <x:v>STRUCTURE_READ_EXISTING_WORKBOOK</x:v>
      </x:c>
      <x:c r="T93"/>
      <x:c r="U93" t="str">
        <x:v>Paragraph/Run theo kiểu khối DIEU; preserve list numbering/table/drawing nếu có</x:v>
      </x:c>
    </x:row>
    <x:row r="94">
      <x:c r="A94" t="n">
        <x:v>93</x:v>
      </x:c>
      <x:c r="B94" t="str">
        <x:v>ND30.N.DIEU.SO_DIEU.NOI_DUNG</x:v>
      </x:c>
      <x:c r="C94" t="str">
        <x:v>ND30.N.DIEU.SO_DIEU</x:v>
      </x:c>
      <x:c r="D94" t="str">
        <x:v>N</x:v>
      </x:c>
      <x:c r="E94" t="str">
        <x:v>Số điều</x:v>
      </x:c>
      <x:c r="F94" t="str">
        <x:v>NOI_DUNG</x:v>
      </x:c>
      <x:c r="G94" t="str">
        <x:v>Số điều</x:v>
      </x:c>
      <x:c r="H94"/>
      <x:c r="I94" t="str">
        <x:v>UNVERIFIED_ATTRIBUTE</x:v>
      </x:c>
      <x:c r="J94" t="str">
        <x:v>SOURCE_DESCRIPTION_NOT_APPROVAL</x:v>
      </x:c>
      <x:c r="K94" t="str">
        <x:v>Chỉ khi văn bản có phân cấp này; giữ số, tên và thứ bậc thực tế; không tự đánh lại số</x:v>
      </x:c>
      <x:c r="L94" t="str">
        <x:v>Bảo toàn cấu trúc/nội dung; nếu khác loại văn bản, ưu tiên đúng mẫu của loại đó; không sửa khi thiếu căn cứ.</x:v>
      </x:c>
      <x:c r="M94"/>
      <x:c r="N94" t="str">
        <x:v>NĐ30, Phụ lục I, Phần I, II.6; V.6</x:v>
      </x:c>
      <x:c r="O94" t="str">
        <x:v>https://congbao.chinhphu.vn/van-ban/nghi-dinh-so-30-2020-nd-cp-30858/30246.htm</x:v>
      </x:c>
      <x:c r="P94" t="str">
        <x:v>PLUGIN:hoa-tieu-mien-bac-administrative-v1 | user_approved_visual_reference</x:v>
      </x:c>
      <x:c r="Q94" t="str">
        <x:v>CHECK_ONLY</x:v>
      </x:c>
      <x:c r="R94" t="str">
        <x:v>Kiểm tra từng thuộc tính có mặt; so sánh nguồn/role; không suy đoán từ kết quả render chưa có</x:v>
      </x:c>
      <x:c r="S94" t="str">
        <x:v>STRUCTURE_READ_EXISTING_WORKBOOK</x:v>
      </x:c>
      <x:c r="T94"/>
      <x:c r="U94" t="str">
        <x:v>Paragraph/Run theo kiểu khối DIEU; preserve list numbering/table/drawing nếu có</x:v>
      </x:c>
    </x:row>
    <x:row r="95">
      <x:c r="A95" t="n">
        <x:v>94</x:v>
      </x:c>
      <x:c r="B95" t="str">
        <x:v>ND30.N.DIEU.SO_DIEU.PHONG_CHU</x:v>
      </x:c>
      <x:c r="C95" t="str">
        <x:v>ND30.N.DIEU.SO_DIEU</x:v>
      </x:c>
      <x:c r="D95" t="str">
        <x:v>N</x:v>
      </x:c>
      <x:c r="E95" t="str">
        <x:v>Số điều</x:v>
      </x:c>
      <x:c r="F95" t="str">
        <x:v>PHONG_CHU</x:v>
      </x:c>
      <x:c r="G95" t="str">
        <x:v>Times New Roman</x:v>
      </x:c>
      <x:c r="H95"/>
      <x:c r="I95" t="str">
        <x:v>UNVERIFIED_ATTRIBUTE</x:v>
      </x:c>
      <x:c r="J95" t="str">
        <x:v>PROFILE_PRESET_UNAPPROVED</x:v>
      </x:c>
      <x:c r="K95" t="str">
        <x:v>Chỉ khi văn bản có phân cấp này; giữ số, tên và thứ bậc thực tế; không tự đánh lại số</x:v>
      </x:c>
      <x:c r="L95" t="str">
        <x:v>Bảo toàn cấu trúc/nội dung; nếu khác loại văn bản, ưu tiên đúng mẫu của loại đó; không sửa khi thiếu căn cứ.</x:v>
      </x:c>
      <x:c r="M95"/>
      <x:c r="N95" t="str">
        <x:v>NĐ30, Phụ lục I, Phần I, II.6; V.6</x:v>
      </x:c>
      <x:c r="O95" t="str">
        <x:v>https://congbao.chinhphu.vn/van-ban/nghi-dinh-so-30-2020-nd-cp-30858/30246.htm</x:v>
      </x:c>
      <x:c r="P95" t="str">
        <x:v>PLUGIN:hoa-tieu-mien-bac-administrative-v1 | user_approved_visual_reference</x:v>
      </x:c>
      <x:c r="Q95" t="str">
        <x:v>CHECK_ONLY</x:v>
      </x:c>
      <x:c r="R95" t="str">
        <x:v>Kiểm tra từng thuộc tính có mặt; so sánh nguồn/role; không suy đoán từ kết quả render chưa có</x:v>
      </x:c>
      <x:c r="S95" t="str">
        <x:v>STRUCTURE_READ_EXISTING_WORKBOOK</x:v>
      </x:c>
      <x:c r="T95"/>
      <x:c r="U95" t="str">
        <x:v>Paragraph/Run theo kiểu khối DIEU; preserve list numbering/table/drawing nếu có</x:v>
      </x:c>
    </x:row>
    <x:row r="96">
      <x:c r="A96" t="n">
        <x:v>95</x:v>
      </x:c>
      <x:c r="B96" t="str">
        <x:v>ND30.N.DIEU.SO_DIEU.CO_CHU</x:v>
      </x:c>
      <x:c r="C96" t="str">
        <x:v>ND30.N.DIEU.SO_DIEU</x:v>
      </x:c>
      <x:c r="D96" t="str">
        <x:v>N</x:v>
      </x:c>
      <x:c r="E96" t="str">
        <x:v>Số điều</x:v>
      </x:c>
      <x:c r="F96" t="str">
        <x:v>CO_CHU</x:v>
      </x:c>
      <x:c r="G96" t="n">
        <x:v>14</x:v>
      </x:c>
      <x:c r="H96"/>
      <x:c r="I96" t="str">
        <x:v>UNVERIFIED_ATTRIBUTE</x:v>
      </x:c>
      <x:c r="J96" t="str">
        <x:v>PROFILE_PRESET_UNAPPROVED</x:v>
      </x:c>
      <x:c r="K96" t="str">
        <x:v>Chỉ khi văn bản có phân cấp này; giữ số, tên và thứ bậc thực tế; không tự đánh lại số</x:v>
      </x:c>
      <x:c r="L96" t="str">
        <x:v>Bảo toàn cấu trúc/nội dung; nếu khác loại văn bản, ưu tiên đúng mẫu của loại đó; không sửa khi thiếu căn cứ.</x:v>
      </x:c>
      <x:c r="M96" t="str">
        <x:v>pt</x:v>
      </x:c>
      <x:c r="N96" t="str">
        <x:v>NĐ30, Phụ lục I, Phần I, II.6; V.6</x:v>
      </x:c>
      <x:c r="O96" t="str">
        <x:v>https://congbao.chinhphu.vn/van-ban/nghi-dinh-so-30-2020-nd-cp-30858/30246.htm</x:v>
      </x:c>
      <x:c r="P96" t="str">
        <x:v>PLUGIN:hoa-tieu-mien-bac-administrative-v1 | user_approved_visual_reference</x:v>
      </x:c>
      <x:c r="Q96" t="str">
        <x:v>CHECK_ONLY</x:v>
      </x:c>
      <x:c r="R96" t="str">
        <x:v>Kiểm tra từng thuộc tính có mặt; so sánh nguồn/role; không suy đoán từ kết quả render chưa có</x:v>
      </x:c>
      <x:c r="S96" t="str">
        <x:v>STRUCTURE_READ_EXISTING_WORKBOOK</x:v>
      </x:c>
      <x:c r="T96"/>
      <x:c r="U96" t="str">
        <x:v>Paragraph/Run theo kiểu khối DIEU; preserve list numbering/table/drawing nếu có</x:v>
      </x:c>
    </x:row>
    <x:row r="97">
      <x:c r="A97" t="n">
        <x:v>96</x:v>
      </x:c>
      <x:c r="B97" t="str">
        <x:v>ND30.N.DIEU.SO_DIEU.DAM</x:v>
      </x:c>
      <x:c r="C97" t="str">
        <x:v>ND30.N.DIEU.SO_DIEU</x:v>
      </x:c>
      <x:c r="D97" t="str">
        <x:v>N</x:v>
      </x:c>
      <x:c r="E97" t="str">
        <x:v>Số điều</x:v>
      </x:c>
      <x:c r="F97" t="str">
        <x:v>DAM</x:v>
      </x:c>
      <x:c r="G97" t="str">
        <x:v>CÓ</x:v>
      </x:c>
      <x:c r="H97"/>
      <x:c r="I97" t="str">
        <x:v>UNVERIFIED_ATTRIBUTE</x:v>
      </x:c>
      <x:c r="J97" t="str">
        <x:v>PROFILE_PRESET_UNAPPROVED</x:v>
      </x:c>
      <x:c r="K97" t="str">
        <x:v>Chỉ khi văn bản có phân cấp này; giữ số, tên và thứ bậc thực tế; không tự đánh lại số</x:v>
      </x:c>
      <x:c r="L97" t="str">
        <x:v>Bảo toàn cấu trúc/nội dung; nếu khác loại văn bản, ưu tiên đúng mẫu của loại đó; không sửa khi thiếu căn cứ.</x:v>
      </x:c>
      <x:c r="M97"/>
      <x:c r="N97" t="str">
        <x:v>NĐ30, Phụ lục I, Phần I, II.6; V.6</x:v>
      </x:c>
      <x:c r="O97" t="str">
        <x:v>https://congbao.chinhphu.vn/van-ban/nghi-dinh-so-30-2020-nd-cp-30858/30246.htm</x:v>
      </x:c>
      <x:c r="P97" t="str">
        <x:v>PLUGIN:hoa-tieu-mien-bac-administrative-v1 | user_approved_visual_reference</x:v>
      </x:c>
      <x:c r="Q97" t="str">
        <x:v>CHECK_ONLY</x:v>
      </x:c>
      <x:c r="R97" t="str">
        <x:v>Kiểm tra từng thuộc tính có mặt; so sánh nguồn/role; không suy đoán từ kết quả render chưa có</x:v>
      </x:c>
      <x:c r="S97" t="str">
        <x:v>STRUCTURE_READ_EXISTING_WORKBOOK</x:v>
      </x:c>
      <x:c r="T97"/>
      <x:c r="U97" t="str">
        <x:v>Paragraph/Run theo kiểu khối DIEU; preserve list numbering/table/drawing nếu có</x:v>
      </x:c>
    </x:row>
    <x:row r="98">
      <x:c r="A98" t="n">
        <x:v>97</x:v>
      </x:c>
      <x:c r="B98" t="str">
        <x:v>ND30.N.DIEU.SO_DIEU.NGHIENG</x:v>
      </x:c>
      <x:c r="C98" t="str">
        <x:v>ND30.N.DIEU.SO_DIEU</x:v>
      </x:c>
      <x:c r="D98" t="str">
        <x:v>N</x:v>
      </x:c>
      <x:c r="E98" t="str">
        <x:v>Số điều</x:v>
      </x:c>
      <x:c r="F98" t="str">
        <x:v>NGHIENG</x:v>
      </x:c>
      <x:c r="G98"/>
      <x:c r="H98"/>
      <x:c r="I98" t="str">
        <x:v>UNVERIFIED_ATTRIBUTE</x:v>
      </x:c>
      <x:c r="J98" t="str">
        <x:v>BLOCKED_NO_ATTRIBUTE_VALUE</x:v>
      </x:c>
      <x:c r="K98" t="str">
        <x:v>Chỉ khi văn bản có phân cấp này; giữ số, tên và thứ bậc thực tế; không tự đánh lại số</x:v>
      </x:c>
      <x:c r="L98" t="str">
        <x:v>Bảo toàn cấu trúc/nội dung; nếu khác loại văn bản, ưu tiên đúng mẫu của loại đó; không sửa khi thiếu căn cứ.</x:v>
      </x:c>
      <x:c r="M98"/>
      <x:c r="N98" t="str">
        <x:v>NĐ30, Phụ lục I, Phần I, II.6; V.6</x:v>
      </x:c>
      <x:c r="O98" t="str">
        <x:v>https://congbao.chinhphu.vn/van-ban/nghi-dinh-so-30-2020-nd-cp-30858/30246.htm</x:v>
      </x:c>
      <x:c r="P98" t="str">
        <x:v>PLUGIN:hoa-tieu-mien-bac-administrative-v1 | user_approved_visual_reference</x:v>
      </x:c>
      <x:c r="Q98" t="str">
        <x:v>CHECK_ONLY</x:v>
      </x:c>
      <x:c r="R98" t="str">
        <x:v>Kiểm tra từng thuộc tính có mặt; so sánh nguồn/role; không suy đoán từ kết quả render chưa có</x:v>
      </x:c>
      <x:c r="S98" t="str">
        <x:v>RULE_INFERENCE_NOT_MEASURED</x:v>
      </x:c>
      <x:c r="T98" t="str">
        <x:v>Xác minh căn cứ theo loại văn bản / tài liệu phát hành hoặc phê duyệt</x:v>
      </x:c>
      <x:c r="U98" t="str">
        <x:v>Paragraph/Run theo kiểu khối DIEU; preserve list numbering/table/drawing nếu có</x:v>
      </x:c>
    </x:row>
    <x:row r="99">
      <x:c r="A99" t="n">
        <x:v>98</x:v>
      </x:c>
      <x:c r="B99" t="str">
        <x:v>ND30.N.DIEU.SO_DIEU.KIEU_CHU</x:v>
      </x:c>
      <x:c r="C99" t="str">
        <x:v>ND30.N.DIEU.SO_DIEU</x:v>
      </x:c>
      <x:c r="D99" t="str">
        <x:v>N</x:v>
      </x:c>
      <x:c r="E99" t="str">
        <x:v>Số điều</x:v>
      </x:c>
      <x:c r="F99" t="str">
        <x:v>KIEU_CHU</x:v>
      </x:c>
      <x:c r="G99" t="str">
        <x:v>In thường</x:v>
      </x:c>
      <x:c r="H99"/>
      <x:c r="I99" t="str">
        <x:v>UNVERIFIED_ATTRIBUTE</x:v>
      </x:c>
      <x:c r="J99" t="str">
        <x:v>PROFILE_PRESET_UNAPPROVED</x:v>
      </x:c>
      <x:c r="K99" t="str">
        <x:v>Chỉ khi văn bản có phân cấp này; giữ số, tên và thứ bậc thực tế; không tự đánh lại số</x:v>
      </x:c>
      <x:c r="L99" t="str">
        <x:v>Bảo toàn cấu trúc/nội dung; nếu khác loại văn bản, ưu tiên đúng mẫu của loại đó; không sửa khi thiếu căn cứ.</x:v>
      </x:c>
      <x:c r="M99"/>
      <x:c r="N99" t="str">
        <x:v>NĐ30, Phụ lục I, Phần I, II.6; V.6</x:v>
      </x:c>
      <x:c r="O99" t="str">
        <x:v>https://congbao.chinhphu.vn/van-ban/nghi-dinh-so-30-2020-nd-cp-30858/30246.htm</x:v>
      </x:c>
      <x:c r="P99" t="str">
        <x:v>PLUGIN:hoa-tieu-mien-bac-administrative-v1 | user_approved_visual_reference</x:v>
      </x:c>
      <x:c r="Q99" t="str">
        <x:v>CHECK_ONLY</x:v>
      </x:c>
      <x:c r="R99" t="str">
        <x:v>Kiểm tra từng thuộc tính có mặt; so sánh nguồn/role; không suy đoán từ kết quả render chưa có</x:v>
      </x:c>
      <x:c r="S99" t="str">
        <x:v>STRUCTURE_READ_EXISTING_WORKBOOK</x:v>
      </x:c>
      <x:c r="T99"/>
      <x:c r="U99" t="str">
        <x:v>Paragraph/Run theo kiểu khối DIEU; preserve list numbering/table/drawing nếu có</x:v>
      </x:c>
    </x:row>
    <x:row r="100">
      <x:c r="A100" t="n">
        <x:v>99</x:v>
      </x:c>
      <x:c r="B100" t="str">
        <x:v>ND30.N.DIEU.SO_DIEU.CAN_NGANG</x:v>
      </x:c>
      <x:c r="C100" t="str">
        <x:v>ND30.N.DIEU.SO_DIEU</x:v>
      </x:c>
      <x:c r="D100" t="str">
        <x:v>N</x:v>
      </x:c>
      <x:c r="E100" t="str">
        <x:v>Số điều</x:v>
      </x:c>
      <x:c r="F100" t="str">
        <x:v>CAN_NGANG</x:v>
      </x:c>
      <x:c r="G100" t="str">
        <x:v>JUSTIFY</x:v>
      </x:c>
      <x:c r="H100"/>
      <x:c r="I100" t="str">
        <x:v>UNVERIFIED_ATTRIBUTE</x:v>
      </x:c>
      <x:c r="J100" t="str">
        <x:v>PROFILE_PRESET_UNAPPROVED</x:v>
      </x:c>
      <x:c r="K100" t="str">
        <x:v>Chỉ khi văn bản có phân cấp này; giữ số, tên và thứ bậc thực tế; không tự đánh lại số</x:v>
      </x:c>
      <x:c r="L100" t="str">
        <x:v>Bảo toàn cấu trúc/nội dung; nếu khác loại văn bản, ưu tiên đúng mẫu của loại đó; không sửa khi thiếu căn cứ.</x:v>
      </x:c>
      <x:c r="M100"/>
      <x:c r="N100" t="str">
        <x:v>NĐ30, Phụ lục I, Phần I, II.6; V.6</x:v>
      </x:c>
      <x:c r="O100" t="str">
        <x:v>https://congbao.chinhphu.vn/van-ban/nghi-dinh-so-30-2020-nd-cp-30858/30246.htm</x:v>
      </x:c>
      <x:c r="P100" t="str">
        <x:v>PLUGIN:hoa-tieu-mien-bac-administrative-v1 | user_approved_visual_reference</x:v>
      </x:c>
      <x:c r="Q100" t="str">
        <x:v>CHECK_ONLY</x:v>
      </x:c>
      <x:c r="R100" t="str">
        <x:v>Kiểm tra từng thuộc tính có mặt; so sánh nguồn/role; không suy đoán từ kết quả render chưa có</x:v>
      </x:c>
      <x:c r="S100" t="str">
        <x:v>STRUCTURE_READ_EXISTING_WORKBOOK</x:v>
      </x:c>
      <x:c r="T100"/>
      <x:c r="U100" t="str">
        <x:v>Paragraph/Run theo kiểu khối DIEU; preserve list numbering/table/drawing nếu có</x:v>
      </x:c>
    </x:row>
    <x:row r="101">
      <x:c r="A101" t="n">
        <x:v>100</x:v>
      </x:c>
      <x:c r="B101" t="str">
        <x:v>ND30.N.DIEU.SO_DIEU.GIAN_DONG</x:v>
      </x:c>
      <x:c r="C101" t="str">
        <x:v>ND30.N.DIEU.SO_DIEU</x:v>
      </x:c>
      <x:c r="D101" t="str">
        <x:v>N</x:v>
      </x:c>
      <x:c r="E101" t="str">
        <x:v>Số điều</x:v>
      </x:c>
      <x:c r="F101" t="str">
        <x:v>GIAN_DONG</x:v>
      </x:c>
      <x:c r="G101" t="n">
        <x:v>19</x:v>
      </x:c>
      <x:c r="H101"/>
      <x:c r="I101" t="str">
        <x:v>UNVERIFIED_ATTRIBUTE</x:v>
      </x:c>
      <x:c r="J101" t="str">
        <x:v>PROFILE_PRESET_UNAPPROVED</x:v>
      </x:c>
      <x:c r="K101" t="str">
        <x:v>Chỉ khi văn bản có phân cấp này; giữ số, tên và thứ bậc thực tế; không tự đánh lại số</x:v>
      </x:c>
      <x:c r="L101" t="str">
        <x:v>Bảo toàn cấu trúc/nội dung; nếu khác loại văn bản, ưu tiên đúng mẫu của loại đó; không sửa khi thiếu căn cứ.</x:v>
      </x:c>
      <x:c r="M101" t="str">
        <x:v>pt</x:v>
      </x:c>
      <x:c r="N101" t="str">
        <x:v>NĐ30, Phụ lục I, Phần I, II.6; V.6</x:v>
      </x:c>
      <x:c r="O101" t="str">
        <x:v>https://congbao.chinhphu.vn/van-ban/nghi-dinh-so-30-2020-nd-cp-30858/30246.htm</x:v>
      </x:c>
      <x:c r="P101" t="str">
        <x:v>PLUGIN:hoa-tieu-mien-bac-administrative-v1 | user_approved_visual_reference</x:v>
      </x:c>
      <x:c r="Q101" t="str">
        <x:v>CHECK_ONLY</x:v>
      </x:c>
      <x:c r="R101" t="str">
        <x:v>Kiểm tra từng thuộc tính có mặt; so sánh nguồn/role; không suy đoán từ kết quả render chưa có</x:v>
      </x:c>
      <x:c r="S101" t="str">
        <x:v>STRUCTURE_READ_EXISTING_WORKBOOK</x:v>
      </x:c>
      <x:c r="T101"/>
      <x:c r="U101" t="str">
        <x:v>Paragraph/Run theo kiểu khối DIEU; preserve list numbering/table/drawing nếu có</x:v>
      </x:c>
    </x:row>
    <x:row r="102">
      <x:c r="A102" t="n">
        <x:v>101</x:v>
      </x:c>
      <x:c r="B102" t="str">
        <x:v>ND30.N.DIEU.SO_DIEU.CACH_TRUOC</x:v>
      </x:c>
      <x:c r="C102" t="str">
        <x:v>ND30.N.DIEU.SO_DIEU</x:v>
      </x:c>
      <x:c r="D102" t="str">
        <x:v>N</x:v>
      </x:c>
      <x:c r="E102" t="str">
        <x:v>Số điều</x:v>
      </x:c>
      <x:c r="F102" t="str">
        <x:v>CACH_TRUOC</x:v>
      </x:c>
      <x:c r="G102" t="n">
        <x:v>0</x:v>
      </x:c>
      <x:c r="H102"/>
      <x:c r="I102" t="str">
        <x:v>UNVERIFIED_ATTRIBUTE</x:v>
      </x:c>
      <x:c r="J102" t="str">
        <x:v>PROFILE_PRESET_UNAPPROVED</x:v>
      </x:c>
      <x:c r="K102" t="str">
        <x:v>Chỉ khi văn bản có phân cấp này; giữ số, tên và thứ bậc thực tế; không tự đánh lại số</x:v>
      </x:c>
      <x:c r="L102" t="str">
        <x:v>Bảo toàn cấu trúc/nội dung; nếu khác loại văn bản, ưu tiên đúng mẫu của loại đó; không sửa khi thiếu căn cứ.</x:v>
      </x:c>
      <x:c r="M102" t="str">
        <x:v>pt</x:v>
      </x:c>
      <x:c r="N102" t="str">
        <x:v>NĐ30, Phụ lục I, Phần I, II.6; V.6</x:v>
      </x:c>
      <x:c r="O102" t="str">
        <x:v>https://congbao.chinhphu.vn/van-ban/nghi-dinh-so-30-2020-nd-cp-30858/30246.htm</x:v>
      </x:c>
      <x:c r="P102" t="str">
        <x:v>PLUGIN:hoa-tieu-mien-bac-administrative-v1 | user_approved_visual_reference</x:v>
      </x:c>
      <x:c r="Q102" t="str">
        <x:v>CHECK_ONLY</x:v>
      </x:c>
      <x:c r="R102" t="str">
        <x:v>Kiểm tra từng thuộc tính có mặt; so sánh nguồn/role; không suy đoán từ kết quả render chưa có</x:v>
      </x:c>
      <x:c r="S102" t="str">
        <x:v>STRUCTURE_READ_EXISTING_WORKBOOK</x:v>
      </x:c>
      <x:c r="T102"/>
      <x:c r="U102" t="str">
        <x:v>Paragraph/Run theo kiểu khối DIEU; preserve list numbering/table/drawing nếu có</x:v>
      </x:c>
    </x:row>
    <x:row r="103">
      <x:c r="A103" t="n">
        <x:v>102</x:v>
      </x:c>
      <x:c r="B103" t="str">
        <x:v>ND30.N.DIEU.SO_DIEU.CACH_SAU</x:v>
      </x:c>
      <x:c r="C103" t="str">
        <x:v>ND30.N.DIEU.SO_DIEU</x:v>
      </x:c>
      <x:c r="D103" t="str">
        <x:v>N</x:v>
      </x:c>
      <x:c r="E103" t="str">
        <x:v>Số điều</x:v>
      </x:c>
      <x:c r="F103" t="str">
        <x:v>CACH_SAU</x:v>
      </x:c>
      <x:c r="G103" t="n">
        <x:v>6</x:v>
      </x:c>
      <x:c r="H103"/>
      <x:c r="I103" t="str">
        <x:v>UNVERIFIED_ATTRIBUTE</x:v>
      </x:c>
      <x:c r="J103" t="str">
        <x:v>PROFILE_PRESET_UNAPPROVED</x:v>
      </x:c>
      <x:c r="K103" t="str">
        <x:v>Chỉ khi văn bản có phân cấp này; giữ số, tên và thứ bậc thực tế; không tự đánh lại số</x:v>
      </x:c>
      <x:c r="L103" t="str">
        <x:v>Bảo toàn cấu trúc/nội dung; nếu khác loại văn bản, ưu tiên đúng mẫu của loại đó; không sửa khi thiếu căn cứ.</x:v>
      </x:c>
      <x:c r="M103" t="str">
        <x:v>pt</x:v>
      </x:c>
      <x:c r="N103" t="str">
        <x:v>NĐ30, Phụ lục I, Phần I, II.6; V.6</x:v>
      </x:c>
      <x:c r="O103" t="str">
        <x:v>https://congbao.chinhphu.vn/van-ban/nghi-dinh-so-30-2020-nd-cp-30858/30246.htm</x:v>
      </x:c>
      <x:c r="P103" t="str">
        <x:v>PLUGIN:hoa-tieu-mien-bac-administrative-v1 | user_approved_visual_reference</x:v>
      </x:c>
      <x:c r="Q103" t="str">
        <x:v>CHECK_ONLY</x:v>
      </x:c>
      <x:c r="R103" t="str">
        <x:v>Kiểm tra từng thuộc tính có mặt; so sánh nguồn/role; không suy đoán từ kết quả render chưa có</x:v>
      </x:c>
      <x:c r="S103" t="str">
        <x:v>STRUCTURE_READ_EXISTING_WORKBOOK</x:v>
      </x:c>
      <x:c r="T103"/>
      <x:c r="U103" t="str">
        <x:v>Paragraph/Run theo kiểu khối DIEU; preserve list numbering/table/drawing nếu có</x:v>
      </x:c>
    </x:row>
    <x:row r="104">
      <x:c r="A104" t="n">
        <x:v>103</x:v>
      </x:c>
      <x:c r="B104" t="str">
        <x:v>ND30.N.DIEU.SO_DIEU.THUT_DONG_DAU</x:v>
      </x:c>
      <x:c r="C104" t="str">
        <x:v>ND30.N.DIEU.SO_DIEU</x:v>
      </x:c>
      <x:c r="D104" t="str">
        <x:v>N</x:v>
      </x:c>
      <x:c r="E104" t="str">
        <x:v>Số điều</x:v>
      </x:c>
      <x:c r="F104" t="str">
        <x:v>THUT_DONG_DAU</x:v>
      </x:c>
      <x:c r="G104" t="n">
        <x:v>12.7</x:v>
      </x:c>
      <x:c r="H104"/>
      <x:c r="I104" t="str">
        <x:v>UNVERIFIED_ATTRIBUTE</x:v>
      </x:c>
      <x:c r="J104" t="str">
        <x:v>PROFILE_PRESET_UNAPPROVED</x:v>
      </x:c>
      <x:c r="K104" t="str">
        <x:v>Chỉ khi văn bản có phân cấp này; giữ số, tên và thứ bậc thực tế; không tự đánh lại số</x:v>
      </x:c>
      <x:c r="L104" t="str">
        <x:v>Bảo toàn cấu trúc/nội dung; nếu khác loại văn bản, ưu tiên đúng mẫu của loại đó; không sửa khi thiếu căn cứ.</x:v>
      </x:c>
      <x:c r="M104" t="str">
        <x:v>mm</x:v>
      </x:c>
      <x:c r="N104" t="str">
        <x:v>NĐ30, Phụ lục I, Phần I, II.6; V.6</x:v>
      </x:c>
      <x:c r="O104" t="str">
        <x:v>https://congbao.chinhphu.vn/van-ban/nghi-dinh-so-30-2020-nd-cp-30858/30246.htm</x:v>
      </x:c>
      <x:c r="P104" t="str">
        <x:v>PLUGIN:hoa-tieu-mien-bac-administrative-v1 | user_approved_visual_reference</x:v>
      </x:c>
      <x:c r="Q104" t="str">
        <x:v>CHECK_ONLY</x:v>
      </x:c>
      <x:c r="R104" t="str">
        <x:v>Kiểm tra từng thuộc tính có mặt; so sánh nguồn/role; không suy đoán từ kết quả render chưa có</x:v>
      </x:c>
      <x:c r="S104" t="str">
        <x:v>STRUCTURE_READ_EXISTING_WORKBOOK</x:v>
      </x:c>
      <x:c r="T104"/>
      <x:c r="U104" t="str">
        <x:v>Paragraph/Run theo kiểu khối DIEU; preserve list numbering/table/drawing nếu có</x:v>
      </x:c>
    </x:row>
    <x:row r="105">
      <x:c r="A105" t="n">
        <x:v>104</x:v>
      </x:c>
      <x:c r="B105" t="str">
        <x:v>ND30.N.DIEU.SO_DIEU.KEEP_NEXT</x:v>
      </x:c>
      <x:c r="C105" t="str">
        <x:v>ND30.N.DIEU.SO_DIEU</x:v>
      </x:c>
      <x:c r="D105" t="str">
        <x:v>N</x:v>
      </x:c>
      <x:c r="E105" t="str">
        <x:v>Số điều</x:v>
      </x:c>
      <x:c r="F105" t="str">
        <x:v>KEEP_NEXT</x:v>
      </x:c>
      <x:c r="G105"/>
      <x:c r="H105"/>
      <x:c r="I105" t="str">
        <x:v>UNVERIFIED_ATTRIBUTE</x:v>
      </x:c>
      <x:c r="J105" t="str">
        <x:v>BLOCKED_NO_ATTRIBUTE_VALUE</x:v>
      </x:c>
      <x:c r="K105" t="str">
        <x:v>Chỉ khi văn bản có phân cấp này; giữ số, tên và thứ bậc thực tế; không tự đánh lại số</x:v>
      </x:c>
      <x:c r="L105" t="str">
        <x:v>Bảo toàn cấu trúc/nội dung; nếu khác loại văn bản, ưu tiên đúng mẫu của loại đó; không sửa khi thiếu căn cứ.</x:v>
      </x:c>
      <x:c r="M105"/>
      <x:c r="N105" t="str">
        <x:v>NĐ30, Phụ lục I, Phần I, II.6; V.6</x:v>
      </x:c>
      <x:c r="O105" t="str">
        <x:v>https://congbao.chinhphu.vn/van-ban/nghi-dinh-so-30-2020-nd-cp-30858/30246.htm</x:v>
      </x:c>
      <x:c r="P105" t="str">
        <x:v>PLUGIN:hoa-tieu-mien-bac-administrative-v1 | user_approved_visual_reference</x:v>
      </x:c>
      <x:c r="Q105" t="str">
        <x:v>CHECK_ONLY</x:v>
      </x:c>
      <x:c r="R105" t="str">
        <x:v>Kiểm tra từng thuộc tính có mặt; so sánh nguồn/role; không suy đoán từ kết quả render chưa có</x:v>
      </x:c>
      <x:c r="S105" t="str">
        <x:v>RULE_INFERENCE_NOT_MEASURED</x:v>
      </x:c>
      <x:c r="T105" t="str">
        <x:v>Xác minh căn cứ theo loại văn bản / tài liệu phát hành hoặc phê duyệt</x:v>
      </x:c>
      <x:c r="U105" t="str">
        <x:v>Paragraph/Run theo kiểu khối DIEU; preserve list numbering/table/drawing nếu có</x:v>
      </x:c>
    </x:row>
    <x:row r="106">
      <x:c r="A106" t="n">
        <x:v>105</x:v>
      </x:c>
      <x:c r="B106" t="str">
        <x:v>ND30.N.DIEU.SO_DIEU.SO_THU_TU</x:v>
      </x:c>
      <x:c r="C106" t="str">
        <x:v>ND30.N.DIEU.SO_DIEU</x:v>
      </x:c>
      <x:c r="D106" t="str">
        <x:v>N</x:v>
      </x:c>
      <x:c r="E106" t="str">
        <x:v>Số điều</x:v>
      </x:c>
      <x:c r="F106" t="str">
        <x:v>SO_THU_TU</x:v>
      </x:c>
      <x:c r="G106"/>
      <x:c r="H106"/>
      <x:c r="I106" t="str">
        <x:v>UNVERIFIED_ATTRIBUTE</x:v>
      </x:c>
      <x:c r="J106" t="str">
        <x:v>BLOCKED_NO_ATTRIBUTE_VALUE</x:v>
      </x:c>
      <x:c r="K106" t="str">
        <x:v>Chỉ khi văn bản có phân cấp này; giữ số, tên và thứ bậc thực tế; không tự đánh lại số</x:v>
      </x:c>
      <x:c r="L106" t="str">
        <x:v>Bảo toàn cấu trúc/nội dung; nếu khác loại văn bản, ưu tiên đúng mẫu của loại đó; không sửa khi thiếu căn cứ.</x:v>
      </x:c>
      <x:c r="M106"/>
      <x:c r="N106" t="str">
        <x:v>NĐ30, Phụ lục I, Phần I, II.6; V.6</x:v>
      </x:c>
      <x:c r="O106" t="str">
        <x:v>https://congbao.chinhphu.vn/van-ban/nghi-dinh-so-30-2020-nd-cp-30858/30246.htm</x:v>
      </x:c>
      <x:c r="P106" t="str">
        <x:v>PLUGIN:hoa-tieu-mien-bac-administrative-v1 | user_approved_visual_reference</x:v>
      </x:c>
      <x:c r="Q106" t="str">
        <x:v>CHECK_ONLY</x:v>
      </x:c>
      <x:c r="R106" t="str">
        <x:v>Kiểm tra từng thuộc tính có mặt; so sánh nguồn/role; không suy đoán từ kết quả render chưa có</x:v>
      </x:c>
      <x:c r="S106" t="str">
        <x:v>RULE_INFERENCE_NOT_MEASURED</x:v>
      </x:c>
      <x:c r="T106" t="str">
        <x:v>Xác minh căn cứ theo loại văn bản / tài liệu phát hành hoặc phê duyệt</x:v>
      </x:c>
      <x:c r="U106" t="str">
        <x:v>Paragraph/Run theo kiểu khối DIEU; preserve list numbering/table/drawing nếu có</x:v>
      </x:c>
    </x:row>
    <x:row r="107">
      <x:c r="A107" t="n">
        <x:v>106</x:v>
      </x:c>
      <x:c r="B107" t="str">
        <x:v>ND30.N.DIEU.SO_DIEU.CAU_TRUC</x:v>
      </x:c>
      <x:c r="C107" t="str">
        <x:v>ND30.N.DIEU.SO_DIEU</x:v>
      </x:c>
      <x:c r="D107" t="str">
        <x:v>N</x:v>
      </x:c>
      <x:c r="E107" t="str">
        <x:v>Số điều</x:v>
      </x:c>
      <x:c r="F107" t="str">
        <x:v>CAU_TRUC</x:v>
      </x:c>
      <x:c r="G107"/>
      <x:c r="H107"/>
      <x:c r="I107" t="str">
        <x:v>UNVERIFIED_ATTRIBUTE</x:v>
      </x:c>
      <x:c r="J107" t="str">
        <x:v>BLOCKED_NO_ATTRIBUTE_VALUE</x:v>
      </x:c>
      <x:c r="K107" t="str">
        <x:v>Chỉ khi văn bản có phân cấp này; giữ số, tên và thứ bậc thực tế; không tự đánh lại số</x:v>
      </x:c>
      <x:c r="L107" t="str">
        <x:v>Bảo toàn cấu trúc/nội dung; nếu khác loại văn bản, ưu tiên đúng mẫu của loại đó; không sửa khi thiếu căn cứ.</x:v>
      </x:c>
      <x:c r="M107"/>
      <x:c r="N107" t="str">
        <x:v>NĐ30, Phụ lục I, Phần I, II.6; V.6</x:v>
      </x:c>
      <x:c r="O107" t="str">
        <x:v>https://congbao.chinhphu.vn/van-ban/nghi-dinh-so-30-2020-nd-cp-30858/30246.htm</x:v>
      </x:c>
      <x:c r="P107" t="str">
        <x:v>PLUGIN:hoa-tieu-mien-bac-administrative-v1 | user_approved_visual_reference</x:v>
      </x:c>
      <x:c r="Q107" t="str">
        <x:v>CHECK_ONLY</x:v>
      </x:c>
      <x:c r="R107" t="str">
        <x:v>Kiểm tra từng thuộc tính có mặt; so sánh nguồn/role; không suy đoán từ kết quả render chưa có</x:v>
      </x:c>
      <x:c r="S107" t="str">
        <x:v>RULE_INFERENCE_NOT_MEASURED</x:v>
      </x:c>
      <x:c r="T107" t="str">
        <x:v>Xác minh căn cứ theo loại văn bản / tài liệu phát hành hoặc phê duyệt</x:v>
      </x:c>
      <x:c r="U107" t="str">
        <x:v>Paragraph/Run theo kiểu khối DIEU; preserve list numbering/table/drawing nếu có</x:v>
      </x:c>
    </x:row>
    <x:row r="108">
      <x:c r="A108" t="n">
        <x:v>107</x:v>
      </x:c>
      <x:c r="B108" t="str">
        <x:v>ND30.N.DIEU.SO_DIEU.DAU_CAU</x:v>
      </x:c>
      <x:c r="C108" t="str">
        <x:v>ND30.N.DIEU.SO_DIEU</x:v>
      </x:c>
      <x:c r="D108" t="str">
        <x:v>N</x:v>
      </x:c>
      <x:c r="E108" t="str">
        <x:v>Số điều</x:v>
      </x:c>
      <x:c r="F108" t="str">
        <x:v>DAU_CAU</x:v>
      </x:c>
      <x:c r="G108"/>
      <x:c r="H108"/>
      <x:c r="I108" t="str">
        <x:v>UNVERIFIED_ATTRIBUTE</x:v>
      </x:c>
      <x:c r="J108" t="str">
        <x:v>BLOCKED_NO_ATTRIBUTE_VALUE</x:v>
      </x:c>
      <x:c r="K108" t="str">
        <x:v>Chỉ khi văn bản có phân cấp này; giữ số, tên và thứ bậc thực tế; không tự đánh lại số</x:v>
      </x:c>
      <x:c r="L108" t="str">
        <x:v>Bảo toàn cấu trúc/nội dung; nếu khác loại văn bản, ưu tiên đúng mẫu của loại đó; không sửa khi thiếu căn cứ.</x:v>
      </x:c>
      <x:c r="M108"/>
      <x:c r="N108" t="str">
        <x:v>NĐ30, Phụ lục I, Phần I, II.6; V.6</x:v>
      </x:c>
      <x:c r="O108" t="str">
        <x:v>https://congbao.chinhphu.vn/van-ban/nghi-dinh-so-30-2020-nd-cp-30858/30246.htm</x:v>
      </x:c>
      <x:c r="P108" t="str">
        <x:v>PLUGIN:hoa-tieu-mien-bac-administrative-v1 | user_approved_visual_reference</x:v>
      </x:c>
      <x:c r="Q108" t="str">
        <x:v>CHECK_ONLY</x:v>
      </x:c>
      <x:c r="R108" t="str">
        <x:v>Kiểm tra từng thuộc tính có mặt; so sánh nguồn/role; không suy đoán từ kết quả render chưa có</x:v>
      </x:c>
      <x:c r="S108" t="str">
        <x:v>RULE_INFERENCE_NOT_MEASURED</x:v>
      </x:c>
      <x:c r="T108" t="str">
        <x:v>Xác minh căn cứ theo loại văn bản / tài liệu phát hành hoặc phê duyệt</x:v>
      </x:c>
      <x:c r="U108" t="str">
        <x:v>Paragraph/Run theo kiểu khối DIEU; preserve list numbering/table/drawing nếu có</x:v>
      </x:c>
    </x:row>
    <x:row r="109">
      <x:c r="A109" t="n">
        <x:v>108</x:v>
      </x:c>
      <x:c r="B109" t="str">
        <x:v>ND30.N.DIEU.TEN_DIEU.HIEN_DIEN</x:v>
      </x:c>
      <x:c r="C109" t="str">
        <x:v>ND30.N.DIEU.TEN_DIEU</x:v>
      </x:c>
      <x:c r="D109" t="str">
        <x:v>N</x:v>
      </x:c>
      <x:c r="E109" t="str">
        <x:v>Tên điều</x:v>
      </x:c>
      <x:c r="F109" t="str">
        <x:v>HIEN_DIEN</x:v>
      </x:c>
      <x:c r="G109" t="str">
        <x:v>Theo loại văn bản và sự hiện diện thực tế; không áp dụng đồng loạt</x:v>
      </x:c>
      <x:c r="H109"/>
      <x:c r="I109" t="str">
        <x:v>UNVERIFIED_ATTRIBUTE</x:v>
      </x:c>
      <x:c r="J109" t="str">
        <x:v>SOURCE_DESCRIPTION_NOT_APPROVAL</x:v>
      </x:c>
      <x:c r="K109" t="str">
        <x:v>Chỉ khi văn bản có phân cấp này; giữ số, tên và thứ bậc thực tế; không tự đánh lại số</x:v>
      </x:c>
      <x:c r="L109" t="str">
        <x:v>Bảo toàn cấu trúc/nội dung; nếu khác loại văn bản, ưu tiên đúng mẫu của loại đó; không sửa khi thiếu căn cứ.</x:v>
      </x:c>
      <x:c r="M109"/>
      <x:c r="N109" t="str">
        <x:v>NĐ30, Phụ lục I, Phần I, II.6; V.6</x:v>
      </x:c>
      <x:c r="O109" t="str">
        <x:v>https://congbao.chinhphu.vn/van-ban/nghi-dinh-so-30-2020-nd-cp-30858/30246.htm</x:v>
      </x:c>
      <x:c r="P109" t="str">
        <x:v>PLUGIN:hoa-tieu-mien-bac-administrative-v1 | user_approved_visual_reference</x:v>
      </x:c>
      <x:c r="Q109" t="str">
        <x:v>CHECK_ONLY</x:v>
      </x:c>
      <x:c r="R109" t="str">
        <x:v>Kiểm tra từng thuộc tính có mặt; so sánh nguồn/role; không suy đoán từ kết quả render chưa có</x:v>
      </x:c>
      <x:c r="S109" t="str">
        <x:v>STRUCTURE_READ_EXISTING_WORKBOOK</x:v>
      </x:c>
      <x:c r="T109"/>
      <x:c r="U109" t="str">
        <x:v>Paragraph/Run theo kiểu khối DIEU; preserve list numbering/table/drawing nếu có</x:v>
      </x:c>
    </x:row>
    <x:row r="110">
      <x:c r="A110" t="n">
        <x:v>109</x:v>
      </x:c>
      <x:c r="B110" t="str">
        <x:v>ND30.N.DIEU.TEN_DIEU.NOI_DUNG</x:v>
      </x:c>
      <x:c r="C110" t="str">
        <x:v>ND30.N.DIEU.TEN_DIEU</x:v>
      </x:c>
      <x:c r="D110" t="str">
        <x:v>N</x:v>
      </x:c>
      <x:c r="E110" t="str">
        <x:v>Tên điều</x:v>
      </x:c>
      <x:c r="F110" t="str">
        <x:v>NOI_DUNG</x:v>
      </x:c>
      <x:c r="G110" t="str">
        <x:v>Tên điều</x:v>
      </x:c>
      <x:c r="H110"/>
      <x:c r="I110" t="str">
        <x:v>UNVERIFIED_ATTRIBUTE</x:v>
      </x:c>
      <x:c r="J110" t="str">
        <x:v>SOURCE_DESCRIPTION_NOT_APPROVAL</x:v>
      </x:c>
      <x:c r="K110" t="str">
        <x:v>Chỉ khi văn bản có phân cấp này; giữ số, tên và thứ bậc thực tế; không tự đánh lại số</x:v>
      </x:c>
      <x:c r="L110" t="str">
        <x:v>Bảo toàn cấu trúc/nội dung; nếu khác loại văn bản, ưu tiên đúng mẫu của loại đó; không sửa khi thiếu căn cứ.</x:v>
      </x:c>
      <x:c r="M110"/>
      <x:c r="N110" t="str">
        <x:v>NĐ30, Phụ lục I, Phần I, II.6; V.6</x:v>
      </x:c>
      <x:c r="O110" t="str">
        <x:v>https://congbao.chinhphu.vn/van-ban/nghi-dinh-so-30-2020-nd-cp-30858/30246.htm</x:v>
      </x:c>
      <x:c r="P110" t="str">
        <x:v>PLUGIN:hoa-tieu-mien-bac-administrative-v1 | user_approved_visual_reference</x:v>
      </x:c>
      <x:c r="Q110" t="str">
        <x:v>CHECK_ONLY</x:v>
      </x:c>
      <x:c r="R110" t="str">
        <x:v>Kiểm tra từng thuộc tính có mặt; so sánh nguồn/role; không suy đoán từ kết quả render chưa có</x:v>
      </x:c>
      <x:c r="S110" t="str">
        <x:v>STRUCTURE_READ_EXISTING_WORKBOOK</x:v>
      </x:c>
      <x:c r="T110"/>
      <x:c r="U110" t="str">
        <x:v>Paragraph/Run theo kiểu khối DIEU; preserve list numbering/table/drawing nếu có</x:v>
      </x:c>
    </x:row>
    <x:row r="111">
      <x:c r="A111" t="n">
        <x:v>110</x:v>
      </x:c>
      <x:c r="B111" t="str">
        <x:v>ND30.N.DIEU.TEN_DIEU.PHONG_CHU</x:v>
      </x:c>
      <x:c r="C111" t="str">
        <x:v>ND30.N.DIEU.TEN_DIEU</x:v>
      </x:c>
      <x:c r="D111" t="str">
        <x:v>N</x:v>
      </x:c>
      <x:c r="E111" t="str">
        <x:v>Tên điều</x:v>
      </x:c>
      <x:c r="F111" t="str">
        <x:v>PHONG_CHU</x:v>
      </x:c>
      <x:c r="G111" t="str">
        <x:v>Times New Roman</x:v>
      </x:c>
      <x:c r="H111"/>
      <x:c r="I111" t="str">
        <x:v>UNVERIFIED_ATTRIBUTE</x:v>
      </x:c>
      <x:c r="J111" t="str">
        <x:v>PROFILE_PRESET_UNAPPROVED</x:v>
      </x:c>
      <x:c r="K111" t="str">
        <x:v>Chỉ khi văn bản có phân cấp này; giữ số, tên và thứ bậc thực tế; không tự đánh lại số</x:v>
      </x:c>
      <x:c r="L111" t="str">
        <x:v>Bảo toàn cấu trúc/nội dung; nếu khác loại văn bản, ưu tiên đúng mẫu của loại đó; không sửa khi thiếu căn cứ.</x:v>
      </x:c>
      <x:c r="M111"/>
      <x:c r="N111" t="str">
        <x:v>NĐ30, Phụ lục I, Phần I, II.6; V.6</x:v>
      </x:c>
      <x:c r="O111" t="str">
        <x:v>https://congbao.chinhphu.vn/van-ban/nghi-dinh-so-30-2020-nd-cp-30858/30246.htm</x:v>
      </x:c>
      <x:c r="P111" t="str">
        <x:v>PLUGIN:hoa-tieu-mien-bac-administrative-v1 | user_approved_visual_reference</x:v>
      </x:c>
      <x:c r="Q111" t="str">
        <x:v>CHECK_ONLY</x:v>
      </x:c>
      <x:c r="R111" t="str">
        <x:v>Kiểm tra từng thuộc tính có mặt; so sánh nguồn/role; không suy đoán từ kết quả render chưa có</x:v>
      </x:c>
      <x:c r="S111" t="str">
        <x:v>STRUCTURE_READ_EXISTING_WORKBOOK</x:v>
      </x:c>
      <x:c r="T111"/>
      <x:c r="U111" t="str">
        <x:v>Paragraph/Run theo kiểu khối DIEU; preserve list numbering/table/drawing nếu có</x:v>
      </x:c>
    </x:row>
    <x:row r="112">
      <x:c r="A112" t="n">
        <x:v>111</x:v>
      </x:c>
      <x:c r="B112" t="str">
        <x:v>ND30.N.DIEU.TEN_DIEU.CO_CHU</x:v>
      </x:c>
      <x:c r="C112" t="str">
        <x:v>ND30.N.DIEU.TEN_DIEU</x:v>
      </x:c>
      <x:c r="D112" t="str">
        <x:v>N</x:v>
      </x:c>
      <x:c r="E112" t="str">
        <x:v>Tên điều</x:v>
      </x:c>
      <x:c r="F112" t="str">
        <x:v>CO_CHU</x:v>
      </x:c>
      <x:c r="G112" t="n">
        <x:v>14</x:v>
      </x:c>
      <x:c r="H112"/>
      <x:c r="I112" t="str">
        <x:v>UNVERIFIED_ATTRIBUTE</x:v>
      </x:c>
      <x:c r="J112" t="str">
        <x:v>PROFILE_PRESET_UNAPPROVED</x:v>
      </x:c>
      <x:c r="K112" t="str">
        <x:v>Chỉ khi văn bản có phân cấp này; giữ số, tên và thứ bậc thực tế; không tự đánh lại số</x:v>
      </x:c>
      <x:c r="L112" t="str">
        <x:v>Bảo toàn cấu trúc/nội dung; nếu khác loại văn bản, ưu tiên đúng mẫu của loại đó; không sửa khi thiếu căn cứ.</x:v>
      </x:c>
      <x:c r="M112" t="str">
        <x:v>pt</x:v>
      </x:c>
      <x:c r="N112" t="str">
        <x:v>NĐ30, Phụ lục I, Phần I, II.6; V.6</x:v>
      </x:c>
      <x:c r="O112" t="str">
        <x:v>https://congbao.chinhphu.vn/van-ban/nghi-dinh-so-30-2020-nd-cp-30858/30246.htm</x:v>
      </x:c>
      <x:c r="P112" t="str">
        <x:v>PLUGIN:hoa-tieu-mien-bac-administrative-v1 | user_approved_visual_reference</x:v>
      </x:c>
      <x:c r="Q112" t="str">
        <x:v>CHECK_ONLY</x:v>
      </x:c>
      <x:c r="R112" t="str">
        <x:v>Kiểm tra từng thuộc tính có mặt; so sánh nguồn/role; không suy đoán từ kết quả render chưa có</x:v>
      </x:c>
      <x:c r="S112" t="str">
        <x:v>STRUCTURE_READ_EXISTING_WORKBOOK</x:v>
      </x:c>
      <x:c r="T112"/>
      <x:c r="U112" t="str">
        <x:v>Paragraph/Run theo kiểu khối DIEU; preserve list numbering/table/drawing nếu có</x:v>
      </x:c>
    </x:row>
    <x:row r="113">
      <x:c r="A113" t="n">
        <x:v>112</x:v>
      </x:c>
      <x:c r="B113" t="str">
        <x:v>ND30.N.DIEU.TEN_DIEU.DAM</x:v>
      </x:c>
      <x:c r="C113" t="str">
        <x:v>ND30.N.DIEU.TEN_DIEU</x:v>
      </x:c>
      <x:c r="D113" t="str">
        <x:v>N</x:v>
      </x:c>
      <x:c r="E113" t="str">
        <x:v>Tên điều</x:v>
      </x:c>
      <x:c r="F113" t="str">
        <x:v>DAM</x:v>
      </x:c>
      <x:c r="G113" t="str">
        <x:v>CÓ</x:v>
      </x:c>
      <x:c r="H113"/>
      <x:c r="I113" t="str">
        <x:v>UNVERIFIED_ATTRIBUTE</x:v>
      </x:c>
      <x:c r="J113" t="str">
        <x:v>PROFILE_PRESET_UNAPPROVED</x:v>
      </x:c>
      <x:c r="K113" t="str">
        <x:v>Chỉ khi văn bản có phân cấp này; giữ số, tên và thứ bậc thực tế; không tự đánh lại số</x:v>
      </x:c>
      <x:c r="L113" t="str">
        <x:v>Bảo toàn cấu trúc/nội dung; nếu khác loại văn bản, ưu tiên đúng mẫu của loại đó; không sửa khi thiếu căn cứ.</x:v>
      </x:c>
      <x:c r="M113"/>
      <x:c r="N113" t="str">
        <x:v>NĐ30, Phụ lục I, Phần I, II.6; V.6</x:v>
      </x:c>
      <x:c r="O113" t="str">
        <x:v>https://congbao.chinhphu.vn/van-ban/nghi-dinh-so-30-2020-nd-cp-30858/30246.htm</x:v>
      </x:c>
      <x:c r="P113" t="str">
        <x:v>PLUGIN:hoa-tieu-mien-bac-administrative-v1 | user_approved_visual_reference</x:v>
      </x:c>
      <x:c r="Q113" t="str">
        <x:v>CHECK_ONLY</x:v>
      </x:c>
      <x:c r="R113" t="str">
        <x:v>Kiểm tra từng thuộc tính có mặt; so sánh nguồn/role; không suy đoán từ kết quả render chưa có</x:v>
      </x:c>
      <x:c r="S113" t="str">
        <x:v>STRUCTURE_READ_EXISTING_WORKBOOK</x:v>
      </x:c>
      <x:c r="T113"/>
      <x:c r="U113" t="str">
        <x:v>Paragraph/Run theo kiểu khối DIEU; preserve list numbering/table/drawing nếu có</x:v>
      </x:c>
    </x:row>
    <x:row r="114">
      <x:c r="A114" t="n">
        <x:v>113</x:v>
      </x:c>
      <x:c r="B114" t="str">
        <x:v>ND30.N.DIEU.TEN_DIEU.NGHIENG</x:v>
      </x:c>
      <x:c r="C114" t="str">
        <x:v>ND30.N.DIEU.TEN_DIEU</x:v>
      </x:c>
      <x:c r="D114" t="str">
        <x:v>N</x:v>
      </x:c>
      <x:c r="E114" t="str">
        <x:v>Tên điều</x:v>
      </x:c>
      <x:c r="F114" t="str">
        <x:v>NGHIENG</x:v>
      </x:c>
      <x:c r="G114"/>
      <x:c r="H114"/>
      <x:c r="I114" t="str">
        <x:v>UNVERIFIED_ATTRIBUTE</x:v>
      </x:c>
      <x:c r="J114" t="str">
        <x:v>BLOCKED_NO_ATTRIBUTE_VALUE</x:v>
      </x:c>
      <x:c r="K114" t="str">
        <x:v>Chỉ khi văn bản có phân cấp này; giữ số, tên và thứ bậc thực tế; không tự đánh lại số</x:v>
      </x:c>
      <x:c r="L114" t="str">
        <x:v>Bảo toàn cấu trúc/nội dung; nếu khác loại văn bản, ưu tiên đúng mẫu của loại đó; không sửa khi thiếu căn cứ.</x:v>
      </x:c>
      <x:c r="M114"/>
      <x:c r="N114" t="str">
        <x:v>NĐ30, Phụ lục I, Phần I, II.6; V.6</x:v>
      </x:c>
      <x:c r="O114" t="str">
        <x:v>https://congbao.chinhphu.vn/van-ban/nghi-dinh-so-30-2020-nd-cp-30858/30246.htm</x:v>
      </x:c>
      <x:c r="P114" t="str">
        <x:v>PLUGIN:hoa-tieu-mien-bac-administrative-v1 | user_approved_visual_reference</x:v>
      </x:c>
      <x:c r="Q114" t="str">
        <x:v>CHECK_ONLY</x:v>
      </x:c>
      <x:c r="R114" t="str">
        <x:v>Kiểm tra từng thuộc tính có mặt; so sánh nguồn/role; không suy đoán từ kết quả render chưa có</x:v>
      </x:c>
      <x:c r="S114" t="str">
        <x:v>RULE_INFERENCE_NOT_MEASURED</x:v>
      </x:c>
      <x:c r="T114" t="str">
        <x:v>Xác minh căn cứ theo loại văn bản / tài liệu phát hành hoặc phê duyệt</x:v>
      </x:c>
      <x:c r="U114" t="str">
        <x:v>Paragraph/Run theo kiểu khối DIEU; preserve list numbering/table/drawing nếu có</x:v>
      </x:c>
    </x:row>
    <x:row r="115">
      <x:c r="A115" t="n">
        <x:v>114</x:v>
      </x:c>
      <x:c r="B115" t="str">
        <x:v>ND30.N.DIEU.TEN_DIEU.KIEU_CHU</x:v>
      </x:c>
      <x:c r="C115" t="str">
        <x:v>ND30.N.DIEU.TEN_DIEU</x:v>
      </x:c>
      <x:c r="D115" t="str">
        <x:v>N</x:v>
      </x:c>
      <x:c r="E115" t="str">
        <x:v>Tên điều</x:v>
      </x:c>
      <x:c r="F115" t="str">
        <x:v>KIEU_CHU</x:v>
      </x:c>
      <x:c r="G115" t="str">
        <x:v>In thường</x:v>
      </x:c>
      <x:c r="H115"/>
      <x:c r="I115" t="str">
        <x:v>UNVERIFIED_ATTRIBUTE</x:v>
      </x:c>
      <x:c r="J115" t="str">
        <x:v>PROFILE_PRESET_UNAPPROVED</x:v>
      </x:c>
      <x:c r="K115" t="str">
        <x:v>Chỉ khi văn bản có phân cấp này; giữ số, tên và thứ bậc thực tế; không tự đánh lại số</x:v>
      </x:c>
      <x:c r="L115" t="str">
        <x:v>Bảo toàn cấu trúc/nội dung; nếu khác loại văn bản, ưu tiên đúng mẫu của loại đó; không sửa khi thiếu căn cứ.</x:v>
      </x:c>
      <x:c r="M115"/>
      <x:c r="N115" t="str">
        <x:v>NĐ30, Phụ lục I, Phần I, II.6; V.6</x:v>
      </x:c>
      <x:c r="O115" t="str">
        <x:v>https://congbao.chinhphu.vn/van-ban/nghi-dinh-so-30-2020-nd-cp-30858/30246.htm</x:v>
      </x:c>
      <x:c r="P115" t="str">
        <x:v>PLUGIN:hoa-tieu-mien-bac-administrative-v1 | user_approved_visual_reference</x:v>
      </x:c>
      <x:c r="Q115" t="str">
        <x:v>CHECK_ONLY</x:v>
      </x:c>
      <x:c r="R115" t="str">
        <x:v>Kiểm tra từng thuộc tính có mặt; so sánh nguồn/role; không suy đoán từ kết quả render chưa có</x:v>
      </x:c>
      <x:c r="S115" t="str">
        <x:v>STRUCTURE_READ_EXISTING_WORKBOOK</x:v>
      </x:c>
      <x:c r="T115"/>
      <x:c r="U115" t="str">
        <x:v>Paragraph/Run theo kiểu khối DIEU; preserve list numbering/table/drawing nếu có</x:v>
      </x:c>
    </x:row>
    <x:row r="116">
      <x:c r="A116" t="n">
        <x:v>115</x:v>
      </x:c>
      <x:c r="B116" t="str">
        <x:v>ND30.N.DIEU.TEN_DIEU.CAN_NGANG</x:v>
      </x:c>
      <x:c r="C116" t="str">
        <x:v>ND30.N.DIEU.TEN_DIEU</x:v>
      </x:c>
      <x:c r="D116" t="str">
        <x:v>N</x:v>
      </x:c>
      <x:c r="E116" t="str">
        <x:v>Tên điều</x:v>
      </x:c>
      <x:c r="F116" t="str">
        <x:v>CAN_NGANG</x:v>
      </x:c>
      <x:c r="G116" t="str">
        <x:v>JUSTIFY</x:v>
      </x:c>
      <x:c r="H116"/>
      <x:c r="I116" t="str">
        <x:v>UNVERIFIED_ATTRIBUTE</x:v>
      </x:c>
      <x:c r="J116" t="str">
        <x:v>PROFILE_PRESET_UNAPPROVED</x:v>
      </x:c>
      <x:c r="K116" t="str">
        <x:v>Chỉ khi văn bản có phân cấp này; giữ số, tên và thứ bậc thực tế; không tự đánh lại số</x:v>
      </x:c>
      <x:c r="L116" t="str">
        <x:v>Bảo toàn cấu trúc/nội dung; nếu khác loại văn bản, ưu tiên đúng mẫu của loại đó; không sửa khi thiếu căn cứ.</x:v>
      </x:c>
      <x:c r="M116"/>
      <x:c r="N116" t="str">
        <x:v>NĐ30, Phụ lục I, Phần I, II.6; V.6</x:v>
      </x:c>
      <x:c r="O116" t="str">
        <x:v>https://congbao.chinhphu.vn/van-ban/nghi-dinh-so-30-2020-nd-cp-30858/30246.htm</x:v>
      </x:c>
      <x:c r="P116" t="str">
        <x:v>PLUGIN:hoa-tieu-mien-bac-administrative-v1 | user_approved_visual_reference</x:v>
      </x:c>
      <x:c r="Q116" t="str">
        <x:v>CHECK_ONLY</x:v>
      </x:c>
      <x:c r="R116" t="str">
        <x:v>Kiểm tra từng thuộc tính có mặt; so sánh nguồn/role; không suy đoán từ kết quả render chưa có</x:v>
      </x:c>
      <x:c r="S116" t="str">
        <x:v>STRUCTURE_READ_EXISTING_WORKBOOK</x:v>
      </x:c>
      <x:c r="T116"/>
      <x:c r="U116" t="str">
        <x:v>Paragraph/Run theo kiểu khối DIEU; preserve list numbering/table/drawing nếu có</x:v>
      </x:c>
    </x:row>
    <x:row r="117">
      <x:c r="A117" t="n">
        <x:v>116</x:v>
      </x:c>
      <x:c r="B117" t="str">
        <x:v>ND30.N.DIEU.TEN_DIEU.GIAN_DONG</x:v>
      </x:c>
      <x:c r="C117" t="str">
        <x:v>ND30.N.DIEU.TEN_DIEU</x:v>
      </x:c>
      <x:c r="D117" t="str">
        <x:v>N</x:v>
      </x:c>
      <x:c r="E117" t="str">
        <x:v>Tên điều</x:v>
      </x:c>
      <x:c r="F117" t="str">
        <x:v>GIAN_DONG</x:v>
      </x:c>
      <x:c r="G117" t="n">
        <x:v>19</x:v>
      </x:c>
      <x:c r="H117"/>
      <x:c r="I117" t="str">
        <x:v>UNVERIFIED_ATTRIBUTE</x:v>
      </x:c>
      <x:c r="J117" t="str">
        <x:v>PROFILE_PRESET_UNAPPROVED</x:v>
      </x:c>
      <x:c r="K117" t="str">
        <x:v>Chỉ khi văn bản có phân cấp này; giữ số, tên và thứ bậc thực tế; không tự đánh lại số</x:v>
      </x:c>
      <x:c r="L117" t="str">
        <x:v>Bảo toàn cấu trúc/nội dung; nếu khác loại văn bản, ưu tiên đúng mẫu của loại đó; không sửa khi thiếu căn cứ.</x:v>
      </x:c>
      <x:c r="M117" t="str">
        <x:v>pt</x:v>
      </x:c>
      <x:c r="N117" t="str">
        <x:v>NĐ30, Phụ lục I, Phần I, II.6; V.6</x:v>
      </x:c>
      <x:c r="O117" t="str">
        <x:v>https://congbao.chinhphu.vn/van-ban/nghi-dinh-so-30-2020-nd-cp-30858/30246.htm</x:v>
      </x:c>
      <x:c r="P117" t="str">
        <x:v>PLUGIN:hoa-tieu-mien-bac-administrative-v1 | user_approved_visual_reference</x:v>
      </x:c>
      <x:c r="Q117" t="str">
        <x:v>CHECK_ONLY</x:v>
      </x:c>
      <x:c r="R117" t="str">
        <x:v>Kiểm tra từng thuộc tính có mặt; so sánh nguồn/role; không suy đoán từ kết quả render chưa có</x:v>
      </x:c>
      <x:c r="S117" t="str">
        <x:v>STRUCTURE_READ_EXISTING_WORKBOOK</x:v>
      </x:c>
      <x:c r="T117"/>
      <x:c r="U117" t="str">
        <x:v>Paragraph/Run theo kiểu khối DIEU; preserve list numbering/table/drawing nếu có</x:v>
      </x:c>
    </x:row>
    <x:row r="118">
      <x:c r="A118" t="n">
        <x:v>117</x:v>
      </x:c>
      <x:c r="B118" t="str">
        <x:v>ND30.N.DIEU.TEN_DIEU.CACH_TRUOC</x:v>
      </x:c>
      <x:c r="C118" t="str">
        <x:v>ND30.N.DIEU.TEN_DIEU</x:v>
      </x:c>
      <x:c r="D118" t="str">
        <x:v>N</x:v>
      </x:c>
      <x:c r="E118" t="str">
        <x:v>Tên điều</x:v>
      </x:c>
      <x:c r="F118" t="str">
        <x:v>CACH_TRUOC</x:v>
      </x:c>
      <x:c r="G118" t="n">
        <x:v>0</x:v>
      </x:c>
      <x:c r="H118"/>
      <x:c r="I118" t="str">
        <x:v>UNVERIFIED_ATTRIBUTE</x:v>
      </x:c>
      <x:c r="J118" t="str">
        <x:v>PROFILE_PRESET_UNAPPROVED</x:v>
      </x:c>
      <x:c r="K118" t="str">
        <x:v>Chỉ khi văn bản có phân cấp này; giữ số, tên và thứ bậc thực tế; không tự đánh lại số</x:v>
      </x:c>
      <x:c r="L118" t="str">
        <x:v>Bảo toàn cấu trúc/nội dung; nếu khác loại văn bản, ưu tiên đúng mẫu của loại đó; không sửa khi thiếu căn cứ.</x:v>
      </x:c>
      <x:c r="M118" t="str">
        <x:v>pt</x:v>
      </x:c>
      <x:c r="N118" t="str">
        <x:v>NĐ30, Phụ lục I, Phần I, II.6; V.6</x:v>
      </x:c>
      <x:c r="O118" t="str">
        <x:v>https://congbao.chinhphu.vn/van-ban/nghi-dinh-so-30-2020-nd-cp-30858/30246.htm</x:v>
      </x:c>
      <x:c r="P118" t="str">
        <x:v>PLUGIN:hoa-tieu-mien-bac-administrative-v1 | user_approved_visual_reference</x:v>
      </x:c>
      <x:c r="Q118" t="str">
        <x:v>CHECK_ONLY</x:v>
      </x:c>
      <x:c r="R118" t="str">
        <x:v>Kiểm tra từng thuộc tính có mặt; so sánh nguồn/role; không suy đoán từ kết quả render chưa có</x:v>
      </x:c>
      <x:c r="S118" t="str">
        <x:v>STRUCTURE_READ_EXISTING_WORKBOOK</x:v>
      </x:c>
      <x:c r="T118"/>
      <x:c r="U118" t="str">
        <x:v>Paragraph/Run theo kiểu khối DIEU; preserve list numbering/table/drawing nếu có</x:v>
      </x:c>
    </x:row>
    <x:row r="119">
      <x:c r="A119" t="n">
        <x:v>118</x:v>
      </x:c>
      <x:c r="B119" t="str">
        <x:v>ND30.N.DIEU.TEN_DIEU.CACH_SAU</x:v>
      </x:c>
      <x:c r="C119" t="str">
        <x:v>ND30.N.DIEU.TEN_DIEU</x:v>
      </x:c>
      <x:c r="D119" t="str">
        <x:v>N</x:v>
      </x:c>
      <x:c r="E119" t="str">
        <x:v>Tên điều</x:v>
      </x:c>
      <x:c r="F119" t="str">
        <x:v>CACH_SAU</x:v>
      </x:c>
      <x:c r="G119" t="n">
        <x:v>6</x:v>
      </x:c>
      <x:c r="H119"/>
      <x:c r="I119" t="str">
        <x:v>UNVERIFIED_ATTRIBUTE</x:v>
      </x:c>
      <x:c r="J119" t="str">
        <x:v>PROFILE_PRESET_UNAPPROVED</x:v>
      </x:c>
      <x:c r="K119" t="str">
        <x:v>Chỉ khi văn bản có phân cấp này; giữ số, tên và thứ bậc thực tế; không tự đánh lại số</x:v>
      </x:c>
      <x:c r="L119" t="str">
        <x:v>Bảo toàn cấu trúc/nội dung; nếu khác loại văn bản, ưu tiên đúng mẫu của loại đó; không sửa khi thiếu căn cứ.</x:v>
      </x:c>
      <x:c r="M119" t="str">
        <x:v>pt</x:v>
      </x:c>
      <x:c r="N119" t="str">
        <x:v>NĐ30, Phụ lục I, Phần I, II.6; V.6</x:v>
      </x:c>
      <x:c r="O119" t="str">
        <x:v>https://congbao.chinhphu.vn/van-ban/nghi-dinh-so-30-2020-nd-cp-30858/30246.htm</x:v>
      </x:c>
      <x:c r="P119" t="str">
        <x:v>PLUGIN:hoa-tieu-mien-bac-administrative-v1 | user_approved_visual_reference</x:v>
      </x:c>
      <x:c r="Q119" t="str">
        <x:v>CHECK_ONLY</x:v>
      </x:c>
      <x:c r="R119" t="str">
        <x:v>Kiểm tra từng thuộc tính có mặt; so sánh nguồn/role; không suy đoán từ kết quả render chưa có</x:v>
      </x:c>
      <x:c r="S119" t="str">
        <x:v>STRUCTURE_READ_EXISTING_WORKBOOK</x:v>
      </x:c>
      <x:c r="T119"/>
      <x:c r="U119" t="str">
        <x:v>Paragraph/Run theo kiểu khối DIEU; preserve list numbering/table/drawing nếu có</x:v>
      </x:c>
    </x:row>
    <x:row r="120">
      <x:c r="A120" t="n">
        <x:v>119</x:v>
      </x:c>
      <x:c r="B120" t="str">
        <x:v>ND30.N.DIEU.TEN_DIEU.THUT_DONG_DAU</x:v>
      </x:c>
      <x:c r="C120" t="str">
        <x:v>ND30.N.DIEU.TEN_DIEU</x:v>
      </x:c>
      <x:c r="D120" t="str">
        <x:v>N</x:v>
      </x:c>
      <x:c r="E120" t="str">
        <x:v>Tên điều</x:v>
      </x:c>
      <x:c r="F120" t="str">
        <x:v>THUT_DONG_DAU</x:v>
      </x:c>
      <x:c r="G120" t="n">
        <x:v>12.7</x:v>
      </x:c>
      <x:c r="H120"/>
      <x:c r="I120" t="str">
        <x:v>UNVERIFIED_ATTRIBUTE</x:v>
      </x:c>
      <x:c r="J120" t="str">
        <x:v>PROFILE_PRESET_UNAPPROVED</x:v>
      </x:c>
      <x:c r="K120" t="str">
        <x:v>Chỉ khi văn bản có phân cấp này; giữ số, tên và thứ bậc thực tế; không tự đánh lại số</x:v>
      </x:c>
      <x:c r="L120" t="str">
        <x:v>Bảo toàn cấu trúc/nội dung; nếu khác loại văn bản, ưu tiên đúng mẫu của loại đó; không sửa khi thiếu căn cứ.</x:v>
      </x:c>
      <x:c r="M120" t="str">
        <x:v>mm</x:v>
      </x:c>
      <x:c r="N120" t="str">
        <x:v>NĐ30, Phụ lục I, Phần I, II.6; V.6</x:v>
      </x:c>
      <x:c r="O120" t="str">
        <x:v>https://congbao.chinhphu.vn/van-ban/nghi-dinh-so-30-2020-nd-cp-30858/30246.htm</x:v>
      </x:c>
      <x:c r="P120" t="str">
        <x:v>PLUGIN:hoa-tieu-mien-bac-administrative-v1 | user_approved_visual_reference</x:v>
      </x:c>
      <x:c r="Q120" t="str">
        <x:v>CHECK_ONLY</x:v>
      </x:c>
      <x:c r="R120" t="str">
        <x:v>Kiểm tra từng thuộc tính có mặt; so sánh nguồn/role; không suy đoán từ kết quả render chưa có</x:v>
      </x:c>
      <x:c r="S120" t="str">
        <x:v>STRUCTURE_READ_EXISTING_WORKBOOK</x:v>
      </x:c>
      <x:c r="T120"/>
      <x:c r="U120" t="str">
        <x:v>Paragraph/Run theo kiểu khối DIEU; preserve list numbering/table/drawing nếu có</x:v>
      </x:c>
    </x:row>
    <x:row r="121">
      <x:c r="A121" t="n">
        <x:v>120</x:v>
      </x:c>
      <x:c r="B121" t="str">
        <x:v>ND30.N.DIEU.TEN_DIEU.KEEP_NEXT</x:v>
      </x:c>
      <x:c r="C121" t="str">
        <x:v>ND30.N.DIEU.TEN_DIEU</x:v>
      </x:c>
      <x:c r="D121" t="str">
        <x:v>N</x:v>
      </x:c>
      <x:c r="E121" t="str">
        <x:v>Tên điều</x:v>
      </x:c>
      <x:c r="F121" t="str">
        <x:v>KEEP_NEXT</x:v>
      </x:c>
      <x:c r="G121"/>
      <x:c r="H121"/>
      <x:c r="I121" t="str">
        <x:v>UNVERIFIED_ATTRIBUTE</x:v>
      </x:c>
      <x:c r="J121" t="str">
        <x:v>BLOCKED_NO_ATTRIBUTE_VALUE</x:v>
      </x:c>
      <x:c r="K121" t="str">
        <x:v>Chỉ khi văn bản có phân cấp này; giữ số, tên và thứ bậc thực tế; không tự đánh lại số</x:v>
      </x:c>
      <x:c r="L121" t="str">
        <x:v>Bảo toàn cấu trúc/nội dung; nếu khác loại văn bản, ưu tiên đúng mẫu của loại đó; không sửa khi thiếu căn cứ.</x:v>
      </x:c>
      <x:c r="M121"/>
      <x:c r="N121" t="str">
        <x:v>NĐ30, Phụ lục I, Phần I, II.6; V.6</x:v>
      </x:c>
      <x:c r="O121" t="str">
        <x:v>https://congbao.chinhphu.vn/van-ban/nghi-dinh-so-30-2020-nd-cp-30858/30246.htm</x:v>
      </x:c>
      <x:c r="P121" t="str">
        <x:v>PLUGIN:hoa-tieu-mien-bac-administrative-v1 | user_approved_visual_reference</x:v>
      </x:c>
      <x:c r="Q121" t="str">
        <x:v>CHECK_ONLY</x:v>
      </x:c>
      <x:c r="R121" t="str">
        <x:v>Kiểm tra từng thuộc tính có mặt; so sánh nguồn/role; không suy đoán từ kết quả render chưa có</x:v>
      </x:c>
      <x:c r="S121" t="str">
        <x:v>RULE_INFERENCE_NOT_MEASURED</x:v>
      </x:c>
      <x:c r="T121" t="str">
        <x:v>Xác minh căn cứ theo loại văn bản / tài liệu phát hành hoặc phê duyệt</x:v>
      </x:c>
      <x:c r="U121" t="str">
        <x:v>Paragraph/Run theo kiểu khối DIEU; preserve list numbering/table/drawing nếu có</x:v>
      </x:c>
    </x:row>
    <x:row r="122">
      <x:c r="A122" t="n">
        <x:v>121</x:v>
      </x:c>
      <x:c r="B122" t="str">
        <x:v>ND30.N.DIEU.TEN_DIEU.SO_THU_TU</x:v>
      </x:c>
      <x:c r="C122" t="str">
        <x:v>ND30.N.DIEU.TEN_DIEU</x:v>
      </x:c>
      <x:c r="D122" t="str">
        <x:v>N</x:v>
      </x:c>
      <x:c r="E122" t="str">
        <x:v>Tên điều</x:v>
      </x:c>
      <x:c r="F122" t="str">
        <x:v>SO_THU_TU</x:v>
      </x:c>
      <x:c r="G122"/>
      <x:c r="H122"/>
      <x:c r="I122" t="str">
        <x:v>UNVERIFIED_ATTRIBUTE</x:v>
      </x:c>
      <x:c r="J122" t="str">
        <x:v>BLOCKED_NO_ATTRIBUTE_VALUE</x:v>
      </x:c>
      <x:c r="K122" t="str">
        <x:v>Chỉ khi văn bản có phân cấp này; giữ số, tên và thứ bậc thực tế; không tự đánh lại số</x:v>
      </x:c>
      <x:c r="L122" t="str">
        <x:v>Bảo toàn cấu trúc/nội dung; nếu khác loại văn bản, ưu tiên đúng mẫu của loại đó; không sửa khi thiếu căn cứ.</x:v>
      </x:c>
      <x:c r="M122"/>
      <x:c r="N122" t="str">
        <x:v>NĐ30, Phụ lục I, Phần I, II.6; V.6</x:v>
      </x:c>
      <x:c r="O122" t="str">
        <x:v>https://congbao.chinhphu.vn/van-ban/nghi-dinh-so-30-2020-nd-cp-30858/30246.htm</x:v>
      </x:c>
      <x:c r="P122" t="str">
        <x:v>PLUGIN:hoa-tieu-mien-bac-administrative-v1 | user_approved_visual_reference</x:v>
      </x:c>
      <x:c r="Q122" t="str">
        <x:v>CHECK_ONLY</x:v>
      </x:c>
      <x:c r="R122" t="str">
        <x:v>Kiểm tra từng thuộc tính có mặt; so sánh nguồn/role; không suy đoán từ kết quả render chưa có</x:v>
      </x:c>
      <x:c r="S122" t="str">
        <x:v>RULE_INFERENCE_NOT_MEASURED</x:v>
      </x:c>
      <x:c r="T122" t="str">
        <x:v>Xác minh căn cứ theo loại văn bản / tài liệu phát hành hoặc phê duyệt</x:v>
      </x:c>
      <x:c r="U122" t="str">
        <x:v>Paragraph/Run theo kiểu khối DIEU; preserve list numbering/table/drawing nếu có</x:v>
      </x:c>
    </x:row>
    <x:row r="123">
      <x:c r="A123" t="n">
        <x:v>122</x:v>
      </x:c>
      <x:c r="B123" t="str">
        <x:v>ND30.N.DIEU.TEN_DIEU.CAU_TRUC</x:v>
      </x:c>
      <x:c r="C123" t="str">
        <x:v>ND30.N.DIEU.TEN_DIEU</x:v>
      </x:c>
      <x:c r="D123" t="str">
        <x:v>N</x:v>
      </x:c>
      <x:c r="E123" t="str">
        <x:v>Tên điều</x:v>
      </x:c>
      <x:c r="F123" t="str">
        <x:v>CAU_TRUC</x:v>
      </x:c>
      <x:c r="G123"/>
      <x:c r="H123"/>
      <x:c r="I123" t="str">
        <x:v>UNVERIFIED_ATTRIBUTE</x:v>
      </x:c>
      <x:c r="J123" t="str">
        <x:v>BLOCKED_NO_ATTRIBUTE_VALUE</x:v>
      </x:c>
      <x:c r="K123" t="str">
        <x:v>Chỉ khi văn bản có phân cấp này; giữ số, tên và thứ bậc thực tế; không tự đánh lại số</x:v>
      </x:c>
      <x:c r="L123" t="str">
        <x:v>Bảo toàn cấu trúc/nội dung; nếu khác loại văn bản, ưu tiên đúng mẫu của loại đó; không sửa khi thiếu căn cứ.</x:v>
      </x:c>
      <x:c r="M123"/>
      <x:c r="N123" t="str">
        <x:v>NĐ30, Phụ lục I, Phần I, II.6; V.6</x:v>
      </x:c>
      <x:c r="O123" t="str">
        <x:v>https://congbao.chinhphu.vn/van-ban/nghi-dinh-so-30-2020-nd-cp-30858/30246.htm</x:v>
      </x:c>
      <x:c r="P123" t="str">
        <x:v>PLUGIN:hoa-tieu-mien-bac-administrative-v1 | user_approved_visual_reference</x:v>
      </x:c>
      <x:c r="Q123" t="str">
        <x:v>CHECK_ONLY</x:v>
      </x:c>
      <x:c r="R123" t="str">
        <x:v>Kiểm tra từng thuộc tính có mặt; so sánh nguồn/role; không suy đoán từ kết quả render chưa có</x:v>
      </x:c>
      <x:c r="S123" t="str">
        <x:v>RULE_INFERENCE_NOT_MEASURED</x:v>
      </x:c>
      <x:c r="T123" t="str">
        <x:v>Xác minh căn cứ theo loại văn bản / tài liệu phát hành hoặc phê duyệt</x:v>
      </x:c>
      <x:c r="U123" t="str">
        <x:v>Paragraph/Run theo kiểu khối DIEU; preserve list numbering/table/drawing nếu có</x:v>
      </x:c>
    </x:row>
    <x:row r="124">
      <x:c r="A124" t="n">
        <x:v>123</x:v>
      </x:c>
      <x:c r="B124" t="str">
        <x:v>ND30.N.DIEU.TEN_DIEU.DAU_CAU</x:v>
      </x:c>
      <x:c r="C124" t="str">
        <x:v>ND30.N.DIEU.TEN_DIEU</x:v>
      </x:c>
      <x:c r="D124" t="str">
        <x:v>N</x:v>
      </x:c>
      <x:c r="E124" t="str">
        <x:v>Tên điều</x:v>
      </x:c>
      <x:c r="F124" t="str">
        <x:v>DAU_CAU</x:v>
      </x:c>
      <x:c r="G124"/>
      <x:c r="H124"/>
      <x:c r="I124" t="str">
        <x:v>UNVERIFIED_ATTRIBUTE</x:v>
      </x:c>
      <x:c r="J124" t="str">
        <x:v>BLOCKED_NO_ATTRIBUTE_VALUE</x:v>
      </x:c>
      <x:c r="K124" t="str">
        <x:v>Chỉ khi văn bản có phân cấp này; giữ số, tên và thứ bậc thực tế; không tự đánh lại số</x:v>
      </x:c>
      <x:c r="L124" t="str">
        <x:v>Bảo toàn cấu trúc/nội dung; nếu khác loại văn bản, ưu tiên đúng mẫu của loại đó; không sửa khi thiếu căn cứ.</x:v>
      </x:c>
      <x:c r="M124"/>
      <x:c r="N124" t="str">
        <x:v>NĐ30, Phụ lục I, Phần I, II.6; V.6</x:v>
      </x:c>
      <x:c r="O124" t="str">
        <x:v>https://congbao.chinhphu.vn/van-ban/nghi-dinh-so-30-2020-nd-cp-30858/30246.htm</x:v>
      </x:c>
      <x:c r="P124" t="str">
        <x:v>PLUGIN:hoa-tieu-mien-bac-administrative-v1 | user_approved_visual_reference</x:v>
      </x:c>
      <x:c r="Q124" t="str">
        <x:v>CHECK_ONLY</x:v>
      </x:c>
      <x:c r="R124" t="str">
        <x:v>Kiểm tra từng thuộc tính có mặt; so sánh nguồn/role; không suy đoán từ kết quả render chưa có</x:v>
      </x:c>
      <x:c r="S124" t="str">
        <x:v>RULE_INFERENCE_NOT_MEASURED</x:v>
      </x:c>
      <x:c r="T124" t="str">
        <x:v>Xác minh căn cứ theo loại văn bản / tài liệu phát hành hoặc phê duyệt</x:v>
      </x:c>
      <x:c r="U124" t="str">
        <x:v>Paragraph/Run theo kiểu khối DIEU; preserve list numbering/table/drawing nếu có</x:v>
      </x:c>
    </x:row>
    <x:row r="125">
      <x:c r="A125" t="n">
        <x:v>124</x:v>
      </x:c>
      <x:c r="B125" t="str">
        <x:v>ND30.N.DIEU.NOI_DUNG_DIEU.HIEN_DIEN</x:v>
      </x:c>
      <x:c r="C125" t="str">
        <x:v>ND30.N.DIEU.NOI_DUNG_DIEU</x:v>
      </x:c>
      <x:c r="D125" t="str">
        <x:v>N</x:v>
      </x:c>
      <x:c r="E125" t="str">
        <x:v>Nội dung điều</x:v>
      </x:c>
      <x:c r="F125" t="str">
        <x:v>HIEN_DIEN</x:v>
      </x:c>
      <x:c r="G125" t="str">
        <x:v>Theo loại văn bản và sự hiện diện thực tế; không áp dụng đồng loạt</x:v>
      </x:c>
      <x:c r="H125"/>
      <x:c r="I125" t="str">
        <x:v>UNVERIFIED_ATTRIBUTE</x:v>
      </x:c>
      <x:c r="J125" t="str">
        <x:v>SOURCE_DESCRIPTION_NOT_APPROVAL</x:v>
      </x:c>
      <x:c r="K125" t="str">
        <x:v>Chỉ khi văn bản có phân cấp này; giữ số, tên và thứ bậc thực tế; không tự đánh lại số</x:v>
      </x:c>
      <x:c r="L125" t="str">
        <x:v>Bảo toàn cấu trúc/nội dung; nếu khác loại văn bản, ưu tiên đúng mẫu của loại đó; không sửa khi thiếu căn cứ.</x:v>
      </x:c>
      <x:c r="M125"/>
      <x:c r="N125" t="str">
        <x:v>NĐ30, Phụ lục I, Phần I, II.6; V.6</x:v>
      </x:c>
      <x:c r="O125" t="str">
        <x:v>https://congbao.chinhphu.vn/van-ban/nghi-dinh-so-30-2020-nd-cp-30858/30246.htm</x:v>
      </x:c>
      <x:c r="P125" t="str">
        <x:v>PLUGIN:hoa-tieu-mien-bac-administrative-v1 | user_approved_visual_reference</x:v>
      </x:c>
      <x:c r="Q125" t="str">
        <x:v>CHECK_ONLY</x:v>
      </x:c>
      <x:c r="R125" t="str">
        <x:v>Kiểm tra từng thuộc tính có mặt; so sánh nguồn/role; không suy đoán từ kết quả render chưa có</x:v>
      </x:c>
      <x:c r="S125" t="str">
        <x:v>STRUCTURE_READ_EXISTING_WORKBOOK</x:v>
      </x:c>
      <x:c r="T125"/>
      <x:c r="U125" t="str">
        <x:v>Paragraph/Run theo kiểu khối DIEU; preserve list numbering/table/drawing nếu có</x:v>
      </x:c>
    </x:row>
    <x:row r="126">
      <x:c r="A126" t="n">
        <x:v>125</x:v>
      </x:c>
      <x:c r="B126" t="str">
        <x:v>ND30.N.DIEU.NOI_DUNG_DIEU.NOI_DUNG</x:v>
      </x:c>
      <x:c r="C126" t="str">
        <x:v>ND30.N.DIEU.NOI_DUNG_DIEU</x:v>
      </x:c>
      <x:c r="D126" t="str">
        <x:v>N</x:v>
      </x:c>
      <x:c r="E126" t="str">
        <x:v>Nội dung điều</x:v>
      </x:c>
      <x:c r="F126" t="str">
        <x:v>NOI_DUNG</x:v>
      </x:c>
      <x:c r="G126" t="str">
        <x:v>Lời văn sau tên điều theo style body đã xác minh</x:v>
      </x:c>
      <x:c r="H126"/>
      <x:c r="I126" t="str">
        <x:v>UNVERIFIED_ATTRIBUTE</x:v>
      </x:c>
      <x:c r="J126" t="str">
        <x:v>SOURCE_DESCRIPTION_NOT_APPROVAL</x:v>
      </x:c>
      <x:c r="K126" t="str">
        <x:v>Chỉ khi văn bản có phân cấp này; giữ số, tên và thứ bậc thực tế; không tự đánh lại số</x:v>
      </x:c>
      <x:c r="L126" t="str">
        <x:v>Bảo toàn cấu trúc/nội dung; nếu khác loại văn bản, ưu tiên đúng mẫu của loại đó; không sửa khi thiếu căn cứ.</x:v>
      </x:c>
      <x:c r="M126"/>
      <x:c r="N126" t="str">
        <x:v>NĐ30, Phụ lục I, Phần I, II.6; V.6</x:v>
      </x:c>
      <x:c r="O126" t="str">
        <x:v>https://congbao.chinhphu.vn/van-ban/nghi-dinh-so-30-2020-nd-cp-30858/30246.htm</x:v>
      </x:c>
      <x:c r="P126" t="str">
        <x:v>PLUGIN:hoa-tieu-mien-bac-administrative-v1 | user_approved_visual_reference</x:v>
      </x:c>
      <x:c r="Q126" t="str">
        <x:v>CHECK_ONLY</x:v>
      </x:c>
      <x:c r="R126" t="str">
        <x:v>Kiểm tra từng thuộc tính có mặt; so sánh nguồn/role; không suy đoán từ kết quả render chưa có</x:v>
      </x:c>
      <x:c r="S126" t="str">
        <x:v>STRUCTURE_READ_EXISTING_WORKBOOK</x:v>
      </x:c>
      <x:c r="T126"/>
      <x:c r="U126" t="str">
        <x:v>Paragraph/Run theo kiểu khối DIEU; preserve list numbering/table/drawing nếu có</x:v>
      </x:c>
    </x:row>
    <x:row r="127">
      <x:c r="A127" t="n">
        <x:v>126</x:v>
      </x:c>
      <x:c r="B127" t="str">
        <x:v>ND30.N.DIEU.NOI_DUNG_DIEU.PHONG_CHU</x:v>
      </x:c>
      <x:c r="C127" t="str">
        <x:v>ND30.N.DIEU.NOI_DUNG_DIEU</x:v>
      </x:c>
      <x:c r="D127" t="str">
        <x:v>N</x:v>
      </x:c>
      <x:c r="E127" t="str">
        <x:v>Nội dung điều</x:v>
      </x:c>
      <x:c r="F127" t="str">
        <x:v>PHONG_CHU</x:v>
      </x:c>
      <x:c r="G127" t="str">
        <x:v>Times New Roman</x:v>
      </x:c>
      <x:c r="H127"/>
      <x:c r="I127" t="str">
        <x:v>UNVERIFIED_ATTRIBUTE</x:v>
      </x:c>
      <x:c r="J127" t="str">
        <x:v>PROFILE_PRESET_UNAPPROVED</x:v>
      </x:c>
      <x:c r="K127" t="str">
        <x:v>Chỉ khi văn bản có phân cấp này; giữ số, tên và thứ bậc thực tế; không tự đánh lại số</x:v>
      </x:c>
      <x:c r="L127" t="str">
        <x:v>Bảo toàn cấu trúc/nội dung; nếu khác loại văn bản, ưu tiên đúng mẫu của loại đó; không sửa khi thiếu căn cứ.</x:v>
      </x:c>
      <x:c r="M127"/>
      <x:c r="N127" t="str">
        <x:v>NĐ30, Phụ lục I, Phần I, II.6; V.6</x:v>
      </x:c>
      <x:c r="O127" t="str">
        <x:v>https://congbao.chinhphu.vn/van-ban/nghi-dinh-so-30-2020-nd-cp-30858/30246.htm</x:v>
      </x:c>
      <x:c r="P127" t="str">
        <x:v>PLUGIN:hoa-tieu-mien-bac-administrative-v1 | user_approved_visual_reference</x:v>
      </x:c>
      <x:c r="Q127" t="str">
        <x:v>CHECK_ONLY</x:v>
      </x:c>
      <x:c r="R127" t="str">
        <x:v>Kiểm tra từng thuộc tính có mặt; so sánh nguồn/role; không suy đoán từ kết quả render chưa có</x:v>
      </x:c>
      <x:c r="S127" t="str">
        <x:v>STRUCTURE_READ_EXISTING_WORKBOOK</x:v>
      </x:c>
      <x:c r="T127"/>
      <x:c r="U127" t="str">
        <x:v>Paragraph/Run theo kiểu khối DIEU; preserve list numbering/table/drawing nếu có</x:v>
      </x:c>
    </x:row>
    <x:row r="128">
      <x:c r="A128" t="n">
        <x:v>127</x:v>
      </x:c>
      <x:c r="B128" t="str">
        <x:v>ND30.N.DIEU.NOI_DUNG_DIEU.CO_CHU</x:v>
      </x:c>
      <x:c r="C128" t="str">
        <x:v>ND30.N.DIEU.NOI_DUNG_DIEU</x:v>
      </x:c>
      <x:c r="D128" t="str">
        <x:v>N</x:v>
      </x:c>
      <x:c r="E128" t="str">
        <x:v>Nội dung điều</x:v>
      </x:c>
      <x:c r="F128" t="str">
        <x:v>CO_CHU</x:v>
      </x:c>
      <x:c r="G128" t="n">
        <x:v>14</x:v>
      </x:c>
      <x:c r="H128"/>
      <x:c r="I128" t="str">
        <x:v>UNVERIFIED_ATTRIBUTE</x:v>
      </x:c>
      <x:c r="J128" t="str">
        <x:v>PROFILE_PRESET_UNAPPROVED</x:v>
      </x:c>
      <x:c r="K128" t="str">
        <x:v>Chỉ khi văn bản có phân cấp này; giữ số, tên và thứ bậc thực tế; không tự đánh lại số</x:v>
      </x:c>
      <x:c r="L128" t="str">
        <x:v>Bảo toàn cấu trúc/nội dung; nếu khác loại văn bản, ưu tiên đúng mẫu của loại đó; không sửa khi thiếu căn cứ.</x:v>
      </x:c>
      <x:c r="M128" t="str">
        <x:v>pt</x:v>
      </x:c>
      <x:c r="N128" t="str">
        <x:v>NĐ30, Phụ lục I, Phần I, II.6; V.6</x:v>
      </x:c>
      <x:c r="O128" t="str">
        <x:v>https://congbao.chinhphu.vn/van-ban/nghi-dinh-so-30-2020-nd-cp-30858/30246.htm</x:v>
      </x:c>
      <x:c r="P128" t="str">
        <x:v>PLUGIN:hoa-tieu-mien-bac-administrative-v1 | user_approved_visual_reference</x:v>
      </x:c>
      <x:c r="Q128" t="str">
        <x:v>CHECK_ONLY</x:v>
      </x:c>
      <x:c r="R128" t="str">
        <x:v>Kiểm tra từng thuộc tính có mặt; so sánh nguồn/role; không suy đoán từ kết quả render chưa có</x:v>
      </x:c>
      <x:c r="S128" t="str">
        <x:v>STRUCTURE_READ_EXISTING_WORKBOOK</x:v>
      </x:c>
      <x:c r="T128"/>
      <x:c r="U128" t="str">
        <x:v>Paragraph/Run theo kiểu khối DIEU; preserve list numbering/table/drawing nếu có</x:v>
      </x:c>
    </x:row>
    <x:row r="129">
      <x:c r="A129" t="n">
        <x:v>128</x:v>
      </x:c>
      <x:c r="B129" t="str">
        <x:v>ND30.N.DIEU.NOI_DUNG_DIEU.DAM</x:v>
      </x:c>
      <x:c r="C129" t="str">
        <x:v>ND30.N.DIEU.NOI_DUNG_DIEU</x:v>
      </x:c>
      <x:c r="D129" t="str">
        <x:v>N</x:v>
      </x:c>
      <x:c r="E129" t="str">
        <x:v>Nội dung điều</x:v>
      </x:c>
      <x:c r="F129" t="str">
        <x:v>DAM</x:v>
      </x:c>
      <x:c r="G129" t="str">
        <x:v>KHÔNG</x:v>
      </x:c>
      <x:c r="H129"/>
      <x:c r="I129" t="str">
        <x:v>UNVERIFIED_ATTRIBUTE</x:v>
      </x:c>
      <x:c r="J129" t="str">
        <x:v>PROFILE_PRESET_UNAPPROVED</x:v>
      </x:c>
      <x:c r="K129" t="str">
        <x:v>Chỉ khi văn bản có phân cấp này; giữ số, tên và thứ bậc thực tế; không tự đánh lại số</x:v>
      </x:c>
      <x:c r="L129" t="str">
        <x:v>Bảo toàn cấu trúc/nội dung; nếu khác loại văn bản, ưu tiên đúng mẫu của loại đó; không sửa khi thiếu căn cứ.</x:v>
      </x:c>
      <x:c r="M129"/>
      <x:c r="N129" t="str">
        <x:v>NĐ30, Phụ lục I, Phần I, II.6; V.6</x:v>
      </x:c>
      <x:c r="O129" t="str">
        <x:v>https://congbao.chinhphu.vn/van-ban/nghi-dinh-so-30-2020-nd-cp-30858/30246.htm</x:v>
      </x:c>
      <x:c r="P129" t="str">
        <x:v>PLUGIN:hoa-tieu-mien-bac-administrative-v1 | user_approved_visual_reference</x:v>
      </x:c>
      <x:c r="Q129" t="str">
        <x:v>CHECK_ONLY</x:v>
      </x:c>
      <x:c r="R129" t="str">
        <x:v>Kiểm tra từng thuộc tính có mặt; so sánh nguồn/role; không suy đoán từ kết quả render chưa có</x:v>
      </x:c>
      <x:c r="S129" t="str">
        <x:v>STRUCTURE_READ_EXISTING_WORKBOOK</x:v>
      </x:c>
      <x:c r="T129"/>
      <x:c r="U129" t="str">
        <x:v>Paragraph/Run theo kiểu khối DIEU; preserve list numbering/table/drawing nếu có</x:v>
      </x:c>
    </x:row>
    <x:row r="130">
      <x:c r="A130" t="n">
        <x:v>129</x:v>
      </x:c>
      <x:c r="B130" t="str">
        <x:v>ND30.N.DIEU.NOI_DUNG_DIEU.NGHIENG</x:v>
      </x:c>
      <x:c r="C130" t="str">
        <x:v>ND30.N.DIEU.NOI_DUNG_DIEU</x:v>
      </x:c>
      <x:c r="D130" t="str">
        <x:v>N</x:v>
      </x:c>
      <x:c r="E130" t="str">
        <x:v>Nội dung điều</x:v>
      </x:c>
      <x:c r="F130" t="str">
        <x:v>NGHIENG</x:v>
      </x:c>
      <x:c r="G130"/>
      <x:c r="H130"/>
      <x:c r="I130" t="str">
        <x:v>UNVERIFIED_ATTRIBUTE</x:v>
      </x:c>
      <x:c r="J130" t="str">
        <x:v>BLOCKED_NO_ATTRIBUTE_VALUE</x:v>
      </x:c>
      <x:c r="K130" t="str">
        <x:v>Chỉ khi văn bản có phân cấp này; giữ số, tên và thứ bậc thực tế; không tự đánh lại số</x:v>
      </x:c>
      <x:c r="L130" t="str">
        <x:v>Bảo toàn cấu trúc/nội dung; nếu khác loại văn bản, ưu tiên đúng mẫu của loại đó; không sửa khi thiếu căn cứ.</x:v>
      </x:c>
      <x:c r="M130"/>
      <x:c r="N130" t="str">
        <x:v>NĐ30, Phụ lục I, Phần I, II.6; V.6</x:v>
      </x:c>
      <x:c r="O130" t="str">
        <x:v>https://congbao.chinhphu.vn/van-ban/nghi-dinh-so-30-2020-nd-cp-30858/30246.htm</x:v>
      </x:c>
      <x:c r="P130" t="str">
        <x:v>PLUGIN:hoa-tieu-mien-bac-administrative-v1 | user_approved_visual_reference</x:v>
      </x:c>
      <x:c r="Q130" t="str">
        <x:v>CHECK_ONLY</x:v>
      </x:c>
      <x:c r="R130" t="str">
        <x:v>Kiểm tra từng thuộc tính có mặt; so sánh nguồn/role; không suy đoán từ kết quả render chưa có</x:v>
      </x:c>
      <x:c r="S130" t="str">
        <x:v>RULE_INFERENCE_NOT_MEASURED</x:v>
      </x:c>
      <x:c r="T130" t="str">
        <x:v>Xác minh căn cứ theo loại văn bản / tài liệu phát hành hoặc phê duyệt</x:v>
      </x:c>
      <x:c r="U130" t="str">
        <x:v>Paragraph/Run theo kiểu khối DIEU; preserve list numbering/table/drawing nếu có</x:v>
      </x:c>
    </x:row>
    <x:row r="131">
      <x:c r="A131" t="n">
        <x:v>130</x:v>
      </x:c>
      <x:c r="B131" t="str">
        <x:v>ND30.N.DIEU.NOI_DUNG_DIEU.KIEU_CHU</x:v>
      </x:c>
      <x:c r="C131" t="str">
        <x:v>ND30.N.DIEU.NOI_DUNG_DIEU</x:v>
      </x:c>
      <x:c r="D131" t="str">
        <x:v>N</x:v>
      </x:c>
      <x:c r="E131" t="str">
        <x:v>Nội dung điều</x:v>
      </x:c>
      <x:c r="F131" t="str">
        <x:v>KIEU_CHU</x:v>
      </x:c>
      <x:c r="G131" t="str">
        <x:v>In thường</x:v>
      </x:c>
      <x:c r="H131"/>
      <x:c r="I131" t="str">
        <x:v>UNVERIFIED_ATTRIBUTE</x:v>
      </x:c>
      <x:c r="J131" t="str">
        <x:v>PROFILE_PRESET_UNAPPROVED</x:v>
      </x:c>
      <x:c r="K131" t="str">
        <x:v>Chỉ khi văn bản có phân cấp này; giữ số, tên và thứ bậc thực tế; không tự đánh lại số</x:v>
      </x:c>
      <x:c r="L131" t="str">
        <x:v>Bảo toàn cấu trúc/nội dung; nếu khác loại văn bản, ưu tiên đúng mẫu của loại đó; không sửa khi thiếu căn cứ.</x:v>
      </x:c>
      <x:c r="M131"/>
      <x:c r="N131" t="str">
        <x:v>NĐ30, Phụ lục I, Phần I, II.6; V.6</x:v>
      </x:c>
      <x:c r="O131" t="str">
        <x:v>https://congbao.chinhphu.vn/van-ban/nghi-dinh-so-30-2020-nd-cp-30858/30246.htm</x:v>
      </x:c>
      <x:c r="P131" t="str">
        <x:v>PLUGIN:hoa-tieu-mien-bac-administrative-v1 | user_approved_visual_reference</x:v>
      </x:c>
      <x:c r="Q131" t="str">
        <x:v>CHECK_ONLY</x:v>
      </x:c>
      <x:c r="R131" t="str">
        <x:v>Kiểm tra từng thuộc tính có mặt; so sánh nguồn/role; không suy đoán từ kết quả render chưa có</x:v>
      </x:c>
      <x:c r="S131" t="str">
        <x:v>STRUCTURE_READ_EXISTING_WORKBOOK</x:v>
      </x:c>
      <x:c r="T131"/>
      <x:c r="U131" t="str">
        <x:v>Paragraph/Run theo kiểu khối DIEU; preserve list numbering/table/drawing nếu có</x:v>
      </x:c>
    </x:row>
    <x:row r="132">
      <x:c r="A132" t="n">
        <x:v>131</x:v>
      </x:c>
      <x:c r="B132" t="str">
        <x:v>ND30.N.DIEU.NOI_DUNG_DIEU.CAN_NGANG</x:v>
      </x:c>
      <x:c r="C132" t="str">
        <x:v>ND30.N.DIEU.NOI_DUNG_DIEU</x:v>
      </x:c>
      <x:c r="D132" t="str">
        <x:v>N</x:v>
      </x:c>
      <x:c r="E132" t="str">
        <x:v>Nội dung điều</x:v>
      </x:c>
      <x:c r="F132" t="str">
        <x:v>CAN_NGANG</x:v>
      </x:c>
      <x:c r="G132" t="str">
        <x:v>JUSTIFY</x:v>
      </x:c>
      <x:c r="H132"/>
      <x:c r="I132" t="str">
        <x:v>UNVERIFIED_ATTRIBUTE</x:v>
      </x:c>
      <x:c r="J132" t="str">
        <x:v>PROFILE_PRESET_UNAPPROVED</x:v>
      </x:c>
      <x:c r="K132" t="str">
        <x:v>Chỉ khi văn bản có phân cấp này; giữ số, tên và thứ bậc thực tế; không tự đánh lại số</x:v>
      </x:c>
      <x:c r="L132" t="str">
        <x:v>Bảo toàn cấu trúc/nội dung; nếu khác loại văn bản, ưu tiên đúng mẫu của loại đó; không sửa khi thiếu căn cứ.</x:v>
      </x:c>
      <x:c r="M132"/>
      <x:c r="N132" t="str">
        <x:v>NĐ30, Phụ lục I, Phần I, II.6; V.6</x:v>
      </x:c>
      <x:c r="O132" t="str">
        <x:v>https://congbao.chinhphu.vn/van-ban/nghi-dinh-so-30-2020-nd-cp-30858/30246.htm</x:v>
      </x:c>
      <x:c r="P132" t="str">
        <x:v>PLUGIN:hoa-tieu-mien-bac-administrative-v1 | user_approved_visual_reference</x:v>
      </x:c>
      <x:c r="Q132" t="str">
        <x:v>CHECK_ONLY</x:v>
      </x:c>
      <x:c r="R132" t="str">
        <x:v>Kiểm tra từng thuộc tính có mặt; so sánh nguồn/role; không suy đoán từ kết quả render chưa có</x:v>
      </x:c>
      <x:c r="S132" t="str">
        <x:v>STRUCTURE_READ_EXISTING_WORKBOOK</x:v>
      </x:c>
      <x:c r="T132"/>
      <x:c r="U132" t="str">
        <x:v>Paragraph/Run theo kiểu khối DIEU; preserve list numbering/table/drawing nếu có</x:v>
      </x:c>
    </x:row>
    <x:row r="133">
      <x:c r="A133" t="n">
        <x:v>132</x:v>
      </x:c>
      <x:c r="B133" t="str">
        <x:v>ND30.N.DIEU.NOI_DUNG_DIEU.GIAN_DONG</x:v>
      </x:c>
      <x:c r="C133" t="str">
        <x:v>ND30.N.DIEU.NOI_DUNG_DIEU</x:v>
      </x:c>
      <x:c r="D133" t="str">
        <x:v>N</x:v>
      </x:c>
      <x:c r="E133" t="str">
        <x:v>Nội dung điều</x:v>
      </x:c>
      <x:c r="F133" t="str">
        <x:v>GIAN_DONG</x:v>
      </x:c>
      <x:c r="G133" t="n">
        <x:v>19</x:v>
      </x:c>
      <x:c r="H133"/>
      <x:c r="I133" t="str">
        <x:v>UNVERIFIED_ATTRIBUTE</x:v>
      </x:c>
      <x:c r="J133" t="str">
        <x:v>PROFILE_PRESET_UNAPPROVED</x:v>
      </x:c>
      <x:c r="K133" t="str">
        <x:v>Chỉ khi văn bản có phân cấp này; giữ số, tên và thứ bậc thực tế; không tự đánh lại số</x:v>
      </x:c>
      <x:c r="L133" t="str">
        <x:v>Bảo toàn cấu trúc/nội dung; nếu khác loại văn bản, ưu tiên đúng mẫu của loại đó; không sửa khi thiếu căn cứ.</x:v>
      </x:c>
      <x:c r="M133" t="str">
        <x:v>pt</x:v>
      </x:c>
      <x:c r="N133" t="str">
        <x:v>NĐ30, Phụ lục I, Phần I, II.6; V.6</x:v>
      </x:c>
      <x:c r="O133" t="str">
        <x:v>https://congbao.chinhphu.vn/van-ban/nghi-dinh-so-30-2020-nd-cp-30858/30246.htm</x:v>
      </x:c>
      <x:c r="P133" t="str">
        <x:v>PLUGIN:hoa-tieu-mien-bac-administrative-v1 | user_approved_visual_reference</x:v>
      </x:c>
      <x:c r="Q133" t="str">
        <x:v>CHECK_ONLY</x:v>
      </x:c>
      <x:c r="R133" t="str">
        <x:v>Kiểm tra từng thuộc tính có mặt; so sánh nguồn/role; không suy đoán từ kết quả render chưa có</x:v>
      </x:c>
      <x:c r="S133" t="str">
        <x:v>STRUCTURE_READ_EXISTING_WORKBOOK</x:v>
      </x:c>
      <x:c r="T133"/>
      <x:c r="U133" t="str">
        <x:v>Paragraph/Run theo kiểu khối DIEU; preserve list numbering/table/drawing nếu có</x:v>
      </x:c>
    </x:row>
    <x:row r="134">
      <x:c r="A134" t="n">
        <x:v>133</x:v>
      </x:c>
      <x:c r="B134" t="str">
        <x:v>ND30.N.DIEU.NOI_DUNG_DIEU.CACH_TRUOC</x:v>
      </x:c>
      <x:c r="C134" t="str">
        <x:v>ND30.N.DIEU.NOI_DUNG_DIEU</x:v>
      </x:c>
      <x:c r="D134" t="str">
        <x:v>N</x:v>
      </x:c>
      <x:c r="E134" t="str">
        <x:v>Nội dung điều</x:v>
      </x:c>
      <x:c r="F134" t="str">
        <x:v>CACH_TRUOC</x:v>
      </x:c>
      <x:c r="G134" t="n">
        <x:v>0</x:v>
      </x:c>
      <x:c r="H134"/>
      <x:c r="I134" t="str">
        <x:v>UNVERIFIED_ATTRIBUTE</x:v>
      </x:c>
      <x:c r="J134" t="str">
        <x:v>PROFILE_PRESET_UNAPPROVED</x:v>
      </x:c>
      <x:c r="K134" t="str">
        <x:v>Chỉ khi văn bản có phân cấp này; giữ số, tên và thứ bậc thực tế; không tự đánh lại số</x:v>
      </x:c>
      <x:c r="L134" t="str">
        <x:v>Bảo toàn cấu trúc/nội dung; nếu khác loại văn bản, ưu tiên đúng mẫu của loại đó; không sửa khi thiếu căn cứ.</x:v>
      </x:c>
      <x:c r="M134" t="str">
        <x:v>pt</x:v>
      </x:c>
      <x:c r="N134" t="str">
        <x:v>NĐ30, Phụ lục I, Phần I, II.6; V.6</x:v>
      </x:c>
      <x:c r="O134" t="str">
        <x:v>https://congbao.chinhphu.vn/van-ban/nghi-dinh-so-30-2020-nd-cp-30858/30246.htm</x:v>
      </x:c>
      <x:c r="P134" t="str">
        <x:v>PLUGIN:hoa-tieu-mien-bac-administrative-v1 | user_approved_visual_reference</x:v>
      </x:c>
      <x:c r="Q134" t="str">
        <x:v>CHECK_ONLY</x:v>
      </x:c>
      <x:c r="R134" t="str">
        <x:v>Kiểm tra từng thuộc tính có mặt; so sánh nguồn/role; không suy đoán từ kết quả render chưa có</x:v>
      </x:c>
      <x:c r="S134" t="str">
        <x:v>STRUCTURE_READ_EXISTING_WORKBOOK</x:v>
      </x:c>
      <x:c r="T134"/>
      <x:c r="U134" t="str">
        <x:v>Paragraph/Run theo kiểu khối DIEU; preserve list numbering/table/drawing nếu có</x:v>
      </x:c>
    </x:row>
    <x:row r="135">
      <x:c r="A135" t="n">
        <x:v>134</x:v>
      </x:c>
      <x:c r="B135" t="str">
        <x:v>ND30.N.DIEU.NOI_DUNG_DIEU.CACH_SAU</x:v>
      </x:c>
      <x:c r="C135" t="str">
        <x:v>ND30.N.DIEU.NOI_DUNG_DIEU</x:v>
      </x:c>
      <x:c r="D135" t="str">
        <x:v>N</x:v>
      </x:c>
      <x:c r="E135" t="str">
        <x:v>Nội dung điều</x:v>
      </x:c>
      <x:c r="F135" t="str">
        <x:v>CACH_SAU</x:v>
      </x:c>
      <x:c r="G135" t="n">
        <x:v>6</x:v>
      </x:c>
      <x:c r="H135"/>
      <x:c r="I135" t="str">
        <x:v>UNVERIFIED_ATTRIBUTE</x:v>
      </x:c>
      <x:c r="J135" t="str">
        <x:v>PROFILE_PRESET_UNAPPROVED</x:v>
      </x:c>
      <x:c r="K135" t="str">
        <x:v>Chỉ khi văn bản có phân cấp này; giữ số, tên và thứ bậc thực tế; không tự đánh lại số</x:v>
      </x:c>
      <x:c r="L135" t="str">
        <x:v>Bảo toàn cấu trúc/nội dung; nếu khác loại văn bản, ưu tiên đúng mẫu của loại đó; không sửa khi thiếu căn cứ.</x:v>
      </x:c>
      <x:c r="M135" t="str">
        <x:v>pt</x:v>
      </x:c>
      <x:c r="N135" t="str">
        <x:v>NĐ30, Phụ lục I, Phần I, II.6; V.6</x:v>
      </x:c>
      <x:c r="O135" t="str">
        <x:v>https://congbao.chinhphu.vn/van-ban/nghi-dinh-so-30-2020-nd-cp-30858/30246.htm</x:v>
      </x:c>
      <x:c r="P135" t="str">
        <x:v>PLUGIN:hoa-tieu-mien-bac-administrative-v1 | user_approved_visual_reference</x:v>
      </x:c>
      <x:c r="Q135" t="str">
        <x:v>CHECK_ONLY</x:v>
      </x:c>
      <x:c r="R135" t="str">
        <x:v>Kiểm tra từng thuộc tính có mặt; so sánh nguồn/role; không suy đoán từ kết quả render chưa có</x:v>
      </x:c>
      <x:c r="S135" t="str">
        <x:v>STRUCTURE_READ_EXISTING_WORKBOOK</x:v>
      </x:c>
      <x:c r="T135"/>
      <x:c r="U135" t="str">
        <x:v>Paragraph/Run theo kiểu khối DIEU; preserve list numbering/table/drawing nếu có</x:v>
      </x:c>
    </x:row>
    <x:row r="136">
      <x:c r="A136" t="n">
        <x:v>135</x:v>
      </x:c>
      <x:c r="B136" t="str">
        <x:v>ND30.N.DIEU.NOI_DUNG_DIEU.THUT_DONG_DAU</x:v>
      </x:c>
      <x:c r="C136" t="str">
        <x:v>ND30.N.DIEU.NOI_DUNG_DIEU</x:v>
      </x:c>
      <x:c r="D136" t="str">
        <x:v>N</x:v>
      </x:c>
      <x:c r="E136" t="str">
        <x:v>Nội dung điều</x:v>
      </x:c>
      <x:c r="F136" t="str">
        <x:v>THUT_DONG_DAU</x:v>
      </x:c>
      <x:c r="G136" t="n">
        <x:v>12.7</x:v>
      </x:c>
      <x:c r="H136"/>
      <x:c r="I136" t="str">
        <x:v>UNVERIFIED_ATTRIBUTE</x:v>
      </x:c>
      <x:c r="J136" t="str">
        <x:v>PROFILE_PRESET_UNAPPROVED</x:v>
      </x:c>
      <x:c r="K136" t="str">
        <x:v>Chỉ khi văn bản có phân cấp này; giữ số, tên và thứ bậc thực tế; không tự đánh lại số</x:v>
      </x:c>
      <x:c r="L136" t="str">
        <x:v>Bảo toàn cấu trúc/nội dung; nếu khác loại văn bản, ưu tiên đúng mẫu của loại đó; không sửa khi thiếu căn cứ.</x:v>
      </x:c>
      <x:c r="M136" t="str">
        <x:v>mm</x:v>
      </x:c>
      <x:c r="N136" t="str">
        <x:v>NĐ30, Phụ lục I, Phần I, II.6; V.6</x:v>
      </x:c>
      <x:c r="O136" t="str">
        <x:v>https://congbao.chinhphu.vn/van-ban/nghi-dinh-so-30-2020-nd-cp-30858/30246.htm</x:v>
      </x:c>
      <x:c r="P136" t="str">
        <x:v>PLUGIN:hoa-tieu-mien-bac-administrative-v1 | user_approved_visual_reference</x:v>
      </x:c>
      <x:c r="Q136" t="str">
        <x:v>CHECK_ONLY</x:v>
      </x:c>
      <x:c r="R136" t="str">
        <x:v>Kiểm tra từng thuộc tính có mặt; so sánh nguồn/role; không suy đoán từ kết quả render chưa có</x:v>
      </x:c>
      <x:c r="S136" t="str">
        <x:v>STRUCTURE_READ_EXISTING_WORKBOOK</x:v>
      </x:c>
      <x:c r="T136"/>
      <x:c r="U136" t="str">
        <x:v>Paragraph/Run theo kiểu khối DIEU; preserve list numbering/table/drawing nếu có</x:v>
      </x:c>
    </x:row>
    <x:row r="137">
      <x:c r="A137" t="n">
        <x:v>136</x:v>
      </x:c>
      <x:c r="B137" t="str">
        <x:v>ND30.N.DIEU.NOI_DUNG_DIEU.KEEP_NEXT</x:v>
      </x:c>
      <x:c r="C137" t="str">
        <x:v>ND30.N.DIEU.NOI_DUNG_DIEU</x:v>
      </x:c>
      <x:c r="D137" t="str">
        <x:v>N</x:v>
      </x:c>
      <x:c r="E137" t="str">
        <x:v>Nội dung điều</x:v>
      </x:c>
      <x:c r="F137" t="str">
        <x:v>KEEP_NEXT</x:v>
      </x:c>
      <x:c r="G137"/>
      <x:c r="H137"/>
      <x:c r="I137" t="str">
        <x:v>UNVERIFIED_ATTRIBUTE</x:v>
      </x:c>
      <x:c r="J137" t="str">
        <x:v>BLOCKED_NO_ATTRIBUTE_VALUE</x:v>
      </x:c>
      <x:c r="K137" t="str">
        <x:v>Chỉ khi văn bản có phân cấp này; giữ số, tên và thứ bậc thực tế; không tự đánh lại số</x:v>
      </x:c>
      <x:c r="L137" t="str">
        <x:v>Bảo toàn cấu trúc/nội dung; nếu khác loại văn bản, ưu tiên đúng mẫu của loại đó; không sửa khi thiếu căn cứ.</x:v>
      </x:c>
      <x:c r="M137"/>
      <x:c r="N137" t="str">
        <x:v>NĐ30, Phụ lục I, Phần I, II.6; V.6</x:v>
      </x:c>
      <x:c r="O137" t="str">
        <x:v>https://congbao.chinhphu.vn/van-ban/nghi-dinh-so-30-2020-nd-cp-30858/30246.htm</x:v>
      </x:c>
      <x:c r="P137" t="str">
        <x:v>PLUGIN:hoa-tieu-mien-bac-administrative-v1 | user_approved_visual_reference</x:v>
      </x:c>
      <x:c r="Q137" t="str">
        <x:v>CHECK_ONLY</x:v>
      </x:c>
      <x:c r="R137" t="str">
        <x:v>Kiểm tra từng thuộc tính có mặt; so sánh nguồn/role; không suy đoán từ kết quả render chưa có</x:v>
      </x:c>
      <x:c r="S137" t="str">
        <x:v>RULE_INFERENCE_NOT_MEASURED</x:v>
      </x:c>
      <x:c r="T137" t="str">
        <x:v>Xác minh căn cứ theo loại văn bản / tài liệu phát hành hoặc phê duyệt</x:v>
      </x:c>
      <x:c r="U137" t="str">
        <x:v>Paragraph/Run theo kiểu khối DIEU; preserve list numbering/table/drawing nếu có</x:v>
      </x:c>
    </x:row>
    <x:row r="138">
      <x:c r="A138" t="n">
        <x:v>137</x:v>
      </x:c>
      <x:c r="B138" t="str">
        <x:v>ND30.N.DIEU.NOI_DUNG_DIEU.SO_THU_TU</x:v>
      </x:c>
      <x:c r="C138" t="str">
        <x:v>ND30.N.DIEU.NOI_DUNG_DIEU</x:v>
      </x:c>
      <x:c r="D138" t="str">
        <x:v>N</x:v>
      </x:c>
      <x:c r="E138" t="str">
        <x:v>Nội dung điều</x:v>
      </x:c>
      <x:c r="F138" t="str">
        <x:v>SO_THU_TU</x:v>
      </x:c>
      <x:c r="G138"/>
      <x:c r="H138"/>
      <x:c r="I138" t="str">
        <x:v>UNVERIFIED_ATTRIBUTE</x:v>
      </x:c>
      <x:c r="J138" t="str">
        <x:v>BLOCKED_NO_ATTRIBUTE_VALUE</x:v>
      </x:c>
      <x:c r="K138" t="str">
        <x:v>Chỉ khi văn bản có phân cấp này; giữ số, tên và thứ bậc thực tế; không tự đánh lại số</x:v>
      </x:c>
      <x:c r="L138" t="str">
        <x:v>Bảo toàn cấu trúc/nội dung; nếu khác loại văn bản, ưu tiên đúng mẫu của loại đó; không sửa khi thiếu căn cứ.</x:v>
      </x:c>
      <x:c r="M138"/>
      <x:c r="N138" t="str">
        <x:v>NĐ30, Phụ lục I, Phần I, II.6; V.6</x:v>
      </x:c>
      <x:c r="O138" t="str">
        <x:v>https://congbao.chinhphu.vn/van-ban/nghi-dinh-so-30-2020-nd-cp-30858/30246.htm</x:v>
      </x:c>
      <x:c r="P138" t="str">
        <x:v>PLUGIN:hoa-tieu-mien-bac-administrative-v1 | user_approved_visual_reference</x:v>
      </x:c>
      <x:c r="Q138" t="str">
        <x:v>CHECK_ONLY</x:v>
      </x:c>
      <x:c r="R138" t="str">
        <x:v>Kiểm tra từng thuộc tính có mặt; so sánh nguồn/role; không suy đoán từ kết quả render chưa có</x:v>
      </x:c>
      <x:c r="S138" t="str">
        <x:v>RULE_INFERENCE_NOT_MEASURED</x:v>
      </x:c>
      <x:c r="T138" t="str">
        <x:v>Xác minh căn cứ theo loại văn bản / tài liệu phát hành hoặc phê duyệt</x:v>
      </x:c>
      <x:c r="U138" t="str">
        <x:v>Paragraph/Run theo kiểu khối DIEU; preserve list numbering/table/drawing nếu có</x:v>
      </x:c>
    </x:row>
    <x:row r="139">
      <x:c r="A139" t="n">
        <x:v>138</x:v>
      </x:c>
      <x:c r="B139" t="str">
        <x:v>ND30.N.DIEU.NOI_DUNG_DIEU.CAU_TRUC</x:v>
      </x:c>
      <x:c r="C139" t="str">
        <x:v>ND30.N.DIEU.NOI_DUNG_DIEU</x:v>
      </x:c>
      <x:c r="D139" t="str">
        <x:v>N</x:v>
      </x:c>
      <x:c r="E139" t="str">
        <x:v>Nội dung điều</x:v>
      </x:c>
      <x:c r="F139" t="str">
        <x:v>CAU_TRUC</x:v>
      </x:c>
      <x:c r="G139"/>
      <x:c r="H139"/>
      <x:c r="I139" t="str">
        <x:v>UNVERIFIED_ATTRIBUTE</x:v>
      </x:c>
      <x:c r="J139" t="str">
        <x:v>BLOCKED_NO_ATTRIBUTE_VALUE</x:v>
      </x:c>
      <x:c r="K139" t="str">
        <x:v>Chỉ khi văn bản có phân cấp này; giữ số, tên và thứ bậc thực tế; không tự đánh lại số</x:v>
      </x:c>
      <x:c r="L139" t="str">
        <x:v>Bảo toàn cấu trúc/nội dung; nếu khác loại văn bản, ưu tiên đúng mẫu của loại đó; không sửa khi thiếu căn cứ.</x:v>
      </x:c>
      <x:c r="M139"/>
      <x:c r="N139" t="str">
        <x:v>NĐ30, Phụ lục I, Phần I, II.6; V.6</x:v>
      </x:c>
      <x:c r="O139" t="str">
        <x:v>https://congbao.chinhphu.vn/van-ban/nghi-dinh-so-30-2020-nd-cp-30858/30246.htm</x:v>
      </x:c>
      <x:c r="P139" t="str">
        <x:v>PLUGIN:hoa-tieu-mien-bac-administrative-v1 | user_approved_visual_reference</x:v>
      </x:c>
      <x:c r="Q139" t="str">
        <x:v>CHECK_ONLY</x:v>
      </x:c>
      <x:c r="R139" t="str">
        <x:v>Kiểm tra từng thuộc tính có mặt; so sánh nguồn/role; không suy đoán từ kết quả render chưa có</x:v>
      </x:c>
      <x:c r="S139" t="str">
        <x:v>RULE_INFERENCE_NOT_MEASURED</x:v>
      </x:c>
      <x:c r="T139" t="str">
        <x:v>Xác minh căn cứ theo loại văn bản / tài liệu phát hành hoặc phê duyệt</x:v>
      </x:c>
      <x:c r="U139" t="str">
        <x:v>Paragraph/Run theo kiểu khối DIEU; preserve list numbering/table/drawing nếu có</x:v>
      </x:c>
    </x:row>
    <x:row r="140">
      <x:c r="A140" t="n">
        <x:v>139</x:v>
      </x:c>
      <x:c r="B140" t="str">
        <x:v>ND30.N.DIEU.NOI_DUNG_DIEU.DAU_CAU</x:v>
      </x:c>
      <x:c r="C140" t="str">
        <x:v>ND30.N.DIEU.NOI_DUNG_DIEU</x:v>
      </x:c>
      <x:c r="D140" t="str">
        <x:v>N</x:v>
      </x:c>
      <x:c r="E140" t="str">
        <x:v>Nội dung điều</x:v>
      </x:c>
      <x:c r="F140" t="str">
        <x:v>DAU_CAU</x:v>
      </x:c>
      <x:c r="G140"/>
      <x:c r="H140"/>
      <x:c r="I140" t="str">
        <x:v>UNVERIFIED_ATTRIBUTE</x:v>
      </x:c>
      <x:c r="J140" t="str">
        <x:v>BLOCKED_NO_ATTRIBUTE_VALUE</x:v>
      </x:c>
      <x:c r="K140" t="str">
        <x:v>Chỉ khi văn bản có phân cấp này; giữ số, tên và thứ bậc thực tế; không tự đánh lại số</x:v>
      </x:c>
      <x:c r="L140" t="str">
        <x:v>Bảo toàn cấu trúc/nội dung; nếu khác loại văn bản, ưu tiên đúng mẫu của loại đó; không sửa khi thiếu căn cứ.</x:v>
      </x:c>
      <x:c r="M140"/>
      <x:c r="N140" t="str">
        <x:v>NĐ30, Phụ lục I, Phần I, II.6; V.6</x:v>
      </x:c>
      <x:c r="O140" t="str">
        <x:v>https://congbao.chinhphu.vn/van-ban/nghi-dinh-so-30-2020-nd-cp-30858/30246.htm</x:v>
      </x:c>
      <x:c r="P140" t="str">
        <x:v>PLUGIN:hoa-tieu-mien-bac-administrative-v1 | user_approved_visual_reference</x:v>
      </x:c>
      <x:c r="Q140" t="str">
        <x:v>CHECK_ONLY</x:v>
      </x:c>
      <x:c r="R140" t="str">
        <x:v>Kiểm tra từng thuộc tính có mặt; so sánh nguồn/role; không suy đoán từ kết quả render chưa có</x:v>
      </x:c>
      <x:c r="S140" t="str">
        <x:v>RULE_INFERENCE_NOT_MEASURED</x:v>
      </x:c>
      <x:c r="T140" t="str">
        <x:v>Xác minh căn cứ theo loại văn bản / tài liệu phát hành hoặc phê duyệt</x:v>
      </x:c>
      <x:c r="U140" t="str">
        <x:v>Paragraph/Run theo kiểu khối DIEU; preserve list numbering/table/drawing nếu có</x:v>
      </x:c>
    </x:row>
    <x:row r="141">
      <x:c r="A141" t="n">
        <x:v>140</x:v>
      </x:c>
      <x:c r="B141" t="str">
        <x:v>ND30.N.KD.KHOAN.HIEN_DIEN</x:v>
      </x:c>
      <x:c r="C141" t="str">
        <x:v>ND30.N.KD.KHOAN</x:v>
      </x:c>
      <x:c r="D141" t="str">
        <x:v>N</x:v>
      </x:c>
      <x:c r="E141" t="str">
        <x:v>Khoản</x:v>
      </x:c>
      <x:c r="F141" t="str">
        <x:v>HIEN_DIEN</x:v>
      </x:c>
      <x:c r="G141" t="str">
        <x:v>Theo loại văn bản và sự hiện diện thực tế; không áp dụng đồng loạt</x:v>
      </x:c>
      <x:c r="H141"/>
      <x:c r="I141" t="str">
        <x:v>UNVERIFIED_ATTRIBUTE</x:v>
      </x:c>
      <x:c r="J141" t="str">
        <x:v>SOURCE_DESCRIPTION_NOT_APPROVAL</x:v>
      </x:c>
      <x:c r="K141" t="str">
        <x:v>Chỉ khi văn bản có phân cấp này; giữ số, tên và thứ bậc thực tế; không tự đánh lại số</x:v>
      </x:c>
      <x:c r="L141" t="str">
        <x:v>Bảo toàn cấu trúc/nội dung; nếu khác loại văn bản, ưu tiên đúng mẫu của loại đó; không sửa khi thiếu căn cứ.</x:v>
      </x:c>
      <x:c r="M141"/>
      <x:c r="N141" t="str">
        <x:v>NĐ30, Phụ lục I, Phần I, II.6; V.6</x:v>
      </x:c>
      <x:c r="O141" t="str">
        <x:v>https://congbao.chinhphu.vn/van-ban/nghi-dinh-so-30-2020-nd-cp-30858/30246.htm</x:v>
      </x:c>
      <x:c r="P141" t="str">
        <x:v>PLUGIN:hoa-tieu-mien-bac-administrative-v1 | user_approved_visual_reference</x:v>
      </x:c>
      <x:c r="Q141" t="str">
        <x:v>CHECK_ONLY</x:v>
      </x:c>
      <x:c r="R141" t="str">
        <x:v>Kiểm tra từng thuộc tính có mặt; so sánh nguồn/role; không suy đoán từ kết quả render chưa có</x:v>
      </x:c>
      <x:c r="S141" t="str">
        <x:v>STRUCTURE_READ_EXISTING_WORKBOOK</x:v>
      </x:c>
      <x:c r="T141"/>
      <x:c r="U141" t="str">
        <x:v>Paragraph/Run theo kiểu khối KD; preserve list numbering/table/drawing nếu có</x:v>
      </x:c>
    </x:row>
    <x:row r="142">
      <x:c r="A142" t="n">
        <x:v>141</x:v>
      </x:c>
      <x:c r="B142" t="str">
        <x:v>ND30.N.KD.KHOAN.NOI_DUNG</x:v>
      </x:c>
      <x:c r="C142" t="str">
        <x:v>ND30.N.KD.KHOAN</x:v>
      </x:c>
      <x:c r="D142" t="str">
        <x:v>N</x:v>
      </x:c>
      <x:c r="E142" t="str">
        <x:v>Khoản</x:v>
      </x:c>
      <x:c r="F142" t="str">
        <x:v>NOI_DUNG</x:v>
      </x:c>
      <x:c r="G142" t="str">
        <x:v>Khoản</x:v>
      </x:c>
      <x:c r="H142"/>
      <x:c r="I142" t="str">
        <x:v>UNVERIFIED_ATTRIBUTE</x:v>
      </x:c>
      <x:c r="J142" t="str">
        <x:v>SOURCE_DESCRIPTION_NOT_APPROVAL</x:v>
      </x:c>
      <x:c r="K142" t="str">
        <x:v>Chỉ khi văn bản có phân cấp này; giữ số, tên và thứ bậc thực tế; không tự đánh lại số</x:v>
      </x:c>
      <x:c r="L142" t="str">
        <x:v>Bảo toàn cấu trúc/nội dung; nếu khác loại văn bản, ưu tiên đúng mẫu của loại đó; không sửa khi thiếu căn cứ.</x:v>
      </x:c>
      <x:c r="M142"/>
      <x:c r="N142" t="str">
        <x:v>NĐ30, Phụ lục I, Phần I, II.6; V.6</x:v>
      </x:c>
      <x:c r="O142" t="str">
        <x:v>https://congbao.chinhphu.vn/van-ban/nghi-dinh-so-30-2020-nd-cp-30858/30246.htm</x:v>
      </x:c>
      <x:c r="P142" t="str">
        <x:v>PLUGIN:hoa-tieu-mien-bac-administrative-v1 | user_approved_visual_reference</x:v>
      </x:c>
      <x:c r="Q142" t="str">
        <x:v>CHECK_ONLY</x:v>
      </x:c>
      <x:c r="R142" t="str">
        <x:v>Kiểm tra từng thuộc tính có mặt; so sánh nguồn/role; không suy đoán từ kết quả render chưa có</x:v>
      </x:c>
      <x:c r="S142" t="str">
        <x:v>STRUCTURE_READ_EXISTING_WORKBOOK</x:v>
      </x:c>
      <x:c r="T142"/>
      <x:c r="U142" t="str">
        <x:v>Paragraph/Run theo kiểu khối KD; preserve list numbering/table/drawing nếu có</x:v>
      </x:c>
    </x:row>
    <x:row r="143">
      <x:c r="A143" t="n">
        <x:v>142</x:v>
      </x:c>
      <x:c r="B143" t="str">
        <x:v>ND30.N.KD.KHOAN.PHONG_CHU</x:v>
      </x:c>
      <x:c r="C143" t="str">
        <x:v>ND30.N.KD.KHOAN</x:v>
      </x:c>
      <x:c r="D143" t="str">
        <x:v>N</x:v>
      </x:c>
      <x:c r="E143" t="str">
        <x:v>Khoản</x:v>
      </x:c>
      <x:c r="F143" t="str">
        <x:v>PHONG_CHU</x:v>
      </x:c>
      <x:c r="G143" t="str">
        <x:v>Times New Roman</x:v>
      </x:c>
      <x:c r="H143"/>
      <x:c r="I143" t="str">
        <x:v>UNVERIFIED_ATTRIBUTE</x:v>
      </x:c>
      <x:c r="J143" t="str">
        <x:v>PROFILE_PRESET_UNAPPROVED</x:v>
      </x:c>
      <x:c r="K143" t="str">
        <x:v>Chỉ khi văn bản có phân cấp này; giữ số, tên và thứ bậc thực tế; không tự đánh lại số</x:v>
      </x:c>
      <x:c r="L143" t="str">
        <x:v>Bảo toàn cấu trúc/nội dung; nếu khác loại văn bản, ưu tiên đúng mẫu của loại đó; không sửa khi thiếu căn cứ.</x:v>
      </x:c>
      <x:c r="M143"/>
      <x:c r="N143" t="str">
        <x:v>NĐ30, Phụ lục I, Phần I, II.6; V.6</x:v>
      </x:c>
      <x:c r="O143" t="str">
        <x:v>https://congbao.chinhphu.vn/van-ban/nghi-dinh-so-30-2020-nd-cp-30858/30246.htm</x:v>
      </x:c>
      <x:c r="P143" t="str">
        <x:v>PLUGIN:hoa-tieu-mien-bac-administrative-v1 | user_approved_visual_reference</x:v>
      </x:c>
      <x:c r="Q143" t="str">
        <x:v>CHECK_ONLY</x:v>
      </x:c>
      <x:c r="R143" t="str">
        <x:v>Kiểm tra từng thuộc tính có mặt; so sánh nguồn/role; không suy đoán từ kết quả render chưa có</x:v>
      </x:c>
      <x:c r="S143" t="str">
        <x:v>STRUCTURE_READ_EXISTING_WORKBOOK</x:v>
      </x:c>
      <x:c r="T143"/>
      <x:c r="U143" t="str">
        <x:v>Paragraph/Run theo kiểu khối KD; preserve list numbering/table/drawing nếu có</x:v>
      </x:c>
    </x:row>
    <x:row r="144">
      <x:c r="A144" t="n">
        <x:v>143</x:v>
      </x:c>
      <x:c r="B144" t="str">
        <x:v>ND30.N.KD.KHOAN.CO_CHU</x:v>
      </x:c>
      <x:c r="C144" t="str">
        <x:v>ND30.N.KD.KHOAN</x:v>
      </x:c>
      <x:c r="D144" t="str">
        <x:v>N</x:v>
      </x:c>
      <x:c r="E144" t="str">
        <x:v>Khoản</x:v>
      </x:c>
      <x:c r="F144" t="str">
        <x:v>CO_CHU</x:v>
      </x:c>
      <x:c r="G144" t="n">
        <x:v>14</x:v>
      </x:c>
      <x:c r="H144"/>
      <x:c r="I144" t="str">
        <x:v>UNVERIFIED_ATTRIBUTE</x:v>
      </x:c>
      <x:c r="J144" t="str">
        <x:v>PROFILE_PRESET_UNAPPROVED</x:v>
      </x:c>
      <x:c r="K144" t="str">
        <x:v>Chỉ khi văn bản có phân cấp này; giữ số, tên và thứ bậc thực tế; không tự đánh lại số</x:v>
      </x:c>
      <x:c r="L144" t="str">
        <x:v>Bảo toàn cấu trúc/nội dung; nếu khác loại văn bản, ưu tiên đúng mẫu của loại đó; không sửa khi thiếu căn cứ.</x:v>
      </x:c>
      <x:c r="M144" t="str">
        <x:v>pt</x:v>
      </x:c>
      <x:c r="N144" t="str">
        <x:v>NĐ30, Phụ lục I, Phần I, II.6; V.6</x:v>
      </x:c>
      <x:c r="O144" t="str">
        <x:v>https://congbao.chinhphu.vn/van-ban/nghi-dinh-so-30-2020-nd-cp-30858/30246.htm</x:v>
      </x:c>
      <x:c r="P144" t="str">
        <x:v>PLUGIN:hoa-tieu-mien-bac-administrative-v1 | user_approved_visual_reference</x:v>
      </x:c>
      <x:c r="Q144" t="str">
        <x:v>CHECK_ONLY</x:v>
      </x:c>
      <x:c r="R144" t="str">
        <x:v>Kiểm tra từng thuộc tính có mặt; so sánh nguồn/role; không suy đoán từ kết quả render chưa có</x:v>
      </x:c>
      <x:c r="S144" t="str">
        <x:v>STRUCTURE_READ_EXISTING_WORKBOOK</x:v>
      </x:c>
      <x:c r="T144"/>
      <x:c r="U144" t="str">
        <x:v>Paragraph/Run theo kiểu khối KD; preserve list numbering/table/drawing nếu có</x:v>
      </x:c>
    </x:row>
    <x:row r="145">
      <x:c r="A145" t="n">
        <x:v>144</x:v>
      </x:c>
      <x:c r="B145" t="str">
        <x:v>ND30.N.KD.KHOAN.DAM</x:v>
      </x:c>
      <x:c r="C145" t="str">
        <x:v>ND30.N.KD.KHOAN</x:v>
      </x:c>
      <x:c r="D145" t="str">
        <x:v>N</x:v>
      </x:c>
      <x:c r="E145" t="str">
        <x:v>Khoản</x:v>
      </x:c>
      <x:c r="F145" t="str">
        <x:v>DAM</x:v>
      </x:c>
      <x:c r="G145"/>
      <x:c r="H145"/>
      <x:c r="I145" t="str">
        <x:v>UNVERIFIED_ATTRIBUTE</x:v>
      </x:c>
      <x:c r="J145" t="str">
        <x:v>BLOCKED_NO_ATTRIBUTE_VALUE</x:v>
      </x:c>
      <x:c r="K145" t="str">
        <x:v>Chỉ khi văn bản có phân cấp này; giữ số, tên và thứ bậc thực tế; không tự đánh lại số</x:v>
      </x:c>
      <x:c r="L145" t="str">
        <x:v>Bảo toàn cấu trúc/nội dung; nếu khác loại văn bản, ưu tiên đúng mẫu của loại đó; không sửa khi thiếu căn cứ.</x:v>
      </x:c>
      <x:c r="M145"/>
      <x:c r="N145" t="str">
        <x:v>NĐ30, Phụ lục I, Phần I, II.6; V.6</x:v>
      </x:c>
      <x:c r="O145" t="str">
        <x:v>https://congbao.chinhphu.vn/van-ban/nghi-dinh-so-30-2020-nd-cp-30858/30246.htm</x:v>
      </x:c>
      <x:c r="P145" t="str">
        <x:v>PLUGIN:hoa-tieu-mien-bac-administrative-v1 | user_approved_visual_reference</x:v>
      </x:c>
      <x:c r="Q145" t="str">
        <x:v>CHECK_ONLY</x:v>
      </x:c>
      <x:c r="R145" t="str">
        <x:v>Kiểm tra từng thuộc tính có mặt; so sánh nguồn/role; không suy đoán từ kết quả render chưa có</x:v>
      </x:c>
      <x:c r="S145" t="str">
        <x:v>RULE_INFERENCE_NOT_MEASURED</x:v>
      </x:c>
      <x:c r="T145" t="str">
        <x:v>Xác minh căn cứ theo loại văn bản / tài liệu phát hành hoặc phê duyệt</x:v>
      </x:c>
      <x:c r="U145" t="str">
        <x:v>Paragraph/Run theo kiểu khối KD; preserve list numbering/table/drawing nếu có</x:v>
      </x:c>
    </x:row>
    <x:row r="146">
      <x:c r="A146" t="n">
        <x:v>145</x:v>
      </x:c>
      <x:c r="B146" t="str">
        <x:v>ND30.N.KD.KHOAN.NGHIENG</x:v>
      </x:c>
      <x:c r="C146" t="str">
        <x:v>ND30.N.KD.KHOAN</x:v>
      </x:c>
      <x:c r="D146" t="str">
        <x:v>N</x:v>
      </x:c>
      <x:c r="E146" t="str">
        <x:v>Khoản</x:v>
      </x:c>
      <x:c r="F146" t="str">
        <x:v>NGHIENG</x:v>
      </x:c>
      <x:c r="G146"/>
      <x:c r="H146"/>
      <x:c r="I146" t="str">
        <x:v>UNVERIFIED_ATTRIBUTE</x:v>
      </x:c>
      <x:c r="J146" t="str">
        <x:v>BLOCKED_NO_ATTRIBUTE_VALUE</x:v>
      </x:c>
      <x:c r="K146" t="str">
        <x:v>Chỉ khi văn bản có phân cấp này; giữ số, tên và thứ bậc thực tế; không tự đánh lại số</x:v>
      </x:c>
      <x:c r="L146" t="str">
        <x:v>Bảo toàn cấu trúc/nội dung; nếu khác loại văn bản, ưu tiên đúng mẫu của loại đó; không sửa khi thiếu căn cứ.</x:v>
      </x:c>
      <x:c r="M146"/>
      <x:c r="N146" t="str">
        <x:v>NĐ30, Phụ lục I, Phần I, II.6; V.6</x:v>
      </x:c>
      <x:c r="O146" t="str">
        <x:v>https://congbao.chinhphu.vn/van-ban/nghi-dinh-so-30-2020-nd-cp-30858/30246.htm</x:v>
      </x:c>
      <x:c r="P146" t="str">
        <x:v>PLUGIN:hoa-tieu-mien-bac-administrative-v1 | user_approved_visual_reference</x:v>
      </x:c>
      <x:c r="Q146" t="str">
        <x:v>CHECK_ONLY</x:v>
      </x:c>
      <x:c r="R146" t="str">
        <x:v>Kiểm tra từng thuộc tính có mặt; so sánh nguồn/role; không suy đoán từ kết quả render chưa có</x:v>
      </x:c>
      <x:c r="S146" t="str">
        <x:v>RULE_INFERENCE_NOT_MEASURED</x:v>
      </x:c>
      <x:c r="T146" t="str">
        <x:v>Xác minh căn cứ theo loại văn bản / tài liệu phát hành hoặc phê duyệt</x:v>
      </x:c>
      <x:c r="U146" t="str">
        <x:v>Paragraph/Run theo kiểu khối KD; preserve list numbering/table/drawing nếu có</x:v>
      </x:c>
    </x:row>
    <x:row r="147">
      <x:c r="A147" t="n">
        <x:v>146</x:v>
      </x:c>
      <x:c r="B147" t="str">
        <x:v>ND30.N.KD.KHOAN.KIEU_CHU</x:v>
      </x:c>
      <x:c r="C147" t="str">
        <x:v>ND30.N.KD.KHOAN</x:v>
      </x:c>
      <x:c r="D147" t="str">
        <x:v>N</x:v>
      </x:c>
      <x:c r="E147" t="str">
        <x:v>Khoản</x:v>
      </x:c>
      <x:c r="F147" t="str">
        <x:v>KIEU_CHU</x:v>
      </x:c>
      <x:c r="G147" t="str">
        <x:v>In thường</x:v>
      </x:c>
      <x:c r="H147"/>
      <x:c r="I147" t="str">
        <x:v>UNVERIFIED_ATTRIBUTE</x:v>
      </x:c>
      <x:c r="J147" t="str">
        <x:v>PROFILE_PRESET_UNAPPROVED</x:v>
      </x:c>
      <x:c r="K147" t="str">
        <x:v>Chỉ khi văn bản có phân cấp này; giữ số, tên và thứ bậc thực tế; không tự đánh lại số</x:v>
      </x:c>
      <x:c r="L147" t="str">
        <x:v>Bảo toàn cấu trúc/nội dung; nếu khác loại văn bản, ưu tiên đúng mẫu của loại đó; không sửa khi thiếu căn cứ.</x:v>
      </x:c>
      <x:c r="M147"/>
      <x:c r="N147" t="str">
        <x:v>NĐ30, Phụ lục I, Phần I, II.6; V.6</x:v>
      </x:c>
      <x:c r="O147" t="str">
        <x:v>https://congbao.chinhphu.vn/van-ban/nghi-dinh-so-30-2020-nd-cp-30858/30246.htm</x:v>
      </x:c>
      <x:c r="P147" t="str">
        <x:v>PLUGIN:hoa-tieu-mien-bac-administrative-v1 | user_approved_visual_reference</x:v>
      </x:c>
      <x:c r="Q147" t="str">
        <x:v>CHECK_ONLY</x:v>
      </x:c>
      <x:c r="R147" t="str">
        <x:v>Kiểm tra từng thuộc tính có mặt; so sánh nguồn/role; không suy đoán từ kết quả render chưa có</x:v>
      </x:c>
      <x:c r="S147" t="str">
        <x:v>STRUCTURE_READ_EXISTING_WORKBOOK</x:v>
      </x:c>
      <x:c r="T147"/>
      <x:c r="U147" t="str">
        <x:v>Paragraph/Run theo kiểu khối KD; preserve list numbering/table/drawing nếu có</x:v>
      </x:c>
    </x:row>
    <x:row r="148">
      <x:c r="A148" t="n">
        <x:v>147</x:v>
      </x:c>
      <x:c r="B148" t="str">
        <x:v>ND30.N.KD.KHOAN.CAN_NGANG</x:v>
      </x:c>
      <x:c r="C148" t="str">
        <x:v>ND30.N.KD.KHOAN</x:v>
      </x:c>
      <x:c r="D148" t="str">
        <x:v>N</x:v>
      </x:c>
      <x:c r="E148" t="str">
        <x:v>Khoản</x:v>
      </x:c>
      <x:c r="F148" t="str">
        <x:v>CAN_NGANG</x:v>
      </x:c>
      <x:c r="G148" t="str">
        <x:v>JUSTIFY</x:v>
      </x:c>
      <x:c r="H148"/>
      <x:c r="I148" t="str">
        <x:v>UNVERIFIED_ATTRIBUTE</x:v>
      </x:c>
      <x:c r="J148" t="str">
        <x:v>PROFILE_PRESET_UNAPPROVED</x:v>
      </x:c>
      <x:c r="K148" t="str">
        <x:v>Chỉ khi văn bản có phân cấp này; giữ số, tên và thứ bậc thực tế; không tự đánh lại số</x:v>
      </x:c>
      <x:c r="L148" t="str">
        <x:v>Bảo toàn cấu trúc/nội dung; nếu khác loại văn bản, ưu tiên đúng mẫu của loại đó; không sửa khi thiếu căn cứ.</x:v>
      </x:c>
      <x:c r="M148"/>
      <x:c r="N148" t="str">
        <x:v>NĐ30, Phụ lục I, Phần I, II.6; V.6</x:v>
      </x:c>
      <x:c r="O148" t="str">
        <x:v>https://congbao.chinhphu.vn/van-ban/nghi-dinh-so-30-2020-nd-cp-30858/30246.htm</x:v>
      </x:c>
      <x:c r="P148" t="str">
        <x:v>PLUGIN:hoa-tieu-mien-bac-administrative-v1 | user_approved_visual_reference</x:v>
      </x:c>
      <x:c r="Q148" t="str">
        <x:v>CHECK_ONLY</x:v>
      </x:c>
      <x:c r="R148" t="str">
        <x:v>Kiểm tra từng thuộc tính có mặt; so sánh nguồn/role; không suy đoán từ kết quả render chưa có</x:v>
      </x:c>
      <x:c r="S148" t="str">
        <x:v>STRUCTURE_READ_EXISTING_WORKBOOK</x:v>
      </x:c>
      <x:c r="T148"/>
      <x:c r="U148" t="str">
        <x:v>Paragraph/Run theo kiểu khối KD; preserve list numbering/table/drawing nếu có</x:v>
      </x:c>
    </x:row>
    <x:row r="149">
      <x:c r="A149" t="n">
        <x:v>148</x:v>
      </x:c>
      <x:c r="B149" t="str">
        <x:v>ND30.N.KD.KHOAN.GIAN_DONG</x:v>
      </x:c>
      <x:c r="C149" t="str">
        <x:v>ND30.N.KD.KHOAN</x:v>
      </x:c>
      <x:c r="D149" t="str">
        <x:v>N</x:v>
      </x:c>
      <x:c r="E149" t="str">
        <x:v>Khoản</x:v>
      </x:c>
      <x:c r="F149" t="str">
        <x:v>GIAN_DONG</x:v>
      </x:c>
      <x:c r="G149" t="n">
        <x:v>19</x:v>
      </x:c>
      <x:c r="H149"/>
      <x:c r="I149" t="str">
        <x:v>UNVERIFIED_ATTRIBUTE</x:v>
      </x:c>
      <x:c r="J149" t="str">
        <x:v>PROFILE_PRESET_UNAPPROVED</x:v>
      </x:c>
      <x:c r="K149" t="str">
        <x:v>Chỉ khi văn bản có phân cấp này; giữ số, tên và thứ bậc thực tế; không tự đánh lại số</x:v>
      </x:c>
      <x:c r="L149" t="str">
        <x:v>Bảo toàn cấu trúc/nội dung; nếu khác loại văn bản, ưu tiên đúng mẫu của loại đó; không sửa khi thiếu căn cứ.</x:v>
      </x:c>
      <x:c r="M149" t="str">
        <x:v>pt</x:v>
      </x:c>
      <x:c r="N149" t="str">
        <x:v>NĐ30, Phụ lục I, Phần I, II.6; V.6</x:v>
      </x:c>
      <x:c r="O149" t="str">
        <x:v>https://congbao.chinhphu.vn/van-ban/nghi-dinh-so-30-2020-nd-cp-30858/30246.htm</x:v>
      </x:c>
      <x:c r="P149" t="str">
        <x:v>PLUGIN:hoa-tieu-mien-bac-administrative-v1 | user_approved_visual_reference</x:v>
      </x:c>
      <x:c r="Q149" t="str">
        <x:v>CHECK_ONLY</x:v>
      </x:c>
      <x:c r="R149" t="str">
        <x:v>Kiểm tra từng thuộc tính có mặt; so sánh nguồn/role; không suy đoán từ kết quả render chưa có</x:v>
      </x:c>
      <x:c r="S149" t="str">
        <x:v>STRUCTURE_READ_EXISTING_WORKBOOK</x:v>
      </x:c>
      <x:c r="T149"/>
      <x:c r="U149" t="str">
        <x:v>Paragraph/Run theo kiểu khối KD; preserve list numbering/table/drawing nếu có</x:v>
      </x:c>
    </x:row>
    <x:row r="150">
      <x:c r="A150" t="n">
        <x:v>149</x:v>
      </x:c>
      <x:c r="B150" t="str">
        <x:v>ND30.N.KD.KHOAN.CACH_TRUOC</x:v>
      </x:c>
      <x:c r="C150" t="str">
        <x:v>ND30.N.KD.KHOAN</x:v>
      </x:c>
      <x:c r="D150" t="str">
        <x:v>N</x:v>
      </x:c>
      <x:c r="E150" t="str">
        <x:v>Khoản</x:v>
      </x:c>
      <x:c r="F150" t="str">
        <x:v>CACH_TRUOC</x:v>
      </x:c>
      <x:c r="G150" t="n">
        <x:v>0</x:v>
      </x:c>
      <x:c r="H150"/>
      <x:c r="I150" t="str">
        <x:v>UNVERIFIED_ATTRIBUTE</x:v>
      </x:c>
      <x:c r="J150" t="str">
        <x:v>PROFILE_PRESET_UNAPPROVED</x:v>
      </x:c>
      <x:c r="K150" t="str">
        <x:v>Chỉ khi văn bản có phân cấp này; giữ số, tên và thứ bậc thực tế; không tự đánh lại số</x:v>
      </x:c>
      <x:c r="L150" t="str">
        <x:v>Bảo toàn cấu trúc/nội dung; nếu khác loại văn bản, ưu tiên đúng mẫu của loại đó; không sửa khi thiếu căn cứ.</x:v>
      </x:c>
      <x:c r="M150" t="str">
        <x:v>pt</x:v>
      </x:c>
      <x:c r="N150" t="str">
        <x:v>NĐ30, Phụ lục I, Phần I, II.6; V.6</x:v>
      </x:c>
      <x:c r="O150" t="str">
        <x:v>https://congbao.chinhphu.vn/van-ban/nghi-dinh-so-30-2020-nd-cp-30858/30246.htm</x:v>
      </x:c>
      <x:c r="P150" t="str">
        <x:v>PLUGIN:hoa-tieu-mien-bac-administrative-v1 | user_approved_visual_reference</x:v>
      </x:c>
      <x:c r="Q150" t="str">
        <x:v>CHECK_ONLY</x:v>
      </x:c>
      <x:c r="R150" t="str">
        <x:v>Kiểm tra từng thuộc tính có mặt; so sánh nguồn/role; không suy đoán từ kết quả render chưa có</x:v>
      </x:c>
      <x:c r="S150" t="str">
        <x:v>STRUCTURE_READ_EXISTING_WORKBOOK</x:v>
      </x:c>
      <x:c r="T150"/>
      <x:c r="U150" t="str">
        <x:v>Paragraph/Run theo kiểu khối KD; preserve list numbering/table/drawing nếu có</x:v>
      </x:c>
    </x:row>
    <x:row r="151">
      <x:c r="A151" t="n">
        <x:v>150</x:v>
      </x:c>
      <x:c r="B151" t="str">
        <x:v>ND30.N.KD.KHOAN.CACH_SAU</x:v>
      </x:c>
      <x:c r="C151" t="str">
        <x:v>ND30.N.KD.KHOAN</x:v>
      </x:c>
      <x:c r="D151" t="str">
        <x:v>N</x:v>
      </x:c>
      <x:c r="E151" t="str">
        <x:v>Khoản</x:v>
      </x:c>
      <x:c r="F151" t="str">
        <x:v>CACH_SAU</x:v>
      </x:c>
      <x:c r="G151" t="n">
        <x:v>6</x:v>
      </x:c>
      <x:c r="H151"/>
      <x:c r="I151" t="str">
        <x:v>UNVERIFIED_ATTRIBUTE</x:v>
      </x:c>
      <x:c r="J151" t="str">
        <x:v>PROFILE_PRESET_UNAPPROVED</x:v>
      </x:c>
      <x:c r="K151" t="str">
        <x:v>Chỉ khi văn bản có phân cấp này; giữ số, tên và thứ bậc thực tế; không tự đánh lại số</x:v>
      </x:c>
      <x:c r="L151" t="str">
        <x:v>Bảo toàn cấu trúc/nội dung; nếu khác loại văn bản, ưu tiên đúng mẫu của loại đó; không sửa khi thiếu căn cứ.</x:v>
      </x:c>
      <x:c r="M151" t="str">
        <x:v>pt</x:v>
      </x:c>
      <x:c r="N151" t="str">
        <x:v>NĐ30, Phụ lục I, Phần I, II.6; V.6</x:v>
      </x:c>
      <x:c r="O151" t="str">
        <x:v>https://congbao.chinhphu.vn/van-ban/nghi-dinh-so-30-2020-nd-cp-30858/30246.htm</x:v>
      </x:c>
      <x:c r="P151" t="str">
        <x:v>PLUGIN:hoa-tieu-mien-bac-administrative-v1 | user_approved_visual_reference</x:v>
      </x:c>
      <x:c r="Q151" t="str">
        <x:v>CHECK_ONLY</x:v>
      </x:c>
      <x:c r="R151" t="str">
        <x:v>Kiểm tra từng thuộc tính có mặt; so sánh nguồn/role; không suy đoán từ kết quả render chưa có</x:v>
      </x:c>
      <x:c r="S151" t="str">
        <x:v>STRUCTURE_READ_EXISTING_WORKBOOK</x:v>
      </x:c>
      <x:c r="T151"/>
      <x:c r="U151" t="str">
        <x:v>Paragraph/Run theo kiểu khối KD; preserve list numbering/table/drawing nếu có</x:v>
      </x:c>
    </x:row>
    <x:row r="152">
      <x:c r="A152" t="n">
        <x:v>151</x:v>
      </x:c>
      <x:c r="B152" t="str">
        <x:v>ND30.N.KD.KHOAN.THUT_DONG_DAU</x:v>
      </x:c>
      <x:c r="C152" t="str">
        <x:v>ND30.N.KD.KHOAN</x:v>
      </x:c>
      <x:c r="D152" t="str">
        <x:v>N</x:v>
      </x:c>
      <x:c r="E152" t="str">
        <x:v>Khoản</x:v>
      </x:c>
      <x:c r="F152" t="str">
        <x:v>THUT_DONG_DAU</x:v>
      </x:c>
      <x:c r="G152"/>
      <x:c r="H152"/>
      <x:c r="I152" t="str">
        <x:v>UNVERIFIED_ATTRIBUTE</x:v>
      </x:c>
      <x:c r="J152" t="str">
        <x:v>BLOCKED_NO_ATTRIBUTE_VALUE</x:v>
      </x:c>
      <x:c r="K152" t="str">
        <x:v>Chỉ khi văn bản có phân cấp này; giữ số, tên và thứ bậc thực tế; không tự đánh lại số</x:v>
      </x:c>
      <x:c r="L152" t="str">
        <x:v>Bảo toàn cấu trúc/nội dung; nếu khác loại văn bản, ưu tiên đúng mẫu của loại đó; không sửa khi thiếu căn cứ.</x:v>
      </x:c>
      <x:c r="M152" t="str">
        <x:v>mm</x:v>
      </x:c>
      <x:c r="N152" t="str">
        <x:v>NĐ30, Phụ lục I, Phần I, II.6; V.6</x:v>
      </x:c>
      <x:c r="O152" t="str">
        <x:v>https://congbao.chinhphu.vn/van-ban/nghi-dinh-so-30-2020-nd-cp-30858/30246.htm</x:v>
      </x:c>
      <x:c r="P152" t="str">
        <x:v>PLUGIN:hoa-tieu-mien-bac-administrative-v1 | user_approved_visual_reference</x:v>
      </x:c>
      <x:c r="Q152" t="str">
        <x:v>CHECK_ONLY</x:v>
      </x:c>
      <x:c r="R152" t="str">
        <x:v>Kiểm tra từng thuộc tính có mặt; so sánh nguồn/role; không suy đoán từ kết quả render chưa có</x:v>
      </x:c>
      <x:c r="S152" t="str">
        <x:v>RULE_INFERENCE_NOT_MEASURED</x:v>
      </x:c>
      <x:c r="T152" t="str">
        <x:v>Xác minh căn cứ theo loại văn bản / tài liệu phát hành hoặc phê duyệt</x:v>
      </x:c>
      <x:c r="U152" t="str">
        <x:v>Paragraph/Run theo kiểu khối KD; preserve list numbering/table/drawing nếu có</x:v>
      </x:c>
    </x:row>
    <x:row r="153">
      <x:c r="A153" t="n">
        <x:v>152</x:v>
      </x:c>
      <x:c r="B153" t="str">
        <x:v>ND30.N.KD.KHOAN.KEEP_NEXT</x:v>
      </x:c>
      <x:c r="C153" t="str">
        <x:v>ND30.N.KD.KHOAN</x:v>
      </x:c>
      <x:c r="D153" t="str">
        <x:v>N</x:v>
      </x:c>
      <x:c r="E153" t="str">
        <x:v>Khoản</x:v>
      </x:c>
      <x:c r="F153" t="str">
        <x:v>KEEP_NEXT</x:v>
      </x:c>
      <x:c r="G153"/>
      <x:c r="H153"/>
      <x:c r="I153" t="str">
        <x:v>UNVERIFIED_ATTRIBUTE</x:v>
      </x:c>
      <x:c r="J153" t="str">
        <x:v>BLOCKED_NO_ATTRIBUTE_VALUE</x:v>
      </x:c>
      <x:c r="K153" t="str">
        <x:v>Chỉ khi văn bản có phân cấp này; giữ số, tên và thứ bậc thực tế; không tự đánh lại số</x:v>
      </x:c>
      <x:c r="L153" t="str">
        <x:v>Bảo toàn cấu trúc/nội dung; nếu khác loại văn bản, ưu tiên đúng mẫu của loại đó; không sửa khi thiếu căn cứ.</x:v>
      </x:c>
      <x:c r="M153"/>
      <x:c r="N153" t="str">
        <x:v>NĐ30, Phụ lục I, Phần I, II.6; V.6</x:v>
      </x:c>
      <x:c r="O153" t="str">
        <x:v>https://congbao.chinhphu.vn/van-ban/nghi-dinh-so-30-2020-nd-cp-30858/30246.htm</x:v>
      </x:c>
      <x:c r="P153" t="str">
        <x:v>PLUGIN:hoa-tieu-mien-bac-administrative-v1 | user_approved_visual_reference</x:v>
      </x:c>
      <x:c r="Q153" t="str">
        <x:v>CHECK_ONLY</x:v>
      </x:c>
      <x:c r="R153" t="str">
        <x:v>Kiểm tra từng thuộc tính có mặt; so sánh nguồn/role; không suy đoán từ kết quả render chưa có</x:v>
      </x:c>
      <x:c r="S153" t="str">
        <x:v>RULE_INFERENCE_NOT_MEASURED</x:v>
      </x:c>
      <x:c r="T153" t="str">
        <x:v>Xác minh căn cứ theo loại văn bản / tài liệu phát hành hoặc phê duyệt</x:v>
      </x:c>
      <x:c r="U153" t="str">
        <x:v>Paragraph/Run theo kiểu khối KD; preserve list numbering/table/drawing nếu có</x:v>
      </x:c>
    </x:row>
    <x:row r="154">
      <x:c r="A154" t="n">
        <x:v>153</x:v>
      </x:c>
      <x:c r="B154" t="str">
        <x:v>ND30.N.KD.KHOAN.SO_THU_TU</x:v>
      </x:c>
      <x:c r="C154" t="str">
        <x:v>ND30.N.KD.KHOAN</x:v>
      </x:c>
      <x:c r="D154" t="str">
        <x:v>N</x:v>
      </x:c>
      <x:c r="E154" t="str">
        <x:v>Khoản</x:v>
      </x:c>
      <x:c r="F154" t="str">
        <x:v>SO_THU_TU</x:v>
      </x:c>
      <x:c r="G154"/>
      <x:c r="H154"/>
      <x:c r="I154" t="str">
        <x:v>UNVERIFIED_ATTRIBUTE</x:v>
      </x:c>
      <x:c r="J154" t="str">
        <x:v>BLOCKED_NO_ATTRIBUTE_VALUE</x:v>
      </x:c>
      <x:c r="K154" t="str">
        <x:v>Chỉ khi văn bản có phân cấp này; giữ số, tên và thứ bậc thực tế; không tự đánh lại số</x:v>
      </x:c>
      <x:c r="L154" t="str">
        <x:v>Bảo toàn cấu trúc/nội dung; nếu khác loại văn bản, ưu tiên đúng mẫu của loại đó; không sửa khi thiếu căn cứ.</x:v>
      </x:c>
      <x:c r="M154"/>
      <x:c r="N154" t="str">
        <x:v>NĐ30, Phụ lục I, Phần I, II.6; V.6</x:v>
      </x:c>
      <x:c r="O154" t="str">
        <x:v>https://congbao.chinhphu.vn/van-ban/nghi-dinh-so-30-2020-nd-cp-30858/30246.htm</x:v>
      </x:c>
      <x:c r="P154" t="str">
        <x:v>PLUGIN:hoa-tieu-mien-bac-administrative-v1 | user_approved_visual_reference</x:v>
      </x:c>
      <x:c r="Q154" t="str">
        <x:v>CHECK_ONLY</x:v>
      </x:c>
      <x:c r="R154" t="str">
        <x:v>Kiểm tra từng thuộc tính có mặt; so sánh nguồn/role; không suy đoán từ kết quả render chưa có</x:v>
      </x:c>
      <x:c r="S154" t="str">
        <x:v>RULE_INFERENCE_NOT_MEASURED</x:v>
      </x:c>
      <x:c r="T154" t="str">
        <x:v>Xác minh căn cứ theo loại văn bản / tài liệu phát hành hoặc phê duyệt</x:v>
      </x:c>
      <x:c r="U154" t="str">
        <x:v>Paragraph/Run theo kiểu khối KD; preserve list numbering/table/drawing nếu có</x:v>
      </x:c>
    </x:row>
    <x:row r="155">
      <x:c r="A155" t="n">
        <x:v>154</x:v>
      </x:c>
      <x:c r="B155" t="str">
        <x:v>ND30.N.KD.KHOAN.CAU_TRUC</x:v>
      </x:c>
      <x:c r="C155" t="str">
        <x:v>ND30.N.KD.KHOAN</x:v>
      </x:c>
      <x:c r="D155" t="str">
        <x:v>N</x:v>
      </x:c>
      <x:c r="E155" t="str">
        <x:v>Khoản</x:v>
      </x:c>
      <x:c r="F155" t="str">
        <x:v>CAU_TRUC</x:v>
      </x:c>
      <x:c r="G155"/>
      <x:c r="H155"/>
      <x:c r="I155" t="str">
        <x:v>UNVERIFIED_ATTRIBUTE</x:v>
      </x:c>
      <x:c r="J155" t="str">
        <x:v>BLOCKED_NO_ATTRIBUTE_VALUE</x:v>
      </x:c>
      <x:c r="K155" t="str">
        <x:v>Chỉ khi văn bản có phân cấp này; giữ số, tên và thứ bậc thực tế; không tự đánh lại số</x:v>
      </x:c>
      <x:c r="L155" t="str">
        <x:v>Bảo toàn cấu trúc/nội dung; nếu khác loại văn bản, ưu tiên đúng mẫu của loại đó; không sửa khi thiếu căn cứ.</x:v>
      </x:c>
      <x:c r="M155"/>
      <x:c r="N155" t="str">
        <x:v>NĐ30, Phụ lục I, Phần I, II.6; V.6</x:v>
      </x:c>
      <x:c r="O155" t="str">
        <x:v>https://congbao.chinhphu.vn/van-ban/nghi-dinh-so-30-2020-nd-cp-30858/30246.htm</x:v>
      </x:c>
      <x:c r="P155" t="str">
        <x:v>PLUGIN:hoa-tieu-mien-bac-administrative-v1 | user_approved_visual_reference</x:v>
      </x:c>
      <x:c r="Q155" t="str">
        <x:v>CHECK_ONLY</x:v>
      </x:c>
      <x:c r="R155" t="str">
        <x:v>Kiểm tra từng thuộc tính có mặt; so sánh nguồn/role; không suy đoán từ kết quả render chưa có</x:v>
      </x:c>
      <x:c r="S155" t="str">
        <x:v>RULE_INFERENCE_NOT_MEASURED</x:v>
      </x:c>
      <x:c r="T155" t="str">
        <x:v>Xác minh căn cứ theo loại văn bản / tài liệu phát hành hoặc phê duyệt</x:v>
      </x:c>
      <x:c r="U155" t="str">
        <x:v>Paragraph/Run theo kiểu khối KD; preserve list numbering/table/drawing nếu có</x:v>
      </x:c>
    </x:row>
    <x:row r="156">
      <x:c r="A156" t="n">
        <x:v>155</x:v>
      </x:c>
      <x:c r="B156" t="str">
        <x:v>ND30.N.KD.KHOAN.DAU_CAU</x:v>
      </x:c>
      <x:c r="C156" t="str">
        <x:v>ND30.N.KD.KHOAN</x:v>
      </x:c>
      <x:c r="D156" t="str">
        <x:v>N</x:v>
      </x:c>
      <x:c r="E156" t="str">
        <x:v>Khoản</x:v>
      </x:c>
      <x:c r="F156" t="str">
        <x:v>DAU_CAU</x:v>
      </x:c>
      <x:c r="G156"/>
      <x:c r="H156"/>
      <x:c r="I156" t="str">
        <x:v>UNVERIFIED_ATTRIBUTE</x:v>
      </x:c>
      <x:c r="J156" t="str">
        <x:v>BLOCKED_NO_ATTRIBUTE_VALUE</x:v>
      </x:c>
      <x:c r="K156" t="str">
        <x:v>Chỉ khi văn bản có phân cấp này; giữ số, tên và thứ bậc thực tế; không tự đánh lại số</x:v>
      </x:c>
      <x:c r="L156" t="str">
        <x:v>Bảo toàn cấu trúc/nội dung; nếu khác loại văn bản, ưu tiên đúng mẫu của loại đó; không sửa khi thiếu căn cứ.</x:v>
      </x:c>
      <x:c r="M156"/>
      <x:c r="N156" t="str">
        <x:v>NĐ30, Phụ lục I, Phần I, II.6; V.6</x:v>
      </x:c>
      <x:c r="O156" t="str">
        <x:v>https://congbao.chinhphu.vn/van-ban/nghi-dinh-so-30-2020-nd-cp-30858/30246.htm</x:v>
      </x:c>
      <x:c r="P156" t="str">
        <x:v>PLUGIN:hoa-tieu-mien-bac-administrative-v1 | user_approved_visual_reference</x:v>
      </x:c>
      <x:c r="Q156" t="str">
        <x:v>CHECK_ONLY</x:v>
      </x:c>
      <x:c r="R156" t="str">
        <x:v>Kiểm tra từng thuộc tính có mặt; so sánh nguồn/role; không suy đoán từ kết quả render chưa có</x:v>
      </x:c>
      <x:c r="S156" t="str">
        <x:v>RULE_INFERENCE_NOT_MEASURED</x:v>
      </x:c>
      <x:c r="T156" t="str">
        <x:v>Xác minh căn cứ theo loại văn bản / tài liệu phát hành hoặc phê duyệt</x:v>
      </x:c>
      <x:c r="U156" t="str">
        <x:v>Paragraph/Run theo kiểu khối KD; preserve list numbering/table/drawing nếu có</x:v>
      </x:c>
    </x:row>
    <x:row r="157">
      <x:c r="A157" t="n">
        <x:v>156</x:v>
      </x:c>
      <x:c r="B157" t="str">
        <x:v>ND30.N.KD.DIEM.HIEN_DIEN</x:v>
      </x:c>
      <x:c r="C157" t="str">
        <x:v>ND30.N.KD.DIEM</x:v>
      </x:c>
      <x:c r="D157" t="str">
        <x:v>N</x:v>
      </x:c>
      <x:c r="E157" t="str">
        <x:v>Điểm</x:v>
      </x:c>
      <x:c r="F157" t="str">
        <x:v>HIEN_DIEN</x:v>
      </x:c>
      <x:c r="G157" t="str">
        <x:v>Theo loại văn bản và sự hiện diện thực tế; không áp dụng đồng loạt</x:v>
      </x:c>
      <x:c r="H157"/>
      <x:c r="I157" t="str">
        <x:v>UNVERIFIED_ATTRIBUTE</x:v>
      </x:c>
      <x:c r="J157" t="str">
        <x:v>SOURCE_DESCRIPTION_NOT_APPROVAL</x:v>
      </x:c>
      <x:c r="K157" t="str">
        <x:v>Chỉ khi văn bản có phân cấp này; giữ số, tên và thứ bậc thực tế; không tự đánh lại số</x:v>
      </x:c>
      <x:c r="L157" t="str">
        <x:v>Bảo toàn cấu trúc/nội dung; nếu khác loại văn bản, ưu tiên đúng mẫu của loại đó; không sửa khi thiếu căn cứ.</x:v>
      </x:c>
      <x:c r="M157"/>
      <x:c r="N157" t="str">
        <x:v>NĐ30, Phụ lục I, Phần I, II.6; V.6</x:v>
      </x:c>
      <x:c r="O157" t="str">
        <x:v>https://congbao.chinhphu.vn/van-ban/nghi-dinh-so-30-2020-nd-cp-30858/30246.htm</x:v>
      </x:c>
      <x:c r="P157" t="str">
        <x:v>PLUGIN:hoa-tieu-mien-bac-administrative-v1 | user_approved_visual_reference</x:v>
      </x:c>
      <x:c r="Q157" t="str">
        <x:v>CHECK_ONLY</x:v>
      </x:c>
      <x:c r="R157" t="str">
        <x:v>Kiểm tra từng thuộc tính có mặt; so sánh nguồn/role; không suy đoán từ kết quả render chưa có</x:v>
      </x:c>
      <x:c r="S157" t="str">
        <x:v>STRUCTURE_READ_EXISTING_WORKBOOK</x:v>
      </x:c>
      <x:c r="T157"/>
      <x:c r="U157" t="str">
        <x:v>Paragraph/Run theo kiểu khối KD; preserve list numbering/table/drawing nếu có</x:v>
      </x:c>
    </x:row>
    <x:row r="158">
      <x:c r="A158" t="n">
        <x:v>157</x:v>
      </x:c>
      <x:c r="B158" t="str">
        <x:v>ND30.N.KD.DIEM.NOI_DUNG</x:v>
      </x:c>
      <x:c r="C158" t="str">
        <x:v>ND30.N.KD.DIEM</x:v>
      </x:c>
      <x:c r="D158" t="str">
        <x:v>N</x:v>
      </x:c>
      <x:c r="E158" t="str">
        <x:v>Điểm</x:v>
      </x:c>
      <x:c r="F158" t="str">
        <x:v>NOI_DUNG</x:v>
      </x:c>
      <x:c r="G158" t="str">
        <x:v>Điểm</x:v>
      </x:c>
      <x:c r="H158"/>
      <x:c r="I158" t="str">
        <x:v>UNVERIFIED_ATTRIBUTE</x:v>
      </x:c>
      <x:c r="J158" t="str">
        <x:v>SOURCE_DESCRIPTION_NOT_APPROVAL</x:v>
      </x:c>
      <x:c r="K158" t="str">
        <x:v>Chỉ khi văn bản có phân cấp này; giữ số, tên và thứ bậc thực tế; không tự đánh lại số</x:v>
      </x:c>
      <x:c r="L158" t="str">
        <x:v>Bảo toàn cấu trúc/nội dung; nếu khác loại văn bản, ưu tiên đúng mẫu của loại đó; không sửa khi thiếu căn cứ.</x:v>
      </x:c>
      <x:c r="M158"/>
      <x:c r="N158" t="str">
        <x:v>NĐ30, Phụ lục I, Phần I, II.6; V.6</x:v>
      </x:c>
      <x:c r="O158" t="str">
        <x:v>https://congbao.chinhphu.vn/van-ban/nghi-dinh-so-30-2020-nd-cp-30858/30246.htm</x:v>
      </x:c>
      <x:c r="P158" t="str">
        <x:v>PLUGIN:hoa-tieu-mien-bac-administrative-v1 | user_approved_visual_reference</x:v>
      </x:c>
      <x:c r="Q158" t="str">
        <x:v>CHECK_ONLY</x:v>
      </x:c>
      <x:c r="R158" t="str">
        <x:v>Kiểm tra từng thuộc tính có mặt; so sánh nguồn/role; không suy đoán từ kết quả render chưa có</x:v>
      </x:c>
      <x:c r="S158" t="str">
        <x:v>STRUCTURE_READ_EXISTING_WORKBOOK</x:v>
      </x:c>
      <x:c r="T158"/>
      <x:c r="U158" t="str">
        <x:v>Paragraph/Run theo kiểu khối KD; preserve list numbering/table/drawing nếu có</x:v>
      </x:c>
    </x:row>
    <x:row r="159">
      <x:c r="A159" t="n">
        <x:v>158</x:v>
      </x:c>
      <x:c r="B159" t="str">
        <x:v>ND30.N.KD.DIEM.PHONG_CHU</x:v>
      </x:c>
      <x:c r="C159" t="str">
        <x:v>ND30.N.KD.DIEM</x:v>
      </x:c>
      <x:c r="D159" t="str">
        <x:v>N</x:v>
      </x:c>
      <x:c r="E159" t="str">
        <x:v>Điểm</x:v>
      </x:c>
      <x:c r="F159" t="str">
        <x:v>PHONG_CHU</x:v>
      </x:c>
      <x:c r="G159" t="str">
        <x:v>Times New Roman</x:v>
      </x:c>
      <x:c r="H159"/>
      <x:c r="I159" t="str">
        <x:v>UNVERIFIED_ATTRIBUTE</x:v>
      </x:c>
      <x:c r="J159" t="str">
        <x:v>PROFILE_PRESET_UNAPPROVED</x:v>
      </x:c>
      <x:c r="K159" t="str">
        <x:v>Chỉ khi văn bản có phân cấp này; giữ số, tên và thứ bậc thực tế; không tự đánh lại số</x:v>
      </x:c>
      <x:c r="L159" t="str">
        <x:v>Bảo toàn cấu trúc/nội dung; nếu khác loại văn bản, ưu tiên đúng mẫu của loại đó; không sửa khi thiếu căn cứ.</x:v>
      </x:c>
      <x:c r="M159"/>
      <x:c r="N159" t="str">
        <x:v>NĐ30, Phụ lục I, Phần I, II.6; V.6</x:v>
      </x:c>
      <x:c r="O159" t="str">
        <x:v>https://congbao.chinhphu.vn/van-ban/nghi-dinh-so-30-2020-nd-cp-30858/30246.htm</x:v>
      </x:c>
      <x:c r="P159" t="str">
        <x:v>PLUGIN:hoa-tieu-mien-bac-administrative-v1 | user_approved_visual_reference</x:v>
      </x:c>
      <x:c r="Q159" t="str">
        <x:v>CHECK_ONLY</x:v>
      </x:c>
      <x:c r="R159" t="str">
        <x:v>Kiểm tra từng thuộc tính có mặt; so sánh nguồn/role; không suy đoán từ kết quả render chưa có</x:v>
      </x:c>
      <x:c r="S159" t="str">
        <x:v>STRUCTURE_READ_EXISTING_WORKBOOK</x:v>
      </x:c>
      <x:c r="T159"/>
      <x:c r="U159" t="str">
        <x:v>Paragraph/Run theo kiểu khối KD; preserve list numbering/table/drawing nếu có</x:v>
      </x:c>
    </x:row>
    <x:row r="160">
      <x:c r="A160" t="n">
        <x:v>159</x:v>
      </x:c>
      <x:c r="B160" t="str">
        <x:v>ND30.N.KD.DIEM.CO_CHU</x:v>
      </x:c>
      <x:c r="C160" t="str">
        <x:v>ND30.N.KD.DIEM</x:v>
      </x:c>
      <x:c r="D160" t="str">
        <x:v>N</x:v>
      </x:c>
      <x:c r="E160" t="str">
        <x:v>Điểm</x:v>
      </x:c>
      <x:c r="F160" t="str">
        <x:v>CO_CHU</x:v>
      </x:c>
      <x:c r="G160" t="n">
        <x:v>14</x:v>
      </x:c>
      <x:c r="H160"/>
      <x:c r="I160" t="str">
        <x:v>UNVERIFIED_ATTRIBUTE</x:v>
      </x:c>
      <x:c r="J160" t="str">
        <x:v>PROFILE_PRESET_UNAPPROVED</x:v>
      </x:c>
      <x:c r="K160" t="str">
        <x:v>Chỉ khi văn bản có phân cấp này; giữ số, tên và thứ bậc thực tế; không tự đánh lại số</x:v>
      </x:c>
      <x:c r="L160" t="str">
        <x:v>Bảo toàn cấu trúc/nội dung; nếu khác loại văn bản, ưu tiên đúng mẫu của loại đó; không sửa khi thiếu căn cứ.</x:v>
      </x:c>
      <x:c r="M160" t="str">
        <x:v>pt</x:v>
      </x:c>
      <x:c r="N160" t="str">
        <x:v>NĐ30, Phụ lục I, Phần I, II.6; V.6</x:v>
      </x:c>
      <x:c r="O160" t="str">
        <x:v>https://congbao.chinhphu.vn/van-ban/nghi-dinh-so-30-2020-nd-cp-30858/30246.htm</x:v>
      </x:c>
      <x:c r="P160" t="str">
        <x:v>PLUGIN:hoa-tieu-mien-bac-administrative-v1 | user_approved_visual_reference</x:v>
      </x:c>
      <x:c r="Q160" t="str">
        <x:v>CHECK_ONLY</x:v>
      </x:c>
      <x:c r="R160" t="str">
        <x:v>Kiểm tra từng thuộc tính có mặt; so sánh nguồn/role; không suy đoán từ kết quả render chưa có</x:v>
      </x:c>
      <x:c r="S160" t="str">
        <x:v>STRUCTURE_READ_EXISTING_WORKBOOK</x:v>
      </x:c>
      <x:c r="T160"/>
      <x:c r="U160" t="str">
        <x:v>Paragraph/Run theo kiểu khối KD; preserve list numbering/table/drawing nếu có</x:v>
      </x:c>
    </x:row>
    <x:row r="161">
      <x:c r="A161" t="n">
        <x:v>160</x:v>
      </x:c>
      <x:c r="B161" t="str">
        <x:v>ND30.N.KD.DIEM.DAM</x:v>
      </x:c>
      <x:c r="C161" t="str">
        <x:v>ND30.N.KD.DIEM</x:v>
      </x:c>
      <x:c r="D161" t="str">
        <x:v>N</x:v>
      </x:c>
      <x:c r="E161" t="str">
        <x:v>Điểm</x:v>
      </x:c>
      <x:c r="F161" t="str">
        <x:v>DAM</x:v>
      </x:c>
      <x:c r="G161"/>
      <x:c r="H161"/>
      <x:c r="I161" t="str">
        <x:v>UNVERIFIED_ATTRIBUTE</x:v>
      </x:c>
      <x:c r="J161" t="str">
        <x:v>BLOCKED_NO_ATTRIBUTE_VALUE</x:v>
      </x:c>
      <x:c r="K161" t="str">
        <x:v>Chỉ khi văn bản có phân cấp này; giữ số, tên và thứ bậc thực tế; không tự đánh lại số</x:v>
      </x:c>
      <x:c r="L161" t="str">
        <x:v>Bảo toàn cấu trúc/nội dung; nếu khác loại văn bản, ưu tiên đúng mẫu của loại đó; không sửa khi thiếu căn cứ.</x:v>
      </x:c>
      <x:c r="M161"/>
      <x:c r="N161" t="str">
        <x:v>NĐ30, Phụ lục I, Phần I, II.6; V.6</x:v>
      </x:c>
      <x:c r="O161" t="str">
        <x:v>https://congbao.chinhphu.vn/van-ban/nghi-dinh-so-30-2020-nd-cp-30858/30246.htm</x:v>
      </x:c>
      <x:c r="P161" t="str">
        <x:v>PLUGIN:hoa-tieu-mien-bac-administrative-v1 | user_approved_visual_reference</x:v>
      </x:c>
      <x:c r="Q161" t="str">
        <x:v>CHECK_ONLY</x:v>
      </x:c>
      <x:c r="R161" t="str">
        <x:v>Kiểm tra từng thuộc tính có mặt; so sánh nguồn/role; không suy đoán từ kết quả render chưa có</x:v>
      </x:c>
      <x:c r="S161" t="str">
        <x:v>RULE_INFERENCE_NOT_MEASURED</x:v>
      </x:c>
      <x:c r="T161" t="str">
        <x:v>Xác minh căn cứ theo loại văn bản / tài liệu phát hành hoặc phê duyệt</x:v>
      </x:c>
      <x:c r="U161" t="str">
        <x:v>Paragraph/Run theo kiểu khối KD; preserve list numbering/table/drawing nếu có</x:v>
      </x:c>
    </x:row>
    <x:row r="162">
      <x:c r="A162" t="n">
        <x:v>161</x:v>
      </x:c>
      <x:c r="B162" t="str">
        <x:v>ND30.N.KD.DIEM.NGHIENG</x:v>
      </x:c>
      <x:c r="C162" t="str">
        <x:v>ND30.N.KD.DIEM</x:v>
      </x:c>
      <x:c r="D162" t="str">
        <x:v>N</x:v>
      </x:c>
      <x:c r="E162" t="str">
        <x:v>Điểm</x:v>
      </x:c>
      <x:c r="F162" t="str">
        <x:v>NGHIENG</x:v>
      </x:c>
      <x:c r="G162"/>
      <x:c r="H162"/>
      <x:c r="I162" t="str">
        <x:v>UNVERIFIED_ATTRIBUTE</x:v>
      </x:c>
      <x:c r="J162" t="str">
        <x:v>BLOCKED_NO_ATTRIBUTE_VALUE</x:v>
      </x:c>
      <x:c r="K162" t="str">
        <x:v>Chỉ khi văn bản có phân cấp này; giữ số, tên và thứ bậc thực tế; không tự đánh lại số</x:v>
      </x:c>
      <x:c r="L162" t="str">
        <x:v>Bảo toàn cấu trúc/nội dung; nếu khác loại văn bản, ưu tiên đúng mẫu của loại đó; không sửa khi thiếu căn cứ.</x:v>
      </x:c>
      <x:c r="M162"/>
      <x:c r="N162" t="str">
        <x:v>NĐ30, Phụ lục I, Phần I, II.6; V.6</x:v>
      </x:c>
      <x:c r="O162" t="str">
        <x:v>https://congbao.chinhphu.vn/van-ban/nghi-dinh-so-30-2020-nd-cp-30858/30246.htm</x:v>
      </x:c>
      <x:c r="P162" t="str">
        <x:v>PLUGIN:hoa-tieu-mien-bac-administrative-v1 | user_approved_visual_reference</x:v>
      </x:c>
      <x:c r="Q162" t="str">
        <x:v>CHECK_ONLY</x:v>
      </x:c>
      <x:c r="R162" t="str">
        <x:v>Kiểm tra từng thuộc tính có mặt; so sánh nguồn/role; không suy đoán từ kết quả render chưa có</x:v>
      </x:c>
      <x:c r="S162" t="str">
        <x:v>RULE_INFERENCE_NOT_MEASURED</x:v>
      </x:c>
      <x:c r="T162" t="str">
        <x:v>Xác minh căn cứ theo loại văn bản / tài liệu phát hành hoặc phê duyệt</x:v>
      </x:c>
      <x:c r="U162" t="str">
        <x:v>Paragraph/Run theo kiểu khối KD; preserve list numbering/table/drawing nếu có</x:v>
      </x:c>
    </x:row>
    <x:row r="163">
      <x:c r="A163" t="n">
        <x:v>162</x:v>
      </x:c>
      <x:c r="B163" t="str">
        <x:v>ND30.N.KD.DIEM.KIEU_CHU</x:v>
      </x:c>
      <x:c r="C163" t="str">
        <x:v>ND30.N.KD.DIEM</x:v>
      </x:c>
      <x:c r="D163" t="str">
        <x:v>N</x:v>
      </x:c>
      <x:c r="E163" t="str">
        <x:v>Điểm</x:v>
      </x:c>
      <x:c r="F163" t="str">
        <x:v>KIEU_CHU</x:v>
      </x:c>
      <x:c r="G163" t="str">
        <x:v>In thường</x:v>
      </x:c>
      <x:c r="H163"/>
      <x:c r="I163" t="str">
        <x:v>UNVERIFIED_ATTRIBUTE</x:v>
      </x:c>
      <x:c r="J163" t="str">
        <x:v>PROFILE_PRESET_UNAPPROVED</x:v>
      </x:c>
      <x:c r="K163" t="str">
        <x:v>Chỉ khi văn bản có phân cấp này; giữ số, tên và thứ bậc thực tế; không tự đánh lại số</x:v>
      </x:c>
      <x:c r="L163" t="str">
        <x:v>Bảo toàn cấu trúc/nội dung; nếu khác loại văn bản, ưu tiên đúng mẫu của loại đó; không sửa khi thiếu căn cứ.</x:v>
      </x:c>
      <x:c r="M163"/>
      <x:c r="N163" t="str">
        <x:v>NĐ30, Phụ lục I, Phần I, II.6; V.6</x:v>
      </x:c>
      <x:c r="O163" t="str">
        <x:v>https://congbao.chinhphu.vn/van-ban/nghi-dinh-so-30-2020-nd-cp-30858/30246.htm</x:v>
      </x:c>
      <x:c r="P163" t="str">
        <x:v>PLUGIN:hoa-tieu-mien-bac-administrative-v1 | user_approved_visual_reference</x:v>
      </x:c>
      <x:c r="Q163" t="str">
        <x:v>CHECK_ONLY</x:v>
      </x:c>
      <x:c r="R163" t="str">
        <x:v>Kiểm tra từng thuộc tính có mặt; so sánh nguồn/role; không suy đoán từ kết quả render chưa có</x:v>
      </x:c>
      <x:c r="S163" t="str">
        <x:v>STRUCTURE_READ_EXISTING_WORKBOOK</x:v>
      </x:c>
      <x:c r="T163"/>
      <x:c r="U163" t="str">
        <x:v>Paragraph/Run theo kiểu khối KD; preserve list numbering/table/drawing nếu có</x:v>
      </x:c>
    </x:row>
    <x:row r="164">
      <x:c r="A164" t="n">
        <x:v>163</x:v>
      </x:c>
      <x:c r="B164" t="str">
        <x:v>ND30.N.KD.DIEM.CAN_NGANG</x:v>
      </x:c>
      <x:c r="C164" t="str">
        <x:v>ND30.N.KD.DIEM</x:v>
      </x:c>
      <x:c r="D164" t="str">
        <x:v>N</x:v>
      </x:c>
      <x:c r="E164" t="str">
        <x:v>Điểm</x:v>
      </x:c>
      <x:c r="F164" t="str">
        <x:v>CAN_NGANG</x:v>
      </x:c>
      <x:c r="G164" t="str">
        <x:v>JUSTIFY</x:v>
      </x:c>
      <x:c r="H164"/>
      <x:c r="I164" t="str">
        <x:v>UNVERIFIED_ATTRIBUTE</x:v>
      </x:c>
      <x:c r="J164" t="str">
        <x:v>PROFILE_PRESET_UNAPPROVED</x:v>
      </x:c>
      <x:c r="K164" t="str">
        <x:v>Chỉ khi văn bản có phân cấp này; giữ số, tên và thứ bậc thực tế; không tự đánh lại số</x:v>
      </x:c>
      <x:c r="L164" t="str">
        <x:v>Bảo toàn cấu trúc/nội dung; nếu khác loại văn bản, ưu tiên đúng mẫu của loại đó; không sửa khi thiếu căn cứ.</x:v>
      </x:c>
      <x:c r="M164"/>
      <x:c r="N164" t="str">
        <x:v>NĐ30, Phụ lục I, Phần I, II.6; V.6</x:v>
      </x:c>
      <x:c r="O164" t="str">
        <x:v>https://congbao.chinhphu.vn/van-ban/nghi-dinh-so-30-2020-nd-cp-30858/30246.htm</x:v>
      </x:c>
      <x:c r="P164" t="str">
        <x:v>PLUGIN:hoa-tieu-mien-bac-administrative-v1 | user_approved_visual_reference</x:v>
      </x:c>
      <x:c r="Q164" t="str">
        <x:v>CHECK_ONLY</x:v>
      </x:c>
      <x:c r="R164" t="str">
        <x:v>Kiểm tra từng thuộc tính có mặt; so sánh nguồn/role; không suy đoán từ kết quả render chưa có</x:v>
      </x:c>
      <x:c r="S164" t="str">
        <x:v>STRUCTURE_READ_EXISTING_WORKBOOK</x:v>
      </x:c>
      <x:c r="T164"/>
      <x:c r="U164" t="str">
        <x:v>Paragraph/Run theo kiểu khối KD; preserve list numbering/table/drawing nếu có</x:v>
      </x:c>
    </x:row>
    <x:row r="165">
      <x:c r="A165" t="n">
        <x:v>164</x:v>
      </x:c>
      <x:c r="B165" t="str">
        <x:v>ND30.N.KD.DIEM.GIAN_DONG</x:v>
      </x:c>
      <x:c r="C165" t="str">
        <x:v>ND30.N.KD.DIEM</x:v>
      </x:c>
      <x:c r="D165" t="str">
        <x:v>N</x:v>
      </x:c>
      <x:c r="E165" t="str">
        <x:v>Điểm</x:v>
      </x:c>
      <x:c r="F165" t="str">
        <x:v>GIAN_DONG</x:v>
      </x:c>
      <x:c r="G165" t="n">
        <x:v>19</x:v>
      </x:c>
      <x:c r="H165"/>
      <x:c r="I165" t="str">
        <x:v>UNVERIFIED_ATTRIBUTE</x:v>
      </x:c>
      <x:c r="J165" t="str">
        <x:v>PROFILE_PRESET_UNAPPROVED</x:v>
      </x:c>
      <x:c r="K165" t="str">
        <x:v>Chỉ khi văn bản có phân cấp này; giữ số, tên và thứ bậc thực tế; không tự đánh lại số</x:v>
      </x:c>
      <x:c r="L165" t="str">
        <x:v>Bảo toàn cấu trúc/nội dung; nếu khác loại văn bản, ưu tiên đúng mẫu của loại đó; không sửa khi thiếu căn cứ.</x:v>
      </x:c>
      <x:c r="M165" t="str">
        <x:v>pt</x:v>
      </x:c>
      <x:c r="N165" t="str">
        <x:v>NĐ30, Phụ lục I, Phần I, II.6; V.6</x:v>
      </x:c>
      <x:c r="O165" t="str">
        <x:v>https://congbao.chinhphu.vn/van-ban/nghi-dinh-so-30-2020-nd-cp-30858/30246.htm</x:v>
      </x:c>
      <x:c r="P165" t="str">
        <x:v>PLUGIN:hoa-tieu-mien-bac-administrative-v1 | user_approved_visual_reference</x:v>
      </x:c>
      <x:c r="Q165" t="str">
        <x:v>CHECK_ONLY</x:v>
      </x:c>
      <x:c r="R165" t="str">
        <x:v>Kiểm tra từng thuộc tính có mặt; so sánh nguồn/role; không suy đoán từ kết quả render chưa có</x:v>
      </x:c>
      <x:c r="S165" t="str">
        <x:v>STRUCTURE_READ_EXISTING_WORKBOOK</x:v>
      </x:c>
      <x:c r="T165"/>
      <x:c r="U165" t="str">
        <x:v>Paragraph/Run theo kiểu khối KD; preserve list numbering/table/drawing nếu có</x:v>
      </x:c>
    </x:row>
    <x:row r="166">
      <x:c r="A166" t="n">
        <x:v>165</x:v>
      </x:c>
      <x:c r="B166" t="str">
        <x:v>ND30.N.KD.DIEM.CACH_TRUOC</x:v>
      </x:c>
      <x:c r="C166" t="str">
        <x:v>ND30.N.KD.DIEM</x:v>
      </x:c>
      <x:c r="D166" t="str">
        <x:v>N</x:v>
      </x:c>
      <x:c r="E166" t="str">
        <x:v>Điểm</x:v>
      </x:c>
      <x:c r="F166" t="str">
        <x:v>CACH_TRUOC</x:v>
      </x:c>
      <x:c r="G166" t="n">
        <x:v>0</x:v>
      </x:c>
      <x:c r="H166"/>
      <x:c r="I166" t="str">
        <x:v>UNVERIFIED_ATTRIBUTE</x:v>
      </x:c>
      <x:c r="J166" t="str">
        <x:v>PROFILE_PRESET_UNAPPROVED</x:v>
      </x:c>
      <x:c r="K166" t="str">
        <x:v>Chỉ khi văn bản có phân cấp này; giữ số, tên và thứ bậc thực tế; không tự đánh lại số</x:v>
      </x:c>
      <x:c r="L166" t="str">
        <x:v>Bảo toàn cấu trúc/nội dung; nếu khác loại văn bản, ưu tiên đúng mẫu của loại đó; không sửa khi thiếu căn cứ.</x:v>
      </x:c>
      <x:c r="M166" t="str">
        <x:v>pt</x:v>
      </x:c>
      <x:c r="N166" t="str">
        <x:v>NĐ30, Phụ lục I, Phần I, II.6; V.6</x:v>
      </x:c>
      <x:c r="O166" t="str">
        <x:v>https://congbao.chinhphu.vn/van-ban/nghi-dinh-so-30-2020-nd-cp-30858/30246.htm</x:v>
      </x:c>
      <x:c r="P166" t="str">
        <x:v>PLUGIN:hoa-tieu-mien-bac-administrative-v1 | user_approved_visual_reference</x:v>
      </x:c>
      <x:c r="Q166" t="str">
        <x:v>CHECK_ONLY</x:v>
      </x:c>
      <x:c r="R166" t="str">
        <x:v>Kiểm tra từng thuộc tính có mặt; so sánh nguồn/role; không suy đoán từ kết quả render chưa có</x:v>
      </x:c>
      <x:c r="S166" t="str">
        <x:v>STRUCTURE_READ_EXISTING_WORKBOOK</x:v>
      </x:c>
      <x:c r="T166"/>
      <x:c r="U166" t="str">
        <x:v>Paragraph/Run theo kiểu khối KD; preserve list numbering/table/drawing nếu có</x:v>
      </x:c>
    </x:row>
    <x:row r="167">
      <x:c r="A167" t="n">
        <x:v>166</x:v>
      </x:c>
      <x:c r="B167" t="str">
        <x:v>ND30.N.KD.DIEM.CACH_SAU</x:v>
      </x:c>
      <x:c r="C167" t="str">
        <x:v>ND30.N.KD.DIEM</x:v>
      </x:c>
      <x:c r="D167" t="str">
        <x:v>N</x:v>
      </x:c>
      <x:c r="E167" t="str">
        <x:v>Điểm</x:v>
      </x:c>
      <x:c r="F167" t="str">
        <x:v>CACH_SAU</x:v>
      </x:c>
      <x:c r="G167" t="n">
        <x:v>6</x:v>
      </x:c>
      <x:c r="H167"/>
      <x:c r="I167" t="str">
        <x:v>UNVERIFIED_ATTRIBUTE</x:v>
      </x:c>
      <x:c r="J167" t="str">
        <x:v>PROFILE_PRESET_UNAPPROVED</x:v>
      </x:c>
      <x:c r="K167" t="str">
        <x:v>Chỉ khi văn bản có phân cấp này; giữ số, tên và thứ bậc thực tế; không tự đánh lại số</x:v>
      </x:c>
      <x:c r="L167" t="str">
        <x:v>Bảo toàn cấu trúc/nội dung; nếu khác loại văn bản, ưu tiên đúng mẫu của loại đó; không sửa khi thiếu căn cứ.</x:v>
      </x:c>
      <x:c r="M167" t="str">
        <x:v>pt</x:v>
      </x:c>
      <x:c r="N167" t="str">
        <x:v>NĐ30, Phụ lục I, Phần I, II.6; V.6</x:v>
      </x:c>
      <x:c r="O167" t="str">
        <x:v>https://congbao.chinhphu.vn/van-ban/nghi-dinh-so-30-2020-nd-cp-30858/30246.htm</x:v>
      </x:c>
      <x:c r="P167" t="str">
        <x:v>PLUGIN:hoa-tieu-mien-bac-administrative-v1 | user_approved_visual_reference</x:v>
      </x:c>
      <x:c r="Q167" t="str">
        <x:v>CHECK_ONLY</x:v>
      </x:c>
      <x:c r="R167" t="str">
        <x:v>Kiểm tra từng thuộc tính có mặt; so sánh nguồn/role; không suy đoán từ kết quả render chưa có</x:v>
      </x:c>
      <x:c r="S167" t="str">
        <x:v>STRUCTURE_READ_EXISTING_WORKBOOK</x:v>
      </x:c>
      <x:c r="T167"/>
      <x:c r="U167" t="str">
        <x:v>Paragraph/Run theo kiểu khối KD; preserve list numbering/table/drawing nếu có</x:v>
      </x:c>
    </x:row>
    <x:row r="168">
      <x:c r="A168" t="n">
        <x:v>167</x:v>
      </x:c>
      <x:c r="B168" t="str">
        <x:v>ND30.N.KD.DIEM.THUT_DONG_DAU</x:v>
      </x:c>
      <x:c r="C168" t="str">
        <x:v>ND30.N.KD.DIEM</x:v>
      </x:c>
      <x:c r="D168" t="str">
        <x:v>N</x:v>
      </x:c>
      <x:c r="E168" t="str">
        <x:v>Điểm</x:v>
      </x:c>
      <x:c r="F168" t="str">
        <x:v>THUT_DONG_DAU</x:v>
      </x:c>
      <x:c r="G168"/>
      <x:c r="H168"/>
      <x:c r="I168" t="str">
        <x:v>UNVERIFIED_ATTRIBUTE</x:v>
      </x:c>
      <x:c r="J168" t="str">
        <x:v>BLOCKED_NO_ATTRIBUTE_VALUE</x:v>
      </x:c>
      <x:c r="K168" t="str">
        <x:v>Chỉ khi văn bản có phân cấp này; giữ số, tên và thứ bậc thực tế; không tự đánh lại số</x:v>
      </x:c>
      <x:c r="L168" t="str">
        <x:v>Bảo toàn cấu trúc/nội dung; nếu khác loại văn bản, ưu tiên đúng mẫu của loại đó; không sửa khi thiếu căn cứ.</x:v>
      </x:c>
      <x:c r="M168" t="str">
        <x:v>mm</x:v>
      </x:c>
      <x:c r="N168" t="str">
        <x:v>NĐ30, Phụ lục I, Phần I, II.6; V.6</x:v>
      </x:c>
      <x:c r="O168" t="str">
        <x:v>https://congbao.chinhphu.vn/van-ban/nghi-dinh-so-30-2020-nd-cp-30858/30246.htm</x:v>
      </x:c>
      <x:c r="P168" t="str">
        <x:v>PLUGIN:hoa-tieu-mien-bac-administrative-v1 | user_approved_visual_reference</x:v>
      </x:c>
      <x:c r="Q168" t="str">
        <x:v>CHECK_ONLY</x:v>
      </x:c>
      <x:c r="R168" t="str">
        <x:v>Kiểm tra từng thuộc tính có mặt; so sánh nguồn/role; không suy đoán từ kết quả render chưa có</x:v>
      </x:c>
      <x:c r="S168" t="str">
        <x:v>RULE_INFERENCE_NOT_MEASURED</x:v>
      </x:c>
      <x:c r="T168" t="str">
        <x:v>Xác minh căn cứ theo loại văn bản / tài liệu phát hành hoặc phê duyệt</x:v>
      </x:c>
      <x:c r="U168" t="str">
        <x:v>Paragraph/Run theo kiểu khối KD; preserve list numbering/table/drawing nếu có</x:v>
      </x:c>
    </x:row>
    <x:row r="169">
      <x:c r="A169" t="n">
        <x:v>168</x:v>
      </x:c>
      <x:c r="B169" t="str">
        <x:v>ND30.N.KD.DIEM.KEEP_NEXT</x:v>
      </x:c>
      <x:c r="C169" t="str">
        <x:v>ND30.N.KD.DIEM</x:v>
      </x:c>
      <x:c r="D169" t="str">
        <x:v>N</x:v>
      </x:c>
      <x:c r="E169" t="str">
        <x:v>Điểm</x:v>
      </x:c>
      <x:c r="F169" t="str">
        <x:v>KEEP_NEXT</x:v>
      </x:c>
      <x:c r="G169"/>
      <x:c r="H169"/>
      <x:c r="I169" t="str">
        <x:v>UNVERIFIED_ATTRIBUTE</x:v>
      </x:c>
      <x:c r="J169" t="str">
        <x:v>BLOCKED_NO_ATTRIBUTE_VALUE</x:v>
      </x:c>
      <x:c r="K169" t="str">
        <x:v>Chỉ khi văn bản có phân cấp này; giữ số, tên và thứ bậc thực tế; không tự đánh lại số</x:v>
      </x:c>
      <x:c r="L169" t="str">
        <x:v>Bảo toàn cấu trúc/nội dung; nếu khác loại văn bản, ưu tiên đúng mẫu của loại đó; không sửa khi thiếu căn cứ.</x:v>
      </x:c>
      <x:c r="M169"/>
      <x:c r="N169" t="str">
        <x:v>NĐ30, Phụ lục I, Phần I, II.6; V.6</x:v>
      </x:c>
      <x:c r="O169" t="str">
        <x:v>https://congbao.chinhphu.vn/van-ban/nghi-dinh-so-30-2020-nd-cp-30858/30246.htm</x:v>
      </x:c>
      <x:c r="P169" t="str">
        <x:v>PLUGIN:hoa-tieu-mien-bac-administrative-v1 | user_approved_visual_reference</x:v>
      </x:c>
      <x:c r="Q169" t="str">
        <x:v>CHECK_ONLY</x:v>
      </x:c>
      <x:c r="R169" t="str">
        <x:v>Kiểm tra từng thuộc tính có mặt; so sánh nguồn/role; không suy đoán từ kết quả render chưa có</x:v>
      </x:c>
      <x:c r="S169" t="str">
        <x:v>RULE_INFERENCE_NOT_MEASURED</x:v>
      </x:c>
      <x:c r="T169" t="str">
        <x:v>Xác minh căn cứ theo loại văn bản / tài liệu phát hành hoặc phê duyệt</x:v>
      </x:c>
      <x:c r="U169" t="str">
        <x:v>Paragraph/Run theo kiểu khối KD; preserve list numbering/table/drawing nếu có</x:v>
      </x:c>
    </x:row>
    <x:row r="170">
      <x:c r="A170" t="n">
        <x:v>169</x:v>
      </x:c>
      <x:c r="B170" t="str">
        <x:v>ND30.N.KD.DIEM.SO_THU_TU</x:v>
      </x:c>
      <x:c r="C170" t="str">
        <x:v>ND30.N.KD.DIEM</x:v>
      </x:c>
      <x:c r="D170" t="str">
        <x:v>N</x:v>
      </x:c>
      <x:c r="E170" t="str">
        <x:v>Điểm</x:v>
      </x:c>
      <x:c r="F170" t="str">
        <x:v>SO_THU_TU</x:v>
      </x:c>
      <x:c r="G170"/>
      <x:c r="H170"/>
      <x:c r="I170" t="str">
        <x:v>UNVERIFIED_ATTRIBUTE</x:v>
      </x:c>
      <x:c r="J170" t="str">
        <x:v>BLOCKED_NO_ATTRIBUTE_VALUE</x:v>
      </x:c>
      <x:c r="K170" t="str">
        <x:v>Chỉ khi văn bản có phân cấp này; giữ số, tên và thứ bậc thực tế; không tự đánh lại số</x:v>
      </x:c>
      <x:c r="L170" t="str">
        <x:v>Bảo toàn cấu trúc/nội dung; nếu khác loại văn bản, ưu tiên đúng mẫu của loại đó; không sửa khi thiếu căn cứ.</x:v>
      </x:c>
      <x:c r="M170"/>
      <x:c r="N170" t="str">
        <x:v>NĐ30, Phụ lục I, Phần I, II.6; V.6</x:v>
      </x:c>
      <x:c r="O170" t="str">
        <x:v>https://congbao.chinhphu.vn/van-ban/nghi-dinh-so-30-2020-nd-cp-30858/30246.htm</x:v>
      </x:c>
      <x:c r="P170" t="str">
        <x:v>PLUGIN:hoa-tieu-mien-bac-administrative-v1 | user_approved_visual_reference</x:v>
      </x:c>
      <x:c r="Q170" t="str">
        <x:v>CHECK_ONLY</x:v>
      </x:c>
      <x:c r="R170" t="str">
        <x:v>Kiểm tra từng thuộc tính có mặt; so sánh nguồn/role; không suy đoán từ kết quả render chưa có</x:v>
      </x:c>
      <x:c r="S170" t="str">
        <x:v>RULE_INFERENCE_NOT_MEASURED</x:v>
      </x:c>
      <x:c r="T170" t="str">
        <x:v>Xác minh căn cứ theo loại văn bản / tài liệu phát hành hoặc phê duyệt</x:v>
      </x:c>
      <x:c r="U170" t="str">
        <x:v>Paragraph/Run theo kiểu khối KD; preserve list numbering/table/drawing nếu có</x:v>
      </x:c>
    </x:row>
    <x:row r="171">
      <x:c r="A171" t="n">
        <x:v>170</x:v>
      </x:c>
      <x:c r="B171" t="str">
        <x:v>ND30.N.KD.DIEM.CAU_TRUC</x:v>
      </x:c>
      <x:c r="C171" t="str">
        <x:v>ND30.N.KD.DIEM</x:v>
      </x:c>
      <x:c r="D171" t="str">
        <x:v>N</x:v>
      </x:c>
      <x:c r="E171" t="str">
        <x:v>Điểm</x:v>
      </x:c>
      <x:c r="F171" t="str">
        <x:v>CAU_TRUC</x:v>
      </x:c>
      <x:c r="G171"/>
      <x:c r="H171"/>
      <x:c r="I171" t="str">
        <x:v>UNVERIFIED_ATTRIBUTE</x:v>
      </x:c>
      <x:c r="J171" t="str">
        <x:v>BLOCKED_NO_ATTRIBUTE_VALUE</x:v>
      </x:c>
      <x:c r="K171" t="str">
        <x:v>Chỉ khi văn bản có phân cấp này; giữ số, tên và thứ bậc thực tế; không tự đánh lại số</x:v>
      </x:c>
      <x:c r="L171" t="str">
        <x:v>Bảo toàn cấu trúc/nội dung; nếu khác loại văn bản, ưu tiên đúng mẫu của loại đó; không sửa khi thiếu căn cứ.</x:v>
      </x:c>
      <x:c r="M171"/>
      <x:c r="N171" t="str">
        <x:v>NĐ30, Phụ lục I, Phần I, II.6; V.6</x:v>
      </x:c>
      <x:c r="O171" t="str">
        <x:v>https://congbao.chinhphu.vn/van-ban/nghi-dinh-so-30-2020-nd-cp-30858/30246.htm</x:v>
      </x:c>
      <x:c r="P171" t="str">
        <x:v>PLUGIN:hoa-tieu-mien-bac-administrative-v1 | user_approved_visual_reference</x:v>
      </x:c>
      <x:c r="Q171" t="str">
        <x:v>CHECK_ONLY</x:v>
      </x:c>
      <x:c r="R171" t="str">
        <x:v>Kiểm tra từng thuộc tính có mặt; so sánh nguồn/role; không suy đoán từ kết quả render chưa có</x:v>
      </x:c>
      <x:c r="S171" t="str">
        <x:v>RULE_INFERENCE_NOT_MEASURED</x:v>
      </x:c>
      <x:c r="T171" t="str">
        <x:v>Xác minh căn cứ theo loại văn bản / tài liệu phát hành hoặc phê duyệt</x:v>
      </x:c>
      <x:c r="U171" t="str">
        <x:v>Paragraph/Run theo kiểu khối KD; preserve list numbering/table/drawing nếu có</x:v>
      </x:c>
    </x:row>
    <x:row r="172">
      <x:c r="A172" t="n">
        <x:v>171</x:v>
      </x:c>
      <x:c r="B172" t="str">
        <x:v>ND30.N.KD.DIEM.DAU_CAU</x:v>
      </x:c>
      <x:c r="C172" t="str">
        <x:v>ND30.N.KD.DIEM</x:v>
      </x:c>
      <x:c r="D172" t="str">
        <x:v>N</x:v>
      </x:c>
      <x:c r="E172" t="str">
        <x:v>Điểm</x:v>
      </x:c>
      <x:c r="F172" t="str">
        <x:v>DAU_CAU</x:v>
      </x:c>
      <x:c r="G172"/>
      <x:c r="H172"/>
      <x:c r="I172" t="str">
        <x:v>UNVERIFIED_ATTRIBUTE</x:v>
      </x:c>
      <x:c r="J172" t="str">
        <x:v>BLOCKED_NO_ATTRIBUTE_VALUE</x:v>
      </x:c>
      <x:c r="K172" t="str">
        <x:v>Chỉ khi văn bản có phân cấp này; giữ số, tên và thứ bậc thực tế; không tự đánh lại số</x:v>
      </x:c>
      <x:c r="L172" t="str">
        <x:v>Bảo toàn cấu trúc/nội dung; nếu khác loại văn bản, ưu tiên đúng mẫu của loại đó; không sửa khi thiếu căn cứ.</x:v>
      </x:c>
      <x:c r="M172"/>
      <x:c r="N172" t="str">
        <x:v>NĐ30, Phụ lục I, Phần I, II.6; V.6</x:v>
      </x:c>
      <x:c r="O172" t="str">
        <x:v>https://congbao.chinhphu.vn/van-ban/nghi-dinh-so-30-2020-nd-cp-30858/30246.htm</x:v>
      </x:c>
      <x:c r="P172" t="str">
        <x:v>PLUGIN:hoa-tieu-mien-bac-administrative-v1 | user_approved_visual_reference</x:v>
      </x:c>
      <x:c r="Q172" t="str">
        <x:v>CHECK_ONLY</x:v>
      </x:c>
      <x:c r="R172" t="str">
        <x:v>Kiểm tra từng thuộc tính có mặt; so sánh nguồn/role; không suy đoán từ kết quả render chưa có</x:v>
      </x:c>
      <x:c r="S172" t="str">
        <x:v>RULE_INFERENCE_NOT_MEASURED</x:v>
      </x:c>
      <x:c r="T172" t="str">
        <x:v>Xác minh căn cứ theo loại văn bản / tài liệu phát hành hoặc phê duyệt</x:v>
      </x:c>
      <x:c r="U172" t="str">
        <x:v>Paragraph/Run theo kiểu khối KD; preserve list numbering/table/drawing nếu có</x:v>
      </x:c>
    </x:row>
    <x:row r="173">
      <x:c r="A173" t="n">
        <x:v>172</x:v>
      </x:c>
      <x:c r="B173" t="str">
        <x:v>ND30.N.KD.DANH_SACH.HIEN_DIEN</x:v>
      </x:c>
      <x:c r="C173" t="str">
        <x:v>ND30.N.KD.DANH_SACH</x:v>
      </x:c>
      <x:c r="D173" t="str">
        <x:v>N</x:v>
      </x:c>
      <x:c r="E173" t="str">
        <x:v>Danh sách liệt kê</x:v>
      </x:c>
      <x:c r="F173" t="str">
        <x:v>HIEN_DIEN</x:v>
      </x:c>
      <x:c r="G173" t="str">
        <x:v>Theo loại văn bản và sự hiện diện thực tế; không áp dụng đồng loạt</x:v>
      </x:c>
      <x:c r="H173"/>
      <x:c r="I173" t="str">
        <x:v>UNVERIFIED_ATTRIBUTE</x:v>
      </x:c>
      <x:c r="J173" t="str">
        <x:v>SOURCE_DESCRIPTION_NOT_APPROVAL</x:v>
      </x:c>
      <x:c r="K173" t="str">
        <x:v>Chỉ khi văn bản có phân cấp này; giữ số, tên và thứ bậc thực tế; không tự đánh lại số</x:v>
      </x:c>
      <x:c r="L173" t="str">
        <x:v>Bảo toàn cấu trúc/nội dung; nếu khác loại văn bản, ưu tiên đúng mẫu của loại đó; không sửa khi thiếu căn cứ.</x:v>
      </x:c>
      <x:c r="M173"/>
      <x:c r="N173" t="str">
        <x:v>NĐ30, Phụ lục I, Phần I, II.6; V.6</x:v>
      </x:c>
      <x:c r="O173" t="str">
        <x:v>https://congbao.chinhphu.vn/van-ban/nghi-dinh-so-30-2020-nd-cp-30858/30246.htm</x:v>
      </x:c>
      <x:c r="P173" t="str">
        <x:v>PLUGIN:hoa-tieu-mien-bac-administrative-v1 | user_approved_visual_reference</x:v>
      </x:c>
      <x:c r="Q173" t="str">
        <x:v>CHECK_ONLY</x:v>
      </x:c>
      <x:c r="R173" t="str">
        <x:v>Kiểm tra từng thuộc tính có mặt; so sánh nguồn/role; không suy đoán từ kết quả render chưa có</x:v>
      </x:c>
      <x:c r="S173" t="str">
        <x:v>STRUCTURE_READ_EXISTING_WORKBOOK</x:v>
      </x:c>
      <x:c r="T173"/>
      <x:c r="U173" t="str">
        <x:v>Paragraph/Run theo kiểu khối KD; preserve list numbering/table/drawing nếu có</x:v>
      </x:c>
    </x:row>
    <x:row r="174">
      <x:c r="A174" t="n">
        <x:v>173</x:v>
      </x:c>
      <x:c r="B174" t="str">
        <x:v>ND30.N.KD.DANH_SACH.NOI_DUNG</x:v>
      </x:c>
      <x:c r="C174" t="str">
        <x:v>ND30.N.KD.DANH_SACH</x:v>
      </x:c>
      <x:c r="D174" t="str">
        <x:v>N</x:v>
      </x:c>
      <x:c r="E174" t="str">
        <x:v>Danh sách liệt kê</x:v>
      </x:c>
      <x:c r="F174" t="str">
        <x:v>NOI_DUNG</x:v>
      </x:c>
      <x:c r="G174" t="str">
        <x:v>Danh sách nghiệp vụ; phải xác định numbering/list contract trước khi sửa</x:v>
      </x:c>
      <x:c r="H174"/>
      <x:c r="I174" t="str">
        <x:v>UNVERIFIED_ATTRIBUTE</x:v>
      </x:c>
      <x:c r="J174" t="str">
        <x:v>SOURCE_DESCRIPTION_NOT_APPROVAL</x:v>
      </x:c>
      <x:c r="K174" t="str">
        <x:v>Chỉ khi văn bản có phân cấp này; giữ số, tên và thứ bậc thực tế; không tự đánh lại số</x:v>
      </x:c>
      <x:c r="L174" t="str">
        <x:v>Bảo toàn cấu trúc/nội dung; nếu khác loại văn bản, ưu tiên đúng mẫu của loại đó; không sửa khi thiếu căn cứ.</x:v>
      </x:c>
      <x:c r="M174"/>
      <x:c r="N174" t="str">
        <x:v>NĐ30, Phụ lục I, Phần I, II.6; V.6</x:v>
      </x:c>
      <x:c r="O174" t="str">
        <x:v>https://congbao.chinhphu.vn/van-ban/nghi-dinh-so-30-2020-nd-cp-30858/30246.htm</x:v>
      </x:c>
      <x:c r="P174" t="str">
        <x:v>PLUGIN:hoa-tieu-mien-bac-administrative-v1 | user_approved_visual_reference</x:v>
      </x:c>
      <x:c r="Q174" t="str">
        <x:v>CHECK_ONLY</x:v>
      </x:c>
      <x:c r="R174" t="str">
        <x:v>Kiểm tra từng thuộc tính có mặt; so sánh nguồn/role; không suy đoán từ kết quả render chưa có</x:v>
      </x:c>
      <x:c r="S174" t="str">
        <x:v>STRUCTURE_READ_EXISTING_WORKBOOK</x:v>
      </x:c>
      <x:c r="T174"/>
      <x:c r="U174" t="str">
        <x:v>Paragraph/Run theo kiểu khối KD; preserve list numbering/table/drawing nếu có</x:v>
      </x:c>
    </x:row>
    <x:row r="175">
      <x:c r="A175" t="n">
        <x:v>174</x:v>
      </x:c>
      <x:c r="B175" t="str">
        <x:v>ND30.N.KD.DANH_SACH.PHONG_CHU</x:v>
      </x:c>
      <x:c r="C175" t="str">
        <x:v>ND30.N.KD.DANH_SACH</x:v>
      </x:c>
      <x:c r="D175" t="str">
        <x:v>N</x:v>
      </x:c>
      <x:c r="E175" t="str">
        <x:v>Danh sách liệt kê</x:v>
      </x:c>
      <x:c r="F175" t="str">
        <x:v>PHONG_CHU</x:v>
      </x:c>
      <x:c r="G175" t="str">
        <x:v>Times New Roman</x:v>
      </x:c>
      <x:c r="H175"/>
      <x:c r="I175" t="str">
        <x:v>UNVERIFIED_ATTRIBUTE</x:v>
      </x:c>
      <x:c r="J175" t="str">
        <x:v>PROFILE_PRESET_UNAPPROVED</x:v>
      </x:c>
      <x:c r="K175" t="str">
        <x:v>Chỉ khi văn bản có phân cấp này; giữ số, tên và thứ bậc thực tế; không tự đánh lại số</x:v>
      </x:c>
      <x:c r="L175" t="str">
        <x:v>Bảo toàn cấu trúc/nội dung; nếu khác loại văn bản, ưu tiên đúng mẫu của loại đó; không sửa khi thiếu căn cứ.</x:v>
      </x:c>
      <x:c r="M175"/>
      <x:c r="N175" t="str">
        <x:v>NĐ30, Phụ lục I, Phần I, II.6; V.6</x:v>
      </x:c>
      <x:c r="O175" t="str">
        <x:v>https://congbao.chinhphu.vn/van-ban/nghi-dinh-so-30-2020-nd-cp-30858/30246.htm</x:v>
      </x:c>
      <x:c r="P175" t="str">
        <x:v>PLUGIN:hoa-tieu-mien-bac-administrative-v1 | user_approved_visual_reference</x:v>
      </x:c>
      <x:c r="Q175" t="str">
        <x:v>CHECK_ONLY</x:v>
      </x:c>
      <x:c r="R175" t="str">
        <x:v>Kiểm tra từng thuộc tính có mặt; so sánh nguồn/role; không suy đoán từ kết quả render chưa có</x:v>
      </x:c>
      <x:c r="S175" t="str">
        <x:v>STRUCTURE_READ_EXISTING_WORKBOOK</x:v>
      </x:c>
      <x:c r="T175"/>
      <x:c r="U175" t="str">
        <x:v>Paragraph/Run theo kiểu khối KD; preserve list numbering/table/drawing nếu có</x:v>
      </x:c>
    </x:row>
    <x:row r="176">
      <x:c r="A176" t="n">
        <x:v>175</x:v>
      </x:c>
      <x:c r="B176" t="str">
        <x:v>ND30.N.KD.DANH_SACH.CO_CHU</x:v>
      </x:c>
      <x:c r="C176" t="str">
        <x:v>ND30.N.KD.DANH_SACH</x:v>
      </x:c>
      <x:c r="D176" t="str">
        <x:v>N</x:v>
      </x:c>
      <x:c r="E176" t="str">
        <x:v>Danh sách liệt kê</x:v>
      </x:c>
      <x:c r="F176" t="str">
        <x:v>CO_CHU</x:v>
      </x:c>
      <x:c r="G176" t="n">
        <x:v>14</x:v>
      </x:c>
      <x:c r="H176"/>
      <x:c r="I176" t="str">
        <x:v>UNVERIFIED_ATTRIBUTE</x:v>
      </x:c>
      <x:c r="J176" t="str">
        <x:v>PROFILE_PRESET_UNAPPROVED</x:v>
      </x:c>
      <x:c r="K176" t="str">
        <x:v>Chỉ khi văn bản có phân cấp này; giữ số, tên và thứ bậc thực tế; không tự đánh lại số</x:v>
      </x:c>
      <x:c r="L176" t="str">
        <x:v>Bảo toàn cấu trúc/nội dung; nếu khác loại văn bản, ưu tiên đúng mẫu của loại đó; không sửa khi thiếu căn cứ.</x:v>
      </x:c>
      <x:c r="M176" t="str">
        <x:v>pt</x:v>
      </x:c>
      <x:c r="N176" t="str">
        <x:v>NĐ30, Phụ lục I, Phần I, II.6; V.6</x:v>
      </x:c>
      <x:c r="O176" t="str">
        <x:v>https://congbao.chinhphu.vn/van-ban/nghi-dinh-so-30-2020-nd-cp-30858/30246.htm</x:v>
      </x:c>
      <x:c r="P176" t="str">
        <x:v>PLUGIN:hoa-tieu-mien-bac-administrative-v1 | user_approved_visual_reference</x:v>
      </x:c>
      <x:c r="Q176" t="str">
        <x:v>CHECK_ONLY</x:v>
      </x:c>
      <x:c r="R176" t="str">
        <x:v>Kiểm tra từng thuộc tính có mặt; so sánh nguồn/role; không suy đoán từ kết quả render chưa có</x:v>
      </x:c>
      <x:c r="S176" t="str">
        <x:v>STRUCTURE_READ_EXISTING_WORKBOOK</x:v>
      </x:c>
      <x:c r="T176"/>
      <x:c r="U176" t="str">
        <x:v>Paragraph/Run theo kiểu khối KD; preserve list numbering/table/drawing nếu có</x:v>
      </x:c>
    </x:row>
    <x:row r="177">
      <x:c r="A177" t="n">
        <x:v>176</x:v>
      </x:c>
      <x:c r="B177" t="str">
        <x:v>ND30.N.KD.DANH_SACH.DAM</x:v>
      </x:c>
      <x:c r="C177" t="str">
        <x:v>ND30.N.KD.DANH_SACH</x:v>
      </x:c>
      <x:c r="D177" t="str">
        <x:v>N</x:v>
      </x:c>
      <x:c r="E177" t="str">
        <x:v>Danh sách liệt kê</x:v>
      </x:c>
      <x:c r="F177" t="str">
        <x:v>DAM</x:v>
      </x:c>
      <x:c r="G177"/>
      <x:c r="H177"/>
      <x:c r="I177" t="str">
        <x:v>UNVERIFIED_ATTRIBUTE</x:v>
      </x:c>
      <x:c r="J177" t="str">
        <x:v>BLOCKED_NO_ATTRIBUTE_VALUE</x:v>
      </x:c>
      <x:c r="K177" t="str">
        <x:v>Chỉ khi văn bản có phân cấp này; giữ số, tên và thứ bậc thực tế; không tự đánh lại số</x:v>
      </x:c>
      <x:c r="L177" t="str">
        <x:v>Bảo toàn cấu trúc/nội dung; nếu khác loại văn bản, ưu tiên đúng mẫu của loại đó; không sửa khi thiếu căn cứ.</x:v>
      </x:c>
      <x:c r="M177"/>
      <x:c r="N177" t="str">
        <x:v>NĐ30, Phụ lục I, Phần I, II.6; V.6</x:v>
      </x:c>
      <x:c r="O177" t="str">
        <x:v>https://congbao.chinhphu.vn/van-ban/nghi-dinh-so-30-2020-nd-cp-30858/30246.htm</x:v>
      </x:c>
      <x:c r="P177" t="str">
        <x:v>PLUGIN:hoa-tieu-mien-bac-administrative-v1 | user_approved_visual_reference</x:v>
      </x:c>
      <x:c r="Q177" t="str">
        <x:v>CHECK_ONLY</x:v>
      </x:c>
      <x:c r="R177" t="str">
        <x:v>Kiểm tra từng thuộc tính có mặt; so sánh nguồn/role; không suy đoán từ kết quả render chưa có</x:v>
      </x:c>
      <x:c r="S177" t="str">
        <x:v>RULE_INFERENCE_NOT_MEASURED</x:v>
      </x:c>
      <x:c r="T177" t="str">
        <x:v>Xác minh căn cứ theo loại văn bản / tài liệu phát hành hoặc phê duyệt</x:v>
      </x:c>
      <x:c r="U177" t="str">
        <x:v>Paragraph/Run theo kiểu khối KD; preserve list numbering/table/drawing nếu có</x:v>
      </x:c>
    </x:row>
    <x:row r="178">
      <x:c r="A178" t="n">
        <x:v>177</x:v>
      </x:c>
      <x:c r="B178" t="str">
        <x:v>ND30.N.KD.DANH_SACH.NGHIENG</x:v>
      </x:c>
      <x:c r="C178" t="str">
        <x:v>ND30.N.KD.DANH_SACH</x:v>
      </x:c>
      <x:c r="D178" t="str">
        <x:v>N</x:v>
      </x:c>
      <x:c r="E178" t="str">
        <x:v>Danh sách liệt kê</x:v>
      </x:c>
      <x:c r="F178" t="str">
        <x:v>NGHIENG</x:v>
      </x:c>
      <x:c r="G178"/>
      <x:c r="H178"/>
      <x:c r="I178" t="str">
        <x:v>UNVERIFIED_ATTRIBUTE</x:v>
      </x:c>
      <x:c r="J178" t="str">
        <x:v>BLOCKED_NO_ATTRIBUTE_VALUE</x:v>
      </x:c>
      <x:c r="K178" t="str">
        <x:v>Chỉ khi văn bản có phân cấp này; giữ số, tên và thứ bậc thực tế; không tự đánh lại số</x:v>
      </x:c>
      <x:c r="L178" t="str">
        <x:v>Bảo toàn cấu trúc/nội dung; nếu khác loại văn bản, ưu tiên đúng mẫu của loại đó; không sửa khi thiếu căn cứ.</x:v>
      </x:c>
      <x:c r="M178"/>
      <x:c r="N178" t="str">
        <x:v>NĐ30, Phụ lục I, Phần I, II.6; V.6</x:v>
      </x:c>
      <x:c r="O178" t="str">
        <x:v>https://congbao.chinhphu.vn/van-ban/nghi-dinh-so-30-2020-nd-cp-30858/30246.htm</x:v>
      </x:c>
      <x:c r="P178" t="str">
        <x:v>PLUGIN:hoa-tieu-mien-bac-administrative-v1 | user_approved_visual_reference</x:v>
      </x:c>
      <x:c r="Q178" t="str">
        <x:v>CHECK_ONLY</x:v>
      </x:c>
      <x:c r="R178" t="str">
        <x:v>Kiểm tra từng thuộc tính có mặt; so sánh nguồn/role; không suy đoán từ kết quả render chưa có</x:v>
      </x:c>
      <x:c r="S178" t="str">
        <x:v>RULE_INFERENCE_NOT_MEASURED</x:v>
      </x:c>
      <x:c r="T178" t="str">
        <x:v>Xác minh căn cứ theo loại văn bản / tài liệu phát hành hoặc phê duyệt</x:v>
      </x:c>
      <x:c r="U178" t="str">
        <x:v>Paragraph/Run theo kiểu khối KD; preserve list numbering/table/drawing nếu có</x:v>
      </x:c>
    </x:row>
    <x:row r="179">
      <x:c r="A179" t="n">
        <x:v>178</x:v>
      </x:c>
      <x:c r="B179" t="str">
        <x:v>ND30.N.KD.DANH_SACH.KIEU_CHU</x:v>
      </x:c>
      <x:c r="C179" t="str">
        <x:v>ND30.N.KD.DANH_SACH</x:v>
      </x:c>
      <x:c r="D179" t="str">
        <x:v>N</x:v>
      </x:c>
      <x:c r="E179" t="str">
        <x:v>Danh sách liệt kê</x:v>
      </x:c>
      <x:c r="F179" t="str">
        <x:v>KIEU_CHU</x:v>
      </x:c>
      <x:c r="G179" t="str">
        <x:v>In thường</x:v>
      </x:c>
      <x:c r="H179"/>
      <x:c r="I179" t="str">
        <x:v>UNVERIFIED_ATTRIBUTE</x:v>
      </x:c>
      <x:c r="J179" t="str">
        <x:v>PROFILE_PRESET_UNAPPROVED</x:v>
      </x:c>
      <x:c r="K179" t="str">
        <x:v>Chỉ khi văn bản có phân cấp này; giữ số, tên và thứ bậc thực tế; không tự đánh lại số</x:v>
      </x:c>
      <x:c r="L179" t="str">
        <x:v>Bảo toàn cấu trúc/nội dung; nếu khác loại văn bản, ưu tiên đúng mẫu của loại đó; không sửa khi thiếu căn cứ.</x:v>
      </x:c>
      <x:c r="M179"/>
      <x:c r="N179" t="str">
        <x:v>NĐ30, Phụ lục I, Phần I, II.6; V.6</x:v>
      </x:c>
      <x:c r="O179" t="str">
        <x:v>https://congbao.chinhphu.vn/van-ban/nghi-dinh-so-30-2020-nd-cp-30858/30246.htm</x:v>
      </x:c>
      <x:c r="P179" t="str">
        <x:v>PLUGIN:hoa-tieu-mien-bac-administrative-v1 | user_approved_visual_reference</x:v>
      </x:c>
      <x:c r="Q179" t="str">
        <x:v>CHECK_ONLY</x:v>
      </x:c>
      <x:c r="R179" t="str">
        <x:v>Kiểm tra từng thuộc tính có mặt; so sánh nguồn/role; không suy đoán từ kết quả render chưa có</x:v>
      </x:c>
      <x:c r="S179" t="str">
        <x:v>STRUCTURE_READ_EXISTING_WORKBOOK</x:v>
      </x:c>
      <x:c r="T179"/>
      <x:c r="U179" t="str">
        <x:v>Paragraph/Run theo kiểu khối KD; preserve list numbering/table/drawing nếu có</x:v>
      </x:c>
    </x:row>
    <x:row r="180">
      <x:c r="A180" t="n">
        <x:v>179</x:v>
      </x:c>
      <x:c r="B180" t="str">
        <x:v>ND30.N.KD.DANH_SACH.CAN_NGANG</x:v>
      </x:c>
      <x:c r="C180" t="str">
        <x:v>ND30.N.KD.DANH_SACH</x:v>
      </x:c>
      <x:c r="D180" t="str">
        <x:v>N</x:v>
      </x:c>
      <x:c r="E180" t="str">
        <x:v>Danh sách liệt kê</x:v>
      </x:c>
      <x:c r="F180" t="str">
        <x:v>CAN_NGANG</x:v>
      </x:c>
      <x:c r="G180" t="str">
        <x:v>JUSTIFY</x:v>
      </x:c>
      <x:c r="H180"/>
      <x:c r="I180" t="str">
        <x:v>UNVERIFIED_ATTRIBUTE</x:v>
      </x:c>
      <x:c r="J180" t="str">
        <x:v>PROFILE_PRESET_UNAPPROVED</x:v>
      </x:c>
      <x:c r="K180" t="str">
        <x:v>Chỉ khi văn bản có phân cấp này; giữ số, tên và thứ bậc thực tế; không tự đánh lại số</x:v>
      </x:c>
      <x:c r="L180" t="str">
        <x:v>Bảo toàn cấu trúc/nội dung; nếu khác loại văn bản, ưu tiên đúng mẫu của loại đó; không sửa khi thiếu căn cứ.</x:v>
      </x:c>
      <x:c r="M180"/>
      <x:c r="N180" t="str">
        <x:v>NĐ30, Phụ lục I, Phần I, II.6; V.6</x:v>
      </x:c>
      <x:c r="O180" t="str">
        <x:v>https://congbao.chinhphu.vn/van-ban/nghi-dinh-so-30-2020-nd-cp-30858/30246.htm</x:v>
      </x:c>
      <x:c r="P180" t="str">
        <x:v>PLUGIN:hoa-tieu-mien-bac-administrative-v1 | user_approved_visual_reference</x:v>
      </x:c>
      <x:c r="Q180" t="str">
        <x:v>CHECK_ONLY</x:v>
      </x:c>
      <x:c r="R180" t="str">
        <x:v>Kiểm tra từng thuộc tính có mặt; so sánh nguồn/role; không suy đoán từ kết quả render chưa có</x:v>
      </x:c>
      <x:c r="S180" t="str">
        <x:v>STRUCTURE_READ_EXISTING_WORKBOOK</x:v>
      </x:c>
      <x:c r="T180"/>
      <x:c r="U180" t="str">
        <x:v>Paragraph/Run theo kiểu khối KD; preserve list numbering/table/drawing nếu có</x:v>
      </x:c>
    </x:row>
    <x:row r="181">
      <x:c r="A181" t="n">
        <x:v>180</x:v>
      </x:c>
      <x:c r="B181" t="str">
        <x:v>ND30.N.KD.DANH_SACH.GIAN_DONG</x:v>
      </x:c>
      <x:c r="C181" t="str">
        <x:v>ND30.N.KD.DANH_SACH</x:v>
      </x:c>
      <x:c r="D181" t="str">
        <x:v>N</x:v>
      </x:c>
      <x:c r="E181" t="str">
        <x:v>Danh sách liệt kê</x:v>
      </x:c>
      <x:c r="F181" t="str">
        <x:v>GIAN_DONG</x:v>
      </x:c>
      <x:c r="G181" t="n">
        <x:v>19</x:v>
      </x:c>
      <x:c r="H181"/>
      <x:c r="I181" t="str">
        <x:v>UNVERIFIED_ATTRIBUTE</x:v>
      </x:c>
      <x:c r="J181" t="str">
        <x:v>PROFILE_PRESET_UNAPPROVED</x:v>
      </x:c>
      <x:c r="K181" t="str">
        <x:v>Chỉ khi văn bản có phân cấp này; giữ số, tên và thứ bậc thực tế; không tự đánh lại số</x:v>
      </x:c>
      <x:c r="L181" t="str">
        <x:v>Bảo toàn cấu trúc/nội dung; nếu khác loại văn bản, ưu tiên đúng mẫu của loại đó; không sửa khi thiếu căn cứ.</x:v>
      </x:c>
      <x:c r="M181" t="str">
        <x:v>pt</x:v>
      </x:c>
      <x:c r="N181" t="str">
        <x:v>NĐ30, Phụ lục I, Phần I, II.6; V.6</x:v>
      </x:c>
      <x:c r="O181" t="str">
        <x:v>https://congbao.chinhphu.vn/van-ban/nghi-dinh-so-30-2020-nd-cp-30858/30246.htm</x:v>
      </x:c>
      <x:c r="P181" t="str">
        <x:v>PLUGIN:hoa-tieu-mien-bac-administrative-v1 | user_approved_visual_reference</x:v>
      </x:c>
      <x:c r="Q181" t="str">
        <x:v>CHECK_ONLY</x:v>
      </x:c>
      <x:c r="R181" t="str">
        <x:v>Kiểm tra từng thuộc tính có mặt; so sánh nguồn/role; không suy đoán từ kết quả render chưa có</x:v>
      </x:c>
      <x:c r="S181" t="str">
        <x:v>STRUCTURE_READ_EXISTING_WORKBOOK</x:v>
      </x:c>
      <x:c r="T181"/>
      <x:c r="U181" t="str">
        <x:v>Paragraph/Run theo kiểu khối KD; preserve list numbering/table/drawing nếu có</x:v>
      </x:c>
    </x:row>
    <x:row r="182">
      <x:c r="A182" t="n">
        <x:v>181</x:v>
      </x:c>
      <x:c r="B182" t="str">
        <x:v>ND30.N.KD.DANH_SACH.CACH_TRUOC</x:v>
      </x:c>
      <x:c r="C182" t="str">
        <x:v>ND30.N.KD.DANH_SACH</x:v>
      </x:c>
      <x:c r="D182" t="str">
        <x:v>N</x:v>
      </x:c>
      <x:c r="E182" t="str">
        <x:v>Danh sách liệt kê</x:v>
      </x:c>
      <x:c r="F182" t="str">
        <x:v>CACH_TRUOC</x:v>
      </x:c>
      <x:c r="G182" t="n">
        <x:v>0</x:v>
      </x:c>
      <x:c r="H182"/>
      <x:c r="I182" t="str">
        <x:v>UNVERIFIED_ATTRIBUTE</x:v>
      </x:c>
      <x:c r="J182" t="str">
        <x:v>PROFILE_PRESET_UNAPPROVED</x:v>
      </x:c>
      <x:c r="K182" t="str">
        <x:v>Chỉ khi văn bản có phân cấp này; giữ số, tên và thứ bậc thực tế; không tự đánh lại số</x:v>
      </x:c>
      <x:c r="L182" t="str">
        <x:v>Bảo toàn cấu trúc/nội dung; nếu khác loại văn bản, ưu tiên đúng mẫu của loại đó; không sửa khi thiếu căn cứ.</x:v>
      </x:c>
      <x:c r="M182" t="str">
        <x:v>pt</x:v>
      </x:c>
      <x:c r="N182" t="str">
        <x:v>NĐ30, Phụ lục I, Phần I, II.6; V.6</x:v>
      </x:c>
      <x:c r="O182" t="str">
        <x:v>https://congbao.chinhphu.vn/van-ban/nghi-dinh-so-30-2020-nd-cp-30858/30246.htm</x:v>
      </x:c>
      <x:c r="P182" t="str">
        <x:v>PLUGIN:hoa-tieu-mien-bac-administrative-v1 | user_approved_visual_reference</x:v>
      </x:c>
      <x:c r="Q182" t="str">
        <x:v>CHECK_ONLY</x:v>
      </x:c>
      <x:c r="R182" t="str">
        <x:v>Kiểm tra từng thuộc tính có mặt; so sánh nguồn/role; không suy đoán từ kết quả render chưa có</x:v>
      </x:c>
      <x:c r="S182" t="str">
        <x:v>STRUCTURE_READ_EXISTING_WORKBOOK</x:v>
      </x:c>
      <x:c r="T182"/>
      <x:c r="U182" t="str">
        <x:v>Paragraph/Run theo kiểu khối KD; preserve list numbering/table/drawing nếu có</x:v>
      </x:c>
    </x:row>
    <x:row r="183">
      <x:c r="A183" t="n">
        <x:v>182</x:v>
      </x:c>
      <x:c r="B183" t="str">
        <x:v>ND30.N.KD.DANH_SACH.CACH_SAU</x:v>
      </x:c>
      <x:c r="C183" t="str">
        <x:v>ND30.N.KD.DANH_SACH</x:v>
      </x:c>
      <x:c r="D183" t="str">
        <x:v>N</x:v>
      </x:c>
      <x:c r="E183" t="str">
        <x:v>Danh sách liệt kê</x:v>
      </x:c>
      <x:c r="F183" t="str">
        <x:v>CACH_SAU</x:v>
      </x:c>
      <x:c r="G183" t="n">
        <x:v>6</x:v>
      </x:c>
      <x:c r="H183"/>
      <x:c r="I183" t="str">
        <x:v>UNVERIFIED_ATTRIBUTE</x:v>
      </x:c>
      <x:c r="J183" t="str">
        <x:v>PROFILE_PRESET_UNAPPROVED</x:v>
      </x:c>
      <x:c r="K183" t="str">
        <x:v>Chỉ khi văn bản có phân cấp này; giữ số, tên và thứ bậc thực tế; không tự đánh lại số</x:v>
      </x:c>
      <x:c r="L183" t="str">
        <x:v>Bảo toàn cấu trúc/nội dung; nếu khác loại văn bản, ưu tiên đúng mẫu của loại đó; không sửa khi thiếu căn cứ.</x:v>
      </x:c>
      <x:c r="M183" t="str">
        <x:v>pt</x:v>
      </x:c>
      <x:c r="N183" t="str">
        <x:v>NĐ30, Phụ lục I, Phần I, II.6; V.6</x:v>
      </x:c>
      <x:c r="O183" t="str">
        <x:v>https://congbao.chinhphu.vn/van-ban/nghi-dinh-so-30-2020-nd-cp-30858/30246.htm</x:v>
      </x:c>
      <x:c r="P183" t="str">
        <x:v>PLUGIN:hoa-tieu-mien-bac-administrative-v1 | user_approved_visual_reference</x:v>
      </x:c>
      <x:c r="Q183" t="str">
        <x:v>CHECK_ONLY</x:v>
      </x:c>
      <x:c r="R183" t="str">
        <x:v>Kiểm tra từng thuộc tính có mặt; so sánh nguồn/role; không suy đoán từ kết quả render chưa có</x:v>
      </x:c>
      <x:c r="S183" t="str">
        <x:v>STRUCTURE_READ_EXISTING_WORKBOOK</x:v>
      </x:c>
      <x:c r="T183"/>
      <x:c r="U183" t="str">
        <x:v>Paragraph/Run theo kiểu khối KD; preserve list numbering/table/drawing nếu có</x:v>
      </x:c>
    </x:row>
    <x:row r="184">
      <x:c r="A184" t="n">
        <x:v>183</x:v>
      </x:c>
      <x:c r="B184" t="str">
        <x:v>ND30.N.KD.DANH_SACH.THUT_DONG_DAU</x:v>
      </x:c>
      <x:c r="C184" t="str">
        <x:v>ND30.N.KD.DANH_SACH</x:v>
      </x:c>
      <x:c r="D184" t="str">
        <x:v>N</x:v>
      </x:c>
      <x:c r="E184" t="str">
        <x:v>Danh sách liệt kê</x:v>
      </x:c>
      <x:c r="F184" t="str">
        <x:v>THUT_DONG_DAU</x:v>
      </x:c>
      <x:c r="G184"/>
      <x:c r="H184"/>
      <x:c r="I184" t="str">
        <x:v>UNVERIFIED_ATTRIBUTE</x:v>
      </x:c>
      <x:c r="J184" t="str">
        <x:v>BLOCKED_NO_ATTRIBUTE_VALUE</x:v>
      </x:c>
      <x:c r="K184" t="str">
        <x:v>Chỉ khi văn bản có phân cấp này; giữ số, tên và thứ bậc thực tế; không tự đánh lại số</x:v>
      </x:c>
      <x:c r="L184" t="str">
        <x:v>Bảo toàn cấu trúc/nội dung; nếu khác loại văn bản, ưu tiên đúng mẫu của loại đó; không sửa khi thiếu căn cứ.</x:v>
      </x:c>
      <x:c r="M184" t="str">
        <x:v>mm</x:v>
      </x:c>
      <x:c r="N184" t="str">
        <x:v>NĐ30, Phụ lục I, Phần I, II.6; V.6</x:v>
      </x:c>
      <x:c r="O184" t="str">
        <x:v>https://congbao.chinhphu.vn/van-ban/nghi-dinh-so-30-2020-nd-cp-30858/30246.htm</x:v>
      </x:c>
      <x:c r="P184" t="str">
        <x:v>PLUGIN:hoa-tieu-mien-bac-administrative-v1 | user_approved_visual_reference</x:v>
      </x:c>
      <x:c r="Q184" t="str">
        <x:v>CHECK_ONLY</x:v>
      </x:c>
      <x:c r="R184" t="str">
        <x:v>Kiểm tra từng thuộc tính có mặt; so sánh nguồn/role; không suy đoán từ kết quả render chưa có</x:v>
      </x:c>
      <x:c r="S184" t="str">
        <x:v>RULE_INFERENCE_NOT_MEASURED</x:v>
      </x:c>
      <x:c r="T184" t="str">
        <x:v>Xác minh căn cứ theo loại văn bản / tài liệu phát hành hoặc phê duyệt</x:v>
      </x:c>
      <x:c r="U184" t="str">
        <x:v>Paragraph/Run theo kiểu khối KD; preserve list numbering/table/drawing nếu có</x:v>
      </x:c>
    </x:row>
    <x:row r="185">
      <x:c r="A185" t="n">
        <x:v>184</x:v>
      </x:c>
      <x:c r="B185" t="str">
        <x:v>ND30.N.KD.DANH_SACH.KEEP_NEXT</x:v>
      </x:c>
      <x:c r="C185" t="str">
        <x:v>ND30.N.KD.DANH_SACH</x:v>
      </x:c>
      <x:c r="D185" t="str">
        <x:v>N</x:v>
      </x:c>
      <x:c r="E185" t="str">
        <x:v>Danh sách liệt kê</x:v>
      </x:c>
      <x:c r="F185" t="str">
        <x:v>KEEP_NEXT</x:v>
      </x:c>
      <x:c r="G185"/>
      <x:c r="H185"/>
      <x:c r="I185" t="str">
        <x:v>UNVERIFIED_ATTRIBUTE</x:v>
      </x:c>
      <x:c r="J185" t="str">
        <x:v>BLOCKED_NO_ATTRIBUTE_VALUE</x:v>
      </x:c>
      <x:c r="K185" t="str">
        <x:v>Chỉ khi văn bản có phân cấp này; giữ số, tên và thứ bậc thực tế; không tự đánh lại số</x:v>
      </x:c>
      <x:c r="L185" t="str">
        <x:v>Bảo toàn cấu trúc/nội dung; nếu khác loại văn bản, ưu tiên đúng mẫu của loại đó; không sửa khi thiếu căn cứ.</x:v>
      </x:c>
      <x:c r="M185"/>
      <x:c r="N185" t="str">
        <x:v>NĐ30, Phụ lục I, Phần I, II.6; V.6</x:v>
      </x:c>
      <x:c r="O185" t="str">
        <x:v>https://congbao.chinhphu.vn/van-ban/nghi-dinh-so-30-2020-nd-cp-30858/30246.htm</x:v>
      </x:c>
      <x:c r="P185" t="str">
        <x:v>PLUGIN:hoa-tieu-mien-bac-administrative-v1 | user_approved_visual_reference</x:v>
      </x:c>
      <x:c r="Q185" t="str">
        <x:v>CHECK_ONLY</x:v>
      </x:c>
      <x:c r="R185" t="str">
        <x:v>Kiểm tra từng thuộc tính có mặt; so sánh nguồn/role; không suy đoán từ kết quả render chưa có</x:v>
      </x:c>
      <x:c r="S185" t="str">
        <x:v>RULE_INFERENCE_NOT_MEASURED</x:v>
      </x:c>
      <x:c r="T185" t="str">
        <x:v>Xác minh căn cứ theo loại văn bản / tài liệu phát hành hoặc phê duyệt</x:v>
      </x:c>
      <x:c r="U185" t="str">
        <x:v>Paragraph/Run theo kiểu khối KD; preserve list numbering/table/drawing nếu có</x:v>
      </x:c>
    </x:row>
    <x:row r="186">
      <x:c r="A186" t="n">
        <x:v>185</x:v>
      </x:c>
      <x:c r="B186" t="str">
        <x:v>ND30.N.KD.DANH_SACH.SO_THU_TU</x:v>
      </x:c>
      <x:c r="C186" t="str">
        <x:v>ND30.N.KD.DANH_SACH</x:v>
      </x:c>
      <x:c r="D186" t="str">
        <x:v>N</x:v>
      </x:c>
      <x:c r="E186" t="str">
        <x:v>Danh sách liệt kê</x:v>
      </x:c>
      <x:c r="F186" t="str">
        <x:v>SO_THU_TU</x:v>
      </x:c>
      <x:c r="G186"/>
      <x:c r="H186"/>
      <x:c r="I186" t="str">
        <x:v>UNVERIFIED_ATTRIBUTE</x:v>
      </x:c>
      <x:c r="J186" t="str">
        <x:v>BLOCKED_NO_ATTRIBUTE_VALUE</x:v>
      </x:c>
      <x:c r="K186" t="str">
        <x:v>Chỉ khi văn bản có phân cấp này; giữ số, tên và thứ bậc thực tế; không tự đánh lại số</x:v>
      </x:c>
      <x:c r="L186" t="str">
        <x:v>Bảo toàn cấu trúc/nội dung; nếu khác loại văn bản, ưu tiên đúng mẫu của loại đó; không sửa khi thiếu căn cứ.</x:v>
      </x:c>
      <x:c r="M186"/>
      <x:c r="N186" t="str">
        <x:v>NĐ30, Phụ lục I, Phần I, II.6; V.6</x:v>
      </x:c>
      <x:c r="O186" t="str">
        <x:v>https://congbao.chinhphu.vn/van-ban/nghi-dinh-so-30-2020-nd-cp-30858/30246.htm</x:v>
      </x:c>
      <x:c r="P186" t="str">
        <x:v>PLUGIN:hoa-tieu-mien-bac-administrative-v1 | user_approved_visual_reference</x:v>
      </x:c>
      <x:c r="Q186" t="str">
        <x:v>CHECK_ONLY</x:v>
      </x:c>
      <x:c r="R186" t="str">
        <x:v>Kiểm tra từng thuộc tính có mặt; so sánh nguồn/role; không suy đoán từ kết quả render chưa có</x:v>
      </x:c>
      <x:c r="S186" t="str">
        <x:v>RULE_INFERENCE_NOT_MEASURED</x:v>
      </x:c>
      <x:c r="T186" t="str">
        <x:v>Xác minh căn cứ theo loại văn bản / tài liệu phát hành hoặc phê duyệt</x:v>
      </x:c>
      <x:c r="U186" t="str">
        <x:v>Paragraph/Run theo kiểu khối KD; preserve list numbering/table/drawing nếu có</x:v>
      </x:c>
    </x:row>
    <x:row r="187">
      <x:c r="A187" t="n">
        <x:v>186</x:v>
      </x:c>
      <x:c r="B187" t="str">
        <x:v>ND30.N.KD.DANH_SACH.CAU_TRUC</x:v>
      </x:c>
      <x:c r="C187" t="str">
        <x:v>ND30.N.KD.DANH_SACH</x:v>
      </x:c>
      <x:c r="D187" t="str">
        <x:v>N</x:v>
      </x:c>
      <x:c r="E187" t="str">
        <x:v>Danh sách liệt kê</x:v>
      </x:c>
      <x:c r="F187" t="str">
        <x:v>CAU_TRUC</x:v>
      </x:c>
      <x:c r="G187"/>
      <x:c r="H187"/>
      <x:c r="I187" t="str">
        <x:v>UNVERIFIED_ATTRIBUTE</x:v>
      </x:c>
      <x:c r="J187" t="str">
        <x:v>BLOCKED_NO_ATTRIBUTE_VALUE</x:v>
      </x:c>
      <x:c r="K187" t="str">
        <x:v>Chỉ khi văn bản có phân cấp này; giữ số, tên và thứ bậc thực tế; không tự đánh lại số</x:v>
      </x:c>
      <x:c r="L187" t="str">
        <x:v>Bảo toàn cấu trúc/nội dung; nếu khác loại văn bản, ưu tiên đúng mẫu của loại đó; không sửa khi thiếu căn cứ.</x:v>
      </x:c>
      <x:c r="M187"/>
      <x:c r="N187" t="str">
        <x:v>NĐ30, Phụ lục I, Phần I, II.6; V.6</x:v>
      </x:c>
      <x:c r="O187" t="str">
        <x:v>https://congbao.chinhphu.vn/van-ban/nghi-dinh-so-30-2020-nd-cp-30858/30246.htm</x:v>
      </x:c>
      <x:c r="P187" t="str">
        <x:v>PLUGIN:hoa-tieu-mien-bac-administrative-v1 | user_approved_visual_reference</x:v>
      </x:c>
      <x:c r="Q187" t="str">
        <x:v>CHECK_ONLY</x:v>
      </x:c>
      <x:c r="R187" t="str">
        <x:v>Kiểm tra từng thuộc tính có mặt; so sánh nguồn/role; không suy đoán từ kết quả render chưa có</x:v>
      </x:c>
      <x:c r="S187" t="str">
        <x:v>RULE_INFERENCE_NOT_MEASURED</x:v>
      </x:c>
      <x:c r="T187" t="str">
        <x:v>Xác minh căn cứ theo loại văn bản / tài liệu phát hành hoặc phê duyệt</x:v>
      </x:c>
      <x:c r="U187" t="str">
        <x:v>Paragraph/Run theo kiểu khối KD; preserve list numbering/table/drawing nếu có</x:v>
      </x:c>
    </x:row>
    <x:row r="188">
      <x:c r="A188" t="n">
        <x:v>187</x:v>
      </x:c>
      <x:c r="B188" t="str">
        <x:v>ND30.N.KD.DANH_SACH.DAU_CAU</x:v>
      </x:c>
      <x:c r="C188" t="str">
        <x:v>ND30.N.KD.DANH_SACH</x:v>
      </x:c>
      <x:c r="D188" t="str">
        <x:v>N</x:v>
      </x:c>
      <x:c r="E188" t="str">
        <x:v>Danh sách liệt kê</x:v>
      </x:c>
      <x:c r="F188" t="str">
        <x:v>DAU_CAU</x:v>
      </x:c>
      <x:c r="G188"/>
      <x:c r="H188"/>
      <x:c r="I188" t="str">
        <x:v>UNVERIFIED_ATTRIBUTE</x:v>
      </x:c>
      <x:c r="J188" t="str">
        <x:v>BLOCKED_NO_ATTRIBUTE_VALUE</x:v>
      </x:c>
      <x:c r="K188" t="str">
        <x:v>Chỉ khi văn bản có phân cấp này; giữ số, tên và thứ bậc thực tế; không tự đánh lại số</x:v>
      </x:c>
      <x:c r="L188" t="str">
        <x:v>Bảo toàn cấu trúc/nội dung; nếu khác loại văn bản, ưu tiên đúng mẫu của loại đó; không sửa khi thiếu căn cứ.</x:v>
      </x:c>
      <x:c r="M188"/>
      <x:c r="N188" t="str">
        <x:v>NĐ30, Phụ lục I, Phần I, II.6; V.6</x:v>
      </x:c>
      <x:c r="O188" t="str">
        <x:v>https://congbao.chinhphu.vn/van-ban/nghi-dinh-so-30-2020-nd-cp-30858/30246.htm</x:v>
      </x:c>
      <x:c r="P188" t="str">
        <x:v>PLUGIN:hoa-tieu-mien-bac-administrative-v1 | user_approved_visual_reference</x:v>
      </x:c>
      <x:c r="Q188" t="str">
        <x:v>CHECK_ONLY</x:v>
      </x:c>
      <x:c r="R188" t="str">
        <x:v>Kiểm tra từng thuộc tính có mặt; so sánh nguồn/role; không suy đoán từ kết quả render chưa có</x:v>
      </x:c>
      <x:c r="S188" t="str">
        <x:v>RULE_INFERENCE_NOT_MEASURED</x:v>
      </x:c>
      <x:c r="T188" t="str">
        <x:v>Xác minh căn cứ theo loại văn bản / tài liệu phát hành hoặc phê duyệt</x:v>
      </x:c>
      <x:c r="U188" t="str">
        <x:v>Paragraph/Run theo kiểu khối KD; preserve list numbering/table/drawing nếu có</x:v>
      </x:c>
    </x:row>
    <x:row r="189">
      <x:c r="A189" t="n">
        <x:v>188</x:v>
      </x:c>
      <x:c r="B189" t="str">
        <x:v>ND30.N.DOAN.VAN_BAN.HIEN_DIEN</x:v>
      </x:c>
      <x:c r="C189" t="str">
        <x:v>ND30.N.DOAN.VAN_BAN</x:v>
      </x:c>
      <x:c r="D189" t="str">
        <x:v>N</x:v>
      </x:c>
      <x:c r="E189" t="str">
        <x:v>Nội dung đoạn văn thông thường</x:v>
      </x:c>
      <x:c r="F189" t="str">
        <x:v>HIEN_DIEN</x:v>
      </x:c>
      <x:c r="G189" t="str">
        <x:v>Theo loại văn bản và sự hiện diện thực tế; không áp dụng đồng loạt</x:v>
      </x:c>
      <x:c r="H189"/>
      <x:c r="I189" t="str">
        <x:v>UNVERIFIED_ATTRIBUTE</x:v>
      </x:c>
      <x:c r="J189" t="str">
        <x:v>SOURCE_DESCRIPTION_NOT_APPROVAL</x:v>
      </x:c>
      <x:c r="K189" t="str">
        <x:v>Chỉ đoạn nội dung thực; loại trừ bảng, chú thích, chữ ký và các thành phần phần đầu</x:v>
      </x:c>
      <x:c r="L189" t="str">
        <x:v>Bảo toàn cấu trúc/nội dung; nếu khác loại văn bản, ưu tiên đúng mẫu của loại đó; không sửa khi thiếu căn cứ.</x:v>
      </x:c>
      <x:c r="M189"/>
      <x:c r="N189" t="str">
        <x:v>NĐ30, Phụ lục I, Phần I, II.6; V.6</x:v>
      </x:c>
      <x:c r="O189" t="str">
        <x:v>https://congbao.chinhphu.vn/van-ban/nghi-dinh-so-30-2020-nd-cp-30858/30246.htm</x:v>
      </x:c>
      <x:c r="P189" t="str">
        <x:v>PLUGIN:hoa-tieu-mien-bac-administrative-v1 | user_approved_visual_reference</x:v>
      </x:c>
      <x:c r="Q189" t="str">
        <x:v>CHECK_ONLY</x:v>
      </x:c>
      <x:c r="R189" t="str">
        <x:v>Kiểm tra từng thuộc tính có mặt; so sánh nguồn/role; không suy đoán từ kết quả render chưa có</x:v>
      </x:c>
      <x:c r="S189" t="str">
        <x:v>STRUCTURE_READ_EXISTING_WORKBOOK</x:v>
      </x:c>
      <x:c r="T189"/>
      <x:c r="U189" t="str">
        <x:v>Paragraph/Run theo kiểu khối DOAN; preserve list numbering/table/drawing nếu có</x:v>
      </x:c>
    </x:row>
    <x:row r="190">
      <x:c r="A190" t="n">
        <x:v>189</x:v>
      </x:c>
      <x:c r="B190" t="str">
        <x:v>ND30.N.DOAN.VAN_BAN.NOI_DUNG</x:v>
      </x:c>
      <x:c r="C190" t="str">
        <x:v>ND30.N.DOAN.VAN_BAN</x:v>
      </x:c>
      <x:c r="D190" t="str">
        <x:v>N</x:v>
      </x:c>
      <x:c r="E190" t="str">
        <x:v>Nội dung đoạn văn thông thường</x:v>
      </x:c>
      <x:c r="F190" t="str">
        <x:v>NOI_DUNG</x:v>
      </x:c>
      <x:c r="G190" t="str">
        <x:v>Đoạn văn thông thường: chữ đứng, căn đều 2 lề</x:v>
      </x:c>
      <x:c r="H190"/>
      <x:c r="I190" t="str">
        <x:v>UNVERIFIED_ATTRIBUTE</x:v>
      </x:c>
      <x:c r="J190" t="str">
        <x:v>SOURCE_DESCRIPTION_NOT_APPROVAL</x:v>
      </x:c>
      <x:c r="K190" t="str">
        <x:v>Chỉ đoạn nội dung thực; loại trừ bảng, chú thích, chữ ký và các thành phần phần đầu</x:v>
      </x:c>
      <x:c r="L190" t="str">
        <x:v>Bảo toàn cấu trúc/nội dung; nếu khác loại văn bản, ưu tiên đúng mẫu của loại đó; không sửa khi thiếu căn cứ.</x:v>
      </x:c>
      <x:c r="M190"/>
      <x:c r="N190" t="str">
        <x:v>NĐ30, Phụ lục I, Phần I, II.6; V.6</x:v>
      </x:c>
      <x:c r="O190" t="str">
        <x:v>https://congbao.chinhphu.vn/van-ban/nghi-dinh-so-30-2020-nd-cp-30858/30246.htm</x:v>
      </x:c>
      <x:c r="P190" t="str">
        <x:v>PLUGIN:hoa-tieu-mien-bac-administrative-v1 | user_approved_visual_reference</x:v>
      </x:c>
      <x:c r="Q190" t="str">
        <x:v>CHECK_ONLY</x:v>
      </x:c>
      <x:c r="R190" t="str">
        <x:v>Kiểm tra từng thuộc tính có mặt; so sánh nguồn/role; không suy đoán từ kết quả render chưa có</x:v>
      </x:c>
      <x:c r="S190" t="str">
        <x:v>STRUCTURE_READ_EXISTING_WORKBOOK</x:v>
      </x:c>
      <x:c r="T190"/>
      <x:c r="U190" t="str">
        <x:v>Paragraph/Run theo kiểu khối DOAN; preserve list numbering/table/drawing nếu có</x:v>
      </x:c>
    </x:row>
    <x:row r="191">
      <x:c r="A191" t="n">
        <x:v>190</x:v>
      </x:c>
      <x:c r="B191" t="str">
        <x:v>ND30.N.DOAN.VAN_BAN.PHONG_CHU</x:v>
      </x:c>
      <x:c r="C191" t="str">
        <x:v>ND30.N.DOAN.VAN_BAN</x:v>
      </x:c>
      <x:c r="D191" t="str">
        <x:v>N</x:v>
      </x:c>
      <x:c r="E191" t="str">
        <x:v>Nội dung đoạn văn thông thường</x:v>
      </x:c>
      <x:c r="F191" t="str">
        <x:v>PHONG_CHU</x:v>
      </x:c>
      <x:c r="G191" t="str">
        <x:v>Times New Roman</x:v>
      </x:c>
      <x:c r="H191"/>
      <x:c r="I191" t="str">
        <x:v>UNVERIFIED_ATTRIBUTE</x:v>
      </x:c>
      <x:c r="J191" t="str">
        <x:v>PROFILE_PRESET_UNAPPROVED</x:v>
      </x:c>
      <x:c r="K191" t="str">
        <x:v>Chỉ đoạn nội dung thực; loại trừ bảng, chú thích, chữ ký và các thành phần phần đầu</x:v>
      </x:c>
      <x:c r="L191" t="str">
        <x:v>Bảo toàn cấu trúc/nội dung; nếu khác loại văn bản, ưu tiên đúng mẫu của loại đó; không sửa khi thiếu căn cứ.</x:v>
      </x:c>
      <x:c r="M191"/>
      <x:c r="N191" t="str">
        <x:v>NĐ30, Phụ lục I, Phần I, II.6; V.6</x:v>
      </x:c>
      <x:c r="O191" t="str">
        <x:v>https://congbao.chinhphu.vn/van-ban/nghi-dinh-so-30-2020-nd-cp-30858/30246.htm</x:v>
      </x:c>
      <x:c r="P191" t="str">
        <x:v>PLUGIN:hoa-tieu-mien-bac-administrative-v1 | user_approved_visual_reference</x:v>
      </x:c>
      <x:c r="Q191" t="str">
        <x:v>CHECK_ONLY</x:v>
      </x:c>
      <x:c r="R191" t="str">
        <x:v>Kiểm tra từng thuộc tính có mặt; so sánh nguồn/role; không suy đoán từ kết quả render chưa có</x:v>
      </x:c>
      <x:c r="S191" t="str">
        <x:v>STRUCTURE_READ_EXISTING_WORKBOOK</x:v>
      </x:c>
      <x:c r="T191"/>
      <x:c r="U191" t="str">
        <x:v>Paragraph/Run theo kiểu khối DOAN; preserve list numbering/table/drawing nếu có</x:v>
      </x:c>
    </x:row>
    <x:row r="192">
      <x:c r="A192" t="n">
        <x:v>191</x:v>
      </x:c>
      <x:c r="B192" t="str">
        <x:v>ND30.N.DOAN.VAN_BAN.CO_CHU</x:v>
      </x:c>
      <x:c r="C192" t="str">
        <x:v>ND30.N.DOAN.VAN_BAN</x:v>
      </x:c>
      <x:c r="D192" t="str">
        <x:v>N</x:v>
      </x:c>
      <x:c r="E192" t="str">
        <x:v>Nội dung đoạn văn thông thường</x:v>
      </x:c>
      <x:c r="F192" t="str">
        <x:v>CO_CHU</x:v>
      </x:c>
      <x:c r="G192" t="n">
        <x:v>14</x:v>
      </x:c>
      <x:c r="H192"/>
      <x:c r="I192" t="str">
        <x:v>UNVERIFIED_ATTRIBUTE</x:v>
      </x:c>
      <x:c r="J192" t="str">
        <x:v>USER_CONFIRMED_PROFILE</x:v>
      </x:c>
      <x:c r="K192" t="str">
        <x:v>Chỉ đoạn nội dung thực; loại trừ bảng, chú thích, chữ ký và các thành phần phần đầu</x:v>
      </x:c>
      <x:c r="L192" t="str">
        <x:v>Bảo toàn cấu trúc/nội dung; nếu khác loại văn bản, ưu tiên đúng mẫu của loại đó; không sửa khi thiếu căn cứ.</x:v>
      </x:c>
      <x:c r="M192" t="str">
        <x:v>pt</x:v>
      </x:c>
      <x:c r="N192" t="str">
        <x:v>NĐ30, Phụ lục I, Phần I, II.6; V.6</x:v>
      </x:c>
      <x:c r="O192" t="str">
        <x:v>https://congbao.chinhphu.vn/van-ban/nghi-dinh-so-30-2020-nd-cp-30858/30246.htm</x:v>
      </x:c>
      <x:c r="P192" t="str">
        <x:v>PLUGIN:hoa-tieu-mien-bac-administrative-v1 | user_approved_visual_reference</x:v>
      </x:c>
      <x:c r="Q192" t="str">
        <x:v>CHECK_ONLY</x:v>
      </x:c>
      <x:c r="R192" t="str">
        <x:v>Kiểm tra từng thuộc tính có mặt; so sánh nguồn/role; không suy đoán từ kết quả render chưa có</x:v>
      </x:c>
      <x:c r="S192" t="str">
        <x:v>STRUCTURE_READ_EXISTING_WORKBOOK</x:v>
      </x:c>
      <x:c r="T192"/>
      <x:c r="U192" t="str">
        <x:v>Paragraph/Run theo kiểu khối DOAN; preserve list numbering/table/drawing nếu có</x:v>
      </x:c>
    </x:row>
    <x:row r="193">
      <x:c r="A193" t="n">
        <x:v>192</x:v>
      </x:c>
      <x:c r="B193" t="str">
        <x:v>ND30.N.DOAN.VAN_BAN.DAM</x:v>
      </x:c>
      <x:c r="C193" t="str">
        <x:v>ND30.N.DOAN.VAN_BAN</x:v>
      </x:c>
      <x:c r="D193" t="str">
        <x:v>N</x:v>
      </x:c>
      <x:c r="E193" t="str">
        <x:v>Nội dung đoạn văn thông thường</x:v>
      </x:c>
      <x:c r="F193" t="str">
        <x:v>DAM</x:v>
      </x:c>
      <x:c r="G193" t="str">
        <x:v>KHÔNG</x:v>
      </x:c>
      <x:c r="H193"/>
      <x:c r="I193" t="str">
        <x:v>UNVERIFIED_ATTRIBUTE</x:v>
      </x:c>
      <x:c r="J193" t="str">
        <x:v>PROFILE_PRESET_UNAPPROVED</x:v>
      </x:c>
      <x:c r="K193" t="str">
        <x:v>Chỉ đoạn nội dung thực; loại trừ bảng, chú thích, chữ ký và các thành phần phần đầu</x:v>
      </x:c>
      <x:c r="L193" t="str">
        <x:v>Bảo toàn cấu trúc/nội dung; nếu khác loại văn bản, ưu tiên đúng mẫu của loại đó; không sửa khi thiếu căn cứ.</x:v>
      </x:c>
      <x:c r="M193"/>
      <x:c r="N193" t="str">
        <x:v>NĐ30, Phụ lục I, Phần I, II.6; V.6</x:v>
      </x:c>
      <x:c r="O193" t="str">
        <x:v>https://congbao.chinhphu.vn/van-ban/nghi-dinh-so-30-2020-nd-cp-30858/30246.htm</x:v>
      </x:c>
      <x:c r="P193" t="str">
        <x:v>PLUGIN:hoa-tieu-mien-bac-administrative-v1 | user_approved_visual_reference</x:v>
      </x:c>
      <x:c r="Q193" t="str">
        <x:v>CHECK_ONLY</x:v>
      </x:c>
      <x:c r="R193" t="str">
        <x:v>Kiểm tra từng thuộc tính có mặt; so sánh nguồn/role; không suy đoán từ kết quả render chưa có</x:v>
      </x:c>
      <x:c r="S193" t="str">
        <x:v>STRUCTURE_READ_EXISTING_WORKBOOK</x:v>
      </x:c>
      <x:c r="T193"/>
      <x:c r="U193" t="str">
        <x:v>Paragraph/Run theo kiểu khối DOAN; preserve list numbering/table/drawing nếu có</x:v>
      </x:c>
    </x:row>
    <x:row r="194">
      <x:c r="A194" t="n">
        <x:v>193</x:v>
      </x:c>
      <x:c r="B194" t="str">
        <x:v>ND30.N.DOAN.VAN_BAN.NGHIENG</x:v>
      </x:c>
      <x:c r="C194" t="str">
        <x:v>ND30.N.DOAN.VAN_BAN</x:v>
      </x:c>
      <x:c r="D194" t="str">
        <x:v>N</x:v>
      </x:c>
      <x:c r="E194" t="str">
        <x:v>Nội dung đoạn văn thông thường</x:v>
      </x:c>
      <x:c r="F194" t="str">
        <x:v>NGHIENG</x:v>
      </x:c>
      <x:c r="G194"/>
      <x:c r="H194"/>
      <x:c r="I194" t="str">
        <x:v>UNVERIFIED_ATTRIBUTE</x:v>
      </x:c>
      <x:c r="J194" t="str">
        <x:v>BLOCKED_NO_ATTRIBUTE_VALUE</x:v>
      </x:c>
      <x:c r="K194" t="str">
        <x:v>Chỉ đoạn nội dung thực; loại trừ bảng, chú thích, chữ ký và các thành phần phần đầu</x:v>
      </x:c>
      <x:c r="L194" t="str">
        <x:v>Bảo toàn cấu trúc/nội dung; nếu khác loại văn bản, ưu tiên đúng mẫu của loại đó; không sửa khi thiếu căn cứ.</x:v>
      </x:c>
      <x:c r="M194"/>
      <x:c r="N194" t="str">
        <x:v>NĐ30, Phụ lục I, Phần I, II.6; V.6</x:v>
      </x:c>
      <x:c r="O194" t="str">
        <x:v>https://congbao.chinhphu.vn/van-ban/nghi-dinh-so-30-2020-nd-cp-30858/30246.htm</x:v>
      </x:c>
      <x:c r="P194" t="str">
        <x:v>PLUGIN:hoa-tieu-mien-bac-administrative-v1 | user_approved_visual_reference</x:v>
      </x:c>
      <x:c r="Q194" t="str">
        <x:v>CHECK_ONLY</x:v>
      </x:c>
      <x:c r="R194" t="str">
        <x:v>Kiểm tra từng thuộc tính có mặt; so sánh nguồn/role; không suy đoán từ kết quả render chưa có</x:v>
      </x:c>
      <x:c r="S194" t="str">
        <x:v>RULE_INFERENCE_NOT_MEASURED</x:v>
      </x:c>
      <x:c r="T194" t="str">
        <x:v>Xác minh căn cứ theo loại văn bản / tài liệu phát hành hoặc phê duyệt</x:v>
      </x:c>
      <x:c r="U194" t="str">
        <x:v>Paragraph/Run theo kiểu khối DOAN; preserve list numbering/table/drawing nếu có</x:v>
      </x:c>
    </x:row>
    <x:row r="195">
      <x:c r="A195" t="n">
        <x:v>194</x:v>
      </x:c>
      <x:c r="B195" t="str">
        <x:v>ND30.N.DOAN.VAN_BAN.KIEU_CHU</x:v>
      </x:c>
      <x:c r="C195" t="str">
        <x:v>ND30.N.DOAN.VAN_BAN</x:v>
      </x:c>
      <x:c r="D195" t="str">
        <x:v>N</x:v>
      </x:c>
      <x:c r="E195" t="str">
        <x:v>Nội dung đoạn văn thông thường</x:v>
      </x:c>
      <x:c r="F195" t="str">
        <x:v>KIEU_CHU</x:v>
      </x:c>
      <x:c r="G195" t="str">
        <x:v>In thường (trừ tiêu đề)</x:v>
      </x:c>
      <x:c r="H195"/>
      <x:c r="I195" t="str">
        <x:v>UNVERIFIED_ATTRIBUTE</x:v>
      </x:c>
      <x:c r="J195" t="str">
        <x:v>PROFILE_PRESET_UNAPPROVED</x:v>
      </x:c>
      <x:c r="K195" t="str">
        <x:v>Chỉ đoạn nội dung thực; loại trừ bảng, chú thích, chữ ký và các thành phần phần đầu</x:v>
      </x:c>
      <x:c r="L195" t="str">
        <x:v>Bảo toàn cấu trúc/nội dung; nếu khác loại văn bản, ưu tiên đúng mẫu của loại đó; không sửa khi thiếu căn cứ.</x:v>
      </x:c>
      <x:c r="M195"/>
      <x:c r="N195" t="str">
        <x:v>NĐ30, Phụ lục I, Phần I, II.6; V.6</x:v>
      </x:c>
      <x:c r="O195" t="str">
        <x:v>https://congbao.chinhphu.vn/van-ban/nghi-dinh-so-30-2020-nd-cp-30858/30246.htm</x:v>
      </x:c>
      <x:c r="P195" t="str">
        <x:v>PLUGIN:hoa-tieu-mien-bac-administrative-v1 | user_approved_visual_reference</x:v>
      </x:c>
      <x:c r="Q195" t="str">
        <x:v>CHECK_ONLY</x:v>
      </x:c>
      <x:c r="R195" t="str">
        <x:v>Kiểm tra từng thuộc tính có mặt; so sánh nguồn/role; không suy đoán từ kết quả render chưa có</x:v>
      </x:c>
      <x:c r="S195" t="str">
        <x:v>STRUCTURE_READ_EXISTING_WORKBOOK</x:v>
      </x:c>
      <x:c r="T195"/>
      <x:c r="U195" t="str">
        <x:v>Paragraph/Run theo kiểu khối DOAN; preserve list numbering/table/drawing nếu có</x:v>
      </x:c>
    </x:row>
    <x:row r="196">
      <x:c r="A196" t="n">
        <x:v>195</x:v>
      </x:c>
      <x:c r="B196" t="str">
        <x:v>ND30.N.DOAN.VAN_BAN.CAN_NGANG</x:v>
      </x:c>
      <x:c r="C196" t="str">
        <x:v>ND30.N.DOAN.VAN_BAN</x:v>
      </x:c>
      <x:c r="D196" t="str">
        <x:v>N</x:v>
      </x:c>
      <x:c r="E196" t="str">
        <x:v>Nội dung đoạn văn thông thường</x:v>
      </x:c>
      <x:c r="F196" t="str">
        <x:v>CAN_NGANG</x:v>
      </x:c>
      <x:c r="G196" t="str">
        <x:v>JUSTIFY</x:v>
      </x:c>
      <x:c r="H196"/>
      <x:c r="I196" t="str">
        <x:v>UNVERIFIED_ATTRIBUTE</x:v>
      </x:c>
      <x:c r="J196" t="str">
        <x:v>PROFILE_PRESET_UNAPPROVED</x:v>
      </x:c>
      <x:c r="K196" t="str">
        <x:v>Chỉ đoạn nội dung thực; loại trừ bảng, chú thích, chữ ký và các thành phần phần đầu</x:v>
      </x:c>
      <x:c r="L196" t="str">
        <x:v>Bảo toàn cấu trúc/nội dung; nếu khác loại văn bản, ưu tiên đúng mẫu của loại đó; không sửa khi thiếu căn cứ.</x:v>
      </x:c>
      <x:c r="M196"/>
      <x:c r="N196" t="str">
        <x:v>NĐ30, Phụ lục I, Phần I, II.6; V.6</x:v>
      </x:c>
      <x:c r="O196" t="str">
        <x:v>https://congbao.chinhphu.vn/van-ban/nghi-dinh-so-30-2020-nd-cp-30858/30246.htm</x:v>
      </x:c>
      <x:c r="P196" t="str">
        <x:v>PLUGIN:hoa-tieu-mien-bac-administrative-v1 | user_approved_visual_reference</x:v>
      </x:c>
      <x:c r="Q196" t="str">
        <x:v>CHECK_ONLY</x:v>
      </x:c>
      <x:c r="R196" t="str">
        <x:v>Kiểm tra từng thuộc tính có mặt; so sánh nguồn/role; không suy đoán từ kết quả render chưa có</x:v>
      </x:c>
      <x:c r="S196" t="str">
        <x:v>STRUCTURE_READ_EXISTING_WORKBOOK</x:v>
      </x:c>
      <x:c r="T196"/>
      <x:c r="U196" t="str">
        <x:v>Paragraph/Run theo kiểu khối DOAN; preserve list numbering/table/drawing nếu có</x:v>
      </x:c>
    </x:row>
    <x:row r="197">
      <x:c r="A197" t="n">
        <x:v>196</x:v>
      </x:c>
      <x:c r="B197" t="str">
        <x:v>ND30.N.DOAN.VAN_BAN.GIAN_DONG</x:v>
      </x:c>
      <x:c r="C197" t="str">
        <x:v>ND30.N.DOAN.VAN_BAN</x:v>
      </x:c>
      <x:c r="D197" t="str">
        <x:v>N</x:v>
      </x:c>
      <x:c r="E197" t="str">
        <x:v>Nội dung đoạn văn thông thường</x:v>
      </x:c>
      <x:c r="F197" t="str">
        <x:v>GIAN_DONG</x:v>
      </x:c>
      <x:c r="G197" t="n">
        <x:v>19</x:v>
      </x:c>
      <x:c r="H197"/>
      <x:c r="I197" t="str">
        <x:v>UNVERIFIED_ATTRIBUTE</x:v>
      </x:c>
      <x:c r="J197" t="str">
        <x:v>PROFILE_PRESET_UNAPPROVED</x:v>
      </x:c>
      <x:c r="K197" t="str">
        <x:v>Chỉ đoạn nội dung thực; loại trừ bảng, chú thích, chữ ký và các thành phần phần đầu</x:v>
      </x:c>
      <x:c r="L197" t="str">
        <x:v>Bảo toàn cấu trúc/nội dung; nếu khác loại văn bản, ưu tiên đúng mẫu của loại đó; không sửa khi thiếu căn cứ.</x:v>
      </x:c>
      <x:c r="M197" t="str">
        <x:v>pt</x:v>
      </x:c>
      <x:c r="N197" t="str">
        <x:v>NĐ30, Phụ lục I, Phần I, II.6; V.6</x:v>
      </x:c>
      <x:c r="O197" t="str">
        <x:v>https://congbao.chinhphu.vn/van-ban/nghi-dinh-so-30-2020-nd-cp-30858/30246.htm</x:v>
      </x:c>
      <x:c r="P197" t="str">
        <x:v>PLUGIN:hoa-tieu-mien-bac-administrative-v1 | user_approved_visual_reference</x:v>
      </x:c>
      <x:c r="Q197" t="str">
        <x:v>CHECK_ONLY</x:v>
      </x:c>
      <x:c r="R197" t="str">
        <x:v>Kiểm tra từng thuộc tính có mặt; so sánh nguồn/role; không suy đoán từ kết quả render chưa có</x:v>
      </x:c>
      <x:c r="S197" t="str">
        <x:v>STRUCTURE_READ_EXISTING_WORKBOOK</x:v>
      </x:c>
      <x:c r="T197"/>
      <x:c r="U197" t="str">
        <x:v>Paragraph/Run theo kiểu khối DOAN; preserve list numbering/table/drawing nếu có</x:v>
      </x:c>
    </x:row>
    <x:row r="198">
      <x:c r="A198" t="n">
        <x:v>197</x:v>
      </x:c>
      <x:c r="B198" t="str">
        <x:v>ND30.N.DOAN.VAN_BAN.CACH_TRUOC</x:v>
      </x:c>
      <x:c r="C198" t="str">
        <x:v>ND30.N.DOAN.VAN_BAN</x:v>
      </x:c>
      <x:c r="D198" t="str">
        <x:v>N</x:v>
      </x:c>
      <x:c r="E198" t="str">
        <x:v>Nội dung đoạn văn thông thường</x:v>
      </x:c>
      <x:c r="F198" t="str">
        <x:v>CACH_TRUOC</x:v>
      </x:c>
      <x:c r="G198" t="n">
        <x:v>0</x:v>
      </x:c>
      <x:c r="H198"/>
      <x:c r="I198" t="str">
        <x:v>UNVERIFIED_ATTRIBUTE</x:v>
      </x:c>
      <x:c r="J198" t="str">
        <x:v>PROFILE_PRESET_UNAPPROVED</x:v>
      </x:c>
      <x:c r="K198" t="str">
        <x:v>Chỉ đoạn nội dung thực; loại trừ bảng, chú thích, chữ ký và các thành phần phần đầu</x:v>
      </x:c>
      <x:c r="L198" t="str">
        <x:v>Bảo toàn cấu trúc/nội dung; nếu khác loại văn bản, ưu tiên đúng mẫu của loại đó; không sửa khi thiếu căn cứ.</x:v>
      </x:c>
      <x:c r="M198" t="str">
        <x:v>pt</x:v>
      </x:c>
      <x:c r="N198" t="str">
        <x:v>NĐ30, Phụ lục I, Phần I, II.6; V.6</x:v>
      </x:c>
      <x:c r="O198" t="str">
        <x:v>https://congbao.chinhphu.vn/van-ban/nghi-dinh-so-30-2020-nd-cp-30858/30246.htm</x:v>
      </x:c>
      <x:c r="P198" t="str">
        <x:v>PLUGIN:hoa-tieu-mien-bac-administrative-v1 | user_approved_visual_reference</x:v>
      </x:c>
      <x:c r="Q198" t="str">
        <x:v>CHECK_ONLY</x:v>
      </x:c>
      <x:c r="R198" t="str">
        <x:v>Kiểm tra từng thuộc tính có mặt; so sánh nguồn/role; không suy đoán từ kết quả render chưa có</x:v>
      </x:c>
      <x:c r="S198" t="str">
        <x:v>STRUCTURE_READ_EXISTING_WORKBOOK</x:v>
      </x:c>
      <x:c r="T198"/>
      <x:c r="U198" t="str">
        <x:v>Paragraph/Run theo kiểu khối DOAN; preserve list numbering/table/drawing nếu có</x:v>
      </x:c>
    </x:row>
    <x:row r="199">
      <x:c r="A199" t="n">
        <x:v>198</x:v>
      </x:c>
      <x:c r="B199" t="str">
        <x:v>ND30.N.DOAN.VAN_BAN.CACH_SAU</x:v>
      </x:c>
      <x:c r="C199" t="str">
        <x:v>ND30.N.DOAN.VAN_BAN</x:v>
      </x:c>
      <x:c r="D199" t="str">
        <x:v>N</x:v>
      </x:c>
      <x:c r="E199" t="str">
        <x:v>Nội dung đoạn văn thông thường</x:v>
      </x:c>
      <x:c r="F199" t="str">
        <x:v>CACH_SAU</x:v>
      </x:c>
      <x:c r="G199" t="n">
        <x:v>6</x:v>
      </x:c>
      <x:c r="H199"/>
      <x:c r="I199" t="str">
        <x:v>UNVERIFIED_ATTRIBUTE</x:v>
      </x:c>
      <x:c r="J199" t="str">
        <x:v>PROFILE_PRESET_UNAPPROVED</x:v>
      </x:c>
      <x:c r="K199" t="str">
        <x:v>Chỉ đoạn nội dung thực; loại trừ bảng, chú thích, chữ ký và các thành phần phần đầu</x:v>
      </x:c>
      <x:c r="L199" t="str">
        <x:v>Bảo toàn cấu trúc/nội dung; nếu khác loại văn bản, ưu tiên đúng mẫu của loại đó; không sửa khi thiếu căn cứ.</x:v>
      </x:c>
      <x:c r="M199" t="str">
        <x:v>pt</x:v>
      </x:c>
      <x:c r="N199" t="str">
        <x:v>NĐ30, Phụ lục I, Phần I, II.6; V.6</x:v>
      </x:c>
      <x:c r="O199" t="str">
        <x:v>https://congbao.chinhphu.vn/van-ban/nghi-dinh-so-30-2020-nd-cp-30858/30246.htm</x:v>
      </x:c>
      <x:c r="P199" t="str">
        <x:v>PLUGIN:hoa-tieu-mien-bac-administrative-v1 | user_approved_visual_reference</x:v>
      </x:c>
      <x:c r="Q199" t="str">
        <x:v>CHECK_ONLY</x:v>
      </x:c>
      <x:c r="R199" t="str">
        <x:v>Kiểm tra từng thuộc tính có mặt; so sánh nguồn/role; không suy đoán từ kết quả render chưa có</x:v>
      </x:c>
      <x:c r="S199" t="str">
        <x:v>STRUCTURE_READ_EXISTING_WORKBOOK</x:v>
      </x:c>
      <x:c r="T199"/>
      <x:c r="U199" t="str">
        <x:v>Paragraph/Run theo kiểu khối DOAN; preserve list numbering/table/drawing nếu có</x:v>
      </x:c>
    </x:row>
    <x:row r="200">
      <x:c r="A200" t="n">
        <x:v>199</x:v>
      </x:c>
      <x:c r="B200" t="str">
        <x:v>ND30.N.DOAN.VAN_BAN.THUT_DONG_DAU</x:v>
      </x:c>
      <x:c r="C200" t="str">
        <x:v>ND30.N.DOAN.VAN_BAN</x:v>
      </x:c>
      <x:c r="D200" t="str">
        <x:v>N</x:v>
      </x:c>
      <x:c r="E200" t="str">
        <x:v>Nội dung đoạn văn thông thường</x:v>
      </x:c>
      <x:c r="F200" t="str">
        <x:v>THUT_DONG_DAU</x:v>
      </x:c>
      <x:c r="G200" t="n">
        <x:v>12.7</x:v>
      </x:c>
      <x:c r="H200"/>
      <x:c r="I200" t="str">
        <x:v>UNVERIFIED_ATTRIBUTE</x:v>
      </x:c>
      <x:c r="J200" t="str">
        <x:v>PROFILE_PRESET_UNAPPROVED</x:v>
      </x:c>
      <x:c r="K200" t="str">
        <x:v>Chỉ đoạn nội dung thực; loại trừ bảng, chú thích, chữ ký và các thành phần phần đầu</x:v>
      </x:c>
      <x:c r="L200" t="str">
        <x:v>Bảo toàn cấu trúc/nội dung; nếu khác loại văn bản, ưu tiên đúng mẫu của loại đó; không sửa khi thiếu căn cứ.</x:v>
      </x:c>
      <x:c r="M200" t="str">
        <x:v>mm</x:v>
      </x:c>
      <x:c r="N200" t="str">
        <x:v>NĐ30, Phụ lục I, Phần I, II.6; V.6</x:v>
      </x:c>
      <x:c r="O200" t="str">
        <x:v>https://congbao.chinhphu.vn/van-ban/nghi-dinh-so-30-2020-nd-cp-30858/30246.htm</x:v>
      </x:c>
      <x:c r="P200" t="str">
        <x:v>PLUGIN:hoa-tieu-mien-bac-administrative-v1 | user_approved_visual_reference</x:v>
      </x:c>
      <x:c r="Q200" t="str">
        <x:v>CHECK_ONLY</x:v>
      </x:c>
      <x:c r="R200" t="str">
        <x:v>Kiểm tra từng thuộc tính có mặt; so sánh nguồn/role; không suy đoán từ kết quả render chưa có</x:v>
      </x:c>
      <x:c r="S200" t="str">
        <x:v>STRUCTURE_READ_EXISTING_WORKBOOK</x:v>
      </x:c>
      <x:c r="T200"/>
      <x:c r="U200" t="str">
        <x:v>Paragraph/Run theo kiểu khối DOAN; preserve list numbering/table/drawing nếu có</x:v>
      </x:c>
    </x:row>
    <x:row r="201">
      <x:c r="A201" t="n">
        <x:v>200</x:v>
      </x:c>
      <x:c r="B201" t="str">
        <x:v>ND30.N.DOAN.VAN_BAN.DAU_CAU</x:v>
      </x:c>
      <x:c r="C201" t="str">
        <x:v>ND30.N.DOAN.VAN_BAN</x:v>
      </x:c>
      <x:c r="D201" t="str">
        <x:v>N</x:v>
      </x:c>
      <x:c r="E201" t="str">
        <x:v>Nội dung đoạn văn thông thường</x:v>
      </x:c>
      <x:c r="F201" t="str">
        <x:v>DAU_CAU</x:v>
      </x:c>
      <x:c r="G201"/>
      <x:c r="H201"/>
      <x:c r="I201" t="str">
        <x:v>UNVERIFIED_ATTRIBUTE</x:v>
      </x:c>
      <x:c r="J201" t="str">
        <x:v>BLOCKED_NO_ATTRIBUTE_VALUE</x:v>
      </x:c>
      <x:c r="K201" t="str">
        <x:v>Chỉ đoạn nội dung thực; loại trừ bảng, chú thích, chữ ký và các thành phần phần đầu</x:v>
      </x:c>
      <x:c r="L201" t="str">
        <x:v>Bảo toàn cấu trúc/nội dung; nếu khác loại văn bản, ưu tiên đúng mẫu của loại đó; không sửa khi thiếu căn cứ.</x:v>
      </x:c>
      <x:c r="M201"/>
      <x:c r="N201" t="str">
        <x:v>NĐ30, Phụ lục I, Phần I, II.6; V.6</x:v>
      </x:c>
      <x:c r="O201" t="str">
        <x:v>https://congbao.chinhphu.vn/van-ban/nghi-dinh-so-30-2020-nd-cp-30858/30246.htm</x:v>
      </x:c>
      <x:c r="P201" t="str">
        <x:v>PLUGIN:hoa-tieu-mien-bac-administrative-v1 | user_approved_visual_reference</x:v>
      </x:c>
      <x:c r="Q201" t="str">
        <x:v>CHECK_ONLY</x:v>
      </x:c>
      <x:c r="R201" t="str">
        <x:v>Kiểm tra từng thuộc tính có mặt; so sánh nguồn/role; không suy đoán từ kết quả render chưa có</x:v>
      </x:c>
      <x:c r="S201" t="str">
        <x:v>RULE_INFERENCE_NOT_MEASURED</x:v>
      </x:c>
      <x:c r="T201" t="str">
        <x:v>Xác minh căn cứ theo loại văn bản / tài liệu phát hành hoặc phê duyệt</x:v>
      </x:c>
      <x:c r="U201" t="str">
        <x:v>Paragraph/Run theo kiểu khối DOAN; preserve list numbering/table/drawing nếu có</x:v>
      </x:c>
    </x:row>
    <x:row r="202">
      <x:c r="A202" t="n">
        <x:v>201</x:v>
      </x:c>
      <x:c r="B202" t="str">
        <x:v>ND30.N.BANG.TIEU_DE.THAM_CHIEU_BANG</x:v>
      </x:c>
      <x:c r="C202" t="str">
        <x:v>ND30.N.BANG.TIEU_DE</x:v>
      </x:c>
      <x:c r="D202" t="str">
        <x:v>N</x:v>
      </x:c>
      <x:c r="E202" t="str">
        <x:v>Tiêu đề bảng</x:v>
      </x:c>
      <x:c r="F202" t="str">
        <x:v>THAM_CHIEU_BANG</x:v>
      </x:c>
      <x:c r="G202" t="str">
        <x:v>BANG_ND30!B7:B72</x:v>
      </x:c>
      <x:c r="H202"/>
      <x:c r="I202" t="str">
        <x:v>UNVERIFIED_ATTRIBUTE</x:v>
      </x:c>
      <x:c r="J202" t="str">
        <x:v>SOURCE_DESCRIPTION_NOT_APPROVAL</x:v>
      </x:c>
      <x:c r="K202" t="str">
        <x:v>Định tuyến sang 132 rule con bảng, không áp style đoạn thường vào ô bảng</x:v>
      </x:c>
      <x:c r="L202" t="str">
        <x:v>Bảo toàn cấu trúc/nội dung; nếu khác loại văn bản, ưu tiên đúng mẫu của loại đó; không sửa khi thiếu căn cứ.</x:v>
      </x:c>
      <x:c r="M202"/>
      <x:c r="N202" t="str">
        <x:v>NĐ30, Phụ lục I, Phần I, II.6; V.6</x:v>
      </x:c>
      <x:c r="O202" t="str">
        <x:v>https://congbao.chinhphu.vn/van-ban/nghi-dinh-so-30-2020-nd-cp-30858/30246.htm</x:v>
      </x:c>
      <x:c r="P202" t="str">
        <x:v>PLUGIN:hoa-tieu-mien-bac-administrative-v1 | user_approved_visual_reference</x:v>
      </x:c>
      <x:c r="Q202" t="str">
        <x:v>CHECK_ONLY</x:v>
      </x:c>
      <x:c r="R202" t="str">
        <x:v>Kiểm tra từng thuộc tính có mặt; so sánh nguồn/role; không suy đoán từ kết quả render chưa có</x:v>
      </x:c>
      <x:c r="S202" t="str">
        <x:v>STRUCTURE_READ_EXISTING_WORKBOOK</x:v>
      </x:c>
      <x:c r="T202"/>
      <x:c r="U202" t="str">
        <x:v>w:tbl/w:tr/w:tc; không dùng AI để tự gộp hoặc tái bố cục</x:v>
      </x:c>
    </x:row>
    <x:row r="203">
      <x:c r="A203" t="n">
        <x:v>202</x:v>
      </x:c>
      <x:c r="B203" t="str">
        <x:v>ND30.N.BANG.DAU_BANG.THAM_CHIEU_BANG</x:v>
      </x:c>
      <x:c r="C203" t="str">
        <x:v>ND30.N.BANG.DAU_BANG</x:v>
      </x:c>
      <x:c r="D203" t="str">
        <x:v>N</x:v>
      </x:c>
      <x:c r="E203" t="str">
        <x:v>Hàng đầu bảng</x:v>
      </x:c>
      <x:c r="F203" t="str">
        <x:v>THAM_CHIEU_BANG</x:v>
      </x:c>
      <x:c r="G203" t="str">
        <x:v>BANG_ND30!B7:B72</x:v>
      </x:c>
      <x:c r="H203"/>
      <x:c r="I203" t="str">
        <x:v>UNVERIFIED_ATTRIBUTE</x:v>
      </x:c>
      <x:c r="J203" t="str">
        <x:v>SOURCE_DESCRIPTION_NOT_APPROVAL</x:v>
      </x:c>
      <x:c r="K203" t="str">
        <x:v>Định tuyến sang 132 rule con bảng, không áp style đoạn thường vào ô bảng</x:v>
      </x:c>
      <x:c r="L203" t="str">
        <x:v>Chuyển sang BANG_ND30; hàng tiêu đề bắt buộc lặp theo profile.</x:v>
      </x:c>
      <x:c r="M203"/>
      <x:c r="N203" t="str">
        <x:v>NĐ30, Phụ lục I, Phần I, II.6; V.6</x:v>
      </x:c>
      <x:c r="O203" t="str">
        <x:v>https://congbao.chinhphu.vn/van-ban/nghi-dinh-so-30-2020-nd-cp-30858/30246.htm</x:v>
      </x:c>
      <x:c r="P203" t="str">
        <x:v>PLUGIN:hoa-tieu-mien-bac-administrative-v1 | user_approved_visual_reference</x:v>
      </x:c>
      <x:c r="Q203" t="str">
        <x:v>CHECK_ONLY</x:v>
      </x:c>
      <x:c r="R203" t="str">
        <x:v>Kiểm tra từng thuộc tính có mặt; so sánh nguồn/role; không suy đoán từ kết quả render chưa có</x:v>
      </x:c>
      <x:c r="S203" t="str">
        <x:v>STRUCTURE_READ_EXISTING_WORKBOOK</x:v>
      </x:c>
      <x:c r="T203"/>
      <x:c r="U203" t="str">
        <x:v>w:tbl/w:tr/w:tc; không dùng AI để tự gộp hoặc tái bố cục</x:v>
      </x:c>
    </x:row>
    <x:row r="204">
      <x:c r="A204" t="n">
        <x:v>203</x:v>
      </x:c>
      <x:c r="B204" t="str">
        <x:v>ND30.N.BANG.HANG.THAM_CHIEU_BANG</x:v>
      </x:c>
      <x:c r="C204" t="str">
        <x:v>ND30.N.BANG.HANG</x:v>
      </x:c>
      <x:c r="D204" t="str">
        <x:v>N</x:v>
      </x:c>
      <x:c r="E204" t="str">
        <x:v>Hàng</x:v>
      </x:c>
      <x:c r="F204" t="str">
        <x:v>THAM_CHIEU_BANG</x:v>
      </x:c>
      <x:c r="G204" t="str">
        <x:v>BANG_ND30!B7:B72</x:v>
      </x:c>
      <x:c r="H204"/>
      <x:c r="I204" t="str">
        <x:v>UNVERIFIED_ATTRIBUTE</x:v>
      </x:c>
      <x:c r="J204" t="str">
        <x:v>SOURCE_DESCRIPTION_NOT_APPROVAL</x:v>
      </x:c>
      <x:c r="K204" t="str">
        <x:v>Định tuyến sang 132 rule con bảng, không áp style đoạn thường vào ô bảng</x:v>
      </x:c>
      <x:c r="L204" t="str">
        <x:v>Bảo toàn cấu trúc/nội dung; nếu khác loại văn bản, ưu tiên đúng mẫu của loại đó; không sửa khi thiếu căn cứ.</x:v>
      </x:c>
      <x:c r="M204"/>
      <x:c r="N204" t="str">
        <x:v>NĐ30, Phụ lục I, Phần I, II.6; V.6</x:v>
      </x:c>
      <x:c r="O204" t="str">
        <x:v>https://congbao.chinhphu.vn/van-ban/nghi-dinh-so-30-2020-nd-cp-30858/30246.htm</x:v>
      </x:c>
      <x:c r="P204" t="str">
        <x:v>PLUGIN:hoa-tieu-mien-bac-administrative-v1 | user_approved_visual_reference</x:v>
      </x:c>
      <x:c r="Q204" t="str">
        <x:v>CHECK_ONLY</x:v>
      </x:c>
      <x:c r="R204" t="str">
        <x:v>Kiểm tra từng thuộc tính có mặt; so sánh nguồn/role; không suy đoán từ kết quả render chưa có</x:v>
      </x:c>
      <x:c r="S204" t="str">
        <x:v>STRUCTURE_READ_EXISTING_WORKBOOK</x:v>
      </x:c>
      <x:c r="T204"/>
      <x:c r="U204" t="str">
        <x:v>w:tbl/w:tr/w:tc; không dùng AI để tự gộp hoặc tái bố cục</x:v>
      </x:c>
    </x:row>
    <x:row r="205">
      <x:c r="A205" t="n">
        <x:v>204</x:v>
      </x:c>
      <x:c r="B205" t="str">
        <x:v>ND30.N.BANG.O.THAM_CHIEU_BANG</x:v>
      </x:c>
      <x:c r="C205" t="str">
        <x:v>ND30.N.BANG.O</x:v>
      </x:c>
      <x:c r="D205" t="str">
        <x:v>N</x:v>
      </x:c>
      <x:c r="E205" t="str">
        <x:v>Ô</x:v>
      </x:c>
      <x:c r="F205" t="str">
        <x:v>THAM_CHIEU_BANG</x:v>
      </x:c>
      <x:c r="G205" t="str">
        <x:v>BANG_ND30!B7:B72</x:v>
      </x:c>
      <x:c r="H205"/>
      <x:c r="I205" t="str">
        <x:v>UNVERIFIED_ATTRIBUTE</x:v>
      </x:c>
      <x:c r="J205" t="str">
        <x:v>SOURCE_DESCRIPTION_NOT_APPROVAL</x:v>
      </x:c>
      <x:c r="K205" t="str">
        <x:v>Định tuyến sang 132 rule con bảng, không áp style đoạn thường vào ô bảng</x:v>
      </x:c>
      <x:c r="L205" t="str">
        <x:v>Bảo toàn cấu trúc/nội dung; nếu khác loại văn bản, ưu tiên đúng mẫu của loại đó; không sửa khi thiếu căn cứ.</x:v>
      </x:c>
      <x:c r="M205"/>
      <x:c r="N205" t="str">
        <x:v>NĐ30, Phụ lục I, Phần I, II.6; V.6</x:v>
      </x:c>
      <x:c r="O205" t="str">
        <x:v>https://congbao.chinhphu.vn/van-ban/nghi-dinh-so-30-2020-nd-cp-30858/30246.htm</x:v>
      </x:c>
      <x:c r="P205" t="str">
        <x:v>PLUGIN:hoa-tieu-mien-bac-administrative-v1 | user_approved_visual_reference</x:v>
      </x:c>
      <x:c r="Q205" t="str">
        <x:v>CHECK_ONLY</x:v>
      </x:c>
      <x:c r="R205" t="str">
        <x:v>Kiểm tra từng thuộc tính có mặt; so sánh nguồn/role; không suy đoán từ kết quả render chưa có</x:v>
      </x:c>
      <x:c r="S205" t="str">
        <x:v>STRUCTURE_READ_EXISTING_WORKBOOK</x:v>
      </x:c>
      <x:c r="T205"/>
      <x:c r="U205" t="str">
        <x:v>w:tbl/w:tr/w:tc; không dùng AI để tự gộp hoặc tái bố cục</x:v>
      </x:c>
    </x:row>
    <x:row r="206">
      <x:c r="A206" t="n">
        <x:v>205</x:v>
      </x:c>
      <x:c r="B206" t="str">
        <x:v>ND30.N.BANG.GOP_O.THAM_CHIEU_BANG</x:v>
      </x:c>
      <x:c r="C206" t="str">
        <x:v>ND30.N.BANG.GOP_O</x:v>
      </x:c>
      <x:c r="D206" t="str">
        <x:v>N</x:v>
      </x:c>
      <x:c r="E206" t="str">
        <x:v>Ô gộp</x:v>
      </x:c>
      <x:c r="F206" t="str">
        <x:v>THAM_CHIEU_BANG</x:v>
      </x:c>
      <x:c r="G206" t="str">
        <x:v>BANG_ND30!B7:B72</x:v>
      </x:c>
      <x:c r="H206"/>
      <x:c r="I206" t="str">
        <x:v>UNVERIFIED_ATTRIBUTE</x:v>
      </x:c>
      <x:c r="J206" t="str">
        <x:v>SOURCE_DESCRIPTION_NOT_APPROVAL</x:v>
      </x:c>
      <x:c r="K206" t="str">
        <x:v>Định tuyến sang 132 rule con bảng, không áp style đoạn thường vào ô bảng</x:v>
      </x:c>
      <x:c r="L206" t="str">
        <x:v>Bảo toàn cấu trúc/nội dung; nếu khác loại văn bản, ưu tiên đúng mẫu của loại đó; không sửa khi thiếu căn cứ.</x:v>
      </x:c>
      <x:c r="M206"/>
      <x:c r="N206" t="str">
        <x:v>NĐ30, Phụ lục I, Phần I, II.6; V.6</x:v>
      </x:c>
      <x:c r="O206" t="str">
        <x:v>https://congbao.chinhphu.vn/van-ban/nghi-dinh-so-30-2020-nd-cp-30858/30246.htm</x:v>
      </x:c>
      <x:c r="P206" t="str">
        <x:v>PLUGIN:hoa-tieu-mien-bac-administrative-v1 | user_approved_visual_reference</x:v>
      </x:c>
      <x:c r="Q206" t="str">
        <x:v>CHECK_ONLY</x:v>
      </x:c>
      <x:c r="R206" t="str">
        <x:v>Kiểm tra từng thuộc tính có mặt; so sánh nguồn/role; không suy đoán từ kết quả render chưa có</x:v>
      </x:c>
      <x:c r="S206" t="str">
        <x:v>STRUCTURE_READ_EXISTING_WORKBOOK</x:v>
      </x:c>
      <x:c r="T206"/>
      <x:c r="U206" t="str">
        <x:v>w:tbl/w:tr/w:tc; không dùng AI để tự gộp hoặc tái bố cục</x:v>
      </x:c>
    </x:row>
    <x:row r="207">
      <x:c r="A207" t="n">
        <x:v>206</x:v>
      </x:c>
      <x:c r="B207" t="str">
        <x:v>ND30.N.HINH.DOI_TUONG.HIEN_DIEN</x:v>
      </x:c>
      <x:c r="C207" t="str">
        <x:v>ND30.N.HINH.DOI_TUONG</x:v>
      </x:c>
      <x:c r="D207" t="str">
        <x:v>N</x:v>
      </x:c>
      <x:c r="E207" t="str">
        <x:v>Hình/sơ đồ</x:v>
      </x:c>
      <x:c r="F207" t="str">
        <x:v>HIEN_DIEN</x:v>
      </x:c>
      <x:c r="G207" t="str">
        <x:v>Khi tài liệu có hình/đồ họa thực tế; không dùng cho bảng bố cục header</x:v>
      </x:c>
      <x:c r="H207"/>
      <x:c r="I207" t="str">
        <x:v>UNVERIFIED_ATTRIBUTE</x:v>
      </x:c>
      <x:c r="J207" t="str">
        <x:v>SOURCE_DESCRIPTION_NOT_APPROVAL</x:v>
      </x:c>
      <x:c r="K207" t="str">
        <x:v>Chỉ khi có hình/sơ đồ; duy trì chú thích/anchor của hình gốc</x:v>
      </x:c>
      <x:c r="L207" t="str">
        <x:v>Bảo toàn cấu trúc/nội dung; nếu khác loại văn bản, ưu tiên đúng mẫu của loại đó; không sửa khi thiếu căn cứ.</x:v>
      </x:c>
      <x:c r="M207"/>
      <x:c r="N207" t="str">
        <x:v>NĐ30, Phụ lục I, Phần I, II.6; V.6</x:v>
      </x:c>
      <x:c r="O207" t="str">
        <x:v>https://congbao.chinhphu.vn/van-ban/nghi-dinh-so-30-2020-nd-cp-30858/30246.htm</x:v>
      </x:c>
      <x:c r="P207" t="str">
        <x:v>PLUGIN:hoa-tieu-mien-bac-administrative-v1 | user_approved_visual_reference</x:v>
      </x:c>
      <x:c r="Q207" t="str">
        <x:v>CHECK_ONLY</x:v>
      </x:c>
      <x:c r="R207" t="str">
        <x:v>Kiểm tra từng thuộc tính có mặt; so sánh nguồn/role; không suy đoán từ kết quả render chưa có</x:v>
      </x:c>
      <x:c r="S207" t="str">
        <x:v>STRUCTURE_READ_EXISTING_WORKBOOK</x:v>
      </x:c>
      <x:c r="T207"/>
      <x:c r="U207" t="str">
        <x:v>Drawing/inline/anchor; kiểm tra sau render</x:v>
      </x:c>
    </x:row>
    <x:row r="208">
      <x:c r="A208" t="n">
        <x:v>207</x:v>
      </x:c>
      <x:c r="B208" t="str">
        <x:v>ND30.N.HINH.DOI_TUONG.NOI_DUNG</x:v>
      </x:c>
      <x:c r="C208" t="str">
        <x:v>ND30.N.HINH.DOI_TUONG</x:v>
      </x:c>
      <x:c r="D208" t="str">
        <x:v>N</x:v>
      </x:c>
      <x:c r="E208" t="str">
        <x:v>Hình/sơ đồ</x:v>
      </x:c>
      <x:c r="F208" t="str">
        <x:v>NOI_DUNG</x:v>
      </x:c>
      <x:c r="G208" t="str">
        <x:v>Giữ nguyên hình, sơ đồ và neo vị trí; không tái tạo ảnh</x:v>
      </x:c>
      <x:c r="H208"/>
      <x:c r="I208" t="str">
        <x:v>UNVERIFIED_ATTRIBUTE</x:v>
      </x:c>
      <x:c r="J208" t="str">
        <x:v>SOURCE_DESCRIPTION_NOT_APPROVAL</x:v>
      </x:c>
      <x:c r="K208" t="str">
        <x:v>Chỉ khi có hình/sơ đồ; duy trì chú thích/anchor của hình gốc</x:v>
      </x:c>
      <x:c r="L208" t="str">
        <x:v>Bảo toàn cấu trúc/nội dung; nếu khác loại văn bản, ưu tiên đúng mẫu của loại đó; không sửa khi thiếu căn cứ.</x:v>
      </x:c>
      <x:c r="M208"/>
      <x:c r="N208" t="str">
        <x:v>NĐ30, Phụ lục I, Phần I, II.6; V.6</x:v>
      </x:c>
      <x:c r="O208" t="str">
        <x:v>https://congbao.chinhphu.vn/van-ban/nghi-dinh-so-30-2020-nd-cp-30858/30246.htm</x:v>
      </x:c>
      <x:c r="P208" t="str">
        <x:v>PLUGIN:hoa-tieu-mien-bac-administrative-v1 | user_approved_visual_reference</x:v>
      </x:c>
      <x:c r="Q208" t="str">
        <x:v>CHECK_ONLY</x:v>
      </x:c>
      <x:c r="R208" t="str">
        <x:v>Kiểm tra từng thuộc tính có mặt; so sánh nguồn/role; không suy đoán từ kết quả render chưa có</x:v>
      </x:c>
      <x:c r="S208" t="str">
        <x:v>STRUCTURE_READ_EXISTING_WORKBOOK</x:v>
      </x:c>
      <x:c r="T208"/>
      <x:c r="U208" t="str">
        <x:v>Drawing/inline/anchor; kiểm tra sau render</x:v>
      </x:c>
    </x:row>
    <x:row r="209">
      <x:c r="A209" t="n">
        <x:v>208</x:v>
      </x:c>
      <x:c r="B209" t="str">
        <x:v>ND30.N.HINH.DOI_TUONG.HINH_ANH</x:v>
      </x:c>
      <x:c r="C209" t="str">
        <x:v>ND30.N.HINH.DOI_TUONG</x:v>
      </x:c>
      <x:c r="D209" t="str">
        <x:v>N</x:v>
      </x:c>
      <x:c r="E209" t="str">
        <x:v>Hình/sơ đồ</x:v>
      </x:c>
      <x:c r="F209" t="str">
        <x:v>HINH_ANH</x:v>
      </x:c>
      <x:c r="G209"/>
      <x:c r="H209"/>
      <x:c r="I209" t="str">
        <x:v>UNVERIFIED_ATTRIBUTE</x:v>
      </x:c>
      <x:c r="J209" t="str">
        <x:v>BLOCKED_DOCUMENT_OR_AUTHORITY</x:v>
      </x:c>
      <x:c r="K209" t="str">
        <x:v>Chỉ khi có hình/sơ đồ; duy trì chú thích/anchor của hình gốc</x:v>
      </x:c>
      <x:c r="L209" t="str">
        <x:v>Bảo toàn cấu trúc/nội dung; nếu khác loại văn bản, ưu tiên đúng mẫu của loại đó; không sửa khi thiếu căn cứ.</x:v>
      </x:c>
      <x:c r="M209"/>
      <x:c r="N209" t="str">
        <x:v>NĐ30, Phụ lục I, Phần I, II.6; V.6</x:v>
      </x:c>
      <x:c r="O209" t="str">
        <x:v>https://congbao.chinhphu.vn/van-ban/nghi-dinh-so-30-2020-nd-cp-30858/30246.htm</x:v>
      </x:c>
      <x:c r="P209" t="str">
        <x:v>PLUGIN:hoa-tieu-mien-bac-administrative-v1 | user_approved_visual_reference</x:v>
      </x:c>
      <x:c r="Q209" t="str">
        <x:v>CHECK_ONLY</x:v>
      </x:c>
      <x:c r="R209" t="str">
        <x:v>Kiểm tra từng thuộc tính có mặt; so sánh nguồn/role; không suy đoán từ kết quả render chưa có</x:v>
      </x:c>
      <x:c r="S209" t="str">
        <x:v>RULE_INFERENCE_NOT_MEASURED</x:v>
      </x:c>
      <x:c r="T209" t="str">
        <x:v>Xác minh căn cứ theo loại văn bản / tài liệu phát hành hoặc phê duyệt</x:v>
      </x:c>
      <x:c r="U209" t="str">
        <x:v>Drawing/inline/anchor; kiểm tra sau render</x:v>
      </x:c>
    </x:row>
    <x:row r="210">
      <x:c r="A210" t="n">
        <x:v>209</x:v>
      </x:c>
      <x:c r="B210" t="str">
        <x:v>ND30.N.HINH.DOI_TUONG.VI_TRI</x:v>
      </x:c>
      <x:c r="C210" t="str">
        <x:v>ND30.N.HINH.DOI_TUONG</x:v>
      </x:c>
      <x:c r="D210" t="str">
        <x:v>N</x:v>
      </x:c>
      <x:c r="E210" t="str">
        <x:v>Hình/sơ đồ</x:v>
      </x:c>
      <x:c r="F210" t="str">
        <x:v>VI_TRI</x:v>
      </x:c>
      <x:c r="G210"/>
      <x:c r="H210"/>
      <x:c r="I210" t="str">
        <x:v>UNVERIFIED_ATTRIBUTE</x:v>
      </x:c>
      <x:c r="J210" t="str">
        <x:v>BLOCKED_NO_ATTRIBUTE_VALUE</x:v>
      </x:c>
      <x:c r="K210" t="str">
        <x:v>Chỉ khi có hình/sơ đồ; duy trì chú thích/anchor của hình gốc</x:v>
      </x:c>
      <x:c r="L210" t="str">
        <x:v>Bảo toàn cấu trúc/nội dung; nếu khác loại văn bản, ưu tiên đúng mẫu của loại đó; không sửa khi thiếu căn cứ.</x:v>
      </x:c>
      <x:c r="M210"/>
      <x:c r="N210" t="str">
        <x:v>NĐ30, Phụ lục I, Phần I, II.6; V.6</x:v>
      </x:c>
      <x:c r="O210" t="str">
        <x:v>https://congbao.chinhphu.vn/van-ban/nghi-dinh-so-30-2020-nd-cp-30858/30246.htm</x:v>
      </x:c>
      <x:c r="P210" t="str">
        <x:v>PLUGIN:hoa-tieu-mien-bac-administrative-v1 | user_approved_visual_reference</x:v>
      </x:c>
      <x:c r="Q210" t="str">
        <x:v>CHECK_ONLY</x:v>
      </x:c>
      <x:c r="R210" t="str">
        <x:v>Kiểm tra từng thuộc tính có mặt; so sánh nguồn/role; không suy đoán từ kết quả render chưa có</x:v>
      </x:c>
      <x:c r="S210" t="str">
        <x:v>RULE_INFERENCE_NOT_MEASURED</x:v>
      </x:c>
      <x:c r="T210" t="str">
        <x:v>Xác minh căn cứ theo loại văn bản / tài liệu phát hành hoặc phê duyệt</x:v>
      </x:c>
      <x:c r="U210" t="str">
        <x:v>Drawing/inline/anchor; kiểm tra sau render</x:v>
      </x:c>
    </x:row>
    <x:row r="211">
      <x:c r="A211" t="n">
        <x:v>210</x:v>
      </x:c>
      <x:c r="B211" t="str">
        <x:v>ND30.N.HINH.DOI_TUONG.KEEP_NEXT</x:v>
      </x:c>
      <x:c r="C211" t="str">
        <x:v>ND30.N.HINH.DOI_TUONG</x:v>
      </x:c>
      <x:c r="D211" t="str">
        <x:v>N</x:v>
      </x:c>
      <x:c r="E211" t="str">
        <x:v>Hình/sơ đồ</x:v>
      </x:c>
      <x:c r="F211" t="str">
        <x:v>KEEP_NEXT</x:v>
      </x:c>
      <x:c r="G211"/>
      <x:c r="H211"/>
      <x:c r="I211" t="str">
        <x:v>UNVERIFIED_ATTRIBUTE</x:v>
      </x:c>
      <x:c r="J211" t="str">
        <x:v>BLOCKED_NO_ATTRIBUTE_VALUE</x:v>
      </x:c>
      <x:c r="K211" t="str">
        <x:v>Chỉ khi có hình/sơ đồ; duy trì chú thích/anchor của hình gốc</x:v>
      </x:c>
      <x:c r="L211" t="str">
        <x:v>Bảo toàn cấu trúc/nội dung; nếu khác loại văn bản, ưu tiên đúng mẫu của loại đó; không sửa khi thiếu căn cứ.</x:v>
      </x:c>
      <x:c r="M211"/>
      <x:c r="N211" t="str">
        <x:v>NĐ30, Phụ lục I, Phần I, II.6; V.6</x:v>
      </x:c>
      <x:c r="O211" t="str">
        <x:v>https://congbao.chinhphu.vn/van-ban/nghi-dinh-so-30-2020-nd-cp-30858/30246.htm</x:v>
      </x:c>
      <x:c r="P211" t="str">
        <x:v>PLUGIN:hoa-tieu-mien-bac-administrative-v1 | user_approved_visual_reference</x:v>
      </x:c>
      <x:c r="Q211" t="str">
        <x:v>CHECK_ONLY</x:v>
      </x:c>
      <x:c r="R211" t="str">
        <x:v>Kiểm tra từng thuộc tính có mặt; so sánh nguồn/role; không suy đoán từ kết quả render chưa có</x:v>
      </x:c>
      <x:c r="S211" t="str">
        <x:v>RULE_INFERENCE_NOT_MEASURED</x:v>
      </x:c>
      <x:c r="T211" t="str">
        <x:v>Xác minh căn cứ theo loại văn bản / tài liệu phát hành hoặc phê duyệt</x:v>
      </x:c>
      <x:c r="U211" t="str">
        <x:v>Drawing/inline/anchor; kiểm tra sau render</x:v>
      </x:c>
    </x:row>
    <x:row r="212">
      <x:c r="A212" t="n">
        <x:v>211</x:v>
      </x:c>
      <x:c r="B212" t="str">
        <x:v>ND30.N.HINH.CHU_THICH.HIEN_DIEN</x:v>
      </x:c>
      <x:c r="C212" t="str">
        <x:v>ND30.N.HINH.CHU_THICH</x:v>
      </x:c>
      <x:c r="D212" t="str">
        <x:v>N</x:v>
      </x:c>
      <x:c r="E212" t="str">
        <x:v>Chú thích hình/sơ đồ</x:v>
      </x:c>
      <x:c r="F212" t="str">
        <x:v>HIEN_DIEN</x:v>
      </x:c>
      <x:c r="G212" t="str">
        <x:v>Khi tài liệu có hình/đồ họa thực tế; không dùng cho bảng bố cục header</x:v>
      </x:c>
      <x:c r="H212"/>
      <x:c r="I212" t="str">
        <x:v>UNVERIFIED_ATTRIBUTE</x:v>
      </x:c>
      <x:c r="J212" t="str">
        <x:v>SOURCE_DESCRIPTION_NOT_APPROVAL</x:v>
      </x:c>
      <x:c r="K212" t="str">
        <x:v>Chỉ khi có hình/sơ đồ; duy trì chú thích/anchor của hình gốc</x:v>
      </x:c>
      <x:c r="L212" t="str">
        <x:v>Bảo toàn cấu trúc/nội dung; nếu khác loại văn bản, ưu tiên đúng mẫu của loại đó; không sửa khi thiếu căn cứ.</x:v>
      </x:c>
      <x:c r="M212"/>
      <x:c r="N212" t="str">
        <x:v>NĐ30, Phụ lục I, Phần I, II.6; V.6</x:v>
      </x:c>
      <x:c r="O212" t="str">
        <x:v>https://congbao.chinhphu.vn/van-ban/nghi-dinh-so-30-2020-nd-cp-30858/30246.htm</x:v>
      </x:c>
      <x:c r="P212" t="str">
        <x:v>PLUGIN:hoa-tieu-mien-bac-administrative-v1 | user_approved_visual_reference</x:v>
      </x:c>
      <x:c r="Q212" t="str">
        <x:v>CHECK_ONLY</x:v>
      </x:c>
      <x:c r="R212" t="str">
        <x:v>Kiểm tra từng thuộc tính có mặt; so sánh nguồn/role; không suy đoán từ kết quả render chưa có</x:v>
      </x:c>
      <x:c r="S212" t="str">
        <x:v>STRUCTURE_READ_EXISTING_WORKBOOK</x:v>
      </x:c>
      <x:c r="T212"/>
      <x:c r="U212" t="str">
        <x:v>Drawing/inline/anchor; kiểm tra sau render</x:v>
      </x:c>
    </x:row>
    <x:row r="213">
      <x:c r="A213" t="n">
        <x:v>212</x:v>
      </x:c>
      <x:c r="B213" t="str">
        <x:v>ND30.N.HINH.CHU_THICH.NOI_DUNG</x:v>
      </x:c>
      <x:c r="C213" t="str">
        <x:v>ND30.N.HINH.CHU_THICH</x:v>
      </x:c>
      <x:c r="D213" t="str">
        <x:v>N</x:v>
      </x:c>
      <x:c r="E213" t="str">
        <x:v>Chú thích hình/sơ đồ</x:v>
      </x:c>
      <x:c r="F213" t="str">
        <x:v>NOI_DUNG</x:v>
      </x:c>
      <x:c r="G213" t="str">
        <x:v>Giữ nguyên hình, sơ đồ và neo vị trí; không tái tạo ảnh</x:v>
      </x:c>
      <x:c r="H213"/>
      <x:c r="I213" t="str">
        <x:v>UNVERIFIED_ATTRIBUTE</x:v>
      </x:c>
      <x:c r="J213" t="str">
        <x:v>SOURCE_DESCRIPTION_NOT_APPROVAL</x:v>
      </x:c>
      <x:c r="K213" t="str">
        <x:v>Chỉ khi có hình/sơ đồ; duy trì chú thích/anchor của hình gốc</x:v>
      </x:c>
      <x:c r="L213" t="str">
        <x:v>Bảo toàn cấu trúc/nội dung; nếu khác loại văn bản, ưu tiên đúng mẫu của loại đó; không sửa khi thiếu căn cứ.</x:v>
      </x:c>
      <x:c r="M213"/>
      <x:c r="N213" t="str">
        <x:v>NĐ30, Phụ lục I, Phần I, II.6; V.6</x:v>
      </x:c>
      <x:c r="O213" t="str">
        <x:v>https://congbao.chinhphu.vn/van-ban/nghi-dinh-so-30-2020-nd-cp-30858/30246.htm</x:v>
      </x:c>
      <x:c r="P213" t="str">
        <x:v>PLUGIN:hoa-tieu-mien-bac-administrative-v1 | user_approved_visual_reference</x:v>
      </x:c>
      <x:c r="Q213" t="str">
        <x:v>CHECK_ONLY</x:v>
      </x:c>
      <x:c r="R213" t="str">
        <x:v>Kiểm tra từng thuộc tính có mặt; so sánh nguồn/role; không suy đoán từ kết quả render chưa có</x:v>
      </x:c>
      <x:c r="S213" t="str">
        <x:v>STRUCTURE_READ_EXISTING_WORKBOOK</x:v>
      </x:c>
      <x:c r="T213"/>
      <x:c r="U213" t="str">
        <x:v>Drawing/inline/anchor; kiểm tra sau render</x:v>
      </x:c>
    </x:row>
    <x:row r="214">
      <x:c r="A214" t="n">
        <x:v>213</x:v>
      </x:c>
      <x:c r="B214" t="str">
        <x:v>ND30.N.HINH.CHU_THICH.HINH_ANH</x:v>
      </x:c>
      <x:c r="C214" t="str">
        <x:v>ND30.N.HINH.CHU_THICH</x:v>
      </x:c>
      <x:c r="D214" t="str">
        <x:v>N</x:v>
      </x:c>
      <x:c r="E214" t="str">
        <x:v>Chú thích hình/sơ đồ</x:v>
      </x:c>
      <x:c r="F214" t="str">
        <x:v>HINH_ANH</x:v>
      </x:c>
      <x:c r="G214"/>
      <x:c r="H214"/>
      <x:c r="I214" t="str">
        <x:v>UNVERIFIED_ATTRIBUTE</x:v>
      </x:c>
      <x:c r="J214" t="str">
        <x:v>BLOCKED_DOCUMENT_OR_AUTHORITY</x:v>
      </x:c>
      <x:c r="K214" t="str">
        <x:v>Chỉ khi có hình/sơ đồ; duy trì chú thích/anchor của hình gốc</x:v>
      </x:c>
      <x:c r="L214" t="str">
        <x:v>Bảo toàn cấu trúc/nội dung; nếu khác loại văn bản, ưu tiên đúng mẫu của loại đó; không sửa khi thiếu căn cứ.</x:v>
      </x:c>
      <x:c r="M214"/>
      <x:c r="N214" t="str">
        <x:v>NĐ30, Phụ lục I, Phần I, II.6; V.6</x:v>
      </x:c>
      <x:c r="O214" t="str">
        <x:v>https://congbao.chinhphu.vn/van-ban/nghi-dinh-so-30-2020-nd-cp-30858/30246.htm</x:v>
      </x:c>
      <x:c r="P214" t="str">
        <x:v>PLUGIN:hoa-tieu-mien-bac-administrative-v1 | user_approved_visual_reference</x:v>
      </x:c>
      <x:c r="Q214" t="str">
        <x:v>CHECK_ONLY</x:v>
      </x:c>
      <x:c r="R214" t="str">
        <x:v>Kiểm tra từng thuộc tính có mặt; so sánh nguồn/role; không suy đoán từ kết quả render chưa có</x:v>
      </x:c>
      <x:c r="S214" t="str">
        <x:v>RULE_INFERENCE_NOT_MEASURED</x:v>
      </x:c>
      <x:c r="T214" t="str">
        <x:v>Xác minh căn cứ theo loại văn bản / tài liệu phát hành hoặc phê duyệt</x:v>
      </x:c>
      <x:c r="U214" t="str">
        <x:v>Drawing/inline/anchor; kiểm tra sau render</x:v>
      </x:c>
    </x:row>
    <x:row r="215">
      <x:c r="A215" t="n">
        <x:v>214</x:v>
      </x:c>
      <x:c r="B215" t="str">
        <x:v>ND30.N.HINH.CHU_THICH.VI_TRI</x:v>
      </x:c>
      <x:c r="C215" t="str">
        <x:v>ND30.N.HINH.CHU_THICH</x:v>
      </x:c>
      <x:c r="D215" t="str">
        <x:v>N</x:v>
      </x:c>
      <x:c r="E215" t="str">
        <x:v>Chú thích hình/sơ đồ</x:v>
      </x:c>
      <x:c r="F215" t="str">
        <x:v>VI_TRI</x:v>
      </x:c>
      <x:c r="G215"/>
      <x:c r="H215"/>
      <x:c r="I215" t="str">
        <x:v>UNVERIFIED_ATTRIBUTE</x:v>
      </x:c>
      <x:c r="J215" t="str">
        <x:v>BLOCKED_NO_ATTRIBUTE_VALUE</x:v>
      </x:c>
      <x:c r="K215" t="str">
        <x:v>Chỉ khi có hình/sơ đồ; duy trì chú thích/anchor của hình gốc</x:v>
      </x:c>
      <x:c r="L215" t="str">
        <x:v>Bảo toàn cấu trúc/nội dung; nếu khác loại văn bản, ưu tiên đúng mẫu của loại đó; không sửa khi thiếu căn cứ.</x:v>
      </x:c>
      <x:c r="M215"/>
      <x:c r="N215" t="str">
        <x:v>NĐ30, Phụ lục I, Phần I, II.6; V.6</x:v>
      </x:c>
      <x:c r="O215" t="str">
        <x:v>https://congbao.chinhphu.vn/van-ban/nghi-dinh-so-30-2020-nd-cp-30858/30246.htm</x:v>
      </x:c>
      <x:c r="P215" t="str">
        <x:v>PLUGIN:hoa-tieu-mien-bac-administrative-v1 | user_approved_visual_reference</x:v>
      </x:c>
      <x:c r="Q215" t="str">
        <x:v>CHECK_ONLY</x:v>
      </x:c>
      <x:c r="R215" t="str">
        <x:v>Kiểm tra từng thuộc tính có mặt; so sánh nguồn/role; không suy đoán từ kết quả render chưa có</x:v>
      </x:c>
      <x:c r="S215" t="str">
        <x:v>RULE_INFERENCE_NOT_MEASURED</x:v>
      </x:c>
      <x:c r="T215" t="str">
        <x:v>Xác minh căn cứ theo loại văn bản / tài liệu phát hành hoặc phê duyệt</x:v>
      </x:c>
      <x:c r="U215" t="str">
        <x:v>Drawing/inline/anchor; kiểm tra sau render</x:v>
      </x:c>
    </x:row>
    <x:row r="216">
      <x:c r="A216" t="n">
        <x:v>215</x:v>
      </x:c>
      <x:c r="B216" t="str">
        <x:v>ND30.N.HINH.CHU_THICH.KEEP_NEXT</x:v>
      </x:c>
      <x:c r="C216" t="str">
        <x:v>ND30.N.HINH.CHU_THICH</x:v>
      </x:c>
      <x:c r="D216" t="str">
        <x:v>N</x:v>
      </x:c>
      <x:c r="E216" t="str">
        <x:v>Chú thích hình/sơ đồ</x:v>
      </x:c>
      <x:c r="F216" t="str">
        <x:v>KEEP_NEXT</x:v>
      </x:c>
      <x:c r="G216"/>
      <x:c r="H216"/>
      <x:c r="I216" t="str">
        <x:v>UNVERIFIED_ATTRIBUTE</x:v>
      </x:c>
      <x:c r="J216" t="str">
        <x:v>BLOCKED_NO_ATTRIBUTE_VALUE</x:v>
      </x:c>
      <x:c r="K216" t="str">
        <x:v>Chỉ khi có hình/sơ đồ; duy trì chú thích/anchor của hình gốc</x:v>
      </x:c>
      <x:c r="L216" t="str">
        <x:v>Bảo toàn cấu trúc/nội dung; nếu khác loại văn bản, ưu tiên đúng mẫu của loại đó; không sửa khi thiếu căn cứ.</x:v>
      </x:c>
      <x:c r="M216"/>
      <x:c r="N216" t="str">
        <x:v>NĐ30, Phụ lục I, Phần I, II.6; V.6</x:v>
      </x:c>
      <x:c r="O216" t="str">
        <x:v>https://congbao.chinhphu.vn/van-ban/nghi-dinh-so-30-2020-nd-cp-30858/30246.htm</x:v>
      </x:c>
      <x:c r="P216" t="str">
        <x:v>PLUGIN:hoa-tieu-mien-bac-administrative-v1 | user_approved_visual_reference</x:v>
      </x:c>
      <x:c r="Q216" t="str">
        <x:v>CHECK_ONLY</x:v>
      </x:c>
      <x:c r="R216" t="str">
        <x:v>Kiểm tra từng thuộc tính có mặt; so sánh nguồn/role; không suy đoán từ kết quả render chưa có</x:v>
      </x:c>
      <x:c r="S216" t="str">
        <x:v>RULE_INFERENCE_NOT_MEASURED</x:v>
      </x:c>
      <x:c r="T216" t="str">
        <x:v>Xác minh căn cứ theo loại văn bản / tài liệu phát hành hoặc phê duyệt</x:v>
      </x:c>
      <x:c r="U216" t="str">
        <x:v>Drawing/inline/anchor; kiểm tra sau render</x:v>
      </x:c>
    </x:row>
    <x:row r="217">
      <x:c r="A217" t="n">
        <x:v>216</x:v>
      </x:c>
      <x:c r="B217" t="str">
        <x:v>ND30.N.KET.DOAN_KET.HIEN_DIEN</x:v>
      </x:c>
      <x:c r="C217" t="str">
        <x:v>ND30.N.KET.DOAN_KET</x:v>
      </x:c>
      <x:c r="D217" t="str">
        <x:v>N</x:v>
      </x:c>
      <x:c r="E217" t="str">
        <x:v>Đoạn kết nếu có</x:v>
      </x:c>
      <x:c r="F217" t="str">
        <x:v>HIEN_DIEN</x:v>
      </x:c>
      <x:c r="G217" t="str">
        <x:v>Theo loại văn bản và sự hiện diện thực tế; không áp dụng đồng loạt</x:v>
      </x:c>
      <x:c r="H217"/>
      <x:c r="I217" t="str">
        <x:v>UNVERIFIED_ATTRIBUTE</x:v>
      </x:c>
      <x:c r="J217" t="str">
        <x:v>SOURCE_DESCRIPTION_NOT_APPROVAL</x:v>
      </x:c>
      <x:c r="K217" t="str">
        <x:v>Chỉ đoạn nội dung thực; loại trừ bảng, chú thích, chữ ký và các thành phần phần đầu</x:v>
      </x:c>
      <x:c r="L217" t="str">
        <x:v>Bảo toàn cấu trúc/nội dung; nếu khác loại văn bản, ưu tiên đúng mẫu của loại đó; không sửa khi thiếu căn cứ.</x:v>
      </x:c>
      <x:c r="M217"/>
      <x:c r="N217" t="str">
        <x:v>NĐ30, Phụ lục I, Phần I, II.6; V.6</x:v>
      </x:c>
      <x:c r="O217" t="str">
        <x:v>https://congbao.chinhphu.vn/van-ban/nghi-dinh-so-30-2020-nd-cp-30858/30246.htm</x:v>
      </x:c>
      <x:c r="P217" t="str">
        <x:v>PLUGIN:hoa-tieu-mien-bac-administrative-v1 | user_approved_visual_reference</x:v>
      </x:c>
      <x:c r="Q217" t="str">
        <x:v>CHECK_ONLY</x:v>
      </x:c>
      <x:c r="R217" t="str">
        <x:v>Kiểm tra từng thuộc tính có mặt; so sánh nguồn/role; không suy đoán từ kết quả render chưa có</x:v>
      </x:c>
      <x:c r="S217" t="str">
        <x:v>STRUCTURE_READ_EXISTING_WORKBOOK</x:v>
      </x:c>
      <x:c r="T217"/>
      <x:c r="U217" t="str">
        <x:v>Paragraph/Run theo kiểu khối KET; preserve list numbering/table/drawing nếu có</x:v>
      </x:c>
    </x:row>
    <x:row r="218">
      <x:c r="A218" t="n">
        <x:v>217</x:v>
      </x:c>
      <x:c r="B218" t="str">
        <x:v>ND30.N.KET.DOAN_KET.NOI_DUNG</x:v>
      </x:c>
      <x:c r="C218" t="str">
        <x:v>ND30.N.KET.DOAN_KET</x:v>
      </x:c>
      <x:c r="D218" t="str">
        <x:v>N</x:v>
      </x:c>
      <x:c r="E218" t="str">
        <x:v>Đoạn kết nếu có</x:v>
      </x:c>
      <x:c r="F218" t="str">
        <x:v>NOI_DUNG</x:v>
      </x:c>
      <x:c r="G218" t="str">
        <x:v>Đoạn kết nội dung nếu có; áp body style trừ mẫu có quy định riêng</x:v>
      </x:c>
      <x:c r="H218"/>
      <x:c r="I218" t="str">
        <x:v>UNVERIFIED_ATTRIBUTE</x:v>
      </x:c>
      <x:c r="J218" t="str">
        <x:v>SOURCE_DESCRIPTION_NOT_APPROVAL</x:v>
      </x:c>
      <x:c r="K218" t="str">
        <x:v>Chỉ đoạn nội dung thực; loại trừ bảng, chú thích, chữ ký và các thành phần phần đầu</x:v>
      </x:c>
      <x:c r="L218" t="str">
        <x:v>Bảo toàn cấu trúc/nội dung; nếu khác loại văn bản, ưu tiên đúng mẫu của loại đó; không sửa khi thiếu căn cứ.</x:v>
      </x:c>
      <x:c r="M218"/>
      <x:c r="N218" t="str">
        <x:v>NĐ30, Phụ lục I, Phần I, II.6; V.6</x:v>
      </x:c>
      <x:c r="O218" t="str">
        <x:v>https://congbao.chinhphu.vn/van-ban/nghi-dinh-so-30-2020-nd-cp-30858/30246.htm</x:v>
      </x:c>
      <x:c r="P218" t="str">
        <x:v>PLUGIN:hoa-tieu-mien-bac-administrative-v1 | user_approved_visual_reference</x:v>
      </x:c>
      <x:c r="Q218" t="str">
        <x:v>CHECK_ONLY</x:v>
      </x:c>
      <x:c r="R218" t="str">
        <x:v>Kiểm tra từng thuộc tính có mặt; so sánh nguồn/role; không suy đoán từ kết quả render chưa có</x:v>
      </x:c>
      <x:c r="S218" t="str">
        <x:v>STRUCTURE_READ_EXISTING_WORKBOOK</x:v>
      </x:c>
      <x:c r="T218"/>
      <x:c r="U218" t="str">
        <x:v>Paragraph/Run theo kiểu khối KET; preserve list numbering/table/drawing nếu có</x:v>
      </x:c>
    </x:row>
    <x:row r="219">
      <x:c r="A219" t="n">
        <x:v>218</x:v>
      </x:c>
      <x:c r="B219" t="str">
        <x:v>ND30.N.KET.DOAN_KET.PHONG_CHU</x:v>
      </x:c>
      <x:c r="C219" t="str">
        <x:v>ND30.N.KET.DOAN_KET</x:v>
      </x:c>
      <x:c r="D219" t="str">
        <x:v>N</x:v>
      </x:c>
      <x:c r="E219" t="str">
        <x:v>Đoạn kết nếu có</x:v>
      </x:c>
      <x:c r="F219" t="str">
        <x:v>PHONG_CHU</x:v>
      </x:c>
      <x:c r="G219" t="str">
        <x:v>Times New Roman</x:v>
      </x:c>
      <x:c r="H219"/>
      <x:c r="I219" t="str">
        <x:v>UNVERIFIED_ATTRIBUTE</x:v>
      </x:c>
      <x:c r="J219" t="str">
        <x:v>PROFILE_PRESET_UNAPPROVED</x:v>
      </x:c>
      <x:c r="K219" t="str">
        <x:v>Chỉ đoạn nội dung thực; loại trừ bảng, chú thích, chữ ký và các thành phần phần đầu</x:v>
      </x:c>
      <x:c r="L219" t="str">
        <x:v>Bảo toàn cấu trúc/nội dung; nếu khác loại văn bản, ưu tiên đúng mẫu của loại đó; không sửa khi thiếu căn cứ.</x:v>
      </x:c>
      <x:c r="M219"/>
      <x:c r="N219" t="str">
        <x:v>NĐ30, Phụ lục I, Phần I, II.6; V.6</x:v>
      </x:c>
      <x:c r="O219" t="str">
        <x:v>https://congbao.chinhphu.vn/van-ban/nghi-dinh-so-30-2020-nd-cp-30858/30246.htm</x:v>
      </x:c>
      <x:c r="P219" t="str">
        <x:v>PLUGIN:hoa-tieu-mien-bac-administrative-v1 | user_approved_visual_reference</x:v>
      </x:c>
      <x:c r="Q219" t="str">
        <x:v>CHECK_ONLY</x:v>
      </x:c>
      <x:c r="R219" t="str">
        <x:v>Kiểm tra từng thuộc tính có mặt; so sánh nguồn/role; không suy đoán từ kết quả render chưa có</x:v>
      </x:c>
      <x:c r="S219" t="str">
        <x:v>STRUCTURE_READ_EXISTING_WORKBOOK</x:v>
      </x:c>
      <x:c r="T219"/>
      <x:c r="U219" t="str">
        <x:v>Paragraph/Run theo kiểu khối KET; preserve list numbering/table/drawing nếu có</x:v>
      </x:c>
    </x:row>
    <x:row r="220">
      <x:c r="A220" t="n">
        <x:v>219</x:v>
      </x:c>
      <x:c r="B220" t="str">
        <x:v>ND30.N.KET.DOAN_KET.CO_CHU</x:v>
      </x:c>
      <x:c r="C220" t="str">
        <x:v>ND30.N.KET.DOAN_KET</x:v>
      </x:c>
      <x:c r="D220" t="str">
        <x:v>N</x:v>
      </x:c>
      <x:c r="E220" t="str">
        <x:v>Đoạn kết nếu có</x:v>
      </x:c>
      <x:c r="F220" t="str">
        <x:v>CO_CHU</x:v>
      </x:c>
      <x:c r="G220" t="n">
        <x:v>14</x:v>
      </x:c>
      <x:c r="H220"/>
      <x:c r="I220" t="str">
        <x:v>UNVERIFIED_ATTRIBUTE</x:v>
      </x:c>
      <x:c r="J220" t="str">
        <x:v>PROFILE_PRESET_UNAPPROVED</x:v>
      </x:c>
      <x:c r="K220" t="str">
        <x:v>Chỉ đoạn nội dung thực; loại trừ bảng, chú thích, chữ ký và các thành phần phần đầu</x:v>
      </x:c>
      <x:c r="L220" t="str">
        <x:v>Bảo toàn cấu trúc/nội dung; nếu khác loại văn bản, ưu tiên đúng mẫu của loại đó; không sửa khi thiếu căn cứ.</x:v>
      </x:c>
      <x:c r="M220" t="str">
        <x:v>pt</x:v>
      </x:c>
      <x:c r="N220" t="str">
        <x:v>NĐ30, Phụ lục I, Phần I, II.6; V.6</x:v>
      </x:c>
      <x:c r="O220" t="str">
        <x:v>https://congbao.chinhphu.vn/van-ban/nghi-dinh-so-30-2020-nd-cp-30858/30246.htm</x:v>
      </x:c>
      <x:c r="P220" t="str">
        <x:v>PLUGIN:hoa-tieu-mien-bac-administrative-v1 | user_approved_visual_reference</x:v>
      </x:c>
      <x:c r="Q220" t="str">
        <x:v>CHECK_ONLY</x:v>
      </x:c>
      <x:c r="R220" t="str">
        <x:v>Kiểm tra từng thuộc tính có mặt; so sánh nguồn/role; không suy đoán từ kết quả render chưa có</x:v>
      </x:c>
      <x:c r="S220" t="str">
        <x:v>STRUCTURE_READ_EXISTING_WORKBOOK</x:v>
      </x:c>
      <x:c r="T220"/>
      <x:c r="U220" t="str">
        <x:v>Paragraph/Run theo kiểu khối KET; preserve list numbering/table/drawing nếu có</x:v>
      </x:c>
    </x:row>
    <x:row r="221">
      <x:c r="A221" t="n">
        <x:v>220</x:v>
      </x:c>
      <x:c r="B221" t="str">
        <x:v>ND30.N.KET.DOAN_KET.DAM</x:v>
      </x:c>
      <x:c r="C221" t="str">
        <x:v>ND30.N.KET.DOAN_KET</x:v>
      </x:c>
      <x:c r="D221" t="str">
        <x:v>N</x:v>
      </x:c>
      <x:c r="E221" t="str">
        <x:v>Đoạn kết nếu có</x:v>
      </x:c>
      <x:c r="F221" t="str">
        <x:v>DAM</x:v>
      </x:c>
      <x:c r="G221" t="str">
        <x:v>KHÔNG</x:v>
      </x:c>
      <x:c r="H221"/>
      <x:c r="I221" t="str">
        <x:v>UNVERIFIED_ATTRIBUTE</x:v>
      </x:c>
      <x:c r="J221" t="str">
        <x:v>PROFILE_PRESET_UNAPPROVED</x:v>
      </x:c>
      <x:c r="K221" t="str">
        <x:v>Chỉ đoạn nội dung thực; loại trừ bảng, chú thích, chữ ký và các thành phần phần đầu</x:v>
      </x:c>
      <x:c r="L221" t="str">
        <x:v>Bảo toàn cấu trúc/nội dung; nếu khác loại văn bản, ưu tiên đúng mẫu của loại đó; không sửa khi thiếu căn cứ.</x:v>
      </x:c>
      <x:c r="M221"/>
      <x:c r="N221" t="str">
        <x:v>NĐ30, Phụ lục I, Phần I, II.6; V.6</x:v>
      </x:c>
      <x:c r="O221" t="str">
        <x:v>https://congbao.chinhphu.vn/van-ban/nghi-dinh-so-30-2020-nd-cp-30858/30246.htm</x:v>
      </x:c>
      <x:c r="P221" t="str">
        <x:v>PLUGIN:hoa-tieu-mien-bac-administrative-v1 | user_approved_visual_reference</x:v>
      </x:c>
      <x:c r="Q221" t="str">
        <x:v>CHECK_ONLY</x:v>
      </x:c>
      <x:c r="R221" t="str">
        <x:v>Kiểm tra từng thuộc tính có mặt; so sánh nguồn/role; không suy đoán từ kết quả render chưa có</x:v>
      </x:c>
      <x:c r="S221" t="str">
        <x:v>STRUCTURE_READ_EXISTING_WORKBOOK</x:v>
      </x:c>
      <x:c r="T221"/>
      <x:c r="U221" t="str">
        <x:v>Paragraph/Run theo kiểu khối KET; preserve list numbering/table/drawing nếu có</x:v>
      </x:c>
    </x:row>
    <x:row r="222">
      <x:c r="A222" t="n">
        <x:v>221</x:v>
      </x:c>
      <x:c r="B222" t="str">
        <x:v>ND30.N.KET.DOAN_KET.NGHIENG</x:v>
      </x:c>
      <x:c r="C222" t="str">
        <x:v>ND30.N.KET.DOAN_KET</x:v>
      </x:c>
      <x:c r="D222" t="str">
        <x:v>N</x:v>
      </x:c>
      <x:c r="E222" t="str">
        <x:v>Đoạn kết nếu có</x:v>
      </x:c>
      <x:c r="F222" t="str">
        <x:v>NGHIENG</x:v>
      </x:c>
      <x:c r="G222"/>
      <x:c r="H222"/>
      <x:c r="I222" t="str">
        <x:v>UNVERIFIED_ATTRIBUTE</x:v>
      </x:c>
      <x:c r="J222" t="str">
        <x:v>BLOCKED_NO_ATTRIBUTE_VALUE</x:v>
      </x:c>
      <x:c r="K222" t="str">
        <x:v>Chỉ đoạn nội dung thực; loại trừ bảng, chú thích, chữ ký và các thành phần phần đầu</x:v>
      </x:c>
      <x:c r="L222" t="str">
        <x:v>Bảo toàn cấu trúc/nội dung; nếu khác loại văn bản, ưu tiên đúng mẫu của loại đó; không sửa khi thiếu căn cứ.</x:v>
      </x:c>
      <x:c r="M222"/>
      <x:c r="N222" t="str">
        <x:v>NĐ30, Phụ lục I, Phần I, II.6; V.6</x:v>
      </x:c>
      <x:c r="O222" t="str">
        <x:v>https://congbao.chinhphu.vn/van-ban/nghi-dinh-so-30-2020-nd-cp-30858/30246.htm</x:v>
      </x:c>
      <x:c r="P222" t="str">
        <x:v>PLUGIN:hoa-tieu-mien-bac-administrative-v1 | user_approved_visual_reference</x:v>
      </x:c>
      <x:c r="Q222" t="str">
        <x:v>CHECK_ONLY</x:v>
      </x:c>
      <x:c r="R222" t="str">
        <x:v>Kiểm tra từng thuộc tính có mặt; so sánh nguồn/role; không suy đoán từ kết quả render chưa có</x:v>
      </x:c>
      <x:c r="S222" t="str">
        <x:v>RULE_INFERENCE_NOT_MEASURED</x:v>
      </x:c>
      <x:c r="T222" t="str">
        <x:v>Xác minh căn cứ theo loại văn bản / tài liệu phát hành hoặc phê duyệt</x:v>
      </x:c>
      <x:c r="U222" t="str">
        <x:v>Paragraph/Run theo kiểu khối KET; preserve list numbering/table/drawing nếu có</x:v>
      </x:c>
    </x:row>
    <x:row r="223">
      <x:c r="A223" t="n">
        <x:v>222</x:v>
      </x:c>
      <x:c r="B223" t="str">
        <x:v>ND30.N.KET.DOAN_KET.KIEU_CHU</x:v>
      </x:c>
      <x:c r="C223" t="str">
        <x:v>ND30.N.KET.DOAN_KET</x:v>
      </x:c>
      <x:c r="D223" t="str">
        <x:v>N</x:v>
      </x:c>
      <x:c r="E223" t="str">
        <x:v>Đoạn kết nếu có</x:v>
      </x:c>
      <x:c r="F223" t="str">
        <x:v>KIEU_CHU</x:v>
      </x:c>
      <x:c r="G223" t="str">
        <x:v>In thường (trừ tiêu đề)</x:v>
      </x:c>
      <x:c r="H223"/>
      <x:c r="I223" t="str">
        <x:v>UNVERIFIED_ATTRIBUTE</x:v>
      </x:c>
      <x:c r="J223" t="str">
        <x:v>PROFILE_PRESET_UNAPPROVED</x:v>
      </x:c>
      <x:c r="K223" t="str">
        <x:v>Chỉ đoạn nội dung thực; loại trừ bảng, chú thích, chữ ký và các thành phần phần đầu</x:v>
      </x:c>
      <x:c r="L223" t="str">
        <x:v>Bảo toàn cấu trúc/nội dung; nếu khác loại văn bản, ưu tiên đúng mẫu của loại đó; không sửa khi thiếu căn cứ.</x:v>
      </x:c>
      <x:c r="M223"/>
      <x:c r="N223" t="str">
        <x:v>NĐ30, Phụ lục I, Phần I, II.6; V.6</x:v>
      </x:c>
      <x:c r="O223" t="str">
        <x:v>https://congbao.chinhphu.vn/van-ban/nghi-dinh-so-30-2020-nd-cp-30858/30246.htm</x:v>
      </x:c>
      <x:c r="P223" t="str">
        <x:v>PLUGIN:hoa-tieu-mien-bac-administrative-v1 | user_approved_visual_reference</x:v>
      </x:c>
      <x:c r="Q223" t="str">
        <x:v>CHECK_ONLY</x:v>
      </x:c>
      <x:c r="R223" t="str">
        <x:v>Kiểm tra từng thuộc tính có mặt; so sánh nguồn/role; không suy đoán từ kết quả render chưa có</x:v>
      </x:c>
      <x:c r="S223" t="str">
        <x:v>STRUCTURE_READ_EXISTING_WORKBOOK</x:v>
      </x:c>
      <x:c r="T223"/>
      <x:c r="U223" t="str">
        <x:v>Paragraph/Run theo kiểu khối KET; preserve list numbering/table/drawing nếu có</x:v>
      </x:c>
    </x:row>
    <x:row r="224">
      <x:c r="A224" t="n">
        <x:v>223</x:v>
      </x:c>
      <x:c r="B224" t="str">
        <x:v>ND30.N.KET.DOAN_KET.CAN_NGANG</x:v>
      </x:c>
      <x:c r="C224" t="str">
        <x:v>ND30.N.KET.DOAN_KET</x:v>
      </x:c>
      <x:c r="D224" t="str">
        <x:v>N</x:v>
      </x:c>
      <x:c r="E224" t="str">
        <x:v>Đoạn kết nếu có</x:v>
      </x:c>
      <x:c r="F224" t="str">
        <x:v>CAN_NGANG</x:v>
      </x:c>
      <x:c r="G224" t="str">
        <x:v>JUSTIFY</x:v>
      </x:c>
      <x:c r="H224"/>
      <x:c r="I224" t="str">
        <x:v>UNVERIFIED_ATTRIBUTE</x:v>
      </x:c>
      <x:c r="J224" t="str">
        <x:v>PROFILE_PRESET_UNAPPROVED</x:v>
      </x:c>
      <x:c r="K224" t="str">
        <x:v>Chỉ đoạn nội dung thực; loại trừ bảng, chú thích, chữ ký và các thành phần phần đầu</x:v>
      </x:c>
      <x:c r="L224" t="str">
        <x:v>Bảo toàn cấu trúc/nội dung; nếu khác loại văn bản, ưu tiên đúng mẫu của loại đó; không sửa khi thiếu căn cứ.</x:v>
      </x:c>
      <x:c r="M224"/>
      <x:c r="N224" t="str">
        <x:v>NĐ30, Phụ lục I, Phần I, II.6; V.6</x:v>
      </x:c>
      <x:c r="O224" t="str">
        <x:v>https://congbao.chinhphu.vn/van-ban/nghi-dinh-so-30-2020-nd-cp-30858/30246.htm</x:v>
      </x:c>
      <x:c r="P224" t="str">
        <x:v>PLUGIN:hoa-tieu-mien-bac-administrative-v1 | user_approved_visual_reference</x:v>
      </x:c>
      <x:c r="Q224" t="str">
        <x:v>CHECK_ONLY</x:v>
      </x:c>
      <x:c r="R224" t="str">
        <x:v>Kiểm tra từng thuộc tính có mặt; so sánh nguồn/role; không suy đoán từ kết quả render chưa có</x:v>
      </x:c>
      <x:c r="S224" t="str">
        <x:v>STRUCTURE_READ_EXISTING_WORKBOOK</x:v>
      </x:c>
      <x:c r="T224"/>
      <x:c r="U224" t="str">
        <x:v>Paragraph/Run theo kiểu khối KET; preserve list numbering/table/drawing nếu có</x:v>
      </x:c>
    </x:row>
    <x:row r="225">
      <x:c r="A225" t="n">
        <x:v>224</x:v>
      </x:c>
      <x:c r="B225" t="str">
        <x:v>ND30.N.KET.DOAN_KET.GIAN_DONG</x:v>
      </x:c>
      <x:c r="C225" t="str">
        <x:v>ND30.N.KET.DOAN_KET</x:v>
      </x:c>
      <x:c r="D225" t="str">
        <x:v>N</x:v>
      </x:c>
      <x:c r="E225" t="str">
        <x:v>Đoạn kết nếu có</x:v>
      </x:c>
      <x:c r="F225" t="str">
        <x:v>GIAN_DONG</x:v>
      </x:c>
      <x:c r="G225" t="n">
        <x:v>19</x:v>
      </x:c>
      <x:c r="H225"/>
      <x:c r="I225" t="str">
        <x:v>UNVERIFIED_ATTRIBUTE</x:v>
      </x:c>
      <x:c r="J225" t="str">
        <x:v>PROFILE_PRESET_UNAPPROVED</x:v>
      </x:c>
      <x:c r="K225" t="str">
        <x:v>Chỉ đoạn nội dung thực; loại trừ bảng, chú thích, chữ ký và các thành phần phần đầu</x:v>
      </x:c>
      <x:c r="L225" t="str">
        <x:v>Bảo toàn cấu trúc/nội dung; nếu khác loại văn bản, ưu tiên đúng mẫu của loại đó; không sửa khi thiếu căn cứ.</x:v>
      </x:c>
      <x:c r="M225" t="str">
        <x:v>pt</x:v>
      </x:c>
      <x:c r="N225" t="str">
        <x:v>NĐ30, Phụ lục I, Phần I, II.6; V.6</x:v>
      </x:c>
      <x:c r="O225" t="str">
        <x:v>https://congbao.chinhphu.vn/van-ban/nghi-dinh-so-30-2020-nd-cp-30858/30246.htm</x:v>
      </x:c>
      <x:c r="P225" t="str">
        <x:v>PLUGIN:hoa-tieu-mien-bac-administrative-v1 | user_approved_visual_reference</x:v>
      </x:c>
      <x:c r="Q225" t="str">
        <x:v>CHECK_ONLY</x:v>
      </x:c>
      <x:c r="R225" t="str">
        <x:v>Kiểm tra từng thuộc tính có mặt; so sánh nguồn/role; không suy đoán từ kết quả render chưa có</x:v>
      </x:c>
      <x:c r="S225" t="str">
        <x:v>STRUCTURE_READ_EXISTING_WORKBOOK</x:v>
      </x:c>
      <x:c r="T225"/>
      <x:c r="U225" t="str">
        <x:v>Paragraph/Run theo kiểu khối KET; preserve list numbering/table/drawing nếu có</x:v>
      </x:c>
    </x:row>
    <x:row r="226">
      <x:c r="A226" t="n">
        <x:v>225</x:v>
      </x:c>
      <x:c r="B226" t="str">
        <x:v>ND30.N.KET.DOAN_KET.CACH_TRUOC</x:v>
      </x:c>
      <x:c r="C226" t="str">
        <x:v>ND30.N.KET.DOAN_KET</x:v>
      </x:c>
      <x:c r="D226" t="str">
        <x:v>N</x:v>
      </x:c>
      <x:c r="E226" t="str">
        <x:v>Đoạn kết nếu có</x:v>
      </x:c>
      <x:c r="F226" t="str">
        <x:v>CACH_TRUOC</x:v>
      </x:c>
      <x:c r="G226" t="n">
        <x:v>0</x:v>
      </x:c>
      <x:c r="H226"/>
      <x:c r="I226" t="str">
        <x:v>UNVERIFIED_ATTRIBUTE</x:v>
      </x:c>
      <x:c r="J226" t="str">
        <x:v>PROFILE_PRESET_UNAPPROVED</x:v>
      </x:c>
      <x:c r="K226" t="str">
        <x:v>Chỉ đoạn nội dung thực; loại trừ bảng, chú thích, chữ ký và các thành phần phần đầu</x:v>
      </x:c>
      <x:c r="L226" t="str">
        <x:v>Bảo toàn cấu trúc/nội dung; nếu khác loại văn bản, ưu tiên đúng mẫu của loại đó; không sửa khi thiếu căn cứ.</x:v>
      </x:c>
      <x:c r="M226" t="str">
        <x:v>pt</x:v>
      </x:c>
      <x:c r="N226" t="str">
        <x:v>NĐ30, Phụ lục I, Phần I, II.6; V.6</x:v>
      </x:c>
      <x:c r="O226" t="str">
        <x:v>https://congbao.chinhphu.vn/van-ban/nghi-dinh-so-30-2020-nd-cp-30858/30246.htm</x:v>
      </x:c>
      <x:c r="P226" t="str">
        <x:v>PLUGIN:hoa-tieu-mien-bac-administrative-v1 | user_approved_visual_reference</x:v>
      </x:c>
      <x:c r="Q226" t="str">
        <x:v>CHECK_ONLY</x:v>
      </x:c>
      <x:c r="R226" t="str">
        <x:v>Kiểm tra từng thuộc tính có mặt; so sánh nguồn/role; không suy đoán từ kết quả render chưa có</x:v>
      </x:c>
      <x:c r="S226" t="str">
        <x:v>STRUCTURE_READ_EXISTING_WORKBOOK</x:v>
      </x:c>
      <x:c r="T226"/>
      <x:c r="U226" t="str">
        <x:v>Paragraph/Run theo kiểu khối KET; preserve list numbering/table/drawing nếu có</x:v>
      </x:c>
    </x:row>
    <x:row r="227">
      <x:c r="A227" t="n">
        <x:v>226</x:v>
      </x:c>
      <x:c r="B227" t="str">
        <x:v>ND30.N.KET.DOAN_KET.CACH_SAU</x:v>
      </x:c>
      <x:c r="C227" t="str">
        <x:v>ND30.N.KET.DOAN_KET</x:v>
      </x:c>
      <x:c r="D227" t="str">
        <x:v>N</x:v>
      </x:c>
      <x:c r="E227" t="str">
        <x:v>Đoạn kết nếu có</x:v>
      </x:c>
      <x:c r="F227" t="str">
        <x:v>CACH_SAU</x:v>
      </x:c>
      <x:c r="G227" t="n">
        <x:v>6</x:v>
      </x:c>
      <x:c r="H227"/>
      <x:c r="I227" t="str">
        <x:v>UNVERIFIED_ATTRIBUTE</x:v>
      </x:c>
      <x:c r="J227" t="str">
        <x:v>PROFILE_PRESET_UNAPPROVED</x:v>
      </x:c>
      <x:c r="K227" t="str">
        <x:v>Chỉ đoạn nội dung thực; loại trừ bảng, chú thích, chữ ký và các thành phần phần đầu</x:v>
      </x:c>
      <x:c r="L227" t="str">
        <x:v>Bảo toàn cấu trúc/nội dung; nếu khác loại văn bản, ưu tiên đúng mẫu của loại đó; không sửa khi thiếu căn cứ.</x:v>
      </x:c>
      <x:c r="M227" t="str">
        <x:v>pt</x:v>
      </x:c>
      <x:c r="N227" t="str">
        <x:v>NĐ30, Phụ lục I, Phần I, II.6; V.6</x:v>
      </x:c>
      <x:c r="O227" t="str">
        <x:v>https://congbao.chinhphu.vn/van-ban/nghi-dinh-so-30-2020-nd-cp-30858/30246.htm</x:v>
      </x:c>
      <x:c r="P227" t="str">
        <x:v>PLUGIN:hoa-tieu-mien-bac-administrative-v1 | user_approved_visual_reference</x:v>
      </x:c>
      <x:c r="Q227" t="str">
        <x:v>CHECK_ONLY</x:v>
      </x:c>
      <x:c r="R227" t="str">
        <x:v>Kiểm tra từng thuộc tính có mặt; so sánh nguồn/role; không suy đoán từ kết quả render chưa có</x:v>
      </x:c>
      <x:c r="S227" t="str">
        <x:v>STRUCTURE_READ_EXISTING_WORKBOOK</x:v>
      </x:c>
      <x:c r="T227"/>
      <x:c r="U227" t="str">
        <x:v>Paragraph/Run theo kiểu khối KET; preserve list numbering/table/drawing nếu có</x:v>
      </x:c>
    </x:row>
    <x:row r="228">
      <x:c r="A228" t="n">
        <x:v>227</x:v>
      </x:c>
      <x:c r="B228" t="str">
        <x:v>ND30.N.KET.DOAN_KET.THUT_DONG_DAU</x:v>
      </x:c>
      <x:c r="C228" t="str">
        <x:v>ND30.N.KET.DOAN_KET</x:v>
      </x:c>
      <x:c r="D228" t="str">
        <x:v>N</x:v>
      </x:c>
      <x:c r="E228" t="str">
        <x:v>Đoạn kết nếu có</x:v>
      </x:c>
      <x:c r="F228" t="str">
        <x:v>THUT_DONG_DAU</x:v>
      </x:c>
      <x:c r="G228" t="n">
        <x:v>12.7</x:v>
      </x:c>
      <x:c r="H228"/>
      <x:c r="I228" t="str">
        <x:v>UNVERIFIED_ATTRIBUTE</x:v>
      </x:c>
      <x:c r="J228" t="str">
        <x:v>PROFILE_PRESET_UNAPPROVED</x:v>
      </x:c>
      <x:c r="K228" t="str">
        <x:v>Chỉ đoạn nội dung thực; loại trừ bảng, chú thích, chữ ký và các thành phần phần đầu</x:v>
      </x:c>
      <x:c r="L228" t="str">
        <x:v>Bảo toàn cấu trúc/nội dung; nếu khác loại văn bản, ưu tiên đúng mẫu của loại đó; không sửa khi thiếu căn cứ.</x:v>
      </x:c>
      <x:c r="M228" t="str">
        <x:v>mm</x:v>
      </x:c>
      <x:c r="N228" t="str">
        <x:v>NĐ30, Phụ lục I, Phần I, II.6; V.6</x:v>
      </x:c>
      <x:c r="O228" t="str">
        <x:v>https://congbao.chinhphu.vn/van-ban/nghi-dinh-so-30-2020-nd-cp-30858/30246.htm</x:v>
      </x:c>
      <x:c r="P228" t="str">
        <x:v>PLUGIN:hoa-tieu-mien-bac-administrative-v1 | user_approved_visual_reference</x:v>
      </x:c>
      <x:c r="Q228" t="str">
        <x:v>CHECK_ONLY</x:v>
      </x:c>
      <x:c r="R228" t="str">
        <x:v>Kiểm tra từng thuộc tính có mặt; so sánh nguồn/role; không suy đoán từ kết quả render chưa có</x:v>
      </x:c>
      <x:c r="S228" t="str">
        <x:v>STRUCTURE_READ_EXISTING_WORKBOOK</x:v>
      </x:c>
      <x:c r="T228"/>
      <x:c r="U228" t="str">
        <x:v>Paragraph/Run theo kiểu khối KET; preserve list numbering/table/drawing nếu có</x:v>
      </x:c>
    </x:row>
    <x:row r="229">
      <x:c r="A229" t="n">
        <x:v>228</x:v>
      </x:c>
      <x:c r="B229" t="str">
        <x:v>ND30.N.KET.DOAN_KET.DAU_CAU</x:v>
      </x:c>
      <x:c r="C229" t="str">
        <x:v>ND30.N.KET.DOAN_KET</x:v>
      </x:c>
      <x:c r="D229" t="str">
        <x:v>N</x:v>
      </x:c>
      <x:c r="E229" t="str">
        <x:v>Đoạn kết nếu có</x:v>
      </x:c>
      <x:c r="F229" t="str">
        <x:v>DAU_CAU</x:v>
      </x:c>
      <x:c r="G229"/>
      <x:c r="H229"/>
      <x:c r="I229" t="str">
        <x:v>UNVERIFIED_ATTRIBUTE</x:v>
      </x:c>
      <x:c r="J229" t="str">
        <x:v>BLOCKED_NO_ATTRIBUTE_VALUE</x:v>
      </x:c>
      <x:c r="K229" t="str">
        <x:v>Chỉ đoạn nội dung thực; loại trừ bảng, chú thích, chữ ký và các thành phần phần đầu</x:v>
      </x:c>
      <x:c r="L229" t="str">
        <x:v>Bảo toàn cấu trúc/nội dung; nếu khác loại văn bản, ưu tiên đúng mẫu của loại đó; không sửa khi thiếu căn cứ.</x:v>
      </x:c>
      <x:c r="M229"/>
      <x:c r="N229" t="str">
        <x:v>NĐ30, Phụ lục I, Phần I, II.6; V.6</x:v>
      </x:c>
      <x:c r="O229" t="str">
        <x:v>https://congbao.chinhphu.vn/van-ban/nghi-dinh-so-30-2020-nd-cp-30858/30246.htm</x:v>
      </x:c>
      <x:c r="P229" t="str">
        <x:v>PLUGIN:hoa-tieu-mien-bac-administrative-v1 | user_approved_visual_reference</x:v>
      </x:c>
      <x:c r="Q229" t="str">
        <x:v>CHECK_ONLY</x:v>
      </x:c>
      <x:c r="R229" t="str">
        <x:v>Kiểm tra từng thuộc tính có mặt; so sánh nguồn/role; không suy đoán từ kết quả render chưa có</x:v>
      </x:c>
      <x:c r="S229" t="str">
        <x:v>RULE_INFERENCE_NOT_MEASURED</x:v>
      </x:c>
      <x:c r="T229" t="str">
        <x:v>Xác minh căn cứ theo loại văn bản / tài liệu phát hành hoặc phê duyệt</x:v>
      </x:c>
      <x:c r="U229" t="str">
        <x:v>Paragraph/Run theo kiểu khối KET; preserve list numbering/table/drawing nếu có</x:v>
      </x:c>
    </x:row>
  </x:sheetData>
  <x:pageMargins left="0.7" right="0.7" top="0.75" bottom="0.75" header="0.3" footer="0.3"/>
</x:worksheet>
</file>

<file path=xl/worksheets/sheet2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 hidden="0" customWidth="1"/>
    <x:col min="2" max="2" width="37" hidden="0" customWidth="1"/>
    <x:col min="3" max="3" width="32" hidden="0" customWidth="1"/>
    <x:col min="4" max="4" width="12" hidden="0" customWidth="1"/>
    <x:col min="5" max="5" width="26" hidden="0" customWidth="1"/>
    <x:col min="6" max="6" width="17" hidden="0" customWidth="1"/>
    <x:col min="7" max="7" width="25" hidden="0" customWidth="1"/>
    <x:col min="8" max="8" width="20" hidden="0" customWidth="1"/>
    <x:col min="9" max="9" width="22" hidden="0" customWidth="1"/>
    <x:col min="10" max="10" width="25" hidden="0" customWidth="1"/>
    <x:col min="11" max="11" width="38" hidden="0" customWidth="1"/>
    <x:col min="12" max="12" width="44" hidden="0" customWidth="1"/>
    <x:col min="13" max="13" width="10" hidden="0" customWidth="1"/>
    <x:col min="14" max="14" width="27" hidden="0" customWidth="1"/>
    <x:col min="15" max="15" width="25" hidden="0" customWidth="1"/>
    <x:col min="16" max="16" width="28" hidden="0" customWidth="1"/>
    <x:col min="17" max="17" width="14" hidden="0" customWidth="1"/>
    <x:col min="18" max="18" width="38" hidden="0" customWidth="1"/>
    <x:col min="19" max="19" width="22" hidden="0" customWidth="1"/>
    <x:col min="20" max="20" width="30" hidden="0" customWidth="1"/>
    <x:col min="21" max="21" width="24" hidden="0" customWidth="1"/>
  </x:cols>
  <x:sheetData>
    <x:row r="1" ht="28" customHeight="1">
      <x:c r="A1" s="305" t="str">
        <x:v>STT</x:v>
      </x:c>
      <x:c r="B1" s="305" t="str">
        <x:v>Mã rule con</x:v>
      </x:c>
      <x:c r="C1" s="305" t="str">
        <x:v>Mã cha gốc</x:v>
      </x:c>
      <x:c r="D1" s="305" t="str">
        <x:v>Nhóm</x:v>
      </x:c>
      <x:c r="E1" s="305" t="str">
        <x:v>Tên thành phần</x:v>
      </x:c>
      <x:c r="F1" s="305" t="str">
        <x:v>Thuộc tính</x:v>
      </x:c>
      <x:c r="G1" s="305" t="str">
        <x:v>Giá trị profile đang có</x:v>
      </x:c>
      <x:c r="H1" s="305" t="str">
        <x:v>Giá trị pháp lý kiểm chứng</x:v>
      </x:c>
      <x:c r="I1" s="305" t="str">
        <x:v>Trạng thái pháp lý thuộc tính</x:v>
      </x:c>
      <x:c r="J1" s="305" t="str">
        <x:v>Trạng thái quyết định profile</x:v>
      </x:c>
      <x:c r="K1" s="305" t="str">
        <x:v>Điều kiện áp dụng</x:v>
      </x:c>
      <x:c r="L1" s="305" t="str">
        <x:v>Ngoại lệ/phân nhánh</x:v>
      </x:c>
      <x:c r="M1" s="305" t="str">
        <x:v>Đơn vị</x:v>
      </x:c>
      <x:c r="N1" s="305" t="str">
        <x:v>Nguồn/định vị</x:v>
      </x:c>
      <x:c r="O1" s="305" t="str">
        <x:v>URL nguồn</x:v>
      </x:c>
      <x:c r="P1" s="305" t="str">
        <x:v>Nguồn profile/ghi chú</x:v>
      </x:c>
      <x:c r="Q1" s="305" t="str">
        <x:v>Quyền xử lý</x:v>
      </x:c>
      <x:c r="R1" s="305" t="str">
        <x:v>Cách kiểm tra offline</x:v>
      </x:c>
      <x:c r="S1" s="305" t="str">
        <x:v>Phân loại bằng chứng TQA-NR</x:v>
      </x:c>
      <x:c r="T1" s="305" t="str">
        <x:v>Giá trị cần bổ sung</x:v>
      </x:c>
      <x:c r="U1" s="305" t="str">
        <x:v>Đối tượng</x:v>
      </x:c>
    </x:row>
    <x:row r="2">
      <x:c r="A2" t="n">
        <x:v>1</x:v>
      </x:c>
      <x:c r="B2" t="str">
        <x:v>ND30.C.NN.NHAN_NOI_NHAN.HIEN_DIEN</x:v>
      </x:c>
      <x:c r="C2" t="str">
        <x:v>ND30.C.NN.NHAN_NOI_NHAN</x:v>
      </x:c>
      <x:c r="D2" t="str">
        <x:v>C</x:v>
      </x:c>
      <x:c r="E2" t="str">
        <x:v>Nhãn Nơi nhận:</x:v>
      </x:c>
      <x:c r="F2" t="str">
        <x:v>HIEN_DIEN</x:v>
      </x:c>
      <x:c r="G2" t="str">
        <x:v>Cần có nơi nhận theo loại/đối tượng</x:v>
      </x:c>
      <x:c r="H2"/>
      <x:c r="I2" t="str">
        <x:v>UNVERIFIED_ATTRIBUTE</x:v>
      </x:c>
      <x:c r="J2" t="str">
        <x:v>SOURCE_DESCRIPTION_NOT_APPROVAL</x:v>
      </x:c>
      <x:c r="K2" t="str">
        <x:v>Chỉ khi có danh sách nơi nhận cuối văn bản; giữ nguyên người nhận, nơi lưu, dòng Như trên</x:v>
      </x:c>
      <x:c r="L2" t="str">
        <x:v>Không tạo nhân thân/chức vụ/dấu/chữ ký; bảo toàn nơi nhận và thẩm quyền.</x:v>
      </x:c>
      <x:c r="M2"/>
      <x:c r="N2" t="str">
        <x:v>NĐ30, Phụ lục I, Phần I, II.9; V.8</x:v>
      </x:c>
      <x:c r="O2" t="str">
        <x:v>https://congbao.chinhphu.vn/van-ban/nghi-dinh-so-30-2020-nd-cp-30858/30246.htm</x:v>
      </x:c>
      <x:c r="P2" t="str">
        <x:v>PLUGIN:hoa-tieu-mien-bac-administrative-v1 | user_approved_visual_reference</x:v>
      </x:c>
      <x:c r="Q2" t="str">
        <x:v>CHECK_ONLY</x:v>
      </x:c>
      <x:c r="R2" t="str">
        <x:v>Kiểm tra từng thuộc tính có mặt; so sánh nguồn/role; không suy đoán từ kết quả render chưa có</x:v>
      </x:c>
      <x:c r="S2" t="str">
        <x:v>STRUCTURE_READ_EXISTING_WORKBOOK</x:v>
      </x:c>
      <x:c r="T2"/>
      <x:c r="U2" t="str">
        <x:v>Text run trên dòng riêng</x:v>
      </x:c>
    </x:row>
    <x:row r="3">
      <x:c r="A3" t="n">
        <x:v>2</x:v>
      </x:c>
      <x:c r="B3" t="str">
        <x:v>ND30.C.NN.NHAN_NOI_NHAN.NOI_DUNG</x:v>
      </x:c>
      <x:c r="C3" t="str">
        <x:v>ND30.C.NN.NHAN_NOI_NHAN</x:v>
      </x:c>
      <x:c r="D3" t="str">
        <x:v>C</x:v>
      </x:c>
      <x:c r="E3" t="str">
        <x:v>Nhãn Nơi nhận:</x:v>
      </x:c>
      <x:c r="F3" t="str">
        <x:v>NOI_DUNG</x:v>
      </x:c>
      <x:c r="G3" t="str">
        <x:v>Nhãn Nơi nhận:</x:v>
      </x:c>
      <x:c r="H3"/>
      <x:c r="I3" t="str">
        <x:v>UNVERIFIED_ATTRIBUTE</x:v>
      </x:c>
      <x:c r="J3" t="str">
        <x:v>SOURCE_DESCRIPTION_NOT_APPROVAL</x:v>
      </x:c>
      <x:c r="K3" t="str">
        <x:v>Chỉ khi có danh sách nơi nhận cuối văn bản; giữ nguyên người nhận, nơi lưu, dòng Như trên</x:v>
      </x:c>
      <x:c r="L3" t="str">
        <x:v>Không tạo nhân thân/chức vụ/dấu/chữ ký; bảo toàn nơi nhận và thẩm quyền.</x:v>
      </x:c>
      <x:c r="M3"/>
      <x:c r="N3" t="str">
        <x:v>NĐ30, Phụ lục I, Phần I, II.9; V.8</x:v>
      </x:c>
      <x:c r="O3" t="str">
        <x:v>https://congbao.chinhphu.vn/van-ban/nghi-dinh-so-30-2020-nd-cp-30858/30246.htm</x:v>
      </x:c>
      <x:c r="P3" t="str">
        <x:v>PLUGIN:hoa-tieu-mien-bac-administrative-v1 | user_approved_visual_reference</x:v>
      </x:c>
      <x:c r="Q3" t="str">
        <x:v>CHECK_ONLY</x:v>
      </x:c>
      <x:c r="R3" t="str">
        <x:v>Kiểm tra từng thuộc tính có mặt; so sánh nguồn/role; không suy đoán từ kết quả render chưa có</x:v>
      </x:c>
      <x:c r="S3" t="str">
        <x:v>STRUCTURE_READ_EXISTING_WORKBOOK</x:v>
      </x:c>
      <x:c r="T3"/>
      <x:c r="U3" t="str">
        <x:v>Text run trên dòng riêng</x:v>
      </x:c>
    </x:row>
    <x:row r="4">
      <x:c r="A4" t="n">
        <x:v>3</x:v>
      </x:c>
      <x:c r="B4" t="str">
        <x:v>ND30.C.NN.NHAN_NOI_NHAN.PHONG_CHU</x:v>
      </x:c>
      <x:c r="C4" t="str">
        <x:v>ND30.C.NN.NHAN_NOI_NHAN</x:v>
      </x:c>
      <x:c r="D4" t="str">
        <x:v>C</x:v>
      </x:c>
      <x:c r="E4" t="str">
        <x:v>Nhãn Nơi nhận:</x:v>
      </x:c>
      <x:c r="F4" t="str">
        <x:v>PHONG_CHU</x:v>
      </x:c>
      <x:c r="G4" t="str">
        <x:v>Times New Roman</x:v>
      </x:c>
      <x:c r="H4"/>
      <x:c r="I4" t="str">
        <x:v>UNVERIFIED_ATTRIBUTE</x:v>
      </x:c>
      <x:c r="J4" t="str">
        <x:v>PROFILE_PRESET_UNAPPROVED</x:v>
      </x:c>
      <x:c r="K4" t="str">
        <x:v>Chỉ khi có danh sách nơi nhận cuối văn bản; giữ nguyên người nhận, nơi lưu, dòng Như trên</x:v>
      </x:c>
      <x:c r="L4" t="str">
        <x:v>Không tạo nhân thân/chức vụ/dấu/chữ ký; bảo toàn nơi nhận và thẩm quyền.</x:v>
      </x:c>
      <x:c r="M4"/>
      <x:c r="N4" t="str">
        <x:v>NĐ30, Phụ lục I, Phần I, II.9; V.8</x:v>
      </x:c>
      <x:c r="O4" t="str">
        <x:v>https://congbao.chinhphu.vn/van-ban/nghi-dinh-so-30-2020-nd-cp-30858/30246.htm</x:v>
      </x:c>
      <x:c r="P4" t="str">
        <x:v>PLUGIN:hoa-tieu-mien-bac-administrative-v1 | user_approved_visual_reference</x:v>
      </x:c>
      <x:c r="Q4" t="str">
        <x:v>CHECK_ONLY</x:v>
      </x:c>
      <x:c r="R4" t="str">
        <x:v>Kiểm tra từng thuộc tính có mặt; so sánh nguồn/role; không suy đoán từ kết quả render chưa có</x:v>
      </x:c>
      <x:c r="S4" t="str">
        <x:v>STRUCTURE_READ_EXISTING_WORKBOOK</x:v>
      </x:c>
      <x:c r="T4"/>
      <x:c r="U4" t="str">
        <x:v>Text run trên dòng riêng</x:v>
      </x:c>
    </x:row>
    <x:row r="5">
      <x:c r="A5" t="n">
        <x:v>4</x:v>
      </x:c>
      <x:c r="B5" t="str">
        <x:v>ND30.C.NN.NHAN_NOI_NHAN.CO_CHU</x:v>
      </x:c>
      <x:c r="C5" t="str">
        <x:v>ND30.C.NN.NHAN_NOI_NHAN</x:v>
      </x:c>
      <x:c r="D5" t="str">
        <x:v>C</x:v>
      </x:c>
      <x:c r="E5" t="str">
        <x:v>Nhãn Nơi nhận:</x:v>
      </x:c>
      <x:c r="F5" t="str">
        <x:v>CO_CHU</x:v>
      </x:c>
      <x:c r="G5" t="n">
        <x:v>12</x:v>
      </x:c>
      <x:c r="H5"/>
      <x:c r="I5" t="str">
        <x:v>UNVERIFIED_ATTRIBUTE</x:v>
      </x:c>
      <x:c r="J5" t="str">
        <x:v>PROFILE_PRESET_UNAPPROVED</x:v>
      </x:c>
      <x:c r="K5" t="str">
        <x:v>Chỉ khi có danh sách nơi nhận cuối văn bản; giữ nguyên người nhận, nơi lưu, dòng Như trên</x:v>
      </x:c>
      <x:c r="L5" t="str">
        <x:v>Không tạo nhân thân/chức vụ/dấu/chữ ký; bảo toàn nơi nhận và thẩm quyền.</x:v>
      </x:c>
      <x:c r="M5" t="str">
        <x:v>pt</x:v>
      </x:c>
      <x:c r="N5" t="str">
        <x:v>NĐ30, Phụ lục I, Phần I, II.9; V.8</x:v>
      </x:c>
      <x:c r="O5" t="str">
        <x:v>https://congbao.chinhphu.vn/van-ban/nghi-dinh-so-30-2020-nd-cp-30858/30246.htm</x:v>
      </x:c>
      <x:c r="P5" t="str">
        <x:v>PLUGIN:hoa-tieu-mien-bac-administrative-v1 | user_approved_visual_reference</x:v>
      </x:c>
      <x:c r="Q5" t="str">
        <x:v>CHECK_ONLY</x:v>
      </x:c>
      <x:c r="R5" t="str">
        <x:v>Kiểm tra từng thuộc tính có mặt; so sánh nguồn/role; không suy đoán từ kết quả render chưa có</x:v>
      </x:c>
      <x:c r="S5" t="str">
        <x:v>STRUCTURE_READ_EXISTING_WORKBOOK</x:v>
      </x:c>
      <x:c r="T5"/>
      <x:c r="U5" t="str">
        <x:v>Text run trên dòng riêng</x:v>
      </x:c>
    </x:row>
    <x:row r="6">
      <x:c r="A6" t="n">
        <x:v>5</x:v>
      </x:c>
      <x:c r="B6" t="str">
        <x:v>ND30.C.NN.NHAN_NOI_NHAN.DAM</x:v>
      </x:c>
      <x:c r="C6" t="str">
        <x:v>ND30.C.NN.NHAN_NOI_NHAN</x:v>
      </x:c>
      <x:c r="D6" t="str">
        <x:v>C</x:v>
      </x:c>
      <x:c r="E6" t="str">
        <x:v>Nhãn Nơi nhận:</x:v>
      </x:c>
      <x:c r="F6" t="str">
        <x:v>DAM</x:v>
      </x:c>
      <x:c r="G6" t="str">
        <x:v>CÓ</x:v>
      </x:c>
      <x:c r="H6"/>
      <x:c r="I6" t="str">
        <x:v>UNVERIFIED_ATTRIBUTE</x:v>
      </x:c>
      <x:c r="J6" t="str">
        <x:v>PROFILE_PRESET_UNAPPROVED</x:v>
      </x:c>
      <x:c r="K6" t="str">
        <x:v>Chỉ khi có danh sách nơi nhận cuối văn bản; giữ nguyên người nhận, nơi lưu, dòng Như trên</x:v>
      </x:c>
      <x:c r="L6" t="str">
        <x:v>Không tạo nhân thân/chức vụ/dấu/chữ ký; bảo toàn nơi nhận và thẩm quyền.</x:v>
      </x:c>
      <x:c r="M6"/>
      <x:c r="N6" t="str">
        <x:v>NĐ30, Phụ lục I, Phần I, II.9; V.8</x:v>
      </x:c>
      <x:c r="O6" t="str">
        <x:v>https://congbao.chinhphu.vn/van-ban/nghi-dinh-so-30-2020-nd-cp-30858/30246.htm</x:v>
      </x:c>
      <x:c r="P6" t="str">
        <x:v>PLUGIN:hoa-tieu-mien-bac-administrative-v1 | user_approved_visual_reference</x:v>
      </x:c>
      <x:c r="Q6" t="str">
        <x:v>CHECK_ONLY</x:v>
      </x:c>
      <x:c r="R6" t="str">
        <x:v>Kiểm tra từng thuộc tính có mặt; so sánh nguồn/role; không suy đoán từ kết quả render chưa có</x:v>
      </x:c>
      <x:c r="S6" t="str">
        <x:v>STRUCTURE_READ_EXISTING_WORKBOOK</x:v>
      </x:c>
      <x:c r="T6"/>
      <x:c r="U6" t="str">
        <x:v>Text run trên dòng riêng</x:v>
      </x:c>
    </x:row>
    <x:row r="7">
      <x:c r="A7" t="n">
        <x:v>6</x:v>
      </x:c>
      <x:c r="B7" t="str">
        <x:v>ND30.C.NN.NHAN_NOI_NHAN.NGHIENG</x:v>
      </x:c>
      <x:c r="C7" t="str">
        <x:v>ND30.C.NN.NHAN_NOI_NHAN</x:v>
      </x:c>
      <x:c r="D7" t="str">
        <x:v>C</x:v>
      </x:c>
      <x:c r="E7" t="str">
        <x:v>Nhãn Nơi nhận:</x:v>
      </x:c>
      <x:c r="F7" t="str">
        <x:v>NGHIENG</x:v>
      </x:c>
      <x:c r="G7" t="str">
        <x:v>CÓ</x:v>
      </x:c>
      <x:c r="H7"/>
      <x:c r="I7" t="str">
        <x:v>UNVERIFIED_ATTRIBUTE</x:v>
      </x:c>
      <x:c r="J7" t="str">
        <x:v>PROFILE_PRESET_UNAPPROVED</x:v>
      </x:c>
      <x:c r="K7" t="str">
        <x:v>Chỉ khi có danh sách nơi nhận cuối văn bản; giữ nguyên người nhận, nơi lưu, dòng Như trên</x:v>
      </x:c>
      <x:c r="L7" t="str">
        <x:v>Không tạo nhân thân/chức vụ/dấu/chữ ký; bảo toàn nơi nhận và thẩm quyền.</x:v>
      </x:c>
      <x:c r="M7"/>
      <x:c r="N7" t="str">
        <x:v>NĐ30, Phụ lục I, Phần I, II.9; V.8</x:v>
      </x:c>
      <x:c r="O7" t="str">
        <x:v>https://congbao.chinhphu.vn/van-ban/nghi-dinh-so-30-2020-nd-cp-30858/30246.htm</x:v>
      </x:c>
      <x:c r="P7" t="str">
        <x:v>PLUGIN:hoa-tieu-mien-bac-administrative-v1 | user_approved_visual_reference</x:v>
      </x:c>
      <x:c r="Q7" t="str">
        <x:v>CHECK_ONLY</x:v>
      </x:c>
      <x:c r="R7" t="str">
        <x:v>Kiểm tra từng thuộc tính có mặt; so sánh nguồn/role; không suy đoán từ kết quả render chưa có</x:v>
      </x:c>
      <x:c r="S7" t="str">
        <x:v>STRUCTURE_READ_EXISTING_WORKBOOK</x:v>
      </x:c>
      <x:c r="T7"/>
      <x:c r="U7" t="str">
        <x:v>Text run trên dòng riêng</x:v>
      </x:c>
    </x:row>
    <x:row r="8">
      <x:c r="A8" t="n">
        <x:v>7</x:v>
      </x:c>
      <x:c r="B8" t="str">
        <x:v>ND30.C.NN.NHAN_NOI_NHAN.KIEU_CHU</x:v>
      </x:c>
      <x:c r="C8" t="str">
        <x:v>ND30.C.NN.NHAN_NOI_NHAN</x:v>
      </x:c>
      <x:c r="D8" t="str">
        <x:v>C</x:v>
      </x:c>
      <x:c r="E8" t="str">
        <x:v>Nhãn Nơi nhận:</x:v>
      </x:c>
      <x:c r="F8" t="str">
        <x:v>KIEU_CHU</x:v>
      </x:c>
      <x:c r="G8"/>
      <x:c r="H8"/>
      <x:c r="I8" t="str">
        <x:v>UNVERIFIED_ATTRIBUTE</x:v>
      </x:c>
      <x:c r="J8" t="str">
        <x:v>BLOCKED_NO_ATTRIBUTE_VALUE</x:v>
      </x:c>
      <x:c r="K8" t="str">
        <x:v>Chỉ khi có danh sách nơi nhận cuối văn bản; giữ nguyên người nhận, nơi lưu, dòng Như trên</x:v>
      </x:c>
      <x:c r="L8" t="str">
        <x:v>Không tạo nhân thân/chức vụ/dấu/chữ ký; bảo toàn nơi nhận và thẩm quyền.</x:v>
      </x:c>
      <x:c r="M8"/>
      <x:c r="N8" t="str">
        <x:v>NĐ30, Phụ lục I, Phần I, II.9; V.8</x:v>
      </x:c>
      <x:c r="O8" t="str">
        <x:v>https://congbao.chinhphu.vn/van-ban/nghi-dinh-so-30-2020-nd-cp-30858/30246.htm</x:v>
      </x:c>
      <x:c r="P8" t="str">
        <x:v>PLUGIN:hoa-tieu-mien-bac-administrative-v1 | user_approved_visual_reference</x:v>
      </x:c>
      <x:c r="Q8" t="str">
        <x:v>CHECK_ONLY</x:v>
      </x:c>
      <x:c r="R8" t="str">
        <x:v>Kiểm tra từng thuộc tính có mặt; so sánh nguồn/role; không suy đoán từ kết quả render chưa có</x:v>
      </x:c>
      <x:c r="S8" t="str">
        <x:v>RULE_INFERENCE_NOT_MEASURED</x:v>
      </x:c>
      <x:c r="T8" t="str">
        <x:v>Xác minh căn cứ theo loại văn bản / tài liệu phát hành hoặc phê duyệt</x:v>
      </x:c>
      <x:c r="U8" t="str">
        <x:v>Text run trên dòng riêng</x:v>
      </x:c>
    </x:row>
    <x:row r="9">
      <x:c r="A9" t="n">
        <x:v>8</x:v>
      </x:c>
      <x:c r="B9" t="str">
        <x:v>ND30.C.NN.NHAN_NOI_NHAN.CAN_NGANG</x:v>
      </x:c>
      <x:c r="C9" t="str">
        <x:v>ND30.C.NN.NHAN_NOI_NHAN</x:v>
      </x:c>
      <x:c r="D9" t="str">
        <x:v>C</x:v>
      </x:c>
      <x:c r="E9" t="str">
        <x:v>Nhãn Nơi nhận:</x:v>
      </x:c>
      <x:c r="F9" t="str">
        <x:v>CAN_NGANG</x:v>
      </x:c>
      <x:c r="G9" t="str">
        <x:v>LEFT</x:v>
      </x:c>
      <x:c r="H9"/>
      <x:c r="I9" t="str">
        <x:v>UNVERIFIED_ATTRIBUTE</x:v>
      </x:c>
      <x:c r="J9" t="str">
        <x:v>PROFILE_PRESET_UNAPPROVED</x:v>
      </x:c>
      <x:c r="K9" t="str">
        <x:v>Chỉ khi có danh sách nơi nhận cuối văn bản; giữ nguyên người nhận, nơi lưu, dòng Như trên</x:v>
      </x:c>
      <x:c r="L9" t="str">
        <x:v>Không tạo nhân thân/chức vụ/dấu/chữ ký; bảo toàn nơi nhận và thẩm quyền.</x:v>
      </x:c>
      <x:c r="M9"/>
      <x:c r="N9" t="str">
        <x:v>NĐ30, Phụ lục I, Phần I, II.9; V.8</x:v>
      </x:c>
      <x:c r="O9" t="str">
        <x:v>https://congbao.chinhphu.vn/van-ban/nghi-dinh-so-30-2020-nd-cp-30858/30246.htm</x:v>
      </x:c>
      <x:c r="P9" t="str">
        <x:v>PLUGIN:hoa-tieu-mien-bac-administrative-v1 | user_approved_visual_reference</x:v>
      </x:c>
      <x:c r="Q9" t="str">
        <x:v>CHECK_ONLY</x:v>
      </x:c>
      <x:c r="R9" t="str">
        <x:v>Kiểm tra từng thuộc tính có mặt; so sánh nguồn/role; không suy đoán từ kết quả render chưa có</x:v>
      </x:c>
      <x:c r="S9" t="str">
        <x:v>STRUCTURE_READ_EXISTING_WORKBOOK</x:v>
      </x:c>
      <x:c r="T9"/>
      <x:c r="U9" t="str">
        <x:v>Text run trên dòng riêng</x:v>
      </x:c>
    </x:row>
    <x:row r="10">
      <x:c r="A10" t="n">
        <x:v>9</x:v>
      </x:c>
      <x:c r="B10" t="str">
        <x:v>ND30.C.NN.NHAN_NOI_NHAN.GIAN_DONG</x:v>
      </x:c>
      <x:c r="C10" t="str">
        <x:v>ND30.C.NN.NHAN_NOI_NHAN</x:v>
      </x:c>
      <x:c r="D10" t="str">
        <x:v>C</x:v>
      </x:c>
      <x:c r="E10" t="str">
        <x:v>Nhãn Nơi nhận:</x:v>
      </x:c>
      <x:c r="F10" t="str">
        <x:v>GIAN_DONG</x:v>
      </x:c>
      <x:c r="G10" t="n">
        <x:v>1</x:v>
      </x:c>
      <x:c r="H10"/>
      <x:c r="I10" t="str">
        <x:v>UNVERIFIED_ATTRIBUTE</x:v>
      </x:c>
      <x:c r="J10" t="str">
        <x:v>PROFILE_PRESET_UNAPPROVED</x:v>
      </x:c>
      <x:c r="K10" t="str">
        <x:v>Chỉ khi có danh sách nơi nhận cuối văn bản; giữ nguyên người nhận, nơi lưu, dòng Như trên</x:v>
      </x:c>
      <x:c r="L10" t="str">
        <x:v>Không tạo nhân thân/chức vụ/dấu/chữ ký; bảo toàn nơi nhận và thẩm quyền.</x:v>
      </x:c>
      <x:c r="M10" t="str">
        <x:v>pt</x:v>
      </x:c>
      <x:c r="N10" t="str">
        <x:v>NĐ30, Phụ lục I, Phần I, II.9; V.8</x:v>
      </x:c>
      <x:c r="O10" t="str">
        <x:v>https://congbao.chinhphu.vn/van-ban/nghi-dinh-so-30-2020-nd-cp-30858/30246.htm</x:v>
      </x:c>
      <x:c r="P10" t="str">
        <x:v>PLUGIN:hoa-tieu-mien-bac-administrative-v1 | user_approved_visual_reference</x:v>
      </x:c>
      <x:c r="Q10" t="str">
        <x:v>CHECK_ONLY</x:v>
      </x:c>
      <x:c r="R10" t="str">
        <x:v>Kiểm tra từng thuộc tính có mặt; so sánh nguồn/role; không suy đoán từ kết quả render chưa có</x:v>
      </x:c>
      <x:c r="S10" t="str">
        <x:v>STRUCTURE_READ_EXISTING_WORKBOOK</x:v>
      </x:c>
      <x:c r="T10"/>
      <x:c r="U10" t="str">
        <x:v>Text run trên dòng riêng</x:v>
      </x:c>
    </x:row>
    <x:row r="11">
      <x:c r="A11" t="n">
        <x:v>10</x:v>
      </x:c>
      <x:c r="B11" t="str">
        <x:v>ND30.C.NN.NHAN_NOI_NHAN.CACH_TRUOC</x:v>
      </x:c>
      <x:c r="C11" t="str">
        <x:v>ND30.C.NN.NHAN_NOI_NHAN</x:v>
      </x:c>
      <x:c r="D11" t="str">
        <x:v>C</x:v>
      </x:c>
      <x:c r="E11" t="str">
        <x:v>Nhãn Nơi nhận:</x:v>
      </x:c>
      <x:c r="F11" t="str">
        <x:v>CACH_TRUOC</x:v>
      </x:c>
      <x:c r="G11" t="n">
        <x:v>0</x:v>
      </x:c>
      <x:c r="H11"/>
      <x:c r="I11" t="str">
        <x:v>UNVERIFIED_ATTRIBUTE</x:v>
      </x:c>
      <x:c r="J11" t="str">
        <x:v>PROFILE_PRESET_UNAPPROVED</x:v>
      </x:c>
      <x:c r="K11" t="str">
        <x:v>Chỉ khi có danh sách nơi nhận cuối văn bản; giữ nguyên người nhận, nơi lưu, dòng Như trên</x:v>
      </x:c>
      <x:c r="L11" t="str">
        <x:v>Không tạo nhân thân/chức vụ/dấu/chữ ký; bảo toàn nơi nhận và thẩm quyền.</x:v>
      </x:c>
      <x:c r="M11" t="str">
        <x:v>pt</x:v>
      </x:c>
      <x:c r="N11" t="str">
        <x:v>NĐ30, Phụ lục I, Phần I, II.9; V.8</x:v>
      </x:c>
      <x:c r="O11" t="str">
        <x:v>https://congbao.chinhphu.vn/van-ban/nghi-dinh-so-30-2020-nd-cp-30858/30246.htm</x:v>
      </x:c>
      <x:c r="P11" t="str">
        <x:v>PLUGIN:hoa-tieu-mien-bac-administrative-v1 | user_approved_visual_reference</x:v>
      </x:c>
      <x:c r="Q11" t="str">
        <x:v>CHECK_ONLY</x:v>
      </x:c>
      <x:c r="R11" t="str">
        <x:v>Kiểm tra từng thuộc tính có mặt; so sánh nguồn/role; không suy đoán từ kết quả render chưa có</x:v>
      </x:c>
      <x:c r="S11" t="str">
        <x:v>STRUCTURE_READ_EXISTING_WORKBOOK</x:v>
      </x:c>
      <x:c r="T11"/>
      <x:c r="U11" t="str">
        <x:v>Text run trên dòng riêng</x:v>
      </x:c>
    </x:row>
    <x:row r="12">
      <x:c r="A12" t="n">
        <x:v>11</x:v>
      </x:c>
      <x:c r="B12" t="str">
        <x:v>ND30.C.NN.NHAN_NOI_NHAN.CACH_SAU</x:v>
      </x:c>
      <x:c r="C12" t="str">
        <x:v>ND30.C.NN.NHAN_NOI_NHAN</x:v>
      </x:c>
      <x:c r="D12" t="str">
        <x:v>C</x:v>
      </x:c>
      <x:c r="E12" t="str">
        <x:v>Nhãn Nơi nhận:</x:v>
      </x:c>
      <x:c r="F12" t="str">
        <x:v>CACH_SAU</x:v>
      </x:c>
      <x:c r="G12" t="n">
        <x:v>0</x:v>
      </x:c>
      <x:c r="H12"/>
      <x:c r="I12" t="str">
        <x:v>UNVERIFIED_ATTRIBUTE</x:v>
      </x:c>
      <x:c r="J12" t="str">
        <x:v>PROFILE_PRESET_UNAPPROVED</x:v>
      </x:c>
      <x:c r="K12" t="str">
        <x:v>Chỉ khi có danh sách nơi nhận cuối văn bản; giữ nguyên người nhận, nơi lưu, dòng Như trên</x:v>
      </x:c>
      <x:c r="L12" t="str">
        <x:v>Không tạo nhân thân/chức vụ/dấu/chữ ký; bảo toàn nơi nhận và thẩm quyền.</x:v>
      </x:c>
      <x:c r="M12" t="str">
        <x:v>pt</x:v>
      </x:c>
      <x:c r="N12" t="str">
        <x:v>NĐ30, Phụ lục I, Phần I, II.9; V.8</x:v>
      </x:c>
      <x:c r="O12" t="str">
        <x:v>https://congbao.chinhphu.vn/van-ban/nghi-dinh-so-30-2020-nd-cp-30858/30246.htm</x:v>
      </x:c>
      <x:c r="P12" t="str">
        <x:v>PLUGIN:hoa-tieu-mien-bac-administrative-v1 | user_approved_visual_reference</x:v>
      </x:c>
      <x:c r="Q12" t="str">
        <x:v>CHECK_ONLY</x:v>
      </x:c>
      <x:c r="R12" t="str">
        <x:v>Kiểm tra từng thuộc tính có mặt; so sánh nguồn/role; không suy đoán từ kết quả render chưa có</x:v>
      </x:c>
      <x:c r="S12" t="str">
        <x:v>STRUCTURE_READ_EXISTING_WORKBOOK</x:v>
      </x:c>
      <x:c r="T12"/>
      <x:c r="U12" t="str">
        <x:v>Text run trên dòng riêng</x:v>
      </x:c>
    </x:row>
    <x:row r="13">
      <x:c r="A13" t="n">
        <x:v>12</x:v>
      </x:c>
      <x:c r="B13" t="str">
        <x:v>ND30.C.NN.NHAN_NOI_NHAN.VI_TRI</x:v>
      </x:c>
      <x:c r="C13" t="str">
        <x:v>ND30.C.NN.NHAN_NOI_NHAN</x:v>
      </x:c>
      <x:c r="D13" t="str">
        <x:v>C</x:v>
      </x:c>
      <x:c r="E13" t="str">
        <x:v>Nhãn Nơi nhận:</x:v>
      </x:c>
      <x:c r="F13" t="str">
        <x:v>VI_TRI</x:v>
      </x:c>
      <x:c r="G13" t="str">
        <x:v>KHỐI/CỘT TRÁI</x:v>
      </x:c>
      <x:c r="H13"/>
      <x:c r="I13" t="str">
        <x:v>UNVERIFIED_ATTRIBUTE</x:v>
      </x:c>
      <x:c r="J13" t="str">
        <x:v>PROFILE_PRESET_UNAPPROVED</x:v>
      </x:c>
      <x:c r="K13" t="str">
        <x:v>Chỉ khi có danh sách nơi nhận cuối văn bản; giữ nguyên người nhận, nơi lưu, dòng Như trên</x:v>
      </x:c>
      <x:c r="L13" t="str">
        <x:v>Không tạo nhân thân/chức vụ/dấu/chữ ký; bảo toàn nơi nhận và thẩm quyền.</x:v>
      </x:c>
      <x:c r="M13"/>
      <x:c r="N13" t="str">
        <x:v>NĐ30, Phụ lục I, Phần I, II.9; V.8</x:v>
      </x:c>
      <x:c r="O13" t="str">
        <x:v>https://congbao.chinhphu.vn/van-ban/nghi-dinh-so-30-2020-nd-cp-30858/30246.htm</x:v>
      </x:c>
      <x:c r="P13" t="str">
        <x:v>PLUGIN:hoa-tieu-mien-bac-administrative-v1 | user_approved_visual_reference</x:v>
      </x:c>
      <x:c r="Q13" t="str">
        <x:v>CHECK_ONLY</x:v>
      </x:c>
      <x:c r="R13" t="str">
        <x:v>Kiểm tra từng thuộc tính có mặt; so sánh nguồn/role; không suy đoán từ kết quả render chưa có</x:v>
      </x:c>
      <x:c r="S13" t="str">
        <x:v>STRUCTURE_READ_EXISTING_WORKBOOK</x:v>
      </x:c>
      <x:c r="T13"/>
      <x:c r="U13" t="str">
        <x:v>Text run trên dòng riêng</x:v>
      </x:c>
    </x:row>
    <x:row r="14">
      <x:c r="A14" t="n">
        <x:v>13</x:v>
      </x:c>
      <x:c r="B14" t="str">
        <x:v>ND30.C.NN.NHAN_NOI_NHAN.KEEP_NEXT</x:v>
      </x:c>
      <x:c r="C14" t="str">
        <x:v>ND30.C.NN.NHAN_NOI_NHAN</x:v>
      </x:c>
      <x:c r="D14" t="str">
        <x:v>C</x:v>
      </x:c>
      <x:c r="E14" t="str">
        <x:v>Nhãn Nơi nhận:</x:v>
      </x:c>
      <x:c r="F14" t="str">
        <x:v>KEEP_NEXT</x:v>
      </x:c>
      <x:c r="G14"/>
      <x:c r="H14"/>
      <x:c r="I14" t="str">
        <x:v>UNVERIFIED_ATTRIBUTE</x:v>
      </x:c>
      <x:c r="J14" t="str">
        <x:v>BLOCKED_NO_ATTRIBUTE_VALUE</x:v>
      </x:c>
      <x:c r="K14" t="str">
        <x:v>Chỉ khi có danh sách nơi nhận cuối văn bản; giữ nguyên người nhận, nơi lưu, dòng Như trên</x:v>
      </x:c>
      <x:c r="L14" t="str">
        <x:v>Không tạo nhân thân/chức vụ/dấu/chữ ký; bảo toàn nơi nhận và thẩm quyền.</x:v>
      </x:c>
      <x:c r="M14"/>
      <x:c r="N14" t="str">
        <x:v>NĐ30, Phụ lục I, Phần I, II.9; V.8</x:v>
      </x:c>
      <x:c r="O14" t="str">
        <x:v>https://congbao.chinhphu.vn/van-ban/nghi-dinh-so-30-2020-nd-cp-30858/30246.htm</x:v>
      </x:c>
      <x:c r="P14" t="str">
        <x:v>PLUGIN:hoa-tieu-mien-bac-administrative-v1 | user_approved_visual_reference</x:v>
      </x:c>
      <x:c r="Q14" t="str">
        <x:v>CHECK_ONLY</x:v>
      </x:c>
      <x:c r="R14" t="str">
        <x:v>Kiểm tra từng thuộc tính có mặt; so sánh nguồn/role; không suy đoán từ kết quả render chưa có</x:v>
      </x:c>
      <x:c r="S14" t="str">
        <x:v>RULE_INFERENCE_NOT_MEASURED</x:v>
      </x:c>
      <x:c r="T14" t="str">
        <x:v>Xác minh căn cứ theo loại văn bản / tài liệu phát hành hoặc phê duyệt</x:v>
      </x:c>
      <x:c r="U14" t="str">
        <x:v>Text run trên dòng riêng</x:v>
      </x:c>
    </x:row>
    <x:row r="15">
      <x:c r="A15" t="n">
        <x:v>14</x:v>
      </x:c>
      <x:c r="B15" t="str">
        <x:v>ND30.C.NN.NHAN_NOI_NHAN.GACH_CHAN</x:v>
      </x:c>
      <x:c r="C15" t="str">
        <x:v>ND30.C.NN.NHAN_NOI_NHAN</x:v>
      </x:c>
      <x:c r="D15" t="str">
        <x:v>C</x:v>
      </x:c>
      <x:c r="E15" t="str">
        <x:v>Nhãn Nơi nhận:</x:v>
      </x:c>
      <x:c r="F15" t="str">
        <x:v>GACH_CHAN</x:v>
      </x:c>
      <x:c r="G15"/>
      <x:c r="H15"/>
      <x:c r="I15" t="str">
        <x:v>UNVERIFIED_ATTRIBUTE</x:v>
      </x:c>
      <x:c r="J15" t="str">
        <x:v>BLOCKED_NO_ATTRIBUTE_VALUE</x:v>
      </x:c>
      <x:c r="K15" t="str">
        <x:v>Chỉ khi có danh sách nơi nhận cuối văn bản; giữ nguyên người nhận, nơi lưu, dòng Như trên</x:v>
      </x:c>
      <x:c r="L15" t="str">
        <x:v>Không tạo nhân thân/chức vụ/dấu/chữ ký; bảo toàn nơi nhận và thẩm quyền.</x:v>
      </x:c>
      <x:c r="M15"/>
      <x:c r="N15" t="str">
        <x:v>NĐ30, Phụ lục I, Phần I, II.9; V.8</x:v>
      </x:c>
      <x:c r="O15" t="str">
        <x:v>https://congbao.chinhphu.vn/van-ban/nghi-dinh-so-30-2020-nd-cp-30858/30246.htm</x:v>
      </x:c>
      <x:c r="P15" t="str">
        <x:v>PLUGIN:hoa-tieu-mien-bac-administrative-v1 | user_approved_visual_reference</x:v>
      </x:c>
      <x:c r="Q15" t="str">
        <x:v>CHECK_ONLY</x:v>
      </x:c>
      <x:c r="R15" t="str">
        <x:v>Kiểm tra từng thuộc tính có mặt; so sánh nguồn/role; không suy đoán từ kết quả render chưa có</x:v>
      </x:c>
      <x:c r="S15" t="str">
        <x:v>RULE_INFERENCE_NOT_MEASURED</x:v>
      </x:c>
      <x:c r="T15" t="str">
        <x:v>Xác minh căn cứ theo loại văn bản / tài liệu phát hành hoặc phê duyệt</x:v>
      </x:c>
      <x:c r="U15" t="str">
        <x:v>Text run trên dòng riêng</x:v>
      </x:c>
    </x:row>
    <x:row r="16">
      <x:c r="A16" t="n">
        <x:v>15</x:v>
      </x:c>
      <x:c r="B16" t="str">
        <x:v>ND30.C.NN.DANH_SACH.HIEN_DIEN</x:v>
      </x:c>
      <x:c r="C16" t="str">
        <x:v>ND30.C.NN.DANH_SACH</x:v>
      </x:c>
      <x:c r="D16" t="str">
        <x:v>C</x:v>
      </x:c>
      <x:c r="E16" t="str">
        <x:v>Danh sách người/cơ quan nhận</x:v>
      </x:c>
      <x:c r="F16" t="str">
        <x:v>HIEN_DIEN</x:v>
      </x:c>
      <x:c r="G16" t="str">
        <x:v>Cần có nơi nhận theo loại/đối tượng</x:v>
      </x:c>
      <x:c r="H16"/>
      <x:c r="I16" t="str">
        <x:v>UNVERIFIED_ATTRIBUTE</x:v>
      </x:c>
      <x:c r="J16" t="str">
        <x:v>SOURCE_DESCRIPTION_NOT_APPROVAL</x:v>
      </x:c>
      <x:c r="K16" t="str">
        <x:v>Chỉ khi có danh sách nơi nhận cuối văn bản; giữ nguyên người nhận, nơi lưu, dòng Như trên</x:v>
      </x:c>
      <x:c r="L16" t="str">
        <x:v>Không tạo nhân thân/chức vụ/dấu/chữ ký; bảo toàn nơi nhận và thẩm quyền.</x:v>
      </x:c>
      <x:c r="M16"/>
      <x:c r="N16" t="str">
        <x:v>NĐ30, Phụ lục I, Phần I, II.9; V.8</x:v>
      </x:c>
      <x:c r="O16" t="str">
        <x:v>https://congbao.chinhphu.vn/van-ban/nghi-dinh-so-30-2020-nd-cp-30858/30246.htm</x:v>
      </x:c>
      <x:c r="P16" t="str">
        <x:v>PLUGIN:hoa-tieu-mien-bac-administrative-v1 | user_approved_visual_reference</x:v>
      </x:c>
      <x:c r="Q16" t="str">
        <x:v>CHECK_ONLY</x:v>
      </x:c>
      <x:c r="R16" t="str">
        <x:v>Kiểm tra từng thuộc tính có mặt; so sánh nguồn/role; không suy đoán từ kết quả render chưa có</x:v>
      </x:c>
      <x:c r="S16" t="str">
        <x:v>STRUCTURE_READ_EXISTING_WORKBOOK</x:v>
      </x:c>
      <x:c r="T16"/>
      <x:c r="U16" t="str">
        <x:v>Văn bản/OOXML: xác định đối tượng trước khi sửa</x:v>
      </x:c>
    </x:row>
    <x:row r="17">
      <x:c r="A17" t="n">
        <x:v>16</x:v>
      </x:c>
      <x:c r="B17" t="str">
        <x:v>ND30.C.NN.DANH_SACH.NOI_DUNG</x:v>
      </x:c>
      <x:c r="C17" t="str">
        <x:v>ND30.C.NN.DANH_SACH</x:v>
      </x:c>
      <x:c r="D17" t="str">
        <x:v>C</x:v>
      </x:c>
      <x:c r="E17" t="str">
        <x:v>Danh sách người/cơ quan nhận</x:v>
      </x:c>
      <x:c r="F17" t="str">
        <x:v>NOI_DUNG</x:v>
      </x:c>
      <x:c r="G17" t="str">
        <x:v>Danh sách nơi nhận và nơi lưu theo đúng đối tượng đã xác minh</x:v>
      </x:c>
      <x:c r="H17"/>
      <x:c r="I17" t="str">
        <x:v>UNVERIFIED_ATTRIBUTE</x:v>
      </x:c>
      <x:c r="J17" t="str">
        <x:v>SOURCE_DESCRIPTION_NOT_APPROVAL</x:v>
      </x:c>
      <x:c r="K17" t="str">
        <x:v>Chỉ khi có danh sách nơi nhận cuối văn bản; giữ nguyên người nhận, nơi lưu, dòng Như trên</x:v>
      </x:c>
      <x:c r="L17" t="str">
        <x:v>Không tạo nhân thân/chức vụ/dấu/chữ ký; bảo toàn nơi nhận và thẩm quyền.</x:v>
      </x:c>
      <x:c r="M17"/>
      <x:c r="N17" t="str">
        <x:v>NĐ30, Phụ lục I, Phần I, II.9; V.8</x:v>
      </x:c>
      <x:c r="O17" t="str">
        <x:v>https://congbao.chinhphu.vn/van-ban/nghi-dinh-so-30-2020-nd-cp-30858/30246.htm</x:v>
      </x:c>
      <x:c r="P17" t="str">
        <x:v>PLUGIN:hoa-tieu-mien-bac-administrative-v1 | user_approved_visual_reference</x:v>
      </x:c>
      <x:c r="Q17" t="str">
        <x:v>CHECK_ONLY</x:v>
      </x:c>
      <x:c r="R17" t="str">
        <x:v>Kiểm tra từng thuộc tính có mặt; so sánh nguồn/role; không suy đoán từ kết quả render chưa có</x:v>
      </x:c>
      <x:c r="S17" t="str">
        <x:v>STRUCTURE_READ_EXISTING_WORKBOOK</x:v>
      </x:c>
      <x:c r="T17"/>
      <x:c r="U17" t="str">
        <x:v>Văn bản/OOXML: xác định đối tượng trước khi sửa</x:v>
      </x:c>
    </x:row>
    <x:row r="18">
      <x:c r="A18" t="n">
        <x:v>17</x:v>
      </x:c>
      <x:c r="B18" t="str">
        <x:v>ND30.C.NN.DANH_SACH.PHONG_CHU</x:v>
      </x:c>
      <x:c r="C18" t="str">
        <x:v>ND30.C.NN.DANH_SACH</x:v>
      </x:c>
      <x:c r="D18" t="str">
        <x:v>C</x:v>
      </x:c>
      <x:c r="E18" t="str">
        <x:v>Danh sách người/cơ quan nhận</x:v>
      </x:c>
      <x:c r="F18" t="str">
        <x:v>PHONG_CHU</x:v>
      </x:c>
      <x:c r="G18" t="str">
        <x:v>Times New Roman</x:v>
      </x:c>
      <x:c r="H18"/>
      <x:c r="I18" t="str">
        <x:v>UNVERIFIED_ATTRIBUTE</x:v>
      </x:c>
      <x:c r="J18" t="str">
        <x:v>PROFILE_PRESET_UNAPPROVED</x:v>
      </x:c>
      <x:c r="K18" t="str">
        <x:v>Chỉ khi có danh sách nơi nhận cuối văn bản; giữ nguyên người nhận, nơi lưu, dòng Như trên</x:v>
      </x:c>
      <x:c r="L18" t="str">
        <x:v>Không tạo nhân thân/chức vụ/dấu/chữ ký; bảo toàn nơi nhận và thẩm quyền.</x:v>
      </x:c>
      <x:c r="M18"/>
      <x:c r="N18" t="str">
        <x:v>NĐ30, Phụ lục I, Phần I, II.9; V.8</x:v>
      </x:c>
      <x:c r="O18" t="str">
        <x:v>https://congbao.chinhphu.vn/van-ban/nghi-dinh-so-30-2020-nd-cp-30858/30246.htm</x:v>
      </x:c>
      <x:c r="P18" t="str">
        <x:v>PLUGIN:hoa-tieu-mien-bac-administrative-v1 | user_approved_visual_reference</x:v>
      </x:c>
      <x:c r="Q18" t="str">
        <x:v>CHECK_ONLY</x:v>
      </x:c>
      <x:c r="R18" t="str">
        <x:v>Kiểm tra từng thuộc tính có mặt; so sánh nguồn/role; không suy đoán từ kết quả render chưa có</x:v>
      </x:c>
      <x:c r="S18" t="str">
        <x:v>STRUCTURE_READ_EXISTING_WORKBOOK</x:v>
      </x:c>
      <x:c r="T18"/>
      <x:c r="U18" t="str">
        <x:v>Văn bản/OOXML: xác định đối tượng trước khi sửa</x:v>
      </x:c>
    </x:row>
    <x:row r="19">
      <x:c r="A19" t="n">
        <x:v>18</x:v>
      </x:c>
      <x:c r="B19" t="str">
        <x:v>ND30.C.NN.DANH_SACH.CO_CHU</x:v>
      </x:c>
      <x:c r="C19" t="str">
        <x:v>ND30.C.NN.DANH_SACH</x:v>
      </x:c>
      <x:c r="D19" t="str">
        <x:v>C</x:v>
      </x:c>
      <x:c r="E19" t="str">
        <x:v>Danh sách người/cơ quan nhận</x:v>
      </x:c>
      <x:c r="F19" t="str">
        <x:v>CO_CHU</x:v>
      </x:c>
      <x:c r="G19" t="n">
        <x:v>11</x:v>
      </x:c>
      <x:c r="H19"/>
      <x:c r="I19" t="str">
        <x:v>UNVERIFIED_ATTRIBUTE</x:v>
      </x:c>
      <x:c r="J19" t="str">
        <x:v>PROFILE_PRESET_UNAPPROVED</x:v>
      </x:c>
      <x:c r="K19" t="str">
        <x:v>Chỉ khi có danh sách nơi nhận cuối văn bản; giữ nguyên người nhận, nơi lưu, dòng Như trên</x:v>
      </x:c>
      <x:c r="L19" t="str">
        <x:v>Không tạo nhân thân/chức vụ/dấu/chữ ký; bảo toàn nơi nhận và thẩm quyền.</x:v>
      </x:c>
      <x:c r="M19" t="str">
        <x:v>pt</x:v>
      </x:c>
      <x:c r="N19" t="str">
        <x:v>NĐ30, Phụ lục I, Phần I, II.9; V.8</x:v>
      </x:c>
      <x:c r="O19" t="str">
        <x:v>https://congbao.chinhphu.vn/van-ban/nghi-dinh-so-30-2020-nd-cp-30858/30246.htm</x:v>
      </x:c>
      <x:c r="P19" t="str">
        <x:v>PLUGIN:hoa-tieu-mien-bac-administrative-v1 | user_approved_visual_reference</x:v>
      </x:c>
      <x:c r="Q19" t="str">
        <x:v>CHECK_ONLY</x:v>
      </x:c>
      <x:c r="R19" t="str">
        <x:v>Kiểm tra từng thuộc tính có mặt; so sánh nguồn/role; không suy đoán từ kết quả render chưa có</x:v>
      </x:c>
      <x:c r="S19" t="str">
        <x:v>STRUCTURE_READ_EXISTING_WORKBOOK</x:v>
      </x:c>
      <x:c r="T19"/>
      <x:c r="U19" t="str">
        <x:v>Văn bản/OOXML: xác định đối tượng trước khi sửa</x:v>
      </x:c>
    </x:row>
    <x:row r="20">
      <x:c r="A20" t="n">
        <x:v>19</x:v>
      </x:c>
      <x:c r="B20" t="str">
        <x:v>ND30.C.NN.DANH_SACH.DAM</x:v>
      </x:c>
      <x:c r="C20" t="str">
        <x:v>ND30.C.NN.DANH_SACH</x:v>
      </x:c>
      <x:c r="D20" t="str">
        <x:v>C</x:v>
      </x:c>
      <x:c r="E20" t="str">
        <x:v>Danh sách người/cơ quan nhận</x:v>
      </x:c>
      <x:c r="F20" t="str">
        <x:v>DAM</x:v>
      </x:c>
      <x:c r="G20" t="str">
        <x:v>KHÔNG</x:v>
      </x:c>
      <x:c r="H20"/>
      <x:c r="I20" t="str">
        <x:v>UNVERIFIED_ATTRIBUTE</x:v>
      </x:c>
      <x:c r="J20" t="str">
        <x:v>PROFILE_PRESET_UNAPPROVED</x:v>
      </x:c>
      <x:c r="K20" t="str">
        <x:v>Chỉ khi có danh sách nơi nhận cuối văn bản; giữ nguyên người nhận, nơi lưu, dòng Như trên</x:v>
      </x:c>
      <x:c r="L20" t="str">
        <x:v>Không tạo nhân thân/chức vụ/dấu/chữ ký; bảo toàn nơi nhận và thẩm quyền.</x:v>
      </x:c>
      <x:c r="M20"/>
      <x:c r="N20" t="str">
        <x:v>NĐ30, Phụ lục I, Phần I, II.9; V.8</x:v>
      </x:c>
      <x:c r="O20" t="str">
        <x:v>https://congbao.chinhphu.vn/van-ban/nghi-dinh-so-30-2020-nd-cp-30858/30246.htm</x:v>
      </x:c>
      <x:c r="P20" t="str">
        <x:v>PLUGIN:hoa-tieu-mien-bac-administrative-v1 | user_approved_visual_reference</x:v>
      </x:c>
      <x:c r="Q20" t="str">
        <x:v>CHECK_ONLY</x:v>
      </x:c>
      <x:c r="R20" t="str">
        <x:v>Kiểm tra từng thuộc tính có mặt; so sánh nguồn/role; không suy đoán từ kết quả render chưa có</x:v>
      </x:c>
      <x:c r="S20" t="str">
        <x:v>STRUCTURE_READ_EXISTING_WORKBOOK</x:v>
      </x:c>
      <x:c r="T20"/>
      <x:c r="U20" t="str">
        <x:v>Văn bản/OOXML: xác định đối tượng trước khi sửa</x:v>
      </x:c>
    </x:row>
    <x:row r="21">
      <x:c r="A21" t="n">
        <x:v>20</x:v>
      </x:c>
      <x:c r="B21" t="str">
        <x:v>ND30.C.NN.DANH_SACH.NGHIENG</x:v>
      </x:c>
      <x:c r="C21" t="str">
        <x:v>ND30.C.NN.DANH_SACH</x:v>
      </x:c>
      <x:c r="D21" t="str">
        <x:v>C</x:v>
      </x:c>
      <x:c r="E21" t="str">
        <x:v>Danh sách người/cơ quan nhận</x:v>
      </x:c>
      <x:c r="F21" t="str">
        <x:v>NGHIENG</x:v>
      </x:c>
      <x:c r="G21" t="str">
        <x:v>KHÔNG</x:v>
      </x:c>
      <x:c r="H21"/>
      <x:c r="I21" t="str">
        <x:v>UNVERIFIED_ATTRIBUTE</x:v>
      </x:c>
      <x:c r="J21" t="str">
        <x:v>PROFILE_PRESET_UNAPPROVED</x:v>
      </x:c>
      <x:c r="K21" t="str">
        <x:v>Chỉ khi có danh sách nơi nhận cuối văn bản; giữ nguyên người nhận, nơi lưu, dòng Như trên</x:v>
      </x:c>
      <x:c r="L21" t="str">
        <x:v>Không tạo nhân thân/chức vụ/dấu/chữ ký; bảo toàn nơi nhận và thẩm quyền.</x:v>
      </x:c>
      <x:c r="M21"/>
      <x:c r="N21" t="str">
        <x:v>NĐ30, Phụ lục I, Phần I, II.9; V.8</x:v>
      </x:c>
      <x:c r="O21" t="str">
        <x:v>https://congbao.chinhphu.vn/van-ban/nghi-dinh-so-30-2020-nd-cp-30858/30246.htm</x:v>
      </x:c>
      <x:c r="P21" t="str">
        <x:v>PLUGIN:hoa-tieu-mien-bac-administrative-v1 | user_approved_visual_reference</x:v>
      </x:c>
      <x:c r="Q21" t="str">
        <x:v>CHECK_ONLY</x:v>
      </x:c>
      <x:c r="R21" t="str">
        <x:v>Kiểm tra từng thuộc tính có mặt; so sánh nguồn/role; không suy đoán từ kết quả render chưa có</x:v>
      </x:c>
      <x:c r="S21" t="str">
        <x:v>STRUCTURE_READ_EXISTING_WORKBOOK</x:v>
      </x:c>
      <x:c r="T21"/>
      <x:c r="U21" t="str">
        <x:v>Văn bản/OOXML: xác định đối tượng trước khi sửa</x:v>
      </x:c>
    </x:row>
    <x:row r="22">
      <x:c r="A22" t="n">
        <x:v>21</x:v>
      </x:c>
      <x:c r="B22" t="str">
        <x:v>ND30.C.NN.DANH_SACH.KIEU_CHU</x:v>
      </x:c>
      <x:c r="C22" t="str">
        <x:v>ND30.C.NN.DANH_SACH</x:v>
      </x:c>
      <x:c r="D22" t="str">
        <x:v>C</x:v>
      </x:c>
      <x:c r="E22" t="str">
        <x:v>Danh sách người/cơ quan nhận</x:v>
      </x:c>
      <x:c r="F22" t="str">
        <x:v>KIEU_CHU</x:v>
      </x:c>
      <x:c r="G22" t="str">
        <x:v>In thường</x:v>
      </x:c>
      <x:c r="H22"/>
      <x:c r="I22" t="str">
        <x:v>UNVERIFIED_ATTRIBUTE</x:v>
      </x:c>
      <x:c r="J22" t="str">
        <x:v>PROFILE_PRESET_UNAPPROVED</x:v>
      </x:c>
      <x:c r="K22" t="str">
        <x:v>Chỉ khi có danh sách nơi nhận cuối văn bản; giữ nguyên người nhận, nơi lưu, dòng Như trên</x:v>
      </x:c>
      <x:c r="L22" t="str">
        <x:v>Không tạo nhân thân/chức vụ/dấu/chữ ký; bảo toàn nơi nhận và thẩm quyền.</x:v>
      </x:c>
      <x:c r="M22"/>
      <x:c r="N22" t="str">
        <x:v>NĐ30, Phụ lục I, Phần I, II.9; V.8</x:v>
      </x:c>
      <x:c r="O22" t="str">
        <x:v>https://congbao.chinhphu.vn/van-ban/nghi-dinh-so-30-2020-nd-cp-30858/30246.htm</x:v>
      </x:c>
      <x:c r="P22" t="str">
        <x:v>PLUGIN:hoa-tieu-mien-bac-administrative-v1 | user_approved_visual_reference</x:v>
      </x:c>
      <x:c r="Q22" t="str">
        <x:v>CHECK_ONLY</x:v>
      </x:c>
      <x:c r="R22" t="str">
        <x:v>Kiểm tra từng thuộc tính có mặt; so sánh nguồn/role; không suy đoán từ kết quả render chưa có</x:v>
      </x:c>
      <x:c r="S22" t="str">
        <x:v>STRUCTURE_READ_EXISTING_WORKBOOK</x:v>
      </x:c>
      <x:c r="T22"/>
      <x:c r="U22" t="str">
        <x:v>Văn bản/OOXML: xác định đối tượng trước khi sửa</x:v>
      </x:c>
    </x:row>
    <x:row r="23">
      <x:c r="A23" t="n">
        <x:v>22</x:v>
      </x:c>
      <x:c r="B23" t="str">
        <x:v>ND30.C.NN.DANH_SACH.CAN_NGANG</x:v>
      </x:c>
      <x:c r="C23" t="str">
        <x:v>ND30.C.NN.DANH_SACH</x:v>
      </x:c>
      <x:c r="D23" t="str">
        <x:v>C</x:v>
      </x:c>
      <x:c r="E23" t="str">
        <x:v>Danh sách người/cơ quan nhận</x:v>
      </x:c>
      <x:c r="F23" t="str">
        <x:v>CAN_NGANG</x:v>
      </x:c>
      <x:c r="G23" t="str">
        <x:v>LEFT</x:v>
      </x:c>
      <x:c r="H23"/>
      <x:c r="I23" t="str">
        <x:v>UNVERIFIED_ATTRIBUTE</x:v>
      </x:c>
      <x:c r="J23" t="str">
        <x:v>PROFILE_PRESET_UNAPPROVED</x:v>
      </x:c>
      <x:c r="K23" t="str">
        <x:v>Chỉ khi có danh sách nơi nhận cuối văn bản; giữ nguyên người nhận, nơi lưu, dòng Như trên</x:v>
      </x:c>
      <x:c r="L23" t="str">
        <x:v>Không tạo nhân thân/chức vụ/dấu/chữ ký; bảo toàn nơi nhận và thẩm quyền.</x:v>
      </x:c>
      <x:c r="M23"/>
      <x:c r="N23" t="str">
        <x:v>NĐ30, Phụ lục I, Phần I, II.9; V.8</x:v>
      </x:c>
      <x:c r="O23" t="str">
        <x:v>https://congbao.chinhphu.vn/van-ban/nghi-dinh-so-30-2020-nd-cp-30858/30246.htm</x:v>
      </x:c>
      <x:c r="P23" t="str">
        <x:v>PLUGIN:hoa-tieu-mien-bac-administrative-v1 | user_approved_visual_reference</x:v>
      </x:c>
      <x:c r="Q23" t="str">
        <x:v>CHECK_ONLY</x:v>
      </x:c>
      <x:c r="R23" t="str">
        <x:v>Kiểm tra từng thuộc tính có mặt; so sánh nguồn/role; không suy đoán từ kết quả render chưa có</x:v>
      </x:c>
      <x:c r="S23" t="str">
        <x:v>STRUCTURE_READ_EXISTING_WORKBOOK</x:v>
      </x:c>
      <x:c r="T23"/>
      <x:c r="U23" t="str">
        <x:v>Văn bản/OOXML: xác định đối tượng trước khi sửa</x:v>
      </x:c>
    </x:row>
    <x:row r="24">
      <x:c r="A24" t="n">
        <x:v>23</x:v>
      </x:c>
      <x:c r="B24" t="str">
        <x:v>ND30.C.NN.DANH_SACH.GIAN_DONG</x:v>
      </x:c>
      <x:c r="C24" t="str">
        <x:v>ND30.C.NN.DANH_SACH</x:v>
      </x:c>
      <x:c r="D24" t="str">
        <x:v>C</x:v>
      </x:c>
      <x:c r="E24" t="str">
        <x:v>Danh sách người/cơ quan nhận</x:v>
      </x:c>
      <x:c r="F24" t="str">
        <x:v>GIAN_DONG</x:v>
      </x:c>
      <x:c r="G24" t="n">
        <x:v>1</x:v>
      </x:c>
      <x:c r="H24"/>
      <x:c r="I24" t="str">
        <x:v>UNVERIFIED_ATTRIBUTE</x:v>
      </x:c>
      <x:c r="J24" t="str">
        <x:v>PROFILE_PRESET_UNAPPROVED</x:v>
      </x:c>
      <x:c r="K24" t="str">
        <x:v>Chỉ khi có danh sách nơi nhận cuối văn bản; giữ nguyên người nhận, nơi lưu, dòng Như trên</x:v>
      </x:c>
      <x:c r="L24" t="str">
        <x:v>Không tạo nhân thân/chức vụ/dấu/chữ ký; bảo toàn nơi nhận và thẩm quyền.</x:v>
      </x:c>
      <x:c r="M24" t="str">
        <x:v>pt</x:v>
      </x:c>
      <x:c r="N24" t="str">
        <x:v>NĐ30, Phụ lục I, Phần I, II.9; V.8</x:v>
      </x:c>
      <x:c r="O24" t="str">
        <x:v>https://congbao.chinhphu.vn/van-ban/nghi-dinh-so-30-2020-nd-cp-30858/30246.htm</x:v>
      </x:c>
      <x:c r="P24" t="str">
        <x:v>PLUGIN:hoa-tieu-mien-bac-administrative-v1 | user_approved_visual_reference</x:v>
      </x:c>
      <x:c r="Q24" t="str">
        <x:v>CHECK_ONLY</x:v>
      </x:c>
      <x:c r="R24" t="str">
        <x:v>Kiểm tra từng thuộc tính có mặt; so sánh nguồn/role; không suy đoán từ kết quả render chưa có</x:v>
      </x:c>
      <x:c r="S24" t="str">
        <x:v>STRUCTURE_READ_EXISTING_WORKBOOK</x:v>
      </x:c>
      <x:c r="T24"/>
      <x:c r="U24" t="str">
        <x:v>Văn bản/OOXML: xác định đối tượng trước khi sửa</x:v>
      </x:c>
    </x:row>
    <x:row r="25">
      <x:c r="A25" t="n">
        <x:v>24</x:v>
      </x:c>
      <x:c r="B25" t="str">
        <x:v>ND30.C.NN.DANH_SACH.CACH_TRUOC</x:v>
      </x:c>
      <x:c r="C25" t="str">
        <x:v>ND30.C.NN.DANH_SACH</x:v>
      </x:c>
      <x:c r="D25" t="str">
        <x:v>C</x:v>
      </x:c>
      <x:c r="E25" t="str">
        <x:v>Danh sách người/cơ quan nhận</x:v>
      </x:c>
      <x:c r="F25" t="str">
        <x:v>CACH_TRUOC</x:v>
      </x:c>
      <x:c r="G25" t="n">
        <x:v>0</x:v>
      </x:c>
      <x:c r="H25"/>
      <x:c r="I25" t="str">
        <x:v>UNVERIFIED_ATTRIBUTE</x:v>
      </x:c>
      <x:c r="J25" t="str">
        <x:v>PROFILE_PRESET_UNAPPROVED</x:v>
      </x:c>
      <x:c r="K25" t="str">
        <x:v>Chỉ khi có danh sách nơi nhận cuối văn bản; giữ nguyên người nhận, nơi lưu, dòng Như trên</x:v>
      </x:c>
      <x:c r="L25" t="str">
        <x:v>Không tạo nhân thân/chức vụ/dấu/chữ ký; bảo toàn nơi nhận và thẩm quyền.</x:v>
      </x:c>
      <x:c r="M25" t="str">
        <x:v>pt</x:v>
      </x:c>
      <x:c r="N25" t="str">
        <x:v>NĐ30, Phụ lục I, Phần I, II.9; V.8</x:v>
      </x:c>
      <x:c r="O25" t="str">
        <x:v>https://congbao.chinhphu.vn/van-ban/nghi-dinh-so-30-2020-nd-cp-30858/30246.htm</x:v>
      </x:c>
      <x:c r="P25" t="str">
        <x:v>PLUGIN:hoa-tieu-mien-bac-administrative-v1 | user_approved_visual_reference</x:v>
      </x:c>
      <x:c r="Q25" t="str">
        <x:v>CHECK_ONLY</x:v>
      </x:c>
      <x:c r="R25" t="str">
        <x:v>Kiểm tra từng thuộc tính có mặt; so sánh nguồn/role; không suy đoán từ kết quả render chưa có</x:v>
      </x:c>
      <x:c r="S25" t="str">
        <x:v>STRUCTURE_READ_EXISTING_WORKBOOK</x:v>
      </x:c>
      <x:c r="T25"/>
      <x:c r="U25" t="str">
        <x:v>Văn bản/OOXML: xác định đối tượng trước khi sửa</x:v>
      </x:c>
    </x:row>
    <x:row r="26">
      <x:c r="A26" t="n">
        <x:v>25</x:v>
      </x:c>
      <x:c r="B26" t="str">
        <x:v>ND30.C.NN.DANH_SACH.CACH_SAU</x:v>
      </x:c>
      <x:c r="C26" t="str">
        <x:v>ND30.C.NN.DANH_SACH</x:v>
      </x:c>
      <x:c r="D26" t="str">
        <x:v>C</x:v>
      </x:c>
      <x:c r="E26" t="str">
        <x:v>Danh sách người/cơ quan nhận</x:v>
      </x:c>
      <x:c r="F26" t="str">
        <x:v>CACH_SAU</x:v>
      </x:c>
      <x:c r="G26" t="n">
        <x:v>0</x:v>
      </x:c>
      <x:c r="H26"/>
      <x:c r="I26" t="str">
        <x:v>UNVERIFIED_ATTRIBUTE</x:v>
      </x:c>
      <x:c r="J26" t="str">
        <x:v>PROFILE_PRESET_UNAPPROVED</x:v>
      </x:c>
      <x:c r="K26" t="str">
        <x:v>Chỉ khi có danh sách nơi nhận cuối văn bản; giữ nguyên người nhận, nơi lưu, dòng Như trên</x:v>
      </x:c>
      <x:c r="L26" t="str">
        <x:v>Không tạo nhân thân/chức vụ/dấu/chữ ký; bảo toàn nơi nhận và thẩm quyền.</x:v>
      </x:c>
      <x:c r="M26" t="str">
        <x:v>pt</x:v>
      </x:c>
      <x:c r="N26" t="str">
        <x:v>NĐ30, Phụ lục I, Phần I, II.9; V.8</x:v>
      </x:c>
      <x:c r="O26" t="str">
        <x:v>https://congbao.chinhphu.vn/van-ban/nghi-dinh-so-30-2020-nd-cp-30858/30246.htm</x:v>
      </x:c>
      <x:c r="P26" t="str">
        <x:v>PLUGIN:hoa-tieu-mien-bac-administrative-v1 | user_approved_visual_reference</x:v>
      </x:c>
      <x:c r="Q26" t="str">
        <x:v>CHECK_ONLY</x:v>
      </x:c>
      <x:c r="R26" t="str">
        <x:v>Kiểm tra từng thuộc tính có mặt; so sánh nguồn/role; không suy đoán từ kết quả render chưa có</x:v>
      </x:c>
      <x:c r="S26" t="str">
        <x:v>STRUCTURE_READ_EXISTING_WORKBOOK</x:v>
      </x:c>
      <x:c r="T26"/>
      <x:c r="U26" t="str">
        <x:v>Văn bản/OOXML: xác định đối tượng trước khi sửa</x:v>
      </x:c>
    </x:row>
    <x:row r="27">
      <x:c r="A27" t="n">
        <x:v>26</x:v>
      </x:c>
      <x:c r="B27" t="str">
        <x:v>ND30.C.NN.DANH_SACH.VI_TRI</x:v>
      </x:c>
      <x:c r="C27" t="str">
        <x:v>ND30.C.NN.DANH_SACH</x:v>
      </x:c>
      <x:c r="D27" t="str">
        <x:v>C</x:v>
      </x:c>
      <x:c r="E27" t="str">
        <x:v>Danh sách người/cơ quan nhận</x:v>
      </x:c>
      <x:c r="F27" t="str">
        <x:v>VI_TRI</x:v>
      </x:c>
      <x:c r="G27" t="str">
        <x:v>KHỐI/CỘT TRÁI</x:v>
      </x:c>
      <x:c r="H27"/>
      <x:c r="I27" t="str">
        <x:v>UNVERIFIED_ATTRIBUTE</x:v>
      </x:c>
      <x:c r="J27" t="str">
        <x:v>PROFILE_PRESET_UNAPPROVED</x:v>
      </x:c>
      <x:c r="K27" t="str">
        <x:v>Chỉ khi có danh sách nơi nhận cuối văn bản; giữ nguyên người nhận, nơi lưu, dòng Như trên</x:v>
      </x:c>
      <x:c r="L27" t="str">
        <x:v>Không tạo nhân thân/chức vụ/dấu/chữ ký; bảo toàn nơi nhận và thẩm quyền.</x:v>
      </x:c>
      <x:c r="M27"/>
      <x:c r="N27" t="str">
        <x:v>NĐ30, Phụ lục I, Phần I, II.9; V.8</x:v>
      </x:c>
      <x:c r="O27" t="str">
        <x:v>https://congbao.chinhphu.vn/van-ban/nghi-dinh-so-30-2020-nd-cp-30858/30246.htm</x:v>
      </x:c>
      <x:c r="P27" t="str">
        <x:v>PLUGIN:hoa-tieu-mien-bac-administrative-v1 | user_approved_visual_reference</x:v>
      </x:c>
      <x:c r="Q27" t="str">
        <x:v>CHECK_ONLY</x:v>
      </x:c>
      <x:c r="R27" t="str">
        <x:v>Kiểm tra từng thuộc tính có mặt; so sánh nguồn/role; không suy đoán từ kết quả render chưa có</x:v>
      </x:c>
      <x:c r="S27" t="str">
        <x:v>STRUCTURE_READ_EXISTING_WORKBOOK</x:v>
      </x:c>
      <x:c r="T27"/>
      <x:c r="U27" t="str">
        <x:v>Văn bản/OOXML: xác định đối tượng trước khi sửa</x:v>
      </x:c>
    </x:row>
    <x:row r="28">
      <x:c r="A28" t="n">
        <x:v>27</x:v>
      </x:c>
      <x:c r="B28" t="str">
        <x:v>ND30.C.NN.DANH_SACH.KEEP_NEXT</x:v>
      </x:c>
      <x:c r="C28" t="str">
        <x:v>ND30.C.NN.DANH_SACH</x:v>
      </x:c>
      <x:c r="D28" t="str">
        <x:v>C</x:v>
      </x:c>
      <x:c r="E28" t="str">
        <x:v>Danh sách người/cơ quan nhận</x:v>
      </x:c>
      <x:c r="F28" t="str">
        <x:v>KEEP_NEXT</x:v>
      </x:c>
      <x:c r="G28"/>
      <x:c r="H28"/>
      <x:c r="I28" t="str">
        <x:v>UNVERIFIED_ATTRIBUTE</x:v>
      </x:c>
      <x:c r="J28" t="str">
        <x:v>BLOCKED_NO_ATTRIBUTE_VALUE</x:v>
      </x:c>
      <x:c r="K28" t="str">
        <x:v>Chỉ khi có danh sách nơi nhận cuối văn bản; giữ nguyên người nhận, nơi lưu, dòng Như trên</x:v>
      </x:c>
      <x:c r="L28" t="str">
        <x:v>Không tạo nhân thân/chức vụ/dấu/chữ ký; bảo toàn nơi nhận và thẩm quyền.</x:v>
      </x:c>
      <x:c r="M28"/>
      <x:c r="N28" t="str">
        <x:v>NĐ30, Phụ lục I, Phần I, II.9; V.8</x:v>
      </x:c>
      <x:c r="O28" t="str">
        <x:v>https://congbao.chinhphu.vn/van-ban/nghi-dinh-so-30-2020-nd-cp-30858/30246.htm</x:v>
      </x:c>
      <x:c r="P28" t="str">
        <x:v>PLUGIN:hoa-tieu-mien-bac-administrative-v1 | user_approved_visual_reference</x:v>
      </x:c>
      <x:c r="Q28" t="str">
        <x:v>CHECK_ONLY</x:v>
      </x:c>
      <x:c r="R28" t="str">
        <x:v>Kiểm tra từng thuộc tính có mặt; so sánh nguồn/role; không suy đoán từ kết quả render chưa có</x:v>
      </x:c>
      <x:c r="S28" t="str">
        <x:v>RULE_INFERENCE_NOT_MEASURED</x:v>
      </x:c>
      <x:c r="T28" t="str">
        <x:v>Xác minh căn cứ theo loại văn bản / tài liệu phát hành hoặc phê duyệt</x:v>
      </x:c>
      <x:c r="U28" t="str">
        <x:v>Văn bản/OOXML: xác định đối tượng trước khi sửa</x:v>
      </x:c>
    </x:row>
    <x:row r="29">
      <x:c r="A29" t="n">
        <x:v>28</x:v>
      </x:c>
      <x:c r="B29" t="str">
        <x:v>ND30.C.NN.NHU_TREN.HIEN_DIEN</x:v>
      </x:c>
      <x:c r="C29" t="str">
        <x:v>ND30.C.NN.NHU_TREN</x:v>
      </x:c>
      <x:c r="D29" t="str">
        <x:v>C</x:v>
      </x:c>
      <x:c r="E29" t="str">
        <x:v>Dòng Như trên theo điều kiện</x:v>
      </x:c>
      <x:c r="F29" t="str">
        <x:v>HIEN_DIEN</x:v>
      </x:c>
      <x:c r="G29" t="str">
        <x:v>Cần có nơi nhận theo loại/đối tượng</x:v>
      </x:c>
      <x:c r="H29"/>
      <x:c r="I29" t="str">
        <x:v>UNVERIFIED_ATTRIBUTE</x:v>
      </x:c>
      <x:c r="J29" t="str">
        <x:v>SOURCE_DESCRIPTION_NOT_APPROVAL</x:v>
      </x:c>
      <x:c r="K29" t="str">
        <x:v>Chỉ khi có danh sách nơi nhận cuối văn bản; giữ nguyên người nhận, nơi lưu, dòng Như trên</x:v>
      </x:c>
      <x:c r="L29" t="str">
        <x:v>Không tạo nhân thân/chức vụ/dấu/chữ ký; bảo toàn nơi nhận và thẩm quyền.</x:v>
      </x:c>
      <x:c r="M29"/>
      <x:c r="N29" t="str">
        <x:v>NĐ30, Phụ lục I, Phần I, II.9; V.8</x:v>
      </x:c>
      <x:c r="O29" t="str">
        <x:v>https://congbao.chinhphu.vn/van-ban/nghi-dinh-so-30-2020-nd-cp-30858/30246.htm</x:v>
      </x:c>
      <x:c r="P29" t="str">
        <x:v>PLUGIN:hoa-tieu-mien-bac-administrative-v1 | user_approved_visual_reference</x:v>
      </x:c>
      <x:c r="Q29" t="str">
        <x:v>CHECK_ONLY</x:v>
      </x:c>
      <x:c r="R29" t="str">
        <x:v>Kiểm tra từng thuộc tính có mặt; so sánh nguồn/role; không suy đoán từ kết quả render chưa có</x:v>
      </x:c>
      <x:c r="S29" t="str">
        <x:v>STRUCTURE_READ_EXISTING_WORKBOOK</x:v>
      </x:c>
      <x:c r="T29"/>
      <x:c r="U29" t="str">
        <x:v>Văn bản/OOXML: xác định đối tượng trước khi sửa</x:v>
      </x:c>
    </x:row>
    <x:row r="30">
      <x:c r="A30" t="n">
        <x:v>29</x:v>
      </x:c>
      <x:c r="B30" t="str">
        <x:v>ND30.C.NN.NHU_TREN.NOI_DUNG</x:v>
      </x:c>
      <x:c r="C30" t="str">
        <x:v>ND30.C.NN.NHU_TREN</x:v>
      </x:c>
      <x:c r="D30" t="str">
        <x:v>C</x:v>
      </x:c>
      <x:c r="E30" t="str">
        <x:v>Dòng Như trên theo điều kiện</x:v>
      </x:c>
      <x:c r="F30" t="str">
        <x:v>NOI_DUNG</x:v>
      </x:c>
      <x:c r="G30" t="str">
        <x:v>Danh sách nơi nhận và nơi lưu theo đúng đối tượng đã xác minh</x:v>
      </x:c>
      <x:c r="H30"/>
      <x:c r="I30" t="str">
        <x:v>UNVERIFIED_ATTRIBUTE</x:v>
      </x:c>
      <x:c r="J30" t="str">
        <x:v>SOURCE_DESCRIPTION_NOT_APPROVAL</x:v>
      </x:c>
      <x:c r="K30" t="str">
        <x:v>Chỉ khi có danh sách nơi nhận cuối văn bản; giữ nguyên người nhận, nơi lưu, dòng Như trên</x:v>
      </x:c>
      <x:c r="L30" t="str">
        <x:v>Không tạo nhân thân/chức vụ/dấu/chữ ký; bảo toàn nơi nhận và thẩm quyền.</x:v>
      </x:c>
      <x:c r="M30"/>
      <x:c r="N30" t="str">
        <x:v>NĐ30, Phụ lục I, Phần I, II.9; V.8</x:v>
      </x:c>
      <x:c r="O30" t="str">
        <x:v>https://congbao.chinhphu.vn/van-ban/nghi-dinh-so-30-2020-nd-cp-30858/30246.htm</x:v>
      </x:c>
      <x:c r="P30" t="str">
        <x:v>PLUGIN:hoa-tieu-mien-bac-administrative-v1 | user_approved_visual_reference</x:v>
      </x:c>
      <x:c r="Q30" t="str">
        <x:v>CHECK_ONLY</x:v>
      </x:c>
      <x:c r="R30" t="str">
        <x:v>Kiểm tra từng thuộc tính có mặt; so sánh nguồn/role; không suy đoán từ kết quả render chưa có</x:v>
      </x:c>
      <x:c r="S30" t="str">
        <x:v>STRUCTURE_READ_EXISTING_WORKBOOK</x:v>
      </x:c>
      <x:c r="T30"/>
      <x:c r="U30" t="str">
        <x:v>Văn bản/OOXML: xác định đối tượng trước khi sửa</x:v>
      </x:c>
    </x:row>
    <x:row r="31">
      <x:c r="A31" t="n">
        <x:v>30</x:v>
      </x:c>
      <x:c r="B31" t="str">
        <x:v>ND30.C.NN.NHU_TREN.PHONG_CHU</x:v>
      </x:c>
      <x:c r="C31" t="str">
        <x:v>ND30.C.NN.NHU_TREN</x:v>
      </x:c>
      <x:c r="D31" t="str">
        <x:v>C</x:v>
      </x:c>
      <x:c r="E31" t="str">
        <x:v>Dòng Như trên theo điều kiện</x:v>
      </x:c>
      <x:c r="F31" t="str">
        <x:v>PHONG_CHU</x:v>
      </x:c>
      <x:c r="G31" t="str">
        <x:v>Times New Roman</x:v>
      </x:c>
      <x:c r="H31"/>
      <x:c r="I31" t="str">
        <x:v>UNVERIFIED_ATTRIBUTE</x:v>
      </x:c>
      <x:c r="J31" t="str">
        <x:v>PROFILE_PRESET_UNAPPROVED</x:v>
      </x:c>
      <x:c r="K31" t="str">
        <x:v>Chỉ khi có danh sách nơi nhận cuối văn bản; giữ nguyên người nhận, nơi lưu, dòng Như trên</x:v>
      </x:c>
      <x:c r="L31" t="str">
        <x:v>Không tạo nhân thân/chức vụ/dấu/chữ ký; bảo toàn nơi nhận và thẩm quyền.</x:v>
      </x:c>
      <x:c r="M31"/>
      <x:c r="N31" t="str">
        <x:v>NĐ30, Phụ lục I, Phần I, II.9; V.8</x:v>
      </x:c>
      <x:c r="O31" t="str">
        <x:v>https://congbao.chinhphu.vn/van-ban/nghi-dinh-so-30-2020-nd-cp-30858/30246.htm</x:v>
      </x:c>
      <x:c r="P31" t="str">
        <x:v>PLUGIN:hoa-tieu-mien-bac-administrative-v1 | user_approved_visual_reference</x:v>
      </x:c>
      <x:c r="Q31" t="str">
        <x:v>CHECK_ONLY</x:v>
      </x:c>
      <x:c r="R31" t="str">
        <x:v>Kiểm tra từng thuộc tính có mặt; so sánh nguồn/role; không suy đoán từ kết quả render chưa có</x:v>
      </x:c>
      <x:c r="S31" t="str">
        <x:v>STRUCTURE_READ_EXISTING_WORKBOOK</x:v>
      </x:c>
      <x:c r="T31"/>
      <x:c r="U31" t="str">
        <x:v>Văn bản/OOXML: xác định đối tượng trước khi sửa</x:v>
      </x:c>
    </x:row>
    <x:row r="32">
      <x:c r="A32" t="n">
        <x:v>31</x:v>
      </x:c>
      <x:c r="B32" t="str">
        <x:v>ND30.C.NN.NHU_TREN.CO_CHU</x:v>
      </x:c>
      <x:c r="C32" t="str">
        <x:v>ND30.C.NN.NHU_TREN</x:v>
      </x:c>
      <x:c r="D32" t="str">
        <x:v>C</x:v>
      </x:c>
      <x:c r="E32" t="str">
        <x:v>Dòng Như trên theo điều kiện</x:v>
      </x:c>
      <x:c r="F32" t="str">
        <x:v>CO_CHU</x:v>
      </x:c>
      <x:c r="G32" t="n">
        <x:v>11</x:v>
      </x:c>
      <x:c r="H32"/>
      <x:c r="I32" t="str">
        <x:v>UNVERIFIED_ATTRIBUTE</x:v>
      </x:c>
      <x:c r="J32" t="str">
        <x:v>PROFILE_PRESET_UNAPPROVED</x:v>
      </x:c>
      <x:c r="K32" t="str">
        <x:v>Chỉ khi có danh sách nơi nhận cuối văn bản; giữ nguyên người nhận, nơi lưu, dòng Như trên</x:v>
      </x:c>
      <x:c r="L32" t="str">
        <x:v>Không tạo nhân thân/chức vụ/dấu/chữ ký; bảo toàn nơi nhận và thẩm quyền.</x:v>
      </x:c>
      <x:c r="M32" t="str">
        <x:v>pt</x:v>
      </x:c>
      <x:c r="N32" t="str">
        <x:v>NĐ30, Phụ lục I, Phần I, II.9; V.8</x:v>
      </x:c>
      <x:c r="O32" t="str">
        <x:v>https://congbao.chinhphu.vn/van-ban/nghi-dinh-so-30-2020-nd-cp-30858/30246.htm</x:v>
      </x:c>
      <x:c r="P32" t="str">
        <x:v>PLUGIN:hoa-tieu-mien-bac-administrative-v1 | user_approved_visual_reference</x:v>
      </x:c>
      <x:c r="Q32" t="str">
        <x:v>CHECK_ONLY</x:v>
      </x:c>
      <x:c r="R32" t="str">
        <x:v>Kiểm tra từng thuộc tính có mặt; so sánh nguồn/role; không suy đoán từ kết quả render chưa có</x:v>
      </x:c>
      <x:c r="S32" t="str">
        <x:v>STRUCTURE_READ_EXISTING_WORKBOOK</x:v>
      </x:c>
      <x:c r="T32"/>
      <x:c r="U32" t="str">
        <x:v>Văn bản/OOXML: xác định đối tượng trước khi sửa</x:v>
      </x:c>
    </x:row>
    <x:row r="33">
      <x:c r="A33" t="n">
        <x:v>32</x:v>
      </x:c>
      <x:c r="B33" t="str">
        <x:v>ND30.C.NN.NHU_TREN.DAM</x:v>
      </x:c>
      <x:c r="C33" t="str">
        <x:v>ND30.C.NN.NHU_TREN</x:v>
      </x:c>
      <x:c r="D33" t="str">
        <x:v>C</x:v>
      </x:c>
      <x:c r="E33" t="str">
        <x:v>Dòng Như trên theo điều kiện</x:v>
      </x:c>
      <x:c r="F33" t="str">
        <x:v>DAM</x:v>
      </x:c>
      <x:c r="G33" t="str">
        <x:v>KHÔNG</x:v>
      </x:c>
      <x:c r="H33"/>
      <x:c r="I33" t="str">
        <x:v>UNVERIFIED_ATTRIBUTE</x:v>
      </x:c>
      <x:c r="J33" t="str">
        <x:v>PROFILE_PRESET_UNAPPROVED</x:v>
      </x:c>
      <x:c r="K33" t="str">
        <x:v>Chỉ khi có danh sách nơi nhận cuối văn bản; giữ nguyên người nhận, nơi lưu, dòng Như trên</x:v>
      </x:c>
      <x:c r="L33" t="str">
        <x:v>Không tạo nhân thân/chức vụ/dấu/chữ ký; bảo toàn nơi nhận và thẩm quyền.</x:v>
      </x:c>
      <x:c r="M33"/>
      <x:c r="N33" t="str">
        <x:v>NĐ30, Phụ lục I, Phần I, II.9; V.8</x:v>
      </x:c>
      <x:c r="O33" t="str">
        <x:v>https://congbao.chinhphu.vn/van-ban/nghi-dinh-so-30-2020-nd-cp-30858/30246.htm</x:v>
      </x:c>
      <x:c r="P33" t="str">
        <x:v>PLUGIN:hoa-tieu-mien-bac-administrative-v1 | user_approved_visual_reference</x:v>
      </x:c>
      <x:c r="Q33" t="str">
        <x:v>CHECK_ONLY</x:v>
      </x:c>
      <x:c r="R33" t="str">
        <x:v>Kiểm tra từng thuộc tính có mặt; so sánh nguồn/role; không suy đoán từ kết quả render chưa có</x:v>
      </x:c>
      <x:c r="S33" t="str">
        <x:v>STRUCTURE_READ_EXISTING_WORKBOOK</x:v>
      </x:c>
      <x:c r="T33"/>
      <x:c r="U33" t="str">
        <x:v>Văn bản/OOXML: xác định đối tượng trước khi sửa</x:v>
      </x:c>
    </x:row>
    <x:row r="34">
      <x:c r="A34" t="n">
        <x:v>33</x:v>
      </x:c>
      <x:c r="B34" t="str">
        <x:v>ND30.C.NN.NHU_TREN.NGHIENG</x:v>
      </x:c>
      <x:c r="C34" t="str">
        <x:v>ND30.C.NN.NHU_TREN</x:v>
      </x:c>
      <x:c r="D34" t="str">
        <x:v>C</x:v>
      </x:c>
      <x:c r="E34" t="str">
        <x:v>Dòng Như trên theo điều kiện</x:v>
      </x:c>
      <x:c r="F34" t="str">
        <x:v>NGHIENG</x:v>
      </x:c>
      <x:c r="G34" t="str">
        <x:v>KHÔNG</x:v>
      </x:c>
      <x:c r="H34"/>
      <x:c r="I34" t="str">
        <x:v>UNVERIFIED_ATTRIBUTE</x:v>
      </x:c>
      <x:c r="J34" t="str">
        <x:v>PROFILE_PRESET_UNAPPROVED</x:v>
      </x:c>
      <x:c r="K34" t="str">
        <x:v>Chỉ khi có danh sách nơi nhận cuối văn bản; giữ nguyên người nhận, nơi lưu, dòng Như trên</x:v>
      </x:c>
      <x:c r="L34" t="str">
        <x:v>Không tạo nhân thân/chức vụ/dấu/chữ ký; bảo toàn nơi nhận và thẩm quyền.</x:v>
      </x:c>
      <x:c r="M34"/>
      <x:c r="N34" t="str">
        <x:v>NĐ30, Phụ lục I, Phần I, II.9; V.8</x:v>
      </x:c>
      <x:c r="O34" t="str">
        <x:v>https://congbao.chinhphu.vn/van-ban/nghi-dinh-so-30-2020-nd-cp-30858/30246.htm</x:v>
      </x:c>
      <x:c r="P34" t="str">
        <x:v>PLUGIN:hoa-tieu-mien-bac-administrative-v1 | user_approved_visual_reference</x:v>
      </x:c>
      <x:c r="Q34" t="str">
        <x:v>CHECK_ONLY</x:v>
      </x:c>
      <x:c r="R34" t="str">
        <x:v>Kiểm tra từng thuộc tính có mặt; so sánh nguồn/role; không suy đoán từ kết quả render chưa có</x:v>
      </x:c>
      <x:c r="S34" t="str">
        <x:v>STRUCTURE_READ_EXISTING_WORKBOOK</x:v>
      </x:c>
      <x:c r="T34"/>
      <x:c r="U34" t="str">
        <x:v>Văn bản/OOXML: xác định đối tượng trước khi sửa</x:v>
      </x:c>
    </x:row>
    <x:row r="35">
      <x:c r="A35" t="n">
        <x:v>34</x:v>
      </x:c>
      <x:c r="B35" t="str">
        <x:v>ND30.C.NN.NHU_TREN.KIEU_CHU</x:v>
      </x:c>
      <x:c r="C35" t="str">
        <x:v>ND30.C.NN.NHU_TREN</x:v>
      </x:c>
      <x:c r="D35" t="str">
        <x:v>C</x:v>
      </x:c>
      <x:c r="E35" t="str">
        <x:v>Dòng Như trên theo điều kiện</x:v>
      </x:c>
      <x:c r="F35" t="str">
        <x:v>KIEU_CHU</x:v>
      </x:c>
      <x:c r="G35" t="str">
        <x:v>In thường</x:v>
      </x:c>
      <x:c r="H35"/>
      <x:c r="I35" t="str">
        <x:v>UNVERIFIED_ATTRIBUTE</x:v>
      </x:c>
      <x:c r="J35" t="str">
        <x:v>PROFILE_PRESET_UNAPPROVED</x:v>
      </x:c>
      <x:c r="K35" t="str">
        <x:v>Chỉ khi có danh sách nơi nhận cuối văn bản; giữ nguyên người nhận, nơi lưu, dòng Như trên</x:v>
      </x:c>
      <x:c r="L35" t="str">
        <x:v>Không tạo nhân thân/chức vụ/dấu/chữ ký; bảo toàn nơi nhận và thẩm quyền.</x:v>
      </x:c>
      <x:c r="M35"/>
      <x:c r="N35" t="str">
        <x:v>NĐ30, Phụ lục I, Phần I, II.9; V.8</x:v>
      </x:c>
      <x:c r="O35" t="str">
        <x:v>https://congbao.chinhphu.vn/van-ban/nghi-dinh-so-30-2020-nd-cp-30858/30246.htm</x:v>
      </x:c>
      <x:c r="P35" t="str">
        <x:v>PLUGIN:hoa-tieu-mien-bac-administrative-v1 | user_approved_visual_reference</x:v>
      </x:c>
      <x:c r="Q35" t="str">
        <x:v>CHECK_ONLY</x:v>
      </x:c>
      <x:c r="R35" t="str">
        <x:v>Kiểm tra từng thuộc tính có mặt; so sánh nguồn/role; không suy đoán từ kết quả render chưa có</x:v>
      </x:c>
      <x:c r="S35" t="str">
        <x:v>STRUCTURE_READ_EXISTING_WORKBOOK</x:v>
      </x:c>
      <x:c r="T35"/>
      <x:c r="U35" t="str">
        <x:v>Văn bản/OOXML: xác định đối tượng trước khi sửa</x:v>
      </x:c>
    </x:row>
    <x:row r="36">
      <x:c r="A36" t="n">
        <x:v>35</x:v>
      </x:c>
      <x:c r="B36" t="str">
        <x:v>ND30.C.NN.NHU_TREN.CAN_NGANG</x:v>
      </x:c>
      <x:c r="C36" t="str">
        <x:v>ND30.C.NN.NHU_TREN</x:v>
      </x:c>
      <x:c r="D36" t="str">
        <x:v>C</x:v>
      </x:c>
      <x:c r="E36" t="str">
        <x:v>Dòng Như trên theo điều kiện</x:v>
      </x:c>
      <x:c r="F36" t="str">
        <x:v>CAN_NGANG</x:v>
      </x:c>
      <x:c r="G36" t="str">
        <x:v>LEFT</x:v>
      </x:c>
      <x:c r="H36"/>
      <x:c r="I36" t="str">
        <x:v>UNVERIFIED_ATTRIBUTE</x:v>
      </x:c>
      <x:c r="J36" t="str">
        <x:v>PROFILE_PRESET_UNAPPROVED</x:v>
      </x:c>
      <x:c r="K36" t="str">
        <x:v>Chỉ khi có danh sách nơi nhận cuối văn bản; giữ nguyên người nhận, nơi lưu, dòng Như trên</x:v>
      </x:c>
      <x:c r="L36" t="str">
        <x:v>Không tạo nhân thân/chức vụ/dấu/chữ ký; bảo toàn nơi nhận và thẩm quyền.</x:v>
      </x:c>
      <x:c r="M36"/>
      <x:c r="N36" t="str">
        <x:v>NĐ30, Phụ lục I, Phần I, II.9; V.8</x:v>
      </x:c>
      <x:c r="O36" t="str">
        <x:v>https://congbao.chinhphu.vn/van-ban/nghi-dinh-so-30-2020-nd-cp-30858/30246.htm</x:v>
      </x:c>
      <x:c r="P36" t="str">
        <x:v>PLUGIN:hoa-tieu-mien-bac-administrative-v1 | user_approved_visual_reference</x:v>
      </x:c>
      <x:c r="Q36" t="str">
        <x:v>CHECK_ONLY</x:v>
      </x:c>
      <x:c r="R36" t="str">
        <x:v>Kiểm tra từng thuộc tính có mặt; so sánh nguồn/role; không suy đoán từ kết quả render chưa có</x:v>
      </x:c>
      <x:c r="S36" t="str">
        <x:v>STRUCTURE_READ_EXISTING_WORKBOOK</x:v>
      </x:c>
      <x:c r="T36"/>
      <x:c r="U36" t="str">
        <x:v>Văn bản/OOXML: xác định đối tượng trước khi sửa</x:v>
      </x:c>
    </x:row>
    <x:row r="37">
      <x:c r="A37" t="n">
        <x:v>36</x:v>
      </x:c>
      <x:c r="B37" t="str">
        <x:v>ND30.C.NN.NHU_TREN.GIAN_DONG</x:v>
      </x:c>
      <x:c r="C37" t="str">
        <x:v>ND30.C.NN.NHU_TREN</x:v>
      </x:c>
      <x:c r="D37" t="str">
        <x:v>C</x:v>
      </x:c>
      <x:c r="E37" t="str">
        <x:v>Dòng Như trên theo điều kiện</x:v>
      </x:c>
      <x:c r="F37" t="str">
        <x:v>GIAN_DONG</x:v>
      </x:c>
      <x:c r="G37" t="n">
        <x:v>1</x:v>
      </x:c>
      <x:c r="H37"/>
      <x:c r="I37" t="str">
        <x:v>UNVERIFIED_ATTRIBUTE</x:v>
      </x:c>
      <x:c r="J37" t="str">
        <x:v>PROFILE_PRESET_UNAPPROVED</x:v>
      </x:c>
      <x:c r="K37" t="str">
        <x:v>Chỉ khi có danh sách nơi nhận cuối văn bản; giữ nguyên người nhận, nơi lưu, dòng Như trên</x:v>
      </x:c>
      <x:c r="L37" t="str">
        <x:v>Không tạo nhân thân/chức vụ/dấu/chữ ký; bảo toàn nơi nhận và thẩm quyền.</x:v>
      </x:c>
      <x:c r="M37" t="str">
        <x:v>pt</x:v>
      </x:c>
      <x:c r="N37" t="str">
        <x:v>NĐ30, Phụ lục I, Phần I, II.9; V.8</x:v>
      </x:c>
      <x:c r="O37" t="str">
        <x:v>https://congbao.chinhphu.vn/van-ban/nghi-dinh-so-30-2020-nd-cp-30858/30246.htm</x:v>
      </x:c>
      <x:c r="P37" t="str">
        <x:v>PLUGIN:hoa-tieu-mien-bac-administrative-v1 | user_approved_visual_reference</x:v>
      </x:c>
      <x:c r="Q37" t="str">
        <x:v>CHECK_ONLY</x:v>
      </x:c>
      <x:c r="R37" t="str">
        <x:v>Kiểm tra từng thuộc tính có mặt; so sánh nguồn/role; không suy đoán từ kết quả render chưa có</x:v>
      </x:c>
      <x:c r="S37" t="str">
        <x:v>STRUCTURE_READ_EXISTING_WORKBOOK</x:v>
      </x:c>
      <x:c r="T37"/>
      <x:c r="U37" t="str">
        <x:v>Văn bản/OOXML: xác định đối tượng trước khi sửa</x:v>
      </x:c>
    </x:row>
    <x:row r="38">
      <x:c r="A38" t="n">
        <x:v>37</x:v>
      </x:c>
      <x:c r="B38" t="str">
        <x:v>ND30.C.NN.NHU_TREN.CACH_TRUOC</x:v>
      </x:c>
      <x:c r="C38" t="str">
        <x:v>ND30.C.NN.NHU_TREN</x:v>
      </x:c>
      <x:c r="D38" t="str">
        <x:v>C</x:v>
      </x:c>
      <x:c r="E38" t="str">
        <x:v>Dòng Như trên theo điều kiện</x:v>
      </x:c>
      <x:c r="F38" t="str">
        <x:v>CACH_TRUOC</x:v>
      </x:c>
      <x:c r="G38" t="n">
        <x:v>0</x:v>
      </x:c>
      <x:c r="H38"/>
      <x:c r="I38" t="str">
        <x:v>UNVERIFIED_ATTRIBUTE</x:v>
      </x:c>
      <x:c r="J38" t="str">
        <x:v>PROFILE_PRESET_UNAPPROVED</x:v>
      </x:c>
      <x:c r="K38" t="str">
        <x:v>Chỉ khi có danh sách nơi nhận cuối văn bản; giữ nguyên người nhận, nơi lưu, dòng Như trên</x:v>
      </x:c>
      <x:c r="L38" t="str">
        <x:v>Không tạo nhân thân/chức vụ/dấu/chữ ký; bảo toàn nơi nhận và thẩm quyền.</x:v>
      </x:c>
      <x:c r="M38" t="str">
        <x:v>pt</x:v>
      </x:c>
      <x:c r="N38" t="str">
        <x:v>NĐ30, Phụ lục I, Phần I, II.9; V.8</x:v>
      </x:c>
      <x:c r="O38" t="str">
        <x:v>https://congbao.chinhphu.vn/van-ban/nghi-dinh-so-30-2020-nd-cp-30858/30246.htm</x:v>
      </x:c>
      <x:c r="P38" t="str">
        <x:v>PLUGIN:hoa-tieu-mien-bac-administrative-v1 | user_approved_visual_reference</x:v>
      </x:c>
      <x:c r="Q38" t="str">
        <x:v>CHECK_ONLY</x:v>
      </x:c>
      <x:c r="R38" t="str">
        <x:v>Kiểm tra từng thuộc tính có mặt; so sánh nguồn/role; không suy đoán từ kết quả render chưa có</x:v>
      </x:c>
      <x:c r="S38" t="str">
        <x:v>STRUCTURE_READ_EXISTING_WORKBOOK</x:v>
      </x:c>
      <x:c r="T38"/>
      <x:c r="U38" t="str">
        <x:v>Văn bản/OOXML: xác định đối tượng trước khi sửa</x:v>
      </x:c>
    </x:row>
    <x:row r="39">
      <x:c r="A39" t="n">
        <x:v>38</x:v>
      </x:c>
      <x:c r="B39" t="str">
        <x:v>ND30.C.NN.NHU_TREN.CACH_SAU</x:v>
      </x:c>
      <x:c r="C39" t="str">
        <x:v>ND30.C.NN.NHU_TREN</x:v>
      </x:c>
      <x:c r="D39" t="str">
        <x:v>C</x:v>
      </x:c>
      <x:c r="E39" t="str">
        <x:v>Dòng Như trên theo điều kiện</x:v>
      </x:c>
      <x:c r="F39" t="str">
        <x:v>CACH_SAU</x:v>
      </x:c>
      <x:c r="G39" t="n">
        <x:v>0</x:v>
      </x:c>
      <x:c r="H39"/>
      <x:c r="I39" t="str">
        <x:v>UNVERIFIED_ATTRIBUTE</x:v>
      </x:c>
      <x:c r="J39" t="str">
        <x:v>PROFILE_PRESET_UNAPPROVED</x:v>
      </x:c>
      <x:c r="K39" t="str">
        <x:v>Chỉ khi có danh sách nơi nhận cuối văn bản; giữ nguyên người nhận, nơi lưu, dòng Như trên</x:v>
      </x:c>
      <x:c r="L39" t="str">
        <x:v>Không tạo nhân thân/chức vụ/dấu/chữ ký; bảo toàn nơi nhận và thẩm quyền.</x:v>
      </x:c>
      <x:c r="M39" t="str">
        <x:v>pt</x:v>
      </x:c>
      <x:c r="N39" t="str">
        <x:v>NĐ30, Phụ lục I, Phần I, II.9; V.8</x:v>
      </x:c>
      <x:c r="O39" t="str">
        <x:v>https://congbao.chinhphu.vn/van-ban/nghi-dinh-so-30-2020-nd-cp-30858/30246.htm</x:v>
      </x:c>
      <x:c r="P39" t="str">
        <x:v>PLUGIN:hoa-tieu-mien-bac-administrative-v1 | user_approved_visual_reference</x:v>
      </x:c>
      <x:c r="Q39" t="str">
        <x:v>CHECK_ONLY</x:v>
      </x:c>
      <x:c r="R39" t="str">
        <x:v>Kiểm tra từng thuộc tính có mặt; so sánh nguồn/role; không suy đoán từ kết quả render chưa có</x:v>
      </x:c>
      <x:c r="S39" t="str">
        <x:v>STRUCTURE_READ_EXISTING_WORKBOOK</x:v>
      </x:c>
      <x:c r="T39"/>
      <x:c r="U39" t="str">
        <x:v>Văn bản/OOXML: xác định đối tượng trước khi sửa</x:v>
      </x:c>
    </x:row>
    <x:row r="40">
      <x:c r="A40" t="n">
        <x:v>39</x:v>
      </x:c>
      <x:c r="B40" t="str">
        <x:v>ND30.C.NN.NHU_TREN.VI_TRI</x:v>
      </x:c>
      <x:c r="C40" t="str">
        <x:v>ND30.C.NN.NHU_TREN</x:v>
      </x:c>
      <x:c r="D40" t="str">
        <x:v>C</x:v>
      </x:c>
      <x:c r="E40" t="str">
        <x:v>Dòng Như trên theo điều kiện</x:v>
      </x:c>
      <x:c r="F40" t="str">
        <x:v>VI_TRI</x:v>
      </x:c>
      <x:c r="G40" t="str">
        <x:v>KHỐI/CỘT TRÁI</x:v>
      </x:c>
      <x:c r="H40"/>
      <x:c r="I40" t="str">
        <x:v>UNVERIFIED_ATTRIBUTE</x:v>
      </x:c>
      <x:c r="J40" t="str">
        <x:v>PROFILE_PRESET_UNAPPROVED</x:v>
      </x:c>
      <x:c r="K40" t="str">
        <x:v>Chỉ khi có danh sách nơi nhận cuối văn bản; giữ nguyên người nhận, nơi lưu, dòng Như trên</x:v>
      </x:c>
      <x:c r="L40" t="str">
        <x:v>Không tạo nhân thân/chức vụ/dấu/chữ ký; bảo toàn nơi nhận và thẩm quyền.</x:v>
      </x:c>
      <x:c r="M40"/>
      <x:c r="N40" t="str">
        <x:v>NĐ30, Phụ lục I, Phần I, II.9; V.8</x:v>
      </x:c>
      <x:c r="O40" t="str">
        <x:v>https://congbao.chinhphu.vn/van-ban/nghi-dinh-so-30-2020-nd-cp-30858/30246.htm</x:v>
      </x:c>
      <x:c r="P40" t="str">
        <x:v>PLUGIN:hoa-tieu-mien-bac-administrative-v1 | user_approved_visual_reference</x:v>
      </x:c>
      <x:c r="Q40" t="str">
        <x:v>CHECK_ONLY</x:v>
      </x:c>
      <x:c r="R40" t="str">
        <x:v>Kiểm tra từng thuộc tính có mặt; so sánh nguồn/role; không suy đoán từ kết quả render chưa có</x:v>
      </x:c>
      <x:c r="S40" t="str">
        <x:v>STRUCTURE_READ_EXISTING_WORKBOOK</x:v>
      </x:c>
      <x:c r="T40"/>
      <x:c r="U40" t="str">
        <x:v>Văn bản/OOXML: xác định đối tượng trước khi sửa</x:v>
      </x:c>
    </x:row>
    <x:row r="41">
      <x:c r="A41" t="n">
        <x:v>40</x:v>
      </x:c>
      <x:c r="B41" t="str">
        <x:v>ND30.C.NN.NHU_TREN.KEEP_NEXT</x:v>
      </x:c>
      <x:c r="C41" t="str">
        <x:v>ND30.C.NN.NHU_TREN</x:v>
      </x:c>
      <x:c r="D41" t="str">
        <x:v>C</x:v>
      </x:c>
      <x:c r="E41" t="str">
        <x:v>Dòng Như trên theo điều kiện</x:v>
      </x:c>
      <x:c r="F41" t="str">
        <x:v>KEEP_NEXT</x:v>
      </x:c>
      <x:c r="G41"/>
      <x:c r="H41"/>
      <x:c r="I41" t="str">
        <x:v>UNVERIFIED_ATTRIBUTE</x:v>
      </x:c>
      <x:c r="J41" t="str">
        <x:v>BLOCKED_NO_ATTRIBUTE_VALUE</x:v>
      </x:c>
      <x:c r="K41" t="str">
        <x:v>Chỉ khi có danh sách nơi nhận cuối văn bản; giữ nguyên người nhận, nơi lưu, dòng Như trên</x:v>
      </x:c>
      <x:c r="L41" t="str">
        <x:v>Không tạo nhân thân/chức vụ/dấu/chữ ký; bảo toàn nơi nhận và thẩm quyền.</x:v>
      </x:c>
      <x:c r="M41"/>
      <x:c r="N41" t="str">
        <x:v>NĐ30, Phụ lục I, Phần I, II.9; V.8</x:v>
      </x:c>
      <x:c r="O41" t="str">
        <x:v>https://congbao.chinhphu.vn/van-ban/nghi-dinh-so-30-2020-nd-cp-30858/30246.htm</x:v>
      </x:c>
      <x:c r="P41" t="str">
        <x:v>PLUGIN:hoa-tieu-mien-bac-administrative-v1 | user_approved_visual_reference</x:v>
      </x:c>
      <x:c r="Q41" t="str">
        <x:v>CHECK_ONLY</x:v>
      </x:c>
      <x:c r="R41" t="str">
        <x:v>Kiểm tra từng thuộc tính có mặt; so sánh nguồn/role; không suy đoán từ kết quả render chưa có</x:v>
      </x:c>
      <x:c r="S41" t="str">
        <x:v>RULE_INFERENCE_NOT_MEASURED</x:v>
      </x:c>
      <x:c r="T41" t="str">
        <x:v>Xác minh căn cứ theo loại văn bản / tài liệu phát hành hoặc phê duyệt</x:v>
      </x:c>
      <x:c r="U41" t="str">
        <x:v>Văn bản/OOXML: xác định đối tượng trước khi sửa</x:v>
      </x:c>
    </x:row>
    <x:row r="42">
      <x:c r="A42" t="n">
        <x:v>41</x:v>
      </x:c>
      <x:c r="B42" t="str">
        <x:v>ND30.C.NN.NOI_LUU.HIEN_DIEN</x:v>
      </x:c>
      <x:c r="C42" t="str">
        <x:v>ND30.C.NN.NOI_LUU</x:v>
      </x:c>
      <x:c r="D42" t="str">
        <x:v>C</x:v>
      </x:c>
      <x:c r="E42" t="str">
        <x:v>Dòng lưu hồ sơ</x:v>
      </x:c>
      <x:c r="F42" t="str">
        <x:v>HIEN_DIEN</x:v>
      </x:c>
      <x:c r="G42" t="str">
        <x:v>Cần có nơi nhận theo loại/đối tượng</x:v>
      </x:c>
      <x:c r="H42"/>
      <x:c r="I42" t="str">
        <x:v>UNVERIFIED_ATTRIBUTE</x:v>
      </x:c>
      <x:c r="J42" t="str">
        <x:v>SOURCE_DESCRIPTION_NOT_APPROVAL</x:v>
      </x:c>
      <x:c r="K42" t="str">
        <x:v>Chỉ khi có danh sách nơi nhận cuối văn bản; giữ nguyên người nhận, nơi lưu, dòng Như trên</x:v>
      </x:c>
      <x:c r="L42" t="str">
        <x:v>Không tạo nhân thân/chức vụ/dấu/chữ ký; bảo toàn nơi nhận và thẩm quyền.</x:v>
      </x:c>
      <x:c r="M42"/>
      <x:c r="N42" t="str">
        <x:v>NĐ30, Phụ lục I, Phần I, II.9; V.8</x:v>
      </x:c>
      <x:c r="O42" t="str">
        <x:v>https://congbao.chinhphu.vn/van-ban/nghi-dinh-so-30-2020-nd-cp-30858/30246.htm</x:v>
      </x:c>
      <x:c r="P42" t="str">
        <x:v>PLUGIN:hoa-tieu-mien-bac-administrative-v1 | user_approved_visual_reference</x:v>
      </x:c>
      <x:c r="Q42" t="str">
        <x:v>CHECK_ONLY</x:v>
      </x:c>
      <x:c r="R42" t="str">
        <x:v>Kiểm tra từng thuộc tính có mặt; so sánh nguồn/role; không suy đoán từ kết quả render chưa có</x:v>
      </x:c>
      <x:c r="S42" t="str">
        <x:v>STRUCTURE_READ_EXISTING_WORKBOOK</x:v>
      </x:c>
      <x:c r="T42"/>
      <x:c r="U42" t="str">
        <x:v>Văn bản/OOXML: xác định đối tượng trước khi sửa</x:v>
      </x:c>
    </x:row>
    <x:row r="43">
      <x:c r="A43" t="n">
        <x:v>42</x:v>
      </x:c>
      <x:c r="B43" t="str">
        <x:v>ND30.C.NN.NOI_LUU.NOI_DUNG</x:v>
      </x:c>
      <x:c r="C43" t="str">
        <x:v>ND30.C.NN.NOI_LUU</x:v>
      </x:c>
      <x:c r="D43" t="str">
        <x:v>C</x:v>
      </x:c>
      <x:c r="E43" t="str">
        <x:v>Dòng lưu hồ sơ</x:v>
      </x:c>
      <x:c r="F43" t="str">
        <x:v>NOI_DUNG</x:v>
      </x:c>
      <x:c r="G43" t="str">
        <x:v>Danh sách nơi nhận và nơi lưu theo đúng đối tượng đã xác minh</x:v>
      </x:c>
      <x:c r="H43"/>
      <x:c r="I43" t="str">
        <x:v>UNVERIFIED_ATTRIBUTE</x:v>
      </x:c>
      <x:c r="J43" t="str">
        <x:v>SOURCE_DESCRIPTION_NOT_APPROVAL</x:v>
      </x:c>
      <x:c r="K43" t="str">
        <x:v>Chỉ khi có danh sách nơi nhận cuối văn bản; giữ nguyên người nhận, nơi lưu, dòng Như trên</x:v>
      </x:c>
      <x:c r="L43" t="str">
        <x:v>Không tạo nhân thân/chức vụ/dấu/chữ ký; bảo toàn nơi nhận và thẩm quyền.</x:v>
      </x:c>
      <x:c r="M43"/>
      <x:c r="N43" t="str">
        <x:v>NĐ30, Phụ lục I, Phần I, II.9; V.8</x:v>
      </x:c>
      <x:c r="O43" t="str">
        <x:v>https://congbao.chinhphu.vn/van-ban/nghi-dinh-so-30-2020-nd-cp-30858/30246.htm</x:v>
      </x:c>
      <x:c r="P43" t="str">
        <x:v>PLUGIN:hoa-tieu-mien-bac-administrative-v1 | user_approved_visual_reference</x:v>
      </x:c>
      <x:c r="Q43" t="str">
        <x:v>CHECK_ONLY</x:v>
      </x:c>
      <x:c r="R43" t="str">
        <x:v>Kiểm tra từng thuộc tính có mặt; so sánh nguồn/role; không suy đoán từ kết quả render chưa có</x:v>
      </x:c>
      <x:c r="S43" t="str">
        <x:v>STRUCTURE_READ_EXISTING_WORKBOOK</x:v>
      </x:c>
      <x:c r="T43"/>
      <x:c r="U43" t="str">
        <x:v>Văn bản/OOXML: xác định đối tượng trước khi sửa</x:v>
      </x:c>
    </x:row>
    <x:row r="44">
      <x:c r="A44" t="n">
        <x:v>43</x:v>
      </x:c>
      <x:c r="B44" t="str">
        <x:v>ND30.C.NN.NOI_LUU.PHONG_CHU</x:v>
      </x:c>
      <x:c r="C44" t="str">
        <x:v>ND30.C.NN.NOI_LUU</x:v>
      </x:c>
      <x:c r="D44" t="str">
        <x:v>C</x:v>
      </x:c>
      <x:c r="E44" t="str">
        <x:v>Dòng lưu hồ sơ</x:v>
      </x:c>
      <x:c r="F44" t="str">
        <x:v>PHONG_CHU</x:v>
      </x:c>
      <x:c r="G44" t="str">
        <x:v>Times New Roman</x:v>
      </x:c>
      <x:c r="H44"/>
      <x:c r="I44" t="str">
        <x:v>UNVERIFIED_ATTRIBUTE</x:v>
      </x:c>
      <x:c r="J44" t="str">
        <x:v>PROFILE_PRESET_UNAPPROVED</x:v>
      </x:c>
      <x:c r="K44" t="str">
        <x:v>Chỉ khi có danh sách nơi nhận cuối văn bản; giữ nguyên người nhận, nơi lưu, dòng Như trên</x:v>
      </x:c>
      <x:c r="L44" t="str">
        <x:v>Không tạo nhân thân/chức vụ/dấu/chữ ký; bảo toàn nơi nhận và thẩm quyền.</x:v>
      </x:c>
      <x:c r="M44"/>
      <x:c r="N44" t="str">
        <x:v>NĐ30, Phụ lục I, Phần I, II.9; V.8</x:v>
      </x:c>
      <x:c r="O44" t="str">
        <x:v>https://congbao.chinhphu.vn/van-ban/nghi-dinh-so-30-2020-nd-cp-30858/30246.htm</x:v>
      </x:c>
      <x:c r="P44" t="str">
        <x:v>PLUGIN:hoa-tieu-mien-bac-administrative-v1 | user_approved_visual_reference</x:v>
      </x:c>
      <x:c r="Q44" t="str">
        <x:v>CHECK_ONLY</x:v>
      </x:c>
      <x:c r="R44" t="str">
        <x:v>Kiểm tra từng thuộc tính có mặt; so sánh nguồn/role; không suy đoán từ kết quả render chưa có</x:v>
      </x:c>
      <x:c r="S44" t="str">
        <x:v>STRUCTURE_READ_EXISTING_WORKBOOK</x:v>
      </x:c>
      <x:c r="T44"/>
      <x:c r="U44" t="str">
        <x:v>Văn bản/OOXML: xác định đối tượng trước khi sửa</x:v>
      </x:c>
    </x:row>
    <x:row r="45">
      <x:c r="A45" t="n">
        <x:v>44</x:v>
      </x:c>
      <x:c r="B45" t="str">
        <x:v>ND30.C.NN.NOI_LUU.CO_CHU</x:v>
      </x:c>
      <x:c r="C45" t="str">
        <x:v>ND30.C.NN.NOI_LUU</x:v>
      </x:c>
      <x:c r="D45" t="str">
        <x:v>C</x:v>
      </x:c>
      <x:c r="E45" t="str">
        <x:v>Dòng lưu hồ sơ</x:v>
      </x:c>
      <x:c r="F45" t="str">
        <x:v>CO_CHU</x:v>
      </x:c>
      <x:c r="G45" t="n">
        <x:v>11</x:v>
      </x:c>
      <x:c r="H45"/>
      <x:c r="I45" t="str">
        <x:v>UNVERIFIED_ATTRIBUTE</x:v>
      </x:c>
      <x:c r="J45" t="str">
        <x:v>PROFILE_PRESET_UNAPPROVED</x:v>
      </x:c>
      <x:c r="K45" t="str">
        <x:v>Chỉ khi có danh sách nơi nhận cuối văn bản; giữ nguyên người nhận, nơi lưu, dòng Như trên</x:v>
      </x:c>
      <x:c r="L45" t="str">
        <x:v>Không tạo nhân thân/chức vụ/dấu/chữ ký; bảo toàn nơi nhận và thẩm quyền.</x:v>
      </x:c>
      <x:c r="M45" t="str">
        <x:v>pt</x:v>
      </x:c>
      <x:c r="N45" t="str">
        <x:v>NĐ30, Phụ lục I, Phần I, II.9; V.8</x:v>
      </x:c>
      <x:c r="O45" t="str">
        <x:v>https://congbao.chinhphu.vn/van-ban/nghi-dinh-so-30-2020-nd-cp-30858/30246.htm</x:v>
      </x:c>
      <x:c r="P45" t="str">
        <x:v>PLUGIN:hoa-tieu-mien-bac-administrative-v1 | user_approved_visual_reference</x:v>
      </x:c>
      <x:c r="Q45" t="str">
        <x:v>CHECK_ONLY</x:v>
      </x:c>
      <x:c r="R45" t="str">
        <x:v>Kiểm tra từng thuộc tính có mặt; so sánh nguồn/role; không suy đoán từ kết quả render chưa có</x:v>
      </x:c>
      <x:c r="S45" t="str">
        <x:v>STRUCTURE_READ_EXISTING_WORKBOOK</x:v>
      </x:c>
      <x:c r="T45"/>
      <x:c r="U45" t="str">
        <x:v>Văn bản/OOXML: xác định đối tượng trước khi sửa</x:v>
      </x:c>
    </x:row>
    <x:row r="46">
      <x:c r="A46" t="n">
        <x:v>45</x:v>
      </x:c>
      <x:c r="B46" t="str">
        <x:v>ND30.C.NN.NOI_LUU.DAM</x:v>
      </x:c>
      <x:c r="C46" t="str">
        <x:v>ND30.C.NN.NOI_LUU</x:v>
      </x:c>
      <x:c r="D46" t="str">
        <x:v>C</x:v>
      </x:c>
      <x:c r="E46" t="str">
        <x:v>Dòng lưu hồ sơ</x:v>
      </x:c>
      <x:c r="F46" t="str">
        <x:v>DAM</x:v>
      </x:c>
      <x:c r="G46" t="str">
        <x:v>KHÔNG</x:v>
      </x:c>
      <x:c r="H46"/>
      <x:c r="I46" t="str">
        <x:v>UNVERIFIED_ATTRIBUTE</x:v>
      </x:c>
      <x:c r="J46" t="str">
        <x:v>PROFILE_PRESET_UNAPPROVED</x:v>
      </x:c>
      <x:c r="K46" t="str">
        <x:v>Chỉ khi có danh sách nơi nhận cuối văn bản; giữ nguyên người nhận, nơi lưu, dòng Như trên</x:v>
      </x:c>
      <x:c r="L46" t="str">
        <x:v>Không tạo nhân thân/chức vụ/dấu/chữ ký; bảo toàn nơi nhận và thẩm quyền.</x:v>
      </x:c>
      <x:c r="M46"/>
      <x:c r="N46" t="str">
        <x:v>NĐ30, Phụ lục I, Phần I, II.9; V.8</x:v>
      </x:c>
      <x:c r="O46" t="str">
        <x:v>https://congbao.chinhphu.vn/van-ban/nghi-dinh-so-30-2020-nd-cp-30858/30246.htm</x:v>
      </x:c>
      <x:c r="P46" t="str">
        <x:v>PLUGIN:hoa-tieu-mien-bac-administrative-v1 | user_approved_visual_reference</x:v>
      </x:c>
      <x:c r="Q46" t="str">
        <x:v>CHECK_ONLY</x:v>
      </x:c>
      <x:c r="R46" t="str">
        <x:v>Kiểm tra từng thuộc tính có mặt; so sánh nguồn/role; không suy đoán từ kết quả render chưa có</x:v>
      </x:c>
      <x:c r="S46" t="str">
        <x:v>STRUCTURE_READ_EXISTING_WORKBOOK</x:v>
      </x:c>
      <x:c r="T46"/>
      <x:c r="U46" t="str">
        <x:v>Văn bản/OOXML: xác định đối tượng trước khi sửa</x:v>
      </x:c>
    </x:row>
    <x:row r="47">
      <x:c r="A47" t="n">
        <x:v>46</x:v>
      </x:c>
      <x:c r="B47" t="str">
        <x:v>ND30.C.NN.NOI_LUU.NGHIENG</x:v>
      </x:c>
      <x:c r="C47" t="str">
        <x:v>ND30.C.NN.NOI_LUU</x:v>
      </x:c>
      <x:c r="D47" t="str">
        <x:v>C</x:v>
      </x:c>
      <x:c r="E47" t="str">
        <x:v>Dòng lưu hồ sơ</x:v>
      </x:c>
      <x:c r="F47" t="str">
        <x:v>NGHIENG</x:v>
      </x:c>
      <x:c r="G47" t="str">
        <x:v>KHÔNG</x:v>
      </x:c>
      <x:c r="H47"/>
      <x:c r="I47" t="str">
        <x:v>UNVERIFIED_ATTRIBUTE</x:v>
      </x:c>
      <x:c r="J47" t="str">
        <x:v>PROFILE_PRESET_UNAPPROVED</x:v>
      </x:c>
      <x:c r="K47" t="str">
        <x:v>Chỉ khi có danh sách nơi nhận cuối văn bản; giữ nguyên người nhận, nơi lưu, dòng Như trên</x:v>
      </x:c>
      <x:c r="L47" t="str">
        <x:v>Không tạo nhân thân/chức vụ/dấu/chữ ký; bảo toàn nơi nhận và thẩm quyền.</x:v>
      </x:c>
      <x:c r="M47"/>
      <x:c r="N47" t="str">
        <x:v>NĐ30, Phụ lục I, Phần I, II.9; V.8</x:v>
      </x:c>
      <x:c r="O47" t="str">
        <x:v>https://congbao.chinhphu.vn/van-ban/nghi-dinh-so-30-2020-nd-cp-30858/30246.htm</x:v>
      </x:c>
      <x:c r="P47" t="str">
        <x:v>PLUGIN:hoa-tieu-mien-bac-administrative-v1 | user_approved_visual_reference</x:v>
      </x:c>
      <x:c r="Q47" t="str">
        <x:v>CHECK_ONLY</x:v>
      </x:c>
      <x:c r="R47" t="str">
        <x:v>Kiểm tra từng thuộc tính có mặt; so sánh nguồn/role; không suy đoán từ kết quả render chưa có</x:v>
      </x:c>
      <x:c r="S47" t="str">
        <x:v>STRUCTURE_READ_EXISTING_WORKBOOK</x:v>
      </x:c>
      <x:c r="T47"/>
      <x:c r="U47" t="str">
        <x:v>Văn bản/OOXML: xác định đối tượng trước khi sửa</x:v>
      </x:c>
    </x:row>
    <x:row r="48">
      <x:c r="A48" t="n">
        <x:v>47</x:v>
      </x:c>
      <x:c r="B48" t="str">
        <x:v>ND30.C.NN.NOI_LUU.KIEU_CHU</x:v>
      </x:c>
      <x:c r="C48" t="str">
        <x:v>ND30.C.NN.NOI_LUU</x:v>
      </x:c>
      <x:c r="D48" t="str">
        <x:v>C</x:v>
      </x:c>
      <x:c r="E48" t="str">
        <x:v>Dòng lưu hồ sơ</x:v>
      </x:c>
      <x:c r="F48" t="str">
        <x:v>KIEU_CHU</x:v>
      </x:c>
      <x:c r="G48" t="str">
        <x:v>In thường</x:v>
      </x:c>
      <x:c r="H48"/>
      <x:c r="I48" t="str">
        <x:v>UNVERIFIED_ATTRIBUTE</x:v>
      </x:c>
      <x:c r="J48" t="str">
        <x:v>PROFILE_PRESET_UNAPPROVED</x:v>
      </x:c>
      <x:c r="K48" t="str">
        <x:v>Chỉ khi có danh sách nơi nhận cuối văn bản; giữ nguyên người nhận, nơi lưu, dòng Như trên</x:v>
      </x:c>
      <x:c r="L48" t="str">
        <x:v>Không tạo nhân thân/chức vụ/dấu/chữ ký; bảo toàn nơi nhận và thẩm quyền.</x:v>
      </x:c>
      <x:c r="M48"/>
      <x:c r="N48" t="str">
        <x:v>NĐ30, Phụ lục I, Phần I, II.9; V.8</x:v>
      </x:c>
      <x:c r="O48" t="str">
        <x:v>https://congbao.chinhphu.vn/van-ban/nghi-dinh-so-30-2020-nd-cp-30858/30246.htm</x:v>
      </x:c>
      <x:c r="P48" t="str">
        <x:v>PLUGIN:hoa-tieu-mien-bac-administrative-v1 | user_approved_visual_reference</x:v>
      </x:c>
      <x:c r="Q48" t="str">
        <x:v>CHECK_ONLY</x:v>
      </x:c>
      <x:c r="R48" t="str">
        <x:v>Kiểm tra từng thuộc tính có mặt; so sánh nguồn/role; không suy đoán từ kết quả render chưa có</x:v>
      </x:c>
      <x:c r="S48" t="str">
        <x:v>STRUCTURE_READ_EXISTING_WORKBOOK</x:v>
      </x:c>
      <x:c r="T48"/>
      <x:c r="U48" t="str">
        <x:v>Văn bản/OOXML: xác định đối tượng trước khi sửa</x:v>
      </x:c>
    </x:row>
    <x:row r="49">
      <x:c r="A49" t="n">
        <x:v>48</x:v>
      </x:c>
      <x:c r="B49" t="str">
        <x:v>ND30.C.NN.NOI_LUU.CAN_NGANG</x:v>
      </x:c>
      <x:c r="C49" t="str">
        <x:v>ND30.C.NN.NOI_LUU</x:v>
      </x:c>
      <x:c r="D49" t="str">
        <x:v>C</x:v>
      </x:c>
      <x:c r="E49" t="str">
        <x:v>Dòng lưu hồ sơ</x:v>
      </x:c>
      <x:c r="F49" t="str">
        <x:v>CAN_NGANG</x:v>
      </x:c>
      <x:c r="G49" t="str">
        <x:v>LEFT</x:v>
      </x:c>
      <x:c r="H49"/>
      <x:c r="I49" t="str">
        <x:v>UNVERIFIED_ATTRIBUTE</x:v>
      </x:c>
      <x:c r="J49" t="str">
        <x:v>PROFILE_PRESET_UNAPPROVED</x:v>
      </x:c>
      <x:c r="K49" t="str">
        <x:v>Chỉ khi có danh sách nơi nhận cuối văn bản; giữ nguyên người nhận, nơi lưu, dòng Như trên</x:v>
      </x:c>
      <x:c r="L49" t="str">
        <x:v>Không tạo nhân thân/chức vụ/dấu/chữ ký; bảo toàn nơi nhận và thẩm quyền.</x:v>
      </x:c>
      <x:c r="M49"/>
      <x:c r="N49" t="str">
        <x:v>NĐ30, Phụ lục I, Phần I, II.9; V.8</x:v>
      </x:c>
      <x:c r="O49" t="str">
        <x:v>https://congbao.chinhphu.vn/van-ban/nghi-dinh-so-30-2020-nd-cp-30858/30246.htm</x:v>
      </x:c>
      <x:c r="P49" t="str">
        <x:v>PLUGIN:hoa-tieu-mien-bac-administrative-v1 | user_approved_visual_reference</x:v>
      </x:c>
      <x:c r="Q49" t="str">
        <x:v>CHECK_ONLY</x:v>
      </x:c>
      <x:c r="R49" t="str">
        <x:v>Kiểm tra từng thuộc tính có mặt; so sánh nguồn/role; không suy đoán từ kết quả render chưa có</x:v>
      </x:c>
      <x:c r="S49" t="str">
        <x:v>STRUCTURE_READ_EXISTING_WORKBOOK</x:v>
      </x:c>
      <x:c r="T49"/>
      <x:c r="U49" t="str">
        <x:v>Văn bản/OOXML: xác định đối tượng trước khi sửa</x:v>
      </x:c>
    </x:row>
    <x:row r="50">
      <x:c r="A50" t="n">
        <x:v>49</x:v>
      </x:c>
      <x:c r="B50" t="str">
        <x:v>ND30.C.NN.NOI_LUU.GIAN_DONG</x:v>
      </x:c>
      <x:c r="C50" t="str">
        <x:v>ND30.C.NN.NOI_LUU</x:v>
      </x:c>
      <x:c r="D50" t="str">
        <x:v>C</x:v>
      </x:c>
      <x:c r="E50" t="str">
        <x:v>Dòng lưu hồ sơ</x:v>
      </x:c>
      <x:c r="F50" t="str">
        <x:v>GIAN_DONG</x:v>
      </x:c>
      <x:c r="G50" t="n">
        <x:v>1</x:v>
      </x:c>
      <x:c r="H50"/>
      <x:c r="I50" t="str">
        <x:v>UNVERIFIED_ATTRIBUTE</x:v>
      </x:c>
      <x:c r="J50" t="str">
        <x:v>PROFILE_PRESET_UNAPPROVED</x:v>
      </x:c>
      <x:c r="K50" t="str">
        <x:v>Chỉ khi có danh sách nơi nhận cuối văn bản; giữ nguyên người nhận, nơi lưu, dòng Như trên</x:v>
      </x:c>
      <x:c r="L50" t="str">
        <x:v>Không tạo nhân thân/chức vụ/dấu/chữ ký; bảo toàn nơi nhận và thẩm quyền.</x:v>
      </x:c>
      <x:c r="M50" t="str">
        <x:v>pt</x:v>
      </x:c>
      <x:c r="N50" t="str">
        <x:v>NĐ30, Phụ lục I, Phần I, II.9; V.8</x:v>
      </x:c>
      <x:c r="O50" t="str">
        <x:v>https://congbao.chinhphu.vn/van-ban/nghi-dinh-so-30-2020-nd-cp-30858/30246.htm</x:v>
      </x:c>
      <x:c r="P50" t="str">
        <x:v>PLUGIN:hoa-tieu-mien-bac-administrative-v1 | user_approved_visual_reference</x:v>
      </x:c>
      <x:c r="Q50" t="str">
        <x:v>CHECK_ONLY</x:v>
      </x:c>
      <x:c r="R50" t="str">
        <x:v>Kiểm tra từng thuộc tính có mặt; so sánh nguồn/role; không suy đoán từ kết quả render chưa có</x:v>
      </x:c>
      <x:c r="S50" t="str">
        <x:v>STRUCTURE_READ_EXISTING_WORKBOOK</x:v>
      </x:c>
      <x:c r="T50"/>
      <x:c r="U50" t="str">
        <x:v>Văn bản/OOXML: xác định đối tượng trước khi sửa</x:v>
      </x:c>
    </x:row>
    <x:row r="51">
      <x:c r="A51" t="n">
        <x:v>50</x:v>
      </x:c>
      <x:c r="B51" t="str">
        <x:v>ND30.C.NN.NOI_LUU.CACH_TRUOC</x:v>
      </x:c>
      <x:c r="C51" t="str">
        <x:v>ND30.C.NN.NOI_LUU</x:v>
      </x:c>
      <x:c r="D51" t="str">
        <x:v>C</x:v>
      </x:c>
      <x:c r="E51" t="str">
        <x:v>Dòng lưu hồ sơ</x:v>
      </x:c>
      <x:c r="F51" t="str">
        <x:v>CACH_TRUOC</x:v>
      </x:c>
      <x:c r="G51" t="n">
        <x:v>0</x:v>
      </x:c>
      <x:c r="H51"/>
      <x:c r="I51" t="str">
        <x:v>UNVERIFIED_ATTRIBUTE</x:v>
      </x:c>
      <x:c r="J51" t="str">
        <x:v>PROFILE_PRESET_UNAPPROVED</x:v>
      </x:c>
      <x:c r="K51" t="str">
        <x:v>Chỉ khi có danh sách nơi nhận cuối văn bản; giữ nguyên người nhận, nơi lưu, dòng Như trên</x:v>
      </x:c>
      <x:c r="L51" t="str">
        <x:v>Không tạo nhân thân/chức vụ/dấu/chữ ký; bảo toàn nơi nhận và thẩm quyền.</x:v>
      </x:c>
      <x:c r="M51" t="str">
        <x:v>pt</x:v>
      </x:c>
      <x:c r="N51" t="str">
        <x:v>NĐ30, Phụ lục I, Phần I, II.9; V.8</x:v>
      </x:c>
      <x:c r="O51" t="str">
        <x:v>https://congbao.chinhphu.vn/van-ban/nghi-dinh-so-30-2020-nd-cp-30858/30246.htm</x:v>
      </x:c>
      <x:c r="P51" t="str">
        <x:v>PLUGIN:hoa-tieu-mien-bac-administrative-v1 | user_approved_visual_reference</x:v>
      </x:c>
      <x:c r="Q51" t="str">
        <x:v>CHECK_ONLY</x:v>
      </x:c>
      <x:c r="R51" t="str">
        <x:v>Kiểm tra từng thuộc tính có mặt; so sánh nguồn/role; không suy đoán từ kết quả render chưa có</x:v>
      </x:c>
      <x:c r="S51" t="str">
        <x:v>STRUCTURE_READ_EXISTING_WORKBOOK</x:v>
      </x:c>
      <x:c r="T51"/>
      <x:c r="U51" t="str">
        <x:v>Văn bản/OOXML: xác định đối tượng trước khi sửa</x:v>
      </x:c>
    </x:row>
    <x:row r="52">
      <x:c r="A52" t="n">
        <x:v>51</x:v>
      </x:c>
      <x:c r="B52" t="str">
        <x:v>ND30.C.NN.NOI_LUU.CACH_SAU</x:v>
      </x:c>
      <x:c r="C52" t="str">
        <x:v>ND30.C.NN.NOI_LUU</x:v>
      </x:c>
      <x:c r="D52" t="str">
        <x:v>C</x:v>
      </x:c>
      <x:c r="E52" t="str">
        <x:v>Dòng lưu hồ sơ</x:v>
      </x:c>
      <x:c r="F52" t="str">
        <x:v>CACH_SAU</x:v>
      </x:c>
      <x:c r="G52" t="n">
        <x:v>0</x:v>
      </x:c>
      <x:c r="H52"/>
      <x:c r="I52" t="str">
        <x:v>UNVERIFIED_ATTRIBUTE</x:v>
      </x:c>
      <x:c r="J52" t="str">
        <x:v>PROFILE_PRESET_UNAPPROVED</x:v>
      </x:c>
      <x:c r="K52" t="str">
        <x:v>Chỉ khi có danh sách nơi nhận cuối văn bản; giữ nguyên người nhận, nơi lưu, dòng Như trên</x:v>
      </x:c>
      <x:c r="L52" t="str">
        <x:v>Không tạo nhân thân/chức vụ/dấu/chữ ký; bảo toàn nơi nhận và thẩm quyền.</x:v>
      </x:c>
      <x:c r="M52" t="str">
        <x:v>pt</x:v>
      </x:c>
      <x:c r="N52" t="str">
        <x:v>NĐ30, Phụ lục I, Phần I, II.9; V.8</x:v>
      </x:c>
      <x:c r="O52" t="str">
        <x:v>https://congbao.chinhphu.vn/van-ban/nghi-dinh-so-30-2020-nd-cp-30858/30246.htm</x:v>
      </x:c>
      <x:c r="P52" t="str">
        <x:v>PLUGIN:hoa-tieu-mien-bac-administrative-v1 | user_approved_visual_reference</x:v>
      </x:c>
      <x:c r="Q52" t="str">
        <x:v>CHECK_ONLY</x:v>
      </x:c>
      <x:c r="R52" t="str">
        <x:v>Kiểm tra từng thuộc tính có mặt; so sánh nguồn/role; không suy đoán từ kết quả render chưa có</x:v>
      </x:c>
      <x:c r="S52" t="str">
        <x:v>STRUCTURE_READ_EXISTING_WORKBOOK</x:v>
      </x:c>
      <x:c r="T52"/>
      <x:c r="U52" t="str">
        <x:v>Văn bản/OOXML: xác định đối tượng trước khi sửa</x:v>
      </x:c>
    </x:row>
    <x:row r="53">
      <x:c r="A53" t="n">
        <x:v>52</x:v>
      </x:c>
      <x:c r="B53" t="str">
        <x:v>ND30.C.NN.NOI_LUU.VI_TRI</x:v>
      </x:c>
      <x:c r="C53" t="str">
        <x:v>ND30.C.NN.NOI_LUU</x:v>
      </x:c>
      <x:c r="D53" t="str">
        <x:v>C</x:v>
      </x:c>
      <x:c r="E53" t="str">
        <x:v>Dòng lưu hồ sơ</x:v>
      </x:c>
      <x:c r="F53" t="str">
        <x:v>VI_TRI</x:v>
      </x:c>
      <x:c r="G53" t="str">
        <x:v>KHỐI/CỘT TRÁI</x:v>
      </x:c>
      <x:c r="H53"/>
      <x:c r="I53" t="str">
        <x:v>UNVERIFIED_ATTRIBUTE</x:v>
      </x:c>
      <x:c r="J53" t="str">
        <x:v>PROFILE_PRESET_UNAPPROVED</x:v>
      </x:c>
      <x:c r="K53" t="str">
        <x:v>Chỉ khi có danh sách nơi nhận cuối văn bản; giữ nguyên người nhận, nơi lưu, dòng Như trên</x:v>
      </x:c>
      <x:c r="L53" t="str">
        <x:v>Không tạo nhân thân/chức vụ/dấu/chữ ký; bảo toàn nơi nhận và thẩm quyền.</x:v>
      </x:c>
      <x:c r="M53"/>
      <x:c r="N53" t="str">
        <x:v>NĐ30, Phụ lục I, Phần I, II.9; V.8</x:v>
      </x:c>
      <x:c r="O53" t="str">
        <x:v>https://congbao.chinhphu.vn/van-ban/nghi-dinh-so-30-2020-nd-cp-30858/30246.htm</x:v>
      </x:c>
      <x:c r="P53" t="str">
        <x:v>PLUGIN:hoa-tieu-mien-bac-administrative-v1 | user_approved_visual_reference</x:v>
      </x:c>
      <x:c r="Q53" t="str">
        <x:v>CHECK_ONLY</x:v>
      </x:c>
      <x:c r="R53" t="str">
        <x:v>Kiểm tra từng thuộc tính có mặt; so sánh nguồn/role; không suy đoán từ kết quả render chưa có</x:v>
      </x:c>
      <x:c r="S53" t="str">
        <x:v>STRUCTURE_READ_EXISTING_WORKBOOK</x:v>
      </x:c>
      <x:c r="T53"/>
      <x:c r="U53" t="str">
        <x:v>Văn bản/OOXML: xác định đối tượng trước khi sửa</x:v>
      </x:c>
    </x:row>
    <x:row r="54">
      <x:c r="A54" t="n">
        <x:v>53</x:v>
      </x:c>
      <x:c r="B54" t="str">
        <x:v>ND30.C.NN.NOI_LUU.KEEP_NEXT</x:v>
      </x:c>
      <x:c r="C54" t="str">
        <x:v>ND30.C.NN.NOI_LUU</x:v>
      </x:c>
      <x:c r="D54" t="str">
        <x:v>C</x:v>
      </x:c>
      <x:c r="E54" t="str">
        <x:v>Dòng lưu hồ sơ</x:v>
      </x:c>
      <x:c r="F54" t="str">
        <x:v>KEEP_NEXT</x:v>
      </x:c>
      <x:c r="G54"/>
      <x:c r="H54"/>
      <x:c r="I54" t="str">
        <x:v>UNVERIFIED_ATTRIBUTE</x:v>
      </x:c>
      <x:c r="J54" t="str">
        <x:v>BLOCKED_NO_ATTRIBUTE_VALUE</x:v>
      </x:c>
      <x:c r="K54" t="str">
        <x:v>Chỉ khi có danh sách nơi nhận cuối văn bản; giữ nguyên người nhận, nơi lưu, dòng Như trên</x:v>
      </x:c>
      <x:c r="L54" t="str">
        <x:v>Không tạo nhân thân/chức vụ/dấu/chữ ký; bảo toàn nơi nhận và thẩm quyền.</x:v>
      </x:c>
      <x:c r="M54"/>
      <x:c r="N54" t="str">
        <x:v>NĐ30, Phụ lục I, Phần I, II.9; V.8</x:v>
      </x:c>
      <x:c r="O54" t="str">
        <x:v>https://congbao.chinhphu.vn/van-ban/nghi-dinh-so-30-2020-nd-cp-30858/30246.htm</x:v>
      </x:c>
      <x:c r="P54" t="str">
        <x:v>PLUGIN:hoa-tieu-mien-bac-administrative-v1 | user_approved_visual_reference</x:v>
      </x:c>
      <x:c r="Q54" t="str">
        <x:v>CHECK_ONLY</x:v>
      </x:c>
      <x:c r="R54" t="str">
        <x:v>Kiểm tra từng thuộc tính có mặt; so sánh nguồn/role; không suy đoán từ kết quả render chưa có</x:v>
      </x:c>
      <x:c r="S54" t="str">
        <x:v>RULE_INFERENCE_NOT_MEASURED</x:v>
      </x:c>
      <x:c r="T54" t="str">
        <x:v>Xác minh căn cứ theo loại văn bản / tài liệu phát hành hoặc phê duyệt</x:v>
      </x:c>
      <x:c r="U54" t="str">
        <x:v>Văn bản/OOXML: xác định đối tượng trước khi sửa</x:v>
      </x:c>
    </x:row>
    <x:row r="55">
      <x:c r="A55" t="n">
        <x:v>54</x:v>
      </x:c>
      <x:c r="B55" t="str">
        <x:v>ND30.C.KY.QUYEN_HAN.HIEN_DIEN</x:v>
      </x:c>
      <x:c r="C55" t="str">
        <x:v>ND30.C.KY.QUYEN_HAN</x:v>
      </x:c>
      <x:c r="D55" t="str">
        <x:v>C</x:v>
      </x:c>
      <x:c r="E55" t="str">
        <x:v>Quyền hạn ký</x:v>
      </x:c>
      <x:c r="F55" t="str">
        <x:v>HIEN_DIEN</x:v>
      </x:c>
      <x:c r="G55" t="str">
        <x:v>Khối ký tùy thẩm quyền/loại văn bản</x:v>
      </x:c>
      <x:c r="H55"/>
      <x:c r="I55" t="str">
        <x:v>UNVERIFIED_ATTRIBUTE</x:v>
      </x:c>
      <x:c r="J55" t="str">
        <x:v>SOURCE_DESCRIPTION_NOT_APPROVAL</x:v>
      </x:c>
      <x:c r="K55" t="str">
        <x:v>Chỉ khi có khối người ký; cần chứng cứ thẩm quyền, chức vụ, người ký; tài liệu soạn thảo không tạo chữ ký</x:v>
      </x:c>
      <x:c r="L55" t="str">
        <x:v>Không tạo nhân thân/chức vụ/dấu/chữ ký; bảo toàn nơi nhận và thẩm quyền.</x:v>
      </x:c>
      <x:c r="M55"/>
      <x:c r="N55" t="str">
        <x:v>NĐ30, Phụ lục I, Phần I, II.7; V.7</x:v>
      </x:c>
      <x:c r="O55" t="str">
        <x:v>https://congbao.chinhphu.vn/van-ban/nghi-dinh-so-30-2020-nd-cp-30858/30246.htm</x:v>
      </x:c>
      <x:c r="P55" t="str">
        <x:v>PLUGIN:hoa-tieu-mien-bac-administrative-v1 | user_approved_visual_reference</x:v>
      </x:c>
      <x:c r="Q55" t="str">
        <x:v>CHECK_ONLY</x:v>
      </x:c>
      <x:c r="R55" t="str">
        <x:v>Kiểm tra từng thuộc tính có mặt; so sánh nguồn/role; không suy đoán từ kết quả render chưa có</x:v>
      </x:c>
      <x:c r="S55" t="str">
        <x:v>STRUCTURE_READ_EXISTING_WORKBOOK</x:v>
      </x:c>
      <x:c r="T55"/>
      <x:c r="U55" t="str">
        <x:v>Văn bản/OOXML: xác định đối tượng trước khi sửa</x:v>
      </x:c>
    </x:row>
    <x:row r="56">
      <x:c r="A56" t="n">
        <x:v>55</x:v>
      </x:c>
      <x:c r="B56" t="str">
        <x:v>ND30.C.KY.QUYEN_HAN.NOI_DUNG</x:v>
      </x:c>
      <x:c r="C56" t="str">
        <x:v>ND30.C.KY.QUYEN_HAN</x:v>
      </x:c>
      <x:c r="D56" t="str">
        <x:v>C</x:v>
      </x:c>
      <x:c r="E56" t="str">
        <x:v>Quyền hạn ký</x:v>
      </x:c>
      <x:c r="F56" t="str">
        <x:v>NOI_DUNG</x:v>
      </x:c>
      <x:c r="G56" t="str">
        <x:v>Quyền hạn ký</x:v>
      </x:c>
      <x:c r="H56"/>
      <x:c r="I56" t="str">
        <x:v>UNVERIFIED_ATTRIBUTE</x:v>
      </x:c>
      <x:c r="J56" t="str">
        <x:v>SOURCE_DESCRIPTION_NOT_APPROVAL</x:v>
      </x:c>
      <x:c r="K56" t="str">
        <x:v>Chỉ khi có khối người ký; cần chứng cứ thẩm quyền, chức vụ, người ký; tài liệu soạn thảo không tạo chữ ký</x:v>
      </x:c>
      <x:c r="L56" t="str">
        <x:v>Không tạo nhân thân/chức vụ/dấu/chữ ký; bảo toàn nơi nhận và thẩm quyền.</x:v>
      </x:c>
      <x:c r="M56"/>
      <x:c r="N56" t="str">
        <x:v>NĐ30, Phụ lục I, Phần I, II.7; V.7</x:v>
      </x:c>
      <x:c r="O56" t="str">
        <x:v>https://congbao.chinhphu.vn/van-ban/nghi-dinh-so-30-2020-nd-cp-30858/30246.htm</x:v>
      </x:c>
      <x:c r="P56" t="str">
        <x:v>PLUGIN:hoa-tieu-mien-bac-administrative-v1 | user_approved_visual_reference</x:v>
      </x:c>
      <x:c r="Q56" t="str">
        <x:v>CHECK_ONLY</x:v>
      </x:c>
      <x:c r="R56" t="str">
        <x:v>Kiểm tra từng thuộc tính có mặt; so sánh nguồn/role; không suy đoán từ kết quả render chưa có</x:v>
      </x:c>
      <x:c r="S56" t="str">
        <x:v>STRUCTURE_READ_EXISTING_WORKBOOK</x:v>
      </x:c>
      <x:c r="T56"/>
      <x:c r="U56" t="str">
        <x:v>Văn bản/OOXML: xác định đối tượng trước khi sửa</x:v>
      </x:c>
    </x:row>
    <x:row r="57">
      <x:c r="A57" t="n">
        <x:v>56</x:v>
      </x:c>
      <x:c r="B57" t="str">
        <x:v>ND30.C.KY.QUYEN_HAN.PHONG_CHU</x:v>
      </x:c>
      <x:c r="C57" t="str">
        <x:v>ND30.C.KY.QUYEN_HAN</x:v>
      </x:c>
      <x:c r="D57" t="str">
        <x:v>C</x:v>
      </x:c>
      <x:c r="E57" t="str">
        <x:v>Quyền hạn ký</x:v>
      </x:c>
      <x:c r="F57" t="str">
        <x:v>PHONG_CHU</x:v>
      </x:c>
      <x:c r="G57" t="str">
        <x:v>Times New Roman</x:v>
      </x:c>
      <x:c r="H57"/>
      <x:c r="I57" t="str">
        <x:v>UNVERIFIED_ATTRIBUTE</x:v>
      </x:c>
      <x:c r="J57" t="str">
        <x:v>PROFILE_PRESET_UNAPPROVED</x:v>
      </x:c>
      <x:c r="K57" t="str">
        <x:v>Chỉ khi có khối người ký; cần chứng cứ thẩm quyền, chức vụ, người ký; tài liệu soạn thảo không tạo chữ ký</x:v>
      </x:c>
      <x:c r="L57" t="str">
        <x:v>Không tạo nhân thân/chức vụ/dấu/chữ ký; bảo toàn nơi nhận và thẩm quyền.</x:v>
      </x:c>
      <x:c r="M57"/>
      <x:c r="N57" t="str">
        <x:v>NĐ30, Phụ lục I, Phần I, II.7; V.7</x:v>
      </x:c>
      <x:c r="O57" t="str">
        <x:v>https://congbao.chinhphu.vn/van-ban/nghi-dinh-so-30-2020-nd-cp-30858/30246.htm</x:v>
      </x:c>
      <x:c r="P57" t="str">
        <x:v>PLUGIN:hoa-tieu-mien-bac-administrative-v1 | user_approved_visual_reference</x:v>
      </x:c>
      <x:c r="Q57" t="str">
        <x:v>CHECK_ONLY</x:v>
      </x:c>
      <x:c r="R57" t="str">
        <x:v>Kiểm tra từng thuộc tính có mặt; so sánh nguồn/role; không suy đoán từ kết quả render chưa có</x:v>
      </x:c>
      <x:c r="S57" t="str">
        <x:v>STRUCTURE_READ_EXISTING_WORKBOOK</x:v>
      </x:c>
      <x:c r="T57"/>
      <x:c r="U57" t="str">
        <x:v>Văn bản/OOXML: xác định đối tượng trước khi sửa</x:v>
      </x:c>
    </x:row>
    <x:row r="58">
      <x:c r="A58" t="n">
        <x:v>57</x:v>
      </x:c>
      <x:c r="B58" t="str">
        <x:v>ND30.C.KY.QUYEN_HAN.CO_CHU</x:v>
      </x:c>
      <x:c r="C58" t="str">
        <x:v>ND30.C.KY.QUYEN_HAN</x:v>
      </x:c>
      <x:c r="D58" t="str">
        <x:v>C</x:v>
      </x:c>
      <x:c r="E58" t="str">
        <x:v>Quyền hạn ký</x:v>
      </x:c>
      <x:c r="F58" t="str">
        <x:v>CO_CHU</x:v>
      </x:c>
      <x:c r="G58" t="n">
        <x:v>14</x:v>
      </x:c>
      <x:c r="H58"/>
      <x:c r="I58" t="str">
        <x:v>UNVERIFIED_ATTRIBUTE</x:v>
      </x:c>
      <x:c r="J58" t="str">
        <x:v>PROFILE_PRESET_UNAPPROVED</x:v>
      </x:c>
      <x:c r="K58" t="str">
        <x:v>Chỉ khi có khối người ký; cần chứng cứ thẩm quyền, chức vụ, người ký; tài liệu soạn thảo không tạo chữ ký</x:v>
      </x:c>
      <x:c r="L58" t="str">
        <x:v>Không tạo nhân thân/chức vụ/dấu/chữ ký; bảo toàn nơi nhận và thẩm quyền.</x:v>
      </x:c>
      <x:c r="M58" t="str">
        <x:v>pt</x:v>
      </x:c>
      <x:c r="N58" t="str">
        <x:v>NĐ30, Phụ lục I, Phần I, II.7; V.7</x:v>
      </x:c>
      <x:c r="O58" t="str">
        <x:v>https://congbao.chinhphu.vn/van-ban/nghi-dinh-so-30-2020-nd-cp-30858/30246.htm</x:v>
      </x:c>
      <x:c r="P58" t="str">
        <x:v>PLUGIN:hoa-tieu-mien-bac-administrative-v1 | user_approved_visual_reference</x:v>
      </x:c>
      <x:c r="Q58" t="str">
        <x:v>CHECK_ONLY</x:v>
      </x:c>
      <x:c r="R58" t="str">
        <x:v>Kiểm tra từng thuộc tính có mặt; so sánh nguồn/role; không suy đoán từ kết quả render chưa có</x:v>
      </x:c>
      <x:c r="S58" t="str">
        <x:v>STRUCTURE_READ_EXISTING_WORKBOOK</x:v>
      </x:c>
      <x:c r="T58"/>
      <x:c r="U58" t="str">
        <x:v>Văn bản/OOXML: xác định đối tượng trước khi sửa</x:v>
      </x:c>
    </x:row>
    <x:row r="59">
      <x:c r="A59" t="n">
        <x:v>58</x:v>
      </x:c>
      <x:c r="B59" t="str">
        <x:v>ND30.C.KY.QUYEN_HAN.DAM</x:v>
      </x:c>
      <x:c r="C59" t="str">
        <x:v>ND30.C.KY.QUYEN_HAN</x:v>
      </x:c>
      <x:c r="D59" t="str">
        <x:v>C</x:v>
      </x:c>
      <x:c r="E59" t="str">
        <x:v>Quyền hạn ký</x:v>
      </x:c>
      <x:c r="F59" t="str">
        <x:v>DAM</x:v>
      </x:c>
      <x:c r="G59" t="str">
        <x:v>CÓ</x:v>
      </x:c>
      <x:c r="H59"/>
      <x:c r="I59" t="str">
        <x:v>UNVERIFIED_ATTRIBUTE</x:v>
      </x:c>
      <x:c r="J59" t="str">
        <x:v>PROFILE_PRESET_UNAPPROVED</x:v>
      </x:c>
      <x:c r="K59" t="str">
        <x:v>Chỉ khi có khối người ký; cần chứng cứ thẩm quyền, chức vụ, người ký; tài liệu soạn thảo không tạo chữ ký</x:v>
      </x:c>
      <x:c r="L59" t="str">
        <x:v>Không tạo nhân thân/chức vụ/dấu/chữ ký; bảo toàn nơi nhận và thẩm quyền.</x:v>
      </x:c>
      <x:c r="M59"/>
      <x:c r="N59" t="str">
        <x:v>NĐ30, Phụ lục I, Phần I, II.7; V.7</x:v>
      </x:c>
      <x:c r="O59" t="str">
        <x:v>https://congbao.chinhphu.vn/van-ban/nghi-dinh-so-30-2020-nd-cp-30858/30246.htm</x:v>
      </x:c>
      <x:c r="P59" t="str">
        <x:v>PLUGIN:hoa-tieu-mien-bac-administrative-v1 | user_approved_visual_reference</x:v>
      </x:c>
      <x:c r="Q59" t="str">
        <x:v>CHECK_ONLY</x:v>
      </x:c>
      <x:c r="R59" t="str">
        <x:v>Kiểm tra từng thuộc tính có mặt; so sánh nguồn/role; không suy đoán từ kết quả render chưa có</x:v>
      </x:c>
      <x:c r="S59" t="str">
        <x:v>STRUCTURE_READ_EXISTING_WORKBOOK</x:v>
      </x:c>
      <x:c r="T59"/>
      <x:c r="U59" t="str">
        <x:v>Văn bản/OOXML: xác định đối tượng trước khi sửa</x:v>
      </x:c>
    </x:row>
    <x:row r="60">
      <x:c r="A60" t="n">
        <x:v>59</x:v>
      </x:c>
      <x:c r="B60" t="str">
        <x:v>ND30.C.KY.QUYEN_HAN.NGHIENG</x:v>
      </x:c>
      <x:c r="C60" t="str">
        <x:v>ND30.C.KY.QUYEN_HAN</x:v>
      </x:c>
      <x:c r="D60" t="str">
        <x:v>C</x:v>
      </x:c>
      <x:c r="E60" t="str">
        <x:v>Quyền hạn ký</x:v>
      </x:c>
      <x:c r="F60" t="str">
        <x:v>NGHIENG</x:v>
      </x:c>
      <x:c r="G60" t="str">
        <x:v>KHÔNG</x:v>
      </x:c>
      <x:c r="H60"/>
      <x:c r="I60" t="str">
        <x:v>UNVERIFIED_ATTRIBUTE</x:v>
      </x:c>
      <x:c r="J60" t="str">
        <x:v>PROFILE_PRESET_UNAPPROVED</x:v>
      </x:c>
      <x:c r="K60" t="str">
        <x:v>Chỉ khi có khối người ký; cần chứng cứ thẩm quyền, chức vụ, người ký; tài liệu soạn thảo không tạo chữ ký</x:v>
      </x:c>
      <x:c r="L60" t="str">
        <x:v>Không tạo nhân thân/chức vụ/dấu/chữ ký; bảo toàn nơi nhận và thẩm quyền.</x:v>
      </x:c>
      <x:c r="M60"/>
      <x:c r="N60" t="str">
        <x:v>NĐ30, Phụ lục I, Phần I, II.7; V.7</x:v>
      </x:c>
      <x:c r="O60" t="str">
        <x:v>https://congbao.chinhphu.vn/van-ban/nghi-dinh-so-30-2020-nd-cp-30858/30246.htm</x:v>
      </x:c>
      <x:c r="P60" t="str">
        <x:v>PLUGIN:hoa-tieu-mien-bac-administrative-v1 | user_approved_visual_reference</x:v>
      </x:c>
      <x:c r="Q60" t="str">
        <x:v>CHECK_ONLY</x:v>
      </x:c>
      <x:c r="R60" t="str">
        <x:v>Kiểm tra từng thuộc tính có mặt; so sánh nguồn/role; không suy đoán từ kết quả render chưa có</x:v>
      </x:c>
      <x:c r="S60" t="str">
        <x:v>STRUCTURE_READ_EXISTING_WORKBOOK</x:v>
      </x:c>
      <x:c r="T60"/>
      <x:c r="U60" t="str">
        <x:v>Văn bản/OOXML: xác định đối tượng trước khi sửa</x:v>
      </x:c>
    </x:row>
    <x:row r="61">
      <x:c r="A61" t="n">
        <x:v>60</x:v>
      </x:c>
      <x:c r="B61" t="str">
        <x:v>ND30.C.KY.QUYEN_HAN.KIEU_CHU</x:v>
      </x:c>
      <x:c r="C61" t="str">
        <x:v>ND30.C.KY.QUYEN_HAN</x:v>
      </x:c>
      <x:c r="D61" t="str">
        <x:v>C</x:v>
      </x:c>
      <x:c r="E61" t="str">
        <x:v>Quyền hạn ký</x:v>
      </x:c>
      <x:c r="F61" t="str">
        <x:v>KIEU_CHU</x:v>
      </x:c>
      <x:c r="G61" t="str">
        <x:v>IN HOA</x:v>
      </x:c>
      <x:c r="H61"/>
      <x:c r="I61" t="str">
        <x:v>UNVERIFIED_ATTRIBUTE</x:v>
      </x:c>
      <x:c r="J61" t="str">
        <x:v>PROFILE_PRESET_UNAPPROVED</x:v>
      </x:c>
      <x:c r="K61" t="str">
        <x:v>Chỉ khi có khối người ký; cần chứng cứ thẩm quyền, chức vụ, người ký; tài liệu soạn thảo không tạo chữ ký</x:v>
      </x:c>
      <x:c r="L61" t="str">
        <x:v>Không tạo nhân thân/chức vụ/dấu/chữ ký; bảo toàn nơi nhận và thẩm quyền.</x:v>
      </x:c>
      <x:c r="M61"/>
      <x:c r="N61" t="str">
        <x:v>NĐ30, Phụ lục I, Phần I, II.7; V.7</x:v>
      </x:c>
      <x:c r="O61" t="str">
        <x:v>https://congbao.chinhphu.vn/van-ban/nghi-dinh-so-30-2020-nd-cp-30858/30246.htm</x:v>
      </x:c>
      <x:c r="P61" t="str">
        <x:v>PLUGIN:hoa-tieu-mien-bac-administrative-v1 | user_approved_visual_reference</x:v>
      </x:c>
      <x:c r="Q61" t="str">
        <x:v>CHECK_ONLY</x:v>
      </x:c>
      <x:c r="R61" t="str">
        <x:v>Kiểm tra từng thuộc tính có mặt; so sánh nguồn/role; không suy đoán từ kết quả render chưa có</x:v>
      </x:c>
      <x:c r="S61" t="str">
        <x:v>STRUCTURE_READ_EXISTING_WORKBOOK</x:v>
      </x:c>
      <x:c r="T61"/>
      <x:c r="U61" t="str">
        <x:v>Văn bản/OOXML: xác định đối tượng trước khi sửa</x:v>
      </x:c>
    </x:row>
    <x:row r="62">
      <x:c r="A62" t="n">
        <x:v>61</x:v>
      </x:c>
      <x:c r="B62" t="str">
        <x:v>ND30.C.KY.QUYEN_HAN.CAN_NGANG</x:v>
      </x:c>
      <x:c r="C62" t="str">
        <x:v>ND30.C.KY.QUYEN_HAN</x:v>
      </x:c>
      <x:c r="D62" t="str">
        <x:v>C</x:v>
      </x:c>
      <x:c r="E62" t="str">
        <x:v>Quyền hạn ký</x:v>
      </x:c>
      <x:c r="F62" t="str">
        <x:v>CAN_NGANG</x:v>
      </x:c>
      <x:c r="G62" t="str">
        <x:v>CENTER</x:v>
      </x:c>
      <x:c r="H62"/>
      <x:c r="I62" t="str">
        <x:v>UNVERIFIED_ATTRIBUTE</x:v>
      </x:c>
      <x:c r="J62" t="str">
        <x:v>PROFILE_PRESET_UNAPPROVED</x:v>
      </x:c>
      <x:c r="K62" t="str">
        <x:v>Chỉ khi có khối người ký; cần chứng cứ thẩm quyền, chức vụ, người ký; tài liệu soạn thảo không tạo chữ ký</x:v>
      </x:c>
      <x:c r="L62" t="str">
        <x:v>Không tạo nhân thân/chức vụ/dấu/chữ ký; bảo toàn nơi nhận và thẩm quyền.</x:v>
      </x:c>
      <x:c r="M62"/>
      <x:c r="N62" t="str">
        <x:v>NĐ30, Phụ lục I, Phần I, II.7; V.7</x:v>
      </x:c>
      <x:c r="O62" t="str">
        <x:v>https://congbao.chinhphu.vn/van-ban/nghi-dinh-so-30-2020-nd-cp-30858/30246.htm</x:v>
      </x:c>
      <x:c r="P62" t="str">
        <x:v>PLUGIN:hoa-tieu-mien-bac-administrative-v1 | user_approved_visual_reference</x:v>
      </x:c>
      <x:c r="Q62" t="str">
        <x:v>CHECK_ONLY</x:v>
      </x:c>
      <x:c r="R62" t="str">
        <x:v>Kiểm tra từng thuộc tính có mặt; so sánh nguồn/role; không suy đoán từ kết quả render chưa có</x:v>
      </x:c>
      <x:c r="S62" t="str">
        <x:v>STRUCTURE_READ_EXISTING_WORKBOOK</x:v>
      </x:c>
      <x:c r="T62"/>
      <x:c r="U62" t="str">
        <x:v>Văn bản/OOXML: xác định đối tượng trước khi sửa</x:v>
      </x:c>
    </x:row>
    <x:row r="63">
      <x:c r="A63" t="n">
        <x:v>62</x:v>
      </x:c>
      <x:c r="B63" t="str">
        <x:v>ND30.C.KY.QUYEN_HAN.GIAN_DONG</x:v>
      </x:c>
      <x:c r="C63" t="str">
        <x:v>ND30.C.KY.QUYEN_HAN</x:v>
      </x:c>
      <x:c r="D63" t="str">
        <x:v>C</x:v>
      </x:c>
      <x:c r="E63" t="str">
        <x:v>Quyền hạn ký</x:v>
      </x:c>
      <x:c r="F63" t="str">
        <x:v>GIAN_DONG</x:v>
      </x:c>
      <x:c r="G63" t="n">
        <x:v>1</x:v>
      </x:c>
      <x:c r="H63"/>
      <x:c r="I63" t="str">
        <x:v>UNVERIFIED_ATTRIBUTE</x:v>
      </x:c>
      <x:c r="J63" t="str">
        <x:v>PROFILE_PRESET_UNAPPROVED</x:v>
      </x:c>
      <x:c r="K63" t="str">
        <x:v>Chỉ khi có khối người ký; cần chứng cứ thẩm quyền, chức vụ, người ký; tài liệu soạn thảo không tạo chữ ký</x:v>
      </x:c>
      <x:c r="L63" t="str">
        <x:v>Không tạo nhân thân/chức vụ/dấu/chữ ký; bảo toàn nơi nhận và thẩm quyền.</x:v>
      </x:c>
      <x:c r="M63" t="str">
        <x:v>pt</x:v>
      </x:c>
      <x:c r="N63" t="str">
        <x:v>NĐ30, Phụ lục I, Phần I, II.7; V.7</x:v>
      </x:c>
      <x:c r="O63" t="str">
        <x:v>https://congbao.chinhphu.vn/van-ban/nghi-dinh-so-30-2020-nd-cp-30858/30246.htm</x:v>
      </x:c>
      <x:c r="P63" t="str">
        <x:v>PLUGIN:hoa-tieu-mien-bac-administrative-v1 | user_approved_visual_reference</x:v>
      </x:c>
      <x:c r="Q63" t="str">
        <x:v>CHECK_ONLY</x:v>
      </x:c>
      <x:c r="R63" t="str">
        <x:v>Kiểm tra từng thuộc tính có mặt; so sánh nguồn/role; không suy đoán từ kết quả render chưa có</x:v>
      </x:c>
      <x:c r="S63" t="str">
        <x:v>STRUCTURE_READ_EXISTING_WORKBOOK</x:v>
      </x:c>
      <x:c r="T63"/>
      <x:c r="U63" t="str">
        <x:v>Văn bản/OOXML: xác định đối tượng trước khi sửa</x:v>
      </x:c>
    </x:row>
    <x:row r="64">
      <x:c r="A64" t="n">
        <x:v>63</x:v>
      </x:c>
      <x:c r="B64" t="str">
        <x:v>ND30.C.KY.QUYEN_HAN.CACH_TRUOC</x:v>
      </x:c>
      <x:c r="C64" t="str">
        <x:v>ND30.C.KY.QUYEN_HAN</x:v>
      </x:c>
      <x:c r="D64" t="str">
        <x:v>C</x:v>
      </x:c>
      <x:c r="E64" t="str">
        <x:v>Quyền hạn ký</x:v>
      </x:c>
      <x:c r="F64" t="str">
        <x:v>CACH_TRUOC</x:v>
      </x:c>
      <x:c r="G64" t="n">
        <x:v>0</x:v>
      </x:c>
      <x:c r="H64"/>
      <x:c r="I64" t="str">
        <x:v>UNVERIFIED_ATTRIBUTE</x:v>
      </x:c>
      <x:c r="J64" t="str">
        <x:v>PROFILE_PRESET_UNAPPROVED</x:v>
      </x:c>
      <x:c r="K64" t="str">
        <x:v>Chỉ khi có khối người ký; cần chứng cứ thẩm quyền, chức vụ, người ký; tài liệu soạn thảo không tạo chữ ký</x:v>
      </x:c>
      <x:c r="L64" t="str">
        <x:v>Không tạo nhân thân/chức vụ/dấu/chữ ký; bảo toàn nơi nhận và thẩm quyền.</x:v>
      </x:c>
      <x:c r="M64" t="str">
        <x:v>pt</x:v>
      </x:c>
      <x:c r="N64" t="str">
        <x:v>NĐ30, Phụ lục I, Phần I, II.7; V.7</x:v>
      </x:c>
      <x:c r="O64" t="str">
        <x:v>https://congbao.chinhphu.vn/van-ban/nghi-dinh-so-30-2020-nd-cp-30858/30246.htm</x:v>
      </x:c>
      <x:c r="P64" t="str">
        <x:v>PLUGIN:hoa-tieu-mien-bac-administrative-v1 | user_approved_visual_reference</x:v>
      </x:c>
      <x:c r="Q64" t="str">
        <x:v>CHECK_ONLY</x:v>
      </x:c>
      <x:c r="R64" t="str">
        <x:v>Kiểm tra từng thuộc tính có mặt; so sánh nguồn/role; không suy đoán từ kết quả render chưa có</x:v>
      </x:c>
      <x:c r="S64" t="str">
        <x:v>STRUCTURE_READ_EXISTING_WORKBOOK</x:v>
      </x:c>
      <x:c r="T64"/>
      <x:c r="U64" t="str">
        <x:v>Văn bản/OOXML: xác định đối tượng trước khi sửa</x:v>
      </x:c>
    </x:row>
    <x:row r="65">
      <x:c r="A65" t="n">
        <x:v>64</x:v>
      </x:c>
      <x:c r="B65" t="str">
        <x:v>ND30.C.KY.QUYEN_HAN.CACH_SAU</x:v>
      </x:c>
      <x:c r="C65" t="str">
        <x:v>ND30.C.KY.QUYEN_HAN</x:v>
      </x:c>
      <x:c r="D65" t="str">
        <x:v>C</x:v>
      </x:c>
      <x:c r="E65" t="str">
        <x:v>Quyền hạn ký</x:v>
      </x:c>
      <x:c r="F65" t="str">
        <x:v>CACH_SAU</x:v>
      </x:c>
      <x:c r="G65" t="n">
        <x:v>0</x:v>
      </x:c>
      <x:c r="H65"/>
      <x:c r="I65" t="str">
        <x:v>UNVERIFIED_ATTRIBUTE</x:v>
      </x:c>
      <x:c r="J65" t="str">
        <x:v>PROFILE_PRESET_UNAPPROVED</x:v>
      </x:c>
      <x:c r="K65" t="str">
        <x:v>Chỉ khi có khối người ký; cần chứng cứ thẩm quyền, chức vụ, người ký; tài liệu soạn thảo không tạo chữ ký</x:v>
      </x:c>
      <x:c r="L65" t="str">
        <x:v>Không tạo nhân thân/chức vụ/dấu/chữ ký; bảo toàn nơi nhận và thẩm quyền.</x:v>
      </x:c>
      <x:c r="M65" t="str">
        <x:v>pt</x:v>
      </x:c>
      <x:c r="N65" t="str">
        <x:v>NĐ30, Phụ lục I, Phần I, II.7; V.7</x:v>
      </x:c>
      <x:c r="O65" t="str">
        <x:v>https://congbao.chinhphu.vn/van-ban/nghi-dinh-so-30-2020-nd-cp-30858/30246.htm</x:v>
      </x:c>
      <x:c r="P65" t="str">
        <x:v>PLUGIN:hoa-tieu-mien-bac-administrative-v1 | user_approved_visual_reference</x:v>
      </x:c>
      <x:c r="Q65" t="str">
        <x:v>CHECK_ONLY</x:v>
      </x:c>
      <x:c r="R65" t="str">
        <x:v>Kiểm tra từng thuộc tính có mặt; so sánh nguồn/role; không suy đoán từ kết quả render chưa có</x:v>
      </x:c>
      <x:c r="S65" t="str">
        <x:v>STRUCTURE_READ_EXISTING_WORKBOOK</x:v>
      </x:c>
      <x:c r="T65"/>
      <x:c r="U65" t="str">
        <x:v>Văn bản/OOXML: xác định đối tượng trước khi sửa</x:v>
      </x:c>
    </x:row>
    <x:row r="66">
      <x:c r="A66" t="n">
        <x:v>65</x:v>
      </x:c>
      <x:c r="B66" t="str">
        <x:v>ND30.C.KY.QUYEN_HAN.VI_TRI</x:v>
      </x:c>
      <x:c r="C66" t="str">
        <x:v>ND30.C.KY.QUYEN_HAN</x:v>
      </x:c>
      <x:c r="D66" t="str">
        <x:v>C</x:v>
      </x:c>
      <x:c r="E66" t="str">
        <x:v>Quyền hạn ký</x:v>
      </x:c>
      <x:c r="F66" t="str">
        <x:v>VI_TRI</x:v>
      </x:c>
      <x:c r="G66" t="str">
        <x:v>KHỐI PHẢI</x:v>
      </x:c>
      <x:c r="H66"/>
      <x:c r="I66" t="str">
        <x:v>UNVERIFIED_ATTRIBUTE</x:v>
      </x:c>
      <x:c r="J66" t="str">
        <x:v>PROFILE_PRESET_UNAPPROVED</x:v>
      </x:c>
      <x:c r="K66" t="str">
        <x:v>Chỉ khi có khối người ký; cần chứng cứ thẩm quyền, chức vụ, người ký; tài liệu soạn thảo không tạo chữ ký</x:v>
      </x:c>
      <x:c r="L66" t="str">
        <x:v>Không tạo nhân thân/chức vụ/dấu/chữ ký; bảo toàn nơi nhận và thẩm quyền.</x:v>
      </x:c>
      <x:c r="M66"/>
      <x:c r="N66" t="str">
        <x:v>NĐ30, Phụ lục I, Phần I, II.7; V.7</x:v>
      </x:c>
      <x:c r="O66" t="str">
        <x:v>https://congbao.chinhphu.vn/van-ban/nghi-dinh-so-30-2020-nd-cp-30858/30246.htm</x:v>
      </x:c>
      <x:c r="P66" t="str">
        <x:v>PLUGIN:hoa-tieu-mien-bac-administrative-v1 | user_approved_visual_reference</x:v>
      </x:c>
      <x:c r="Q66" t="str">
        <x:v>CHECK_ONLY</x:v>
      </x:c>
      <x:c r="R66" t="str">
        <x:v>Kiểm tra từng thuộc tính có mặt; so sánh nguồn/role; không suy đoán từ kết quả render chưa có</x:v>
      </x:c>
      <x:c r="S66" t="str">
        <x:v>STRUCTURE_READ_EXISTING_WORKBOOK</x:v>
      </x:c>
      <x:c r="T66"/>
      <x:c r="U66" t="str">
        <x:v>Văn bản/OOXML: xác định đối tượng trước khi sửa</x:v>
      </x:c>
    </x:row>
    <x:row r="67">
      <x:c r="A67" t="n">
        <x:v>66</x:v>
      </x:c>
      <x:c r="B67" t="str">
        <x:v>ND30.C.KY.QUYEN_HAN.KEEP_NEXT</x:v>
      </x:c>
      <x:c r="C67" t="str">
        <x:v>ND30.C.KY.QUYEN_HAN</x:v>
      </x:c>
      <x:c r="D67" t="str">
        <x:v>C</x:v>
      </x:c>
      <x:c r="E67" t="str">
        <x:v>Quyền hạn ký</x:v>
      </x:c>
      <x:c r="F67" t="str">
        <x:v>KEEP_NEXT</x:v>
      </x:c>
      <x:c r="G67"/>
      <x:c r="H67"/>
      <x:c r="I67" t="str">
        <x:v>UNVERIFIED_ATTRIBUTE</x:v>
      </x:c>
      <x:c r="J67" t="str">
        <x:v>BLOCKED_NO_ATTRIBUTE_VALUE</x:v>
      </x:c>
      <x:c r="K67" t="str">
        <x:v>Chỉ khi có khối người ký; cần chứng cứ thẩm quyền, chức vụ, người ký; tài liệu soạn thảo không tạo chữ ký</x:v>
      </x:c>
      <x:c r="L67" t="str">
        <x:v>Không tạo nhân thân/chức vụ/dấu/chữ ký; bảo toàn nơi nhận và thẩm quyền.</x:v>
      </x:c>
      <x:c r="M67"/>
      <x:c r="N67" t="str">
        <x:v>NĐ30, Phụ lục I, Phần I, II.7; V.7</x:v>
      </x:c>
      <x:c r="O67" t="str">
        <x:v>https://congbao.chinhphu.vn/van-ban/nghi-dinh-so-30-2020-nd-cp-30858/30246.htm</x:v>
      </x:c>
      <x:c r="P67" t="str">
        <x:v>PLUGIN:hoa-tieu-mien-bac-administrative-v1 | user_approved_visual_reference</x:v>
      </x:c>
      <x:c r="Q67" t="str">
        <x:v>CHECK_ONLY</x:v>
      </x:c>
      <x:c r="R67" t="str">
        <x:v>Kiểm tra từng thuộc tính có mặt; so sánh nguồn/role; không suy đoán từ kết quả render chưa có</x:v>
      </x:c>
      <x:c r="S67" t="str">
        <x:v>RULE_INFERENCE_NOT_MEASURED</x:v>
      </x:c>
      <x:c r="T67" t="str">
        <x:v>Xác minh căn cứ theo loại văn bản / tài liệu phát hành hoặc phê duyệt</x:v>
      </x:c>
      <x:c r="U67" t="str">
        <x:v>Văn bản/OOXML: xác định đối tượng trước khi sửa</x:v>
      </x:c>
    </x:row>
    <x:row r="68">
      <x:c r="A68" t="n">
        <x:v>67</x:v>
      </x:c>
      <x:c r="B68" t="str">
        <x:v>ND30.C.KY.CHUC_VU.HIEN_DIEN</x:v>
      </x:c>
      <x:c r="C68" t="str">
        <x:v>ND30.C.KY.CHUC_VU</x:v>
      </x:c>
      <x:c r="D68" t="str">
        <x:v>C</x:v>
      </x:c>
      <x:c r="E68" t="str">
        <x:v>Chức vụ/chức danh người ký</x:v>
      </x:c>
      <x:c r="F68" t="str">
        <x:v>HIEN_DIEN</x:v>
      </x:c>
      <x:c r="G68" t="str">
        <x:v>Khối ký tùy thẩm quyền/loại văn bản</x:v>
      </x:c>
      <x:c r="H68"/>
      <x:c r="I68" t="str">
        <x:v>UNVERIFIED_ATTRIBUTE</x:v>
      </x:c>
      <x:c r="J68" t="str">
        <x:v>SOURCE_DESCRIPTION_NOT_APPROVAL</x:v>
      </x:c>
      <x:c r="K68" t="str">
        <x:v>Chỉ khi có khối người ký; cần chứng cứ thẩm quyền, chức vụ, người ký; tài liệu soạn thảo không tạo chữ ký</x:v>
      </x:c>
      <x:c r="L68" t="str">
        <x:v>Không tạo nhân thân/chức vụ/dấu/chữ ký; bảo toàn nơi nhận và thẩm quyền.</x:v>
      </x:c>
      <x:c r="M68"/>
      <x:c r="N68" t="str">
        <x:v>NĐ30, Phụ lục I, Phần I, II.7; V.7</x:v>
      </x:c>
      <x:c r="O68" t="str">
        <x:v>https://congbao.chinhphu.vn/van-ban/nghi-dinh-so-30-2020-nd-cp-30858/30246.htm</x:v>
      </x:c>
      <x:c r="P68" t="str">
        <x:v>PLUGIN:hoa-tieu-mien-bac-administrative-v1 | user_approved_visual_reference</x:v>
      </x:c>
      <x:c r="Q68" t="str">
        <x:v>CHECK_ONLY</x:v>
      </x:c>
      <x:c r="R68" t="str">
        <x:v>Kiểm tra từng thuộc tính có mặt; so sánh nguồn/role; không suy đoán từ kết quả render chưa có</x:v>
      </x:c>
      <x:c r="S68" t="str">
        <x:v>STRUCTURE_READ_EXISTING_WORKBOOK</x:v>
      </x:c>
      <x:c r="T68"/>
      <x:c r="U68" t="str">
        <x:v>Văn bản/OOXML: xác định đối tượng trước khi sửa</x:v>
      </x:c>
    </x:row>
    <x:row r="69">
      <x:c r="A69" t="n">
        <x:v>68</x:v>
      </x:c>
      <x:c r="B69" t="str">
        <x:v>ND30.C.KY.CHUC_VU.NOI_DUNG</x:v>
      </x:c>
      <x:c r="C69" t="str">
        <x:v>ND30.C.KY.CHUC_VU</x:v>
      </x:c>
      <x:c r="D69" t="str">
        <x:v>C</x:v>
      </x:c>
      <x:c r="E69" t="str">
        <x:v>Chức vụ/chức danh người ký</x:v>
      </x:c>
      <x:c r="F69" t="str">
        <x:v>NOI_DUNG</x:v>
      </x:c>
      <x:c r="G69" t="str">
        <x:v>Chức vụ/chức danh người ký</x:v>
      </x:c>
      <x:c r="H69"/>
      <x:c r="I69" t="str">
        <x:v>UNVERIFIED_ATTRIBUTE</x:v>
      </x:c>
      <x:c r="J69" t="str">
        <x:v>SOURCE_DESCRIPTION_NOT_APPROVAL</x:v>
      </x:c>
      <x:c r="K69" t="str">
        <x:v>Chỉ khi có khối người ký; cần chứng cứ thẩm quyền, chức vụ, người ký; tài liệu soạn thảo không tạo chữ ký</x:v>
      </x:c>
      <x:c r="L69" t="str">
        <x:v>Không tạo nhân thân/chức vụ/dấu/chữ ký; bảo toàn nơi nhận và thẩm quyền.</x:v>
      </x:c>
      <x:c r="M69"/>
      <x:c r="N69" t="str">
        <x:v>NĐ30, Phụ lục I, Phần I, II.7; V.7</x:v>
      </x:c>
      <x:c r="O69" t="str">
        <x:v>https://congbao.chinhphu.vn/van-ban/nghi-dinh-so-30-2020-nd-cp-30858/30246.htm</x:v>
      </x:c>
      <x:c r="P69" t="str">
        <x:v>PLUGIN:hoa-tieu-mien-bac-administrative-v1 | user_approved_visual_reference</x:v>
      </x:c>
      <x:c r="Q69" t="str">
        <x:v>CHECK_ONLY</x:v>
      </x:c>
      <x:c r="R69" t="str">
        <x:v>Kiểm tra từng thuộc tính có mặt; so sánh nguồn/role; không suy đoán từ kết quả render chưa có</x:v>
      </x:c>
      <x:c r="S69" t="str">
        <x:v>STRUCTURE_READ_EXISTING_WORKBOOK</x:v>
      </x:c>
      <x:c r="T69"/>
      <x:c r="U69" t="str">
        <x:v>Văn bản/OOXML: xác định đối tượng trước khi sửa</x:v>
      </x:c>
    </x:row>
    <x:row r="70">
      <x:c r="A70" t="n">
        <x:v>69</x:v>
      </x:c>
      <x:c r="B70" t="str">
        <x:v>ND30.C.KY.CHUC_VU.PHONG_CHU</x:v>
      </x:c>
      <x:c r="C70" t="str">
        <x:v>ND30.C.KY.CHUC_VU</x:v>
      </x:c>
      <x:c r="D70" t="str">
        <x:v>C</x:v>
      </x:c>
      <x:c r="E70" t="str">
        <x:v>Chức vụ/chức danh người ký</x:v>
      </x:c>
      <x:c r="F70" t="str">
        <x:v>PHONG_CHU</x:v>
      </x:c>
      <x:c r="G70" t="str">
        <x:v>Times New Roman</x:v>
      </x:c>
      <x:c r="H70"/>
      <x:c r="I70" t="str">
        <x:v>UNVERIFIED_ATTRIBUTE</x:v>
      </x:c>
      <x:c r="J70" t="str">
        <x:v>PROFILE_PRESET_UNAPPROVED</x:v>
      </x:c>
      <x:c r="K70" t="str">
        <x:v>Chỉ khi có khối người ký; cần chứng cứ thẩm quyền, chức vụ, người ký; tài liệu soạn thảo không tạo chữ ký</x:v>
      </x:c>
      <x:c r="L70" t="str">
        <x:v>Không tạo nhân thân/chức vụ/dấu/chữ ký; bảo toàn nơi nhận và thẩm quyền.</x:v>
      </x:c>
      <x:c r="M70"/>
      <x:c r="N70" t="str">
        <x:v>NĐ30, Phụ lục I, Phần I, II.7; V.7</x:v>
      </x:c>
      <x:c r="O70" t="str">
        <x:v>https://congbao.chinhphu.vn/van-ban/nghi-dinh-so-30-2020-nd-cp-30858/30246.htm</x:v>
      </x:c>
      <x:c r="P70" t="str">
        <x:v>PLUGIN:hoa-tieu-mien-bac-administrative-v1 | user_approved_visual_reference</x:v>
      </x:c>
      <x:c r="Q70" t="str">
        <x:v>CHECK_ONLY</x:v>
      </x:c>
      <x:c r="R70" t="str">
        <x:v>Kiểm tra từng thuộc tính có mặt; so sánh nguồn/role; không suy đoán từ kết quả render chưa có</x:v>
      </x:c>
      <x:c r="S70" t="str">
        <x:v>STRUCTURE_READ_EXISTING_WORKBOOK</x:v>
      </x:c>
      <x:c r="T70"/>
      <x:c r="U70" t="str">
        <x:v>Văn bản/OOXML: xác định đối tượng trước khi sửa</x:v>
      </x:c>
    </x:row>
    <x:row r="71">
      <x:c r="A71" t="n">
        <x:v>70</x:v>
      </x:c>
      <x:c r="B71" t="str">
        <x:v>ND30.C.KY.CHUC_VU.CO_CHU</x:v>
      </x:c>
      <x:c r="C71" t="str">
        <x:v>ND30.C.KY.CHUC_VU</x:v>
      </x:c>
      <x:c r="D71" t="str">
        <x:v>C</x:v>
      </x:c>
      <x:c r="E71" t="str">
        <x:v>Chức vụ/chức danh người ký</x:v>
      </x:c>
      <x:c r="F71" t="str">
        <x:v>CO_CHU</x:v>
      </x:c>
      <x:c r="G71" t="n">
        <x:v>14</x:v>
      </x:c>
      <x:c r="H71"/>
      <x:c r="I71" t="str">
        <x:v>UNVERIFIED_ATTRIBUTE</x:v>
      </x:c>
      <x:c r="J71" t="str">
        <x:v>PROFILE_PRESET_UNAPPROVED</x:v>
      </x:c>
      <x:c r="K71" t="str">
        <x:v>Chỉ khi có khối người ký; cần chứng cứ thẩm quyền, chức vụ, người ký; tài liệu soạn thảo không tạo chữ ký</x:v>
      </x:c>
      <x:c r="L71" t="str">
        <x:v>Không tạo nhân thân/chức vụ/dấu/chữ ký; bảo toàn nơi nhận và thẩm quyền.</x:v>
      </x:c>
      <x:c r="M71" t="str">
        <x:v>pt</x:v>
      </x:c>
      <x:c r="N71" t="str">
        <x:v>NĐ30, Phụ lục I, Phần I, II.7; V.7</x:v>
      </x:c>
      <x:c r="O71" t="str">
        <x:v>https://congbao.chinhphu.vn/van-ban/nghi-dinh-so-30-2020-nd-cp-30858/30246.htm</x:v>
      </x:c>
      <x:c r="P71" t="str">
        <x:v>PLUGIN:hoa-tieu-mien-bac-administrative-v1 | user_approved_visual_reference</x:v>
      </x:c>
      <x:c r="Q71" t="str">
        <x:v>CHECK_ONLY</x:v>
      </x:c>
      <x:c r="R71" t="str">
        <x:v>Kiểm tra từng thuộc tính có mặt; so sánh nguồn/role; không suy đoán từ kết quả render chưa có</x:v>
      </x:c>
      <x:c r="S71" t="str">
        <x:v>STRUCTURE_READ_EXISTING_WORKBOOK</x:v>
      </x:c>
      <x:c r="T71"/>
      <x:c r="U71" t="str">
        <x:v>Văn bản/OOXML: xác định đối tượng trước khi sửa</x:v>
      </x:c>
    </x:row>
    <x:row r="72">
      <x:c r="A72" t="n">
        <x:v>71</x:v>
      </x:c>
      <x:c r="B72" t="str">
        <x:v>ND30.C.KY.CHUC_VU.DAM</x:v>
      </x:c>
      <x:c r="C72" t="str">
        <x:v>ND30.C.KY.CHUC_VU</x:v>
      </x:c>
      <x:c r="D72" t="str">
        <x:v>C</x:v>
      </x:c>
      <x:c r="E72" t="str">
        <x:v>Chức vụ/chức danh người ký</x:v>
      </x:c>
      <x:c r="F72" t="str">
        <x:v>DAM</x:v>
      </x:c>
      <x:c r="G72" t="str">
        <x:v>CÓ</x:v>
      </x:c>
      <x:c r="H72"/>
      <x:c r="I72" t="str">
        <x:v>UNVERIFIED_ATTRIBUTE</x:v>
      </x:c>
      <x:c r="J72" t="str">
        <x:v>PROFILE_PRESET_UNAPPROVED</x:v>
      </x:c>
      <x:c r="K72" t="str">
        <x:v>Chỉ khi có khối người ký; cần chứng cứ thẩm quyền, chức vụ, người ký; tài liệu soạn thảo không tạo chữ ký</x:v>
      </x:c>
      <x:c r="L72" t="str">
        <x:v>Không tạo nhân thân/chức vụ/dấu/chữ ký; bảo toàn nơi nhận và thẩm quyền.</x:v>
      </x:c>
      <x:c r="M72"/>
      <x:c r="N72" t="str">
        <x:v>NĐ30, Phụ lục I, Phần I, II.7; V.7</x:v>
      </x:c>
      <x:c r="O72" t="str">
        <x:v>https://congbao.chinhphu.vn/van-ban/nghi-dinh-so-30-2020-nd-cp-30858/30246.htm</x:v>
      </x:c>
      <x:c r="P72" t="str">
        <x:v>PLUGIN:hoa-tieu-mien-bac-administrative-v1 | user_approved_visual_reference</x:v>
      </x:c>
      <x:c r="Q72" t="str">
        <x:v>CHECK_ONLY</x:v>
      </x:c>
      <x:c r="R72" t="str">
        <x:v>Kiểm tra từng thuộc tính có mặt; so sánh nguồn/role; không suy đoán từ kết quả render chưa có</x:v>
      </x:c>
      <x:c r="S72" t="str">
        <x:v>STRUCTURE_READ_EXISTING_WORKBOOK</x:v>
      </x:c>
      <x:c r="T72"/>
      <x:c r="U72" t="str">
        <x:v>Văn bản/OOXML: xác định đối tượng trước khi sửa</x:v>
      </x:c>
    </x:row>
    <x:row r="73">
      <x:c r="A73" t="n">
        <x:v>72</x:v>
      </x:c>
      <x:c r="B73" t="str">
        <x:v>ND30.C.KY.CHUC_VU.NGHIENG</x:v>
      </x:c>
      <x:c r="C73" t="str">
        <x:v>ND30.C.KY.CHUC_VU</x:v>
      </x:c>
      <x:c r="D73" t="str">
        <x:v>C</x:v>
      </x:c>
      <x:c r="E73" t="str">
        <x:v>Chức vụ/chức danh người ký</x:v>
      </x:c>
      <x:c r="F73" t="str">
        <x:v>NGHIENG</x:v>
      </x:c>
      <x:c r="G73" t="str">
        <x:v>KHÔNG</x:v>
      </x:c>
      <x:c r="H73"/>
      <x:c r="I73" t="str">
        <x:v>UNVERIFIED_ATTRIBUTE</x:v>
      </x:c>
      <x:c r="J73" t="str">
        <x:v>PROFILE_PRESET_UNAPPROVED</x:v>
      </x:c>
      <x:c r="K73" t="str">
        <x:v>Chỉ khi có khối người ký; cần chứng cứ thẩm quyền, chức vụ, người ký; tài liệu soạn thảo không tạo chữ ký</x:v>
      </x:c>
      <x:c r="L73" t="str">
        <x:v>Không tạo nhân thân/chức vụ/dấu/chữ ký; bảo toàn nơi nhận và thẩm quyền.</x:v>
      </x:c>
      <x:c r="M73"/>
      <x:c r="N73" t="str">
        <x:v>NĐ30, Phụ lục I, Phần I, II.7; V.7</x:v>
      </x:c>
      <x:c r="O73" t="str">
        <x:v>https://congbao.chinhphu.vn/van-ban/nghi-dinh-so-30-2020-nd-cp-30858/30246.htm</x:v>
      </x:c>
      <x:c r="P73" t="str">
        <x:v>PLUGIN:hoa-tieu-mien-bac-administrative-v1 | user_approved_visual_reference</x:v>
      </x:c>
      <x:c r="Q73" t="str">
        <x:v>CHECK_ONLY</x:v>
      </x:c>
      <x:c r="R73" t="str">
        <x:v>Kiểm tra từng thuộc tính có mặt; so sánh nguồn/role; không suy đoán từ kết quả render chưa có</x:v>
      </x:c>
      <x:c r="S73" t="str">
        <x:v>STRUCTURE_READ_EXISTING_WORKBOOK</x:v>
      </x:c>
      <x:c r="T73"/>
      <x:c r="U73" t="str">
        <x:v>Văn bản/OOXML: xác định đối tượng trước khi sửa</x:v>
      </x:c>
    </x:row>
    <x:row r="74">
      <x:c r="A74" t="n">
        <x:v>73</x:v>
      </x:c>
      <x:c r="B74" t="str">
        <x:v>ND30.C.KY.CHUC_VU.KIEU_CHU</x:v>
      </x:c>
      <x:c r="C74" t="str">
        <x:v>ND30.C.KY.CHUC_VU</x:v>
      </x:c>
      <x:c r="D74" t="str">
        <x:v>C</x:v>
      </x:c>
      <x:c r="E74" t="str">
        <x:v>Chức vụ/chức danh người ký</x:v>
      </x:c>
      <x:c r="F74" t="str">
        <x:v>KIEU_CHU</x:v>
      </x:c>
      <x:c r="G74" t="str">
        <x:v>IN HOA</x:v>
      </x:c>
      <x:c r="H74"/>
      <x:c r="I74" t="str">
        <x:v>UNVERIFIED_ATTRIBUTE</x:v>
      </x:c>
      <x:c r="J74" t="str">
        <x:v>PROFILE_PRESET_UNAPPROVED</x:v>
      </x:c>
      <x:c r="K74" t="str">
        <x:v>Chỉ khi có khối người ký; cần chứng cứ thẩm quyền, chức vụ, người ký; tài liệu soạn thảo không tạo chữ ký</x:v>
      </x:c>
      <x:c r="L74" t="str">
        <x:v>Không tạo nhân thân/chức vụ/dấu/chữ ký; bảo toàn nơi nhận và thẩm quyền.</x:v>
      </x:c>
      <x:c r="M74"/>
      <x:c r="N74" t="str">
        <x:v>NĐ30, Phụ lục I, Phần I, II.7; V.7</x:v>
      </x:c>
      <x:c r="O74" t="str">
        <x:v>https://congbao.chinhphu.vn/van-ban/nghi-dinh-so-30-2020-nd-cp-30858/30246.htm</x:v>
      </x:c>
      <x:c r="P74" t="str">
        <x:v>PLUGIN:hoa-tieu-mien-bac-administrative-v1 | user_approved_visual_reference</x:v>
      </x:c>
      <x:c r="Q74" t="str">
        <x:v>CHECK_ONLY</x:v>
      </x:c>
      <x:c r="R74" t="str">
        <x:v>Kiểm tra từng thuộc tính có mặt; so sánh nguồn/role; không suy đoán từ kết quả render chưa có</x:v>
      </x:c>
      <x:c r="S74" t="str">
        <x:v>STRUCTURE_READ_EXISTING_WORKBOOK</x:v>
      </x:c>
      <x:c r="T74"/>
      <x:c r="U74" t="str">
        <x:v>Văn bản/OOXML: xác định đối tượng trước khi sửa</x:v>
      </x:c>
    </x:row>
    <x:row r="75">
      <x:c r="A75" t="n">
        <x:v>74</x:v>
      </x:c>
      <x:c r="B75" t="str">
        <x:v>ND30.C.KY.CHUC_VU.CAN_NGANG</x:v>
      </x:c>
      <x:c r="C75" t="str">
        <x:v>ND30.C.KY.CHUC_VU</x:v>
      </x:c>
      <x:c r="D75" t="str">
        <x:v>C</x:v>
      </x:c>
      <x:c r="E75" t="str">
        <x:v>Chức vụ/chức danh người ký</x:v>
      </x:c>
      <x:c r="F75" t="str">
        <x:v>CAN_NGANG</x:v>
      </x:c>
      <x:c r="G75" t="str">
        <x:v>CENTER</x:v>
      </x:c>
      <x:c r="H75"/>
      <x:c r="I75" t="str">
        <x:v>UNVERIFIED_ATTRIBUTE</x:v>
      </x:c>
      <x:c r="J75" t="str">
        <x:v>PROFILE_PRESET_UNAPPROVED</x:v>
      </x:c>
      <x:c r="K75" t="str">
        <x:v>Chỉ khi có khối người ký; cần chứng cứ thẩm quyền, chức vụ, người ký; tài liệu soạn thảo không tạo chữ ký</x:v>
      </x:c>
      <x:c r="L75" t="str">
        <x:v>Không tạo nhân thân/chức vụ/dấu/chữ ký; bảo toàn nơi nhận và thẩm quyền.</x:v>
      </x:c>
      <x:c r="M75"/>
      <x:c r="N75" t="str">
        <x:v>NĐ30, Phụ lục I, Phần I, II.7; V.7</x:v>
      </x:c>
      <x:c r="O75" t="str">
        <x:v>https://congbao.chinhphu.vn/van-ban/nghi-dinh-so-30-2020-nd-cp-30858/30246.htm</x:v>
      </x:c>
      <x:c r="P75" t="str">
        <x:v>PLUGIN:hoa-tieu-mien-bac-administrative-v1 | user_approved_visual_reference</x:v>
      </x:c>
      <x:c r="Q75" t="str">
        <x:v>CHECK_ONLY</x:v>
      </x:c>
      <x:c r="R75" t="str">
        <x:v>Kiểm tra từng thuộc tính có mặt; so sánh nguồn/role; không suy đoán từ kết quả render chưa có</x:v>
      </x:c>
      <x:c r="S75" t="str">
        <x:v>STRUCTURE_READ_EXISTING_WORKBOOK</x:v>
      </x:c>
      <x:c r="T75"/>
      <x:c r="U75" t="str">
        <x:v>Văn bản/OOXML: xác định đối tượng trước khi sửa</x:v>
      </x:c>
    </x:row>
    <x:row r="76">
      <x:c r="A76" t="n">
        <x:v>75</x:v>
      </x:c>
      <x:c r="B76" t="str">
        <x:v>ND30.C.KY.CHUC_VU.GIAN_DONG</x:v>
      </x:c>
      <x:c r="C76" t="str">
        <x:v>ND30.C.KY.CHUC_VU</x:v>
      </x:c>
      <x:c r="D76" t="str">
        <x:v>C</x:v>
      </x:c>
      <x:c r="E76" t="str">
        <x:v>Chức vụ/chức danh người ký</x:v>
      </x:c>
      <x:c r="F76" t="str">
        <x:v>GIAN_DONG</x:v>
      </x:c>
      <x:c r="G76" t="n">
        <x:v>1</x:v>
      </x:c>
      <x:c r="H76"/>
      <x:c r="I76" t="str">
        <x:v>UNVERIFIED_ATTRIBUTE</x:v>
      </x:c>
      <x:c r="J76" t="str">
        <x:v>PROFILE_PRESET_UNAPPROVED</x:v>
      </x:c>
      <x:c r="K76" t="str">
        <x:v>Chỉ khi có khối người ký; cần chứng cứ thẩm quyền, chức vụ, người ký; tài liệu soạn thảo không tạo chữ ký</x:v>
      </x:c>
      <x:c r="L76" t="str">
        <x:v>Không tạo nhân thân/chức vụ/dấu/chữ ký; bảo toàn nơi nhận và thẩm quyền.</x:v>
      </x:c>
      <x:c r="M76" t="str">
        <x:v>pt</x:v>
      </x:c>
      <x:c r="N76" t="str">
        <x:v>NĐ30, Phụ lục I, Phần I, II.7; V.7</x:v>
      </x:c>
      <x:c r="O76" t="str">
        <x:v>https://congbao.chinhphu.vn/van-ban/nghi-dinh-so-30-2020-nd-cp-30858/30246.htm</x:v>
      </x:c>
      <x:c r="P76" t="str">
        <x:v>PLUGIN:hoa-tieu-mien-bac-administrative-v1 | user_approved_visual_reference</x:v>
      </x:c>
      <x:c r="Q76" t="str">
        <x:v>CHECK_ONLY</x:v>
      </x:c>
      <x:c r="R76" t="str">
        <x:v>Kiểm tra từng thuộc tính có mặt; so sánh nguồn/role; không suy đoán từ kết quả render chưa có</x:v>
      </x:c>
      <x:c r="S76" t="str">
        <x:v>STRUCTURE_READ_EXISTING_WORKBOOK</x:v>
      </x:c>
      <x:c r="T76"/>
      <x:c r="U76" t="str">
        <x:v>Văn bản/OOXML: xác định đối tượng trước khi sửa</x:v>
      </x:c>
    </x:row>
    <x:row r="77">
      <x:c r="A77" t="n">
        <x:v>76</x:v>
      </x:c>
      <x:c r="B77" t="str">
        <x:v>ND30.C.KY.CHUC_VU.CACH_TRUOC</x:v>
      </x:c>
      <x:c r="C77" t="str">
        <x:v>ND30.C.KY.CHUC_VU</x:v>
      </x:c>
      <x:c r="D77" t="str">
        <x:v>C</x:v>
      </x:c>
      <x:c r="E77" t="str">
        <x:v>Chức vụ/chức danh người ký</x:v>
      </x:c>
      <x:c r="F77" t="str">
        <x:v>CACH_TRUOC</x:v>
      </x:c>
      <x:c r="G77" t="n">
        <x:v>0</x:v>
      </x:c>
      <x:c r="H77"/>
      <x:c r="I77" t="str">
        <x:v>UNVERIFIED_ATTRIBUTE</x:v>
      </x:c>
      <x:c r="J77" t="str">
        <x:v>PROFILE_PRESET_UNAPPROVED</x:v>
      </x:c>
      <x:c r="K77" t="str">
        <x:v>Chỉ khi có khối người ký; cần chứng cứ thẩm quyền, chức vụ, người ký; tài liệu soạn thảo không tạo chữ ký</x:v>
      </x:c>
      <x:c r="L77" t="str">
        <x:v>Không tạo nhân thân/chức vụ/dấu/chữ ký; bảo toàn nơi nhận và thẩm quyền.</x:v>
      </x:c>
      <x:c r="M77" t="str">
        <x:v>pt</x:v>
      </x:c>
      <x:c r="N77" t="str">
        <x:v>NĐ30, Phụ lục I, Phần I, II.7; V.7</x:v>
      </x:c>
      <x:c r="O77" t="str">
        <x:v>https://congbao.chinhphu.vn/van-ban/nghi-dinh-so-30-2020-nd-cp-30858/30246.htm</x:v>
      </x:c>
      <x:c r="P77" t="str">
        <x:v>PLUGIN:hoa-tieu-mien-bac-administrative-v1 | user_approved_visual_reference</x:v>
      </x:c>
      <x:c r="Q77" t="str">
        <x:v>CHECK_ONLY</x:v>
      </x:c>
      <x:c r="R77" t="str">
        <x:v>Kiểm tra từng thuộc tính có mặt; so sánh nguồn/role; không suy đoán từ kết quả render chưa có</x:v>
      </x:c>
      <x:c r="S77" t="str">
        <x:v>STRUCTURE_READ_EXISTING_WORKBOOK</x:v>
      </x:c>
      <x:c r="T77"/>
      <x:c r="U77" t="str">
        <x:v>Văn bản/OOXML: xác định đối tượng trước khi sửa</x:v>
      </x:c>
    </x:row>
    <x:row r="78">
      <x:c r="A78" t="n">
        <x:v>77</x:v>
      </x:c>
      <x:c r="B78" t="str">
        <x:v>ND30.C.KY.CHUC_VU.CACH_SAU</x:v>
      </x:c>
      <x:c r="C78" t="str">
        <x:v>ND30.C.KY.CHUC_VU</x:v>
      </x:c>
      <x:c r="D78" t="str">
        <x:v>C</x:v>
      </x:c>
      <x:c r="E78" t="str">
        <x:v>Chức vụ/chức danh người ký</x:v>
      </x:c>
      <x:c r="F78" t="str">
        <x:v>CACH_SAU</x:v>
      </x:c>
      <x:c r="G78" t="n">
        <x:v>0</x:v>
      </x:c>
      <x:c r="H78"/>
      <x:c r="I78" t="str">
        <x:v>UNVERIFIED_ATTRIBUTE</x:v>
      </x:c>
      <x:c r="J78" t="str">
        <x:v>PROFILE_PRESET_UNAPPROVED</x:v>
      </x:c>
      <x:c r="K78" t="str">
        <x:v>Chỉ khi có khối người ký; cần chứng cứ thẩm quyền, chức vụ, người ký; tài liệu soạn thảo không tạo chữ ký</x:v>
      </x:c>
      <x:c r="L78" t="str">
        <x:v>Không tạo nhân thân/chức vụ/dấu/chữ ký; bảo toàn nơi nhận và thẩm quyền.</x:v>
      </x:c>
      <x:c r="M78" t="str">
        <x:v>pt</x:v>
      </x:c>
      <x:c r="N78" t="str">
        <x:v>NĐ30, Phụ lục I, Phần I, II.7; V.7</x:v>
      </x:c>
      <x:c r="O78" t="str">
        <x:v>https://congbao.chinhphu.vn/van-ban/nghi-dinh-so-30-2020-nd-cp-30858/30246.htm</x:v>
      </x:c>
      <x:c r="P78" t="str">
        <x:v>PLUGIN:hoa-tieu-mien-bac-administrative-v1 | user_approved_visual_reference</x:v>
      </x:c>
      <x:c r="Q78" t="str">
        <x:v>CHECK_ONLY</x:v>
      </x:c>
      <x:c r="R78" t="str">
        <x:v>Kiểm tra từng thuộc tính có mặt; so sánh nguồn/role; không suy đoán từ kết quả render chưa có</x:v>
      </x:c>
      <x:c r="S78" t="str">
        <x:v>STRUCTURE_READ_EXISTING_WORKBOOK</x:v>
      </x:c>
      <x:c r="T78"/>
      <x:c r="U78" t="str">
        <x:v>Văn bản/OOXML: xác định đối tượng trước khi sửa</x:v>
      </x:c>
    </x:row>
    <x:row r="79">
      <x:c r="A79" t="n">
        <x:v>78</x:v>
      </x:c>
      <x:c r="B79" t="str">
        <x:v>ND30.C.KY.CHUC_VU.VI_TRI</x:v>
      </x:c>
      <x:c r="C79" t="str">
        <x:v>ND30.C.KY.CHUC_VU</x:v>
      </x:c>
      <x:c r="D79" t="str">
        <x:v>C</x:v>
      </x:c>
      <x:c r="E79" t="str">
        <x:v>Chức vụ/chức danh người ký</x:v>
      </x:c>
      <x:c r="F79" t="str">
        <x:v>VI_TRI</x:v>
      </x:c>
      <x:c r="G79" t="str">
        <x:v>KHỐI PHẢI</x:v>
      </x:c>
      <x:c r="H79"/>
      <x:c r="I79" t="str">
        <x:v>UNVERIFIED_ATTRIBUTE</x:v>
      </x:c>
      <x:c r="J79" t="str">
        <x:v>PROFILE_PRESET_UNAPPROVED</x:v>
      </x:c>
      <x:c r="K79" t="str">
        <x:v>Chỉ khi có khối người ký; cần chứng cứ thẩm quyền, chức vụ, người ký; tài liệu soạn thảo không tạo chữ ký</x:v>
      </x:c>
      <x:c r="L79" t="str">
        <x:v>Không tạo nhân thân/chức vụ/dấu/chữ ký; bảo toàn nơi nhận và thẩm quyền.</x:v>
      </x:c>
      <x:c r="M79"/>
      <x:c r="N79" t="str">
        <x:v>NĐ30, Phụ lục I, Phần I, II.7; V.7</x:v>
      </x:c>
      <x:c r="O79" t="str">
        <x:v>https://congbao.chinhphu.vn/van-ban/nghi-dinh-so-30-2020-nd-cp-30858/30246.htm</x:v>
      </x:c>
      <x:c r="P79" t="str">
        <x:v>PLUGIN:hoa-tieu-mien-bac-administrative-v1 | user_approved_visual_reference</x:v>
      </x:c>
      <x:c r="Q79" t="str">
        <x:v>CHECK_ONLY</x:v>
      </x:c>
      <x:c r="R79" t="str">
        <x:v>Kiểm tra từng thuộc tính có mặt; so sánh nguồn/role; không suy đoán từ kết quả render chưa có</x:v>
      </x:c>
      <x:c r="S79" t="str">
        <x:v>STRUCTURE_READ_EXISTING_WORKBOOK</x:v>
      </x:c>
      <x:c r="T79"/>
      <x:c r="U79" t="str">
        <x:v>Văn bản/OOXML: xác định đối tượng trước khi sửa</x:v>
      </x:c>
    </x:row>
    <x:row r="80">
      <x:c r="A80" t="n">
        <x:v>79</x:v>
      </x:c>
      <x:c r="B80" t="str">
        <x:v>ND30.C.KY.CHUC_VU.KEEP_NEXT</x:v>
      </x:c>
      <x:c r="C80" t="str">
        <x:v>ND30.C.KY.CHUC_VU</x:v>
      </x:c>
      <x:c r="D80" t="str">
        <x:v>C</x:v>
      </x:c>
      <x:c r="E80" t="str">
        <x:v>Chức vụ/chức danh người ký</x:v>
      </x:c>
      <x:c r="F80" t="str">
        <x:v>KEEP_NEXT</x:v>
      </x:c>
      <x:c r="G80"/>
      <x:c r="H80"/>
      <x:c r="I80" t="str">
        <x:v>UNVERIFIED_ATTRIBUTE</x:v>
      </x:c>
      <x:c r="J80" t="str">
        <x:v>BLOCKED_NO_ATTRIBUTE_VALUE</x:v>
      </x:c>
      <x:c r="K80" t="str">
        <x:v>Chỉ khi có khối người ký; cần chứng cứ thẩm quyền, chức vụ, người ký; tài liệu soạn thảo không tạo chữ ký</x:v>
      </x:c>
      <x:c r="L80" t="str">
        <x:v>Không tạo nhân thân/chức vụ/dấu/chữ ký; bảo toàn nơi nhận và thẩm quyền.</x:v>
      </x:c>
      <x:c r="M80"/>
      <x:c r="N80" t="str">
        <x:v>NĐ30, Phụ lục I, Phần I, II.7; V.7</x:v>
      </x:c>
      <x:c r="O80" t="str">
        <x:v>https://congbao.chinhphu.vn/van-ban/nghi-dinh-so-30-2020-nd-cp-30858/30246.htm</x:v>
      </x:c>
      <x:c r="P80" t="str">
        <x:v>PLUGIN:hoa-tieu-mien-bac-administrative-v1 | user_approved_visual_reference</x:v>
      </x:c>
      <x:c r="Q80" t="str">
        <x:v>CHECK_ONLY</x:v>
      </x:c>
      <x:c r="R80" t="str">
        <x:v>Kiểm tra từng thuộc tính có mặt; so sánh nguồn/role; không suy đoán từ kết quả render chưa có</x:v>
      </x:c>
      <x:c r="S80" t="str">
        <x:v>RULE_INFERENCE_NOT_MEASURED</x:v>
      </x:c>
      <x:c r="T80" t="str">
        <x:v>Xác minh căn cứ theo loại văn bản / tài liệu phát hành hoặc phê duyệt</x:v>
      </x:c>
      <x:c r="U80" t="str">
        <x:v>Văn bản/OOXML: xác định đối tượng trước khi sửa</x:v>
      </x:c>
    </x:row>
    <x:row r="81">
      <x:c r="A81" t="n">
        <x:v>80</x:v>
      </x:c>
      <x:c r="B81" t="str">
        <x:v>ND30.C.KY.CHU_KY.HIEN_DIEN</x:v>
      </x:c>
      <x:c r="C81" t="str">
        <x:v>ND30.C.KY.CHU_KY</x:v>
      </x:c>
      <x:c r="D81" t="str">
        <x:v>C</x:v>
      </x:c>
      <x:c r="E81" t="str">
        <x:v>Vị trí chữ ký của người có thẩm quyền</x:v>
      </x:c>
      <x:c r="F81" t="str">
        <x:v>HIEN_DIEN</x:v>
      </x:c>
      <x:c r="G81" t="str">
        <x:v>Khối ký tùy thẩm quyền/loại văn bản</x:v>
      </x:c>
      <x:c r="H81"/>
      <x:c r="I81" t="str">
        <x:v>UNVERIFIED_ATTRIBUTE</x:v>
      </x:c>
      <x:c r="J81" t="str">
        <x:v>CHECK_ONLY_PROTECTED</x:v>
      </x:c>
      <x:c r="K81" t="str">
        <x:v>Chỉ khi có khối người ký; cần chứng cứ thẩm quyền, chức vụ, người ký; tài liệu soạn thảo không tạo chữ ký</x:v>
      </x:c>
      <x:c r="L81" t="str">
        <x:v>Không tạo nhân thân/chức vụ/dấu/chữ ký; bảo toàn nơi nhận và thẩm quyền.</x:v>
      </x:c>
      <x:c r="M81"/>
      <x:c r="N81" t="str">
        <x:v>NĐ30, Phụ lục I, Phần I, II.7; V.7</x:v>
      </x:c>
      <x:c r="O81" t="str">
        <x:v>https://congbao.chinhphu.vn/van-ban/nghi-dinh-so-30-2020-nd-cp-30858/30246.htm</x:v>
      </x:c>
      <x:c r="P81" t="str">
        <x:v>PLUGIN:hoa-tieu-mien-bac-administrative-v1 | user_approved_visual_reference</x:v>
      </x:c>
      <x:c r="Q81" t="str">
        <x:v>CHECK_ONLY</x:v>
      </x:c>
      <x:c r="R81" t="str">
        <x:v>Kiểm tra từng thuộc tính có mặt; so sánh nguồn/role; không suy đoán từ kết quả render chưa có</x:v>
      </x:c>
      <x:c r="S81" t="str">
        <x:v>STRUCTURE_READ_EXISTING_WORKBOOK</x:v>
      </x:c>
      <x:c r="T81"/>
      <x:c r="U81" t="str">
        <x:v>Văn bản/OOXML: xác định đối tượng trước khi sửa</x:v>
      </x:c>
    </x:row>
    <x:row r="82">
      <x:c r="A82" t="n">
        <x:v>81</x:v>
      </x:c>
      <x:c r="B82" t="str">
        <x:v>ND30.C.KY.CHU_KY.NOI_DUNG</x:v>
      </x:c>
      <x:c r="C82" t="str">
        <x:v>ND30.C.KY.CHU_KY</x:v>
      </x:c>
      <x:c r="D82" t="str">
        <x:v>C</x:v>
      </x:c>
      <x:c r="E82" t="str">
        <x:v>Vị trí chữ ký của người có thẩm quyền</x:v>
      </x:c>
      <x:c r="F82" t="str">
        <x:v>NOI_DUNG</x:v>
      </x:c>
      <x:c r="G82" t="str">
        <x:v>Vị trí chữ ký của người có thẩm quyền</x:v>
      </x:c>
      <x:c r="H82"/>
      <x:c r="I82" t="str">
        <x:v>UNVERIFIED_ATTRIBUTE</x:v>
      </x:c>
      <x:c r="J82" t="str">
        <x:v>CHECK_ONLY_PROTECTED</x:v>
      </x:c>
      <x:c r="K82" t="str">
        <x:v>Chỉ khi có khối người ký; cần chứng cứ thẩm quyền, chức vụ, người ký; tài liệu soạn thảo không tạo chữ ký</x:v>
      </x:c>
      <x:c r="L82" t="str">
        <x:v>Không tạo nhân thân/chức vụ/dấu/chữ ký; bảo toàn nơi nhận và thẩm quyền.</x:v>
      </x:c>
      <x:c r="M82"/>
      <x:c r="N82" t="str">
        <x:v>NĐ30, Phụ lục I, Phần I, II.7; V.7</x:v>
      </x:c>
      <x:c r="O82" t="str">
        <x:v>https://congbao.chinhphu.vn/van-ban/nghi-dinh-so-30-2020-nd-cp-30858/30246.htm</x:v>
      </x:c>
      <x:c r="P82" t="str">
        <x:v>PLUGIN:hoa-tieu-mien-bac-administrative-v1 | user_approved_visual_reference</x:v>
      </x:c>
      <x:c r="Q82" t="str">
        <x:v>CHECK_ONLY</x:v>
      </x:c>
      <x:c r="R82" t="str">
        <x:v>Kiểm tra từng thuộc tính có mặt; so sánh nguồn/role; không suy đoán từ kết quả render chưa có</x:v>
      </x:c>
      <x:c r="S82" t="str">
        <x:v>STRUCTURE_READ_EXISTING_WORKBOOK</x:v>
      </x:c>
      <x:c r="T82"/>
      <x:c r="U82" t="str">
        <x:v>Văn bản/OOXML: xác định đối tượng trước khi sửa</x:v>
      </x:c>
    </x:row>
    <x:row r="83">
      <x:c r="A83" t="n">
        <x:v>82</x:v>
      </x:c>
      <x:c r="B83" t="str">
        <x:v>ND30.C.KY.CHU_KY.HINH_ANH</x:v>
      </x:c>
      <x:c r="C83" t="str">
        <x:v>ND30.C.KY.CHU_KY</x:v>
      </x:c>
      <x:c r="D83" t="str">
        <x:v>C</x:v>
      </x:c>
      <x:c r="E83" t="str">
        <x:v>Vị trí chữ ký của người có thẩm quyền</x:v>
      </x:c>
      <x:c r="F83" t="str">
        <x:v>HINH_ANH</x:v>
      </x:c>
      <x:c r="G83"/>
      <x:c r="H83"/>
      <x:c r="I83" t="str">
        <x:v>UNVERIFIED_ATTRIBUTE</x:v>
      </x:c>
      <x:c r="J83" t="str">
        <x:v>CHECK_ONLY_PROTECTED</x:v>
      </x:c>
      <x:c r="K83" t="str">
        <x:v>Chỉ khi có khối người ký; cần chứng cứ thẩm quyền, chức vụ, người ký; tài liệu soạn thảo không tạo chữ ký</x:v>
      </x:c>
      <x:c r="L83" t="str">
        <x:v>Không tạo nhân thân/chức vụ/dấu/chữ ký; bảo toàn nơi nhận và thẩm quyền.</x:v>
      </x:c>
      <x:c r="M83"/>
      <x:c r="N83" t="str">
        <x:v>NĐ30, Phụ lục I, Phần I, II.7; V.7</x:v>
      </x:c>
      <x:c r="O83" t="str">
        <x:v>https://congbao.chinhphu.vn/van-ban/nghi-dinh-so-30-2020-nd-cp-30858/30246.htm</x:v>
      </x:c>
      <x:c r="P83" t="str">
        <x:v>PLUGIN:hoa-tieu-mien-bac-administrative-v1 | user_approved_visual_reference</x:v>
      </x:c>
      <x:c r="Q83" t="str">
        <x:v>CHECK_ONLY</x:v>
      </x:c>
      <x:c r="R83" t="str">
        <x:v>Kiểm tra từng thuộc tính có mặt; so sánh nguồn/role; không suy đoán từ kết quả render chưa có</x:v>
      </x:c>
      <x:c r="S83" t="str">
        <x:v>RULE_INFERENCE_NOT_MEASURED</x:v>
      </x:c>
      <x:c r="T83"/>
      <x:c r="U83" t="str">
        <x:v>Văn bản/OOXML: xác định đối tượng trước khi sửa</x:v>
      </x:c>
    </x:row>
    <x:row r="84">
      <x:c r="A84" t="n">
        <x:v>83</x:v>
      </x:c>
      <x:c r="B84" t="str">
        <x:v>ND30.C.KY.CHU_KY.VI_TRI</x:v>
      </x:c>
      <x:c r="C84" t="str">
        <x:v>ND30.C.KY.CHU_KY</x:v>
      </x:c>
      <x:c r="D84" t="str">
        <x:v>C</x:v>
      </x:c>
      <x:c r="E84" t="str">
        <x:v>Vị trí chữ ký của người có thẩm quyền</x:v>
      </x:c>
      <x:c r="F84" t="str">
        <x:v>VI_TRI</x:v>
      </x:c>
      <x:c r="G84" t="str">
        <x:v>KHỐI PHẢI</x:v>
      </x:c>
      <x:c r="H84"/>
      <x:c r="I84" t="str">
        <x:v>UNVERIFIED_ATTRIBUTE</x:v>
      </x:c>
      <x:c r="J84" t="str">
        <x:v>CHECK_ONLY_PROTECTED</x:v>
      </x:c>
      <x:c r="K84" t="str">
        <x:v>Chỉ khi có khối người ký; cần chứng cứ thẩm quyền, chức vụ, người ký; tài liệu soạn thảo không tạo chữ ký</x:v>
      </x:c>
      <x:c r="L84" t="str">
        <x:v>Không tạo nhân thân/chức vụ/dấu/chữ ký; bảo toàn nơi nhận và thẩm quyền.</x:v>
      </x:c>
      <x:c r="M84"/>
      <x:c r="N84" t="str">
        <x:v>NĐ30, Phụ lục I, Phần I, II.7; V.7</x:v>
      </x:c>
      <x:c r="O84" t="str">
        <x:v>https://congbao.chinhphu.vn/van-ban/nghi-dinh-so-30-2020-nd-cp-30858/30246.htm</x:v>
      </x:c>
      <x:c r="P84" t="str">
        <x:v>PLUGIN:hoa-tieu-mien-bac-administrative-v1 | user_approved_visual_reference</x:v>
      </x:c>
      <x:c r="Q84" t="str">
        <x:v>CHECK_ONLY</x:v>
      </x:c>
      <x:c r="R84" t="str">
        <x:v>Kiểm tra từng thuộc tính có mặt; so sánh nguồn/role; không suy đoán từ kết quả render chưa có</x:v>
      </x:c>
      <x:c r="S84" t="str">
        <x:v>STRUCTURE_READ_EXISTING_WORKBOOK</x:v>
      </x:c>
      <x:c r="T84"/>
      <x:c r="U84" t="str">
        <x:v>Văn bản/OOXML: xác định đối tượng trước khi sửa</x:v>
      </x:c>
    </x:row>
    <x:row r="85">
      <x:c r="A85" t="n">
        <x:v>84</x:v>
      </x:c>
      <x:c r="B85" t="str">
        <x:v>ND30.C.KY.CHU_KY.TRANG_THAI_HIEN_THI</x:v>
      </x:c>
      <x:c r="C85" t="str">
        <x:v>ND30.C.KY.CHU_KY</x:v>
      </x:c>
      <x:c r="D85" t="str">
        <x:v>C</x:v>
      </x:c>
      <x:c r="E85" t="str">
        <x:v>Vị trí chữ ký của người có thẩm quyền</x:v>
      </x:c>
      <x:c r="F85" t="str">
        <x:v>TRANG_THAI_HIEN_THI</x:v>
      </x:c>
      <x:c r="G85"/>
      <x:c r="H85"/>
      <x:c r="I85" t="str">
        <x:v>UNVERIFIED_ATTRIBUTE</x:v>
      </x:c>
      <x:c r="J85" t="str">
        <x:v>CHECK_ONLY_PROTECTED</x:v>
      </x:c>
      <x:c r="K85" t="str">
        <x:v>Chỉ khi có khối người ký; cần chứng cứ thẩm quyền, chức vụ, người ký; tài liệu soạn thảo không tạo chữ ký</x:v>
      </x:c>
      <x:c r="L85" t="str">
        <x:v>Không tạo nhân thân/chức vụ/dấu/chữ ký; bảo toàn nơi nhận và thẩm quyền.</x:v>
      </x:c>
      <x:c r="M85"/>
      <x:c r="N85" t="str">
        <x:v>NĐ30, Phụ lục I, Phần I, II.7; V.7</x:v>
      </x:c>
      <x:c r="O85" t="str">
        <x:v>https://congbao.chinhphu.vn/van-ban/nghi-dinh-so-30-2020-nd-cp-30858/30246.htm</x:v>
      </x:c>
      <x:c r="P85" t="str">
        <x:v>PLUGIN:hoa-tieu-mien-bac-administrative-v1 | user_approved_visual_reference</x:v>
      </x:c>
      <x:c r="Q85" t="str">
        <x:v>CHECK_ONLY</x:v>
      </x:c>
      <x:c r="R85" t="str">
        <x:v>Kiểm tra từng thuộc tính có mặt; so sánh nguồn/role; không suy đoán từ kết quả render chưa có</x:v>
      </x:c>
      <x:c r="S85" t="str">
        <x:v>RULE_INFERENCE_NOT_MEASURED</x:v>
      </x:c>
      <x:c r="T85"/>
      <x:c r="U85" t="str">
        <x:v>Văn bản/OOXML: xác định đối tượng trước khi sửa</x:v>
      </x:c>
    </x:row>
    <x:row r="86">
      <x:c r="A86" t="n">
        <x:v>85</x:v>
      </x:c>
      <x:c r="B86" t="str">
        <x:v>ND30.C.KY.HO_TEN.HIEN_DIEN</x:v>
      </x:c>
      <x:c r="C86" t="str">
        <x:v>ND30.C.KY.HO_TEN</x:v>
      </x:c>
      <x:c r="D86" t="str">
        <x:v>C</x:v>
      </x:c>
      <x:c r="E86" t="str">
        <x:v>Họ tên người ký</x:v>
      </x:c>
      <x:c r="F86" t="str">
        <x:v>HIEN_DIEN</x:v>
      </x:c>
      <x:c r="G86" t="str">
        <x:v>Khối ký tùy thẩm quyền/loại văn bản</x:v>
      </x:c>
      <x:c r="H86"/>
      <x:c r="I86" t="str">
        <x:v>UNVERIFIED_ATTRIBUTE</x:v>
      </x:c>
      <x:c r="J86" t="str">
        <x:v>SOURCE_DESCRIPTION_NOT_APPROVAL</x:v>
      </x:c>
      <x:c r="K86" t="str">
        <x:v>Chỉ khi có khối người ký; cần chứng cứ thẩm quyền, chức vụ, người ký; tài liệu soạn thảo không tạo chữ ký</x:v>
      </x:c>
      <x:c r="L86" t="str">
        <x:v>Không tạo nhân thân/chức vụ/dấu/chữ ký; bảo toàn nơi nhận và thẩm quyền.</x:v>
      </x:c>
      <x:c r="M86"/>
      <x:c r="N86" t="str">
        <x:v>NĐ30, Phụ lục I, Phần I, II.7; V.7</x:v>
      </x:c>
      <x:c r="O86" t="str">
        <x:v>https://congbao.chinhphu.vn/van-ban/nghi-dinh-so-30-2020-nd-cp-30858/30246.htm</x:v>
      </x:c>
      <x:c r="P86" t="str">
        <x:v>PLUGIN:hoa-tieu-mien-bac-administrative-v1 | user_approved_visual_reference</x:v>
      </x:c>
      <x:c r="Q86" t="str">
        <x:v>CHECK_ONLY</x:v>
      </x:c>
      <x:c r="R86" t="str">
        <x:v>Kiểm tra từng thuộc tính có mặt; so sánh nguồn/role; không suy đoán từ kết quả render chưa có</x:v>
      </x:c>
      <x:c r="S86" t="str">
        <x:v>STRUCTURE_READ_EXISTING_WORKBOOK</x:v>
      </x:c>
      <x:c r="T86"/>
      <x:c r="U86" t="str">
        <x:v>Văn bản/OOXML: xác định đối tượng trước khi sửa</x:v>
      </x:c>
    </x:row>
    <x:row r="87">
      <x:c r="A87" t="n">
        <x:v>86</x:v>
      </x:c>
      <x:c r="B87" t="str">
        <x:v>ND30.C.KY.HO_TEN.NOI_DUNG</x:v>
      </x:c>
      <x:c r="C87" t="str">
        <x:v>ND30.C.KY.HO_TEN</x:v>
      </x:c>
      <x:c r="D87" t="str">
        <x:v>C</x:v>
      </x:c>
      <x:c r="E87" t="str">
        <x:v>Họ tên người ký</x:v>
      </x:c>
      <x:c r="F87" t="str">
        <x:v>NOI_DUNG</x:v>
      </x:c>
      <x:c r="G87" t="str">
        <x:v>Họ tên người ký</x:v>
      </x:c>
      <x:c r="H87"/>
      <x:c r="I87" t="str">
        <x:v>UNVERIFIED_ATTRIBUTE</x:v>
      </x:c>
      <x:c r="J87" t="str">
        <x:v>SOURCE_DESCRIPTION_NOT_APPROVAL</x:v>
      </x:c>
      <x:c r="K87" t="str">
        <x:v>Chỉ khi có khối người ký; cần chứng cứ thẩm quyền, chức vụ, người ký; tài liệu soạn thảo không tạo chữ ký</x:v>
      </x:c>
      <x:c r="L87" t="str">
        <x:v>Không tạo nhân thân/chức vụ/dấu/chữ ký; bảo toàn nơi nhận và thẩm quyền.</x:v>
      </x:c>
      <x:c r="M87"/>
      <x:c r="N87" t="str">
        <x:v>NĐ30, Phụ lục I, Phần I, II.7; V.7</x:v>
      </x:c>
      <x:c r="O87" t="str">
        <x:v>https://congbao.chinhphu.vn/van-ban/nghi-dinh-so-30-2020-nd-cp-30858/30246.htm</x:v>
      </x:c>
      <x:c r="P87" t="str">
        <x:v>PLUGIN:hoa-tieu-mien-bac-administrative-v1 | user_approved_visual_reference</x:v>
      </x:c>
      <x:c r="Q87" t="str">
        <x:v>CHECK_ONLY</x:v>
      </x:c>
      <x:c r="R87" t="str">
        <x:v>Kiểm tra từng thuộc tính có mặt; so sánh nguồn/role; không suy đoán từ kết quả render chưa có</x:v>
      </x:c>
      <x:c r="S87" t="str">
        <x:v>STRUCTURE_READ_EXISTING_WORKBOOK</x:v>
      </x:c>
      <x:c r="T87"/>
      <x:c r="U87" t="str">
        <x:v>Văn bản/OOXML: xác định đối tượng trước khi sửa</x:v>
      </x:c>
    </x:row>
    <x:row r="88">
      <x:c r="A88" t="n">
        <x:v>87</x:v>
      </x:c>
      <x:c r="B88" t="str">
        <x:v>ND30.C.KY.HO_TEN.PHONG_CHU</x:v>
      </x:c>
      <x:c r="C88" t="str">
        <x:v>ND30.C.KY.HO_TEN</x:v>
      </x:c>
      <x:c r="D88" t="str">
        <x:v>C</x:v>
      </x:c>
      <x:c r="E88" t="str">
        <x:v>Họ tên người ký</x:v>
      </x:c>
      <x:c r="F88" t="str">
        <x:v>PHONG_CHU</x:v>
      </x:c>
      <x:c r="G88" t="str">
        <x:v>Times New Roman</x:v>
      </x:c>
      <x:c r="H88"/>
      <x:c r="I88" t="str">
        <x:v>UNVERIFIED_ATTRIBUTE</x:v>
      </x:c>
      <x:c r="J88" t="str">
        <x:v>PROFILE_PRESET_UNAPPROVED</x:v>
      </x:c>
      <x:c r="K88" t="str">
        <x:v>Chỉ khi có khối người ký; cần chứng cứ thẩm quyền, chức vụ, người ký; tài liệu soạn thảo không tạo chữ ký</x:v>
      </x:c>
      <x:c r="L88" t="str">
        <x:v>Không tạo nhân thân/chức vụ/dấu/chữ ký; bảo toàn nơi nhận và thẩm quyền.</x:v>
      </x:c>
      <x:c r="M88"/>
      <x:c r="N88" t="str">
        <x:v>NĐ30, Phụ lục I, Phần I, II.7; V.7</x:v>
      </x:c>
      <x:c r="O88" t="str">
        <x:v>https://congbao.chinhphu.vn/van-ban/nghi-dinh-so-30-2020-nd-cp-30858/30246.htm</x:v>
      </x:c>
      <x:c r="P88" t="str">
        <x:v>PLUGIN:hoa-tieu-mien-bac-administrative-v1 | user_approved_visual_reference</x:v>
      </x:c>
      <x:c r="Q88" t="str">
        <x:v>CHECK_ONLY</x:v>
      </x:c>
      <x:c r="R88" t="str">
        <x:v>Kiểm tra từng thuộc tính có mặt; so sánh nguồn/role; không suy đoán từ kết quả render chưa có</x:v>
      </x:c>
      <x:c r="S88" t="str">
        <x:v>STRUCTURE_READ_EXISTING_WORKBOOK</x:v>
      </x:c>
      <x:c r="T88"/>
      <x:c r="U88" t="str">
        <x:v>Văn bản/OOXML: xác định đối tượng trước khi sửa</x:v>
      </x:c>
    </x:row>
    <x:row r="89">
      <x:c r="A89" t="n">
        <x:v>88</x:v>
      </x:c>
      <x:c r="B89" t="str">
        <x:v>ND30.C.KY.HO_TEN.CO_CHU</x:v>
      </x:c>
      <x:c r="C89" t="str">
        <x:v>ND30.C.KY.HO_TEN</x:v>
      </x:c>
      <x:c r="D89" t="str">
        <x:v>C</x:v>
      </x:c>
      <x:c r="E89" t="str">
        <x:v>Họ tên người ký</x:v>
      </x:c>
      <x:c r="F89" t="str">
        <x:v>CO_CHU</x:v>
      </x:c>
      <x:c r="G89" t="n">
        <x:v>14</x:v>
      </x:c>
      <x:c r="H89"/>
      <x:c r="I89" t="str">
        <x:v>UNVERIFIED_ATTRIBUTE</x:v>
      </x:c>
      <x:c r="J89" t="str">
        <x:v>PROFILE_PRESET_UNAPPROVED</x:v>
      </x:c>
      <x:c r="K89" t="str">
        <x:v>Chỉ khi có khối người ký; cần chứng cứ thẩm quyền, chức vụ, người ký; tài liệu soạn thảo không tạo chữ ký</x:v>
      </x:c>
      <x:c r="L89" t="str">
        <x:v>Không tạo nhân thân/chức vụ/dấu/chữ ký; bảo toàn nơi nhận và thẩm quyền.</x:v>
      </x:c>
      <x:c r="M89" t="str">
        <x:v>pt</x:v>
      </x:c>
      <x:c r="N89" t="str">
        <x:v>NĐ30, Phụ lục I, Phần I, II.7; V.7</x:v>
      </x:c>
      <x:c r="O89" t="str">
        <x:v>https://congbao.chinhphu.vn/van-ban/nghi-dinh-so-30-2020-nd-cp-30858/30246.htm</x:v>
      </x:c>
      <x:c r="P89" t="str">
        <x:v>PLUGIN:hoa-tieu-mien-bac-administrative-v1 | user_approved_visual_reference</x:v>
      </x:c>
      <x:c r="Q89" t="str">
        <x:v>CHECK_ONLY</x:v>
      </x:c>
      <x:c r="R89" t="str">
        <x:v>Kiểm tra từng thuộc tính có mặt; so sánh nguồn/role; không suy đoán từ kết quả render chưa có</x:v>
      </x:c>
      <x:c r="S89" t="str">
        <x:v>STRUCTURE_READ_EXISTING_WORKBOOK</x:v>
      </x:c>
      <x:c r="T89"/>
      <x:c r="U89" t="str">
        <x:v>Văn bản/OOXML: xác định đối tượng trước khi sửa</x:v>
      </x:c>
    </x:row>
    <x:row r="90">
      <x:c r="A90" t="n">
        <x:v>89</x:v>
      </x:c>
      <x:c r="B90" t="str">
        <x:v>ND30.C.KY.HO_TEN.DAM</x:v>
      </x:c>
      <x:c r="C90" t="str">
        <x:v>ND30.C.KY.HO_TEN</x:v>
      </x:c>
      <x:c r="D90" t="str">
        <x:v>C</x:v>
      </x:c>
      <x:c r="E90" t="str">
        <x:v>Họ tên người ký</x:v>
      </x:c>
      <x:c r="F90" t="str">
        <x:v>DAM</x:v>
      </x:c>
      <x:c r="G90" t="str">
        <x:v>CÓ</x:v>
      </x:c>
      <x:c r="H90"/>
      <x:c r="I90" t="str">
        <x:v>UNVERIFIED_ATTRIBUTE</x:v>
      </x:c>
      <x:c r="J90" t="str">
        <x:v>PROFILE_PRESET_UNAPPROVED</x:v>
      </x:c>
      <x:c r="K90" t="str">
        <x:v>Chỉ khi có khối người ký; cần chứng cứ thẩm quyền, chức vụ, người ký; tài liệu soạn thảo không tạo chữ ký</x:v>
      </x:c>
      <x:c r="L90" t="str">
        <x:v>Không tạo nhân thân/chức vụ/dấu/chữ ký; bảo toàn nơi nhận và thẩm quyền.</x:v>
      </x:c>
      <x:c r="M90"/>
      <x:c r="N90" t="str">
        <x:v>NĐ30, Phụ lục I, Phần I, II.7; V.7</x:v>
      </x:c>
      <x:c r="O90" t="str">
        <x:v>https://congbao.chinhphu.vn/van-ban/nghi-dinh-so-30-2020-nd-cp-30858/30246.htm</x:v>
      </x:c>
      <x:c r="P90" t="str">
        <x:v>PLUGIN:hoa-tieu-mien-bac-administrative-v1 | user_approved_visual_reference</x:v>
      </x:c>
      <x:c r="Q90" t="str">
        <x:v>CHECK_ONLY</x:v>
      </x:c>
      <x:c r="R90" t="str">
        <x:v>Kiểm tra từng thuộc tính có mặt; so sánh nguồn/role; không suy đoán từ kết quả render chưa có</x:v>
      </x:c>
      <x:c r="S90" t="str">
        <x:v>STRUCTURE_READ_EXISTING_WORKBOOK</x:v>
      </x:c>
      <x:c r="T90"/>
      <x:c r="U90" t="str">
        <x:v>Văn bản/OOXML: xác định đối tượng trước khi sửa</x:v>
      </x:c>
    </x:row>
    <x:row r="91">
      <x:c r="A91" t="n">
        <x:v>90</x:v>
      </x:c>
      <x:c r="B91" t="str">
        <x:v>ND30.C.KY.HO_TEN.NGHIENG</x:v>
      </x:c>
      <x:c r="C91" t="str">
        <x:v>ND30.C.KY.HO_TEN</x:v>
      </x:c>
      <x:c r="D91" t="str">
        <x:v>C</x:v>
      </x:c>
      <x:c r="E91" t="str">
        <x:v>Họ tên người ký</x:v>
      </x:c>
      <x:c r="F91" t="str">
        <x:v>NGHIENG</x:v>
      </x:c>
      <x:c r="G91" t="str">
        <x:v>KHÔNG</x:v>
      </x:c>
      <x:c r="H91"/>
      <x:c r="I91" t="str">
        <x:v>UNVERIFIED_ATTRIBUTE</x:v>
      </x:c>
      <x:c r="J91" t="str">
        <x:v>PROFILE_PRESET_UNAPPROVED</x:v>
      </x:c>
      <x:c r="K91" t="str">
        <x:v>Chỉ khi có khối người ký; cần chứng cứ thẩm quyền, chức vụ, người ký; tài liệu soạn thảo không tạo chữ ký</x:v>
      </x:c>
      <x:c r="L91" t="str">
        <x:v>Không tạo nhân thân/chức vụ/dấu/chữ ký; bảo toàn nơi nhận và thẩm quyền.</x:v>
      </x:c>
      <x:c r="M91"/>
      <x:c r="N91" t="str">
        <x:v>NĐ30, Phụ lục I, Phần I, II.7; V.7</x:v>
      </x:c>
      <x:c r="O91" t="str">
        <x:v>https://congbao.chinhphu.vn/van-ban/nghi-dinh-so-30-2020-nd-cp-30858/30246.htm</x:v>
      </x:c>
      <x:c r="P91" t="str">
        <x:v>PLUGIN:hoa-tieu-mien-bac-administrative-v1 | user_approved_visual_reference</x:v>
      </x:c>
      <x:c r="Q91" t="str">
        <x:v>CHECK_ONLY</x:v>
      </x:c>
      <x:c r="R91" t="str">
        <x:v>Kiểm tra từng thuộc tính có mặt; so sánh nguồn/role; không suy đoán từ kết quả render chưa có</x:v>
      </x:c>
      <x:c r="S91" t="str">
        <x:v>STRUCTURE_READ_EXISTING_WORKBOOK</x:v>
      </x:c>
      <x:c r="T91"/>
      <x:c r="U91" t="str">
        <x:v>Văn bản/OOXML: xác định đối tượng trước khi sửa</x:v>
      </x:c>
    </x:row>
    <x:row r="92">
      <x:c r="A92" t="n">
        <x:v>91</x:v>
      </x:c>
      <x:c r="B92" t="str">
        <x:v>ND30.C.KY.HO_TEN.KIEU_CHU</x:v>
      </x:c>
      <x:c r="C92" t="str">
        <x:v>ND30.C.KY.HO_TEN</x:v>
      </x:c>
      <x:c r="D92" t="str">
        <x:v>C</x:v>
      </x:c>
      <x:c r="E92" t="str">
        <x:v>Họ tên người ký</x:v>
      </x:c>
      <x:c r="F92" t="str">
        <x:v>KIEU_CHU</x:v>
      </x:c>
      <x:c r="G92" t="str">
        <x:v>Theo tên người ký</x:v>
      </x:c>
      <x:c r="H92"/>
      <x:c r="I92" t="str">
        <x:v>UNVERIFIED_ATTRIBUTE</x:v>
      </x:c>
      <x:c r="J92" t="str">
        <x:v>PROFILE_PRESET_UNAPPROVED</x:v>
      </x:c>
      <x:c r="K92" t="str">
        <x:v>Chỉ khi có khối người ký; cần chứng cứ thẩm quyền, chức vụ, người ký; tài liệu soạn thảo không tạo chữ ký</x:v>
      </x:c>
      <x:c r="L92" t="str">
        <x:v>Không tạo nhân thân/chức vụ/dấu/chữ ký; bảo toàn nơi nhận và thẩm quyền.</x:v>
      </x:c>
      <x:c r="M92"/>
      <x:c r="N92" t="str">
        <x:v>NĐ30, Phụ lục I, Phần I, II.7; V.7</x:v>
      </x:c>
      <x:c r="O92" t="str">
        <x:v>https://congbao.chinhphu.vn/van-ban/nghi-dinh-so-30-2020-nd-cp-30858/30246.htm</x:v>
      </x:c>
      <x:c r="P92" t="str">
        <x:v>PLUGIN:hoa-tieu-mien-bac-administrative-v1 | user_approved_visual_reference</x:v>
      </x:c>
      <x:c r="Q92" t="str">
        <x:v>CHECK_ONLY</x:v>
      </x:c>
      <x:c r="R92" t="str">
        <x:v>Kiểm tra từng thuộc tính có mặt; so sánh nguồn/role; không suy đoán từ kết quả render chưa có</x:v>
      </x:c>
      <x:c r="S92" t="str">
        <x:v>STRUCTURE_READ_EXISTING_WORKBOOK</x:v>
      </x:c>
      <x:c r="T92"/>
      <x:c r="U92" t="str">
        <x:v>Văn bản/OOXML: xác định đối tượng trước khi sửa</x:v>
      </x:c>
    </x:row>
    <x:row r="93">
      <x:c r="A93" t="n">
        <x:v>92</x:v>
      </x:c>
      <x:c r="B93" t="str">
        <x:v>ND30.C.KY.HO_TEN.CAN_NGANG</x:v>
      </x:c>
      <x:c r="C93" t="str">
        <x:v>ND30.C.KY.HO_TEN</x:v>
      </x:c>
      <x:c r="D93" t="str">
        <x:v>C</x:v>
      </x:c>
      <x:c r="E93" t="str">
        <x:v>Họ tên người ký</x:v>
      </x:c>
      <x:c r="F93" t="str">
        <x:v>CAN_NGANG</x:v>
      </x:c>
      <x:c r="G93" t="str">
        <x:v>CENTER</x:v>
      </x:c>
      <x:c r="H93"/>
      <x:c r="I93" t="str">
        <x:v>UNVERIFIED_ATTRIBUTE</x:v>
      </x:c>
      <x:c r="J93" t="str">
        <x:v>PROFILE_PRESET_UNAPPROVED</x:v>
      </x:c>
      <x:c r="K93" t="str">
        <x:v>Chỉ khi có khối người ký; cần chứng cứ thẩm quyền, chức vụ, người ký; tài liệu soạn thảo không tạo chữ ký</x:v>
      </x:c>
      <x:c r="L93" t="str">
        <x:v>Không tạo nhân thân/chức vụ/dấu/chữ ký; bảo toàn nơi nhận và thẩm quyền.</x:v>
      </x:c>
      <x:c r="M93"/>
      <x:c r="N93" t="str">
        <x:v>NĐ30, Phụ lục I, Phần I, II.7; V.7</x:v>
      </x:c>
      <x:c r="O93" t="str">
        <x:v>https://congbao.chinhphu.vn/van-ban/nghi-dinh-so-30-2020-nd-cp-30858/30246.htm</x:v>
      </x:c>
      <x:c r="P93" t="str">
        <x:v>PLUGIN:hoa-tieu-mien-bac-administrative-v1 | user_approved_visual_reference</x:v>
      </x:c>
      <x:c r="Q93" t="str">
        <x:v>CHECK_ONLY</x:v>
      </x:c>
      <x:c r="R93" t="str">
        <x:v>Kiểm tra từng thuộc tính có mặt; so sánh nguồn/role; không suy đoán từ kết quả render chưa có</x:v>
      </x:c>
      <x:c r="S93" t="str">
        <x:v>STRUCTURE_READ_EXISTING_WORKBOOK</x:v>
      </x:c>
      <x:c r="T93"/>
      <x:c r="U93" t="str">
        <x:v>Văn bản/OOXML: xác định đối tượng trước khi sửa</x:v>
      </x:c>
    </x:row>
    <x:row r="94">
      <x:c r="A94" t="n">
        <x:v>93</x:v>
      </x:c>
      <x:c r="B94" t="str">
        <x:v>ND30.C.KY.HO_TEN.GIAN_DONG</x:v>
      </x:c>
      <x:c r="C94" t="str">
        <x:v>ND30.C.KY.HO_TEN</x:v>
      </x:c>
      <x:c r="D94" t="str">
        <x:v>C</x:v>
      </x:c>
      <x:c r="E94" t="str">
        <x:v>Họ tên người ký</x:v>
      </x:c>
      <x:c r="F94" t="str">
        <x:v>GIAN_DONG</x:v>
      </x:c>
      <x:c r="G94" t="n">
        <x:v>1</x:v>
      </x:c>
      <x:c r="H94"/>
      <x:c r="I94" t="str">
        <x:v>UNVERIFIED_ATTRIBUTE</x:v>
      </x:c>
      <x:c r="J94" t="str">
        <x:v>PROFILE_PRESET_UNAPPROVED</x:v>
      </x:c>
      <x:c r="K94" t="str">
        <x:v>Chỉ khi có khối người ký; cần chứng cứ thẩm quyền, chức vụ, người ký; tài liệu soạn thảo không tạo chữ ký</x:v>
      </x:c>
      <x:c r="L94" t="str">
        <x:v>Không tạo nhân thân/chức vụ/dấu/chữ ký; bảo toàn nơi nhận và thẩm quyền.</x:v>
      </x:c>
      <x:c r="M94" t="str">
        <x:v>pt</x:v>
      </x:c>
      <x:c r="N94" t="str">
        <x:v>NĐ30, Phụ lục I, Phần I, II.7; V.7</x:v>
      </x:c>
      <x:c r="O94" t="str">
        <x:v>https://congbao.chinhphu.vn/van-ban/nghi-dinh-so-30-2020-nd-cp-30858/30246.htm</x:v>
      </x:c>
      <x:c r="P94" t="str">
        <x:v>PLUGIN:hoa-tieu-mien-bac-administrative-v1 | user_approved_visual_reference</x:v>
      </x:c>
      <x:c r="Q94" t="str">
        <x:v>CHECK_ONLY</x:v>
      </x:c>
      <x:c r="R94" t="str">
        <x:v>Kiểm tra từng thuộc tính có mặt; so sánh nguồn/role; không suy đoán từ kết quả render chưa có</x:v>
      </x:c>
      <x:c r="S94" t="str">
        <x:v>STRUCTURE_READ_EXISTING_WORKBOOK</x:v>
      </x:c>
      <x:c r="T94"/>
      <x:c r="U94" t="str">
        <x:v>Văn bản/OOXML: xác định đối tượng trước khi sửa</x:v>
      </x:c>
    </x:row>
    <x:row r="95">
      <x:c r="A95" t="n">
        <x:v>94</x:v>
      </x:c>
      <x:c r="B95" t="str">
        <x:v>ND30.C.KY.HO_TEN.CACH_TRUOC</x:v>
      </x:c>
      <x:c r="C95" t="str">
        <x:v>ND30.C.KY.HO_TEN</x:v>
      </x:c>
      <x:c r="D95" t="str">
        <x:v>C</x:v>
      </x:c>
      <x:c r="E95" t="str">
        <x:v>Họ tên người ký</x:v>
      </x:c>
      <x:c r="F95" t="str">
        <x:v>CACH_TRUOC</x:v>
      </x:c>
      <x:c r="G95" t="n">
        <x:v>0</x:v>
      </x:c>
      <x:c r="H95"/>
      <x:c r="I95" t="str">
        <x:v>UNVERIFIED_ATTRIBUTE</x:v>
      </x:c>
      <x:c r="J95" t="str">
        <x:v>PROFILE_PRESET_UNAPPROVED</x:v>
      </x:c>
      <x:c r="K95" t="str">
        <x:v>Chỉ khi có khối người ký; cần chứng cứ thẩm quyền, chức vụ, người ký; tài liệu soạn thảo không tạo chữ ký</x:v>
      </x:c>
      <x:c r="L95" t="str">
        <x:v>Không tạo nhân thân/chức vụ/dấu/chữ ký; bảo toàn nơi nhận và thẩm quyền.</x:v>
      </x:c>
      <x:c r="M95" t="str">
        <x:v>pt</x:v>
      </x:c>
      <x:c r="N95" t="str">
        <x:v>NĐ30, Phụ lục I, Phần I, II.7; V.7</x:v>
      </x:c>
      <x:c r="O95" t="str">
        <x:v>https://congbao.chinhphu.vn/van-ban/nghi-dinh-so-30-2020-nd-cp-30858/30246.htm</x:v>
      </x:c>
      <x:c r="P95" t="str">
        <x:v>PLUGIN:hoa-tieu-mien-bac-administrative-v1 | user_approved_visual_reference</x:v>
      </x:c>
      <x:c r="Q95" t="str">
        <x:v>CHECK_ONLY</x:v>
      </x:c>
      <x:c r="R95" t="str">
        <x:v>Kiểm tra từng thuộc tính có mặt; so sánh nguồn/role; không suy đoán từ kết quả render chưa có</x:v>
      </x:c>
      <x:c r="S95" t="str">
        <x:v>STRUCTURE_READ_EXISTING_WORKBOOK</x:v>
      </x:c>
      <x:c r="T95"/>
      <x:c r="U95" t="str">
        <x:v>Văn bản/OOXML: xác định đối tượng trước khi sửa</x:v>
      </x:c>
    </x:row>
    <x:row r="96">
      <x:c r="A96" t="n">
        <x:v>95</x:v>
      </x:c>
      <x:c r="B96" t="str">
        <x:v>ND30.C.KY.HO_TEN.CACH_SAU</x:v>
      </x:c>
      <x:c r="C96" t="str">
        <x:v>ND30.C.KY.HO_TEN</x:v>
      </x:c>
      <x:c r="D96" t="str">
        <x:v>C</x:v>
      </x:c>
      <x:c r="E96" t="str">
        <x:v>Họ tên người ký</x:v>
      </x:c>
      <x:c r="F96" t="str">
        <x:v>CACH_SAU</x:v>
      </x:c>
      <x:c r="G96" t="n">
        <x:v>0</x:v>
      </x:c>
      <x:c r="H96"/>
      <x:c r="I96" t="str">
        <x:v>UNVERIFIED_ATTRIBUTE</x:v>
      </x:c>
      <x:c r="J96" t="str">
        <x:v>PROFILE_PRESET_UNAPPROVED</x:v>
      </x:c>
      <x:c r="K96" t="str">
        <x:v>Chỉ khi có khối người ký; cần chứng cứ thẩm quyền, chức vụ, người ký; tài liệu soạn thảo không tạo chữ ký</x:v>
      </x:c>
      <x:c r="L96" t="str">
        <x:v>Không tạo nhân thân/chức vụ/dấu/chữ ký; bảo toàn nơi nhận và thẩm quyền.</x:v>
      </x:c>
      <x:c r="M96" t="str">
        <x:v>pt</x:v>
      </x:c>
      <x:c r="N96" t="str">
        <x:v>NĐ30, Phụ lục I, Phần I, II.7; V.7</x:v>
      </x:c>
      <x:c r="O96" t="str">
        <x:v>https://congbao.chinhphu.vn/van-ban/nghi-dinh-so-30-2020-nd-cp-30858/30246.htm</x:v>
      </x:c>
      <x:c r="P96" t="str">
        <x:v>PLUGIN:hoa-tieu-mien-bac-administrative-v1 | user_approved_visual_reference</x:v>
      </x:c>
      <x:c r="Q96" t="str">
        <x:v>CHECK_ONLY</x:v>
      </x:c>
      <x:c r="R96" t="str">
        <x:v>Kiểm tra từng thuộc tính có mặt; so sánh nguồn/role; không suy đoán từ kết quả render chưa có</x:v>
      </x:c>
      <x:c r="S96" t="str">
        <x:v>STRUCTURE_READ_EXISTING_WORKBOOK</x:v>
      </x:c>
      <x:c r="T96"/>
      <x:c r="U96" t="str">
        <x:v>Văn bản/OOXML: xác định đối tượng trước khi sửa</x:v>
      </x:c>
    </x:row>
    <x:row r="97">
      <x:c r="A97" t="n">
        <x:v>96</x:v>
      </x:c>
      <x:c r="B97" t="str">
        <x:v>ND30.C.KY.HO_TEN.VI_TRI</x:v>
      </x:c>
      <x:c r="C97" t="str">
        <x:v>ND30.C.KY.HO_TEN</x:v>
      </x:c>
      <x:c r="D97" t="str">
        <x:v>C</x:v>
      </x:c>
      <x:c r="E97" t="str">
        <x:v>Họ tên người ký</x:v>
      </x:c>
      <x:c r="F97" t="str">
        <x:v>VI_TRI</x:v>
      </x:c>
      <x:c r="G97" t="str">
        <x:v>KHỐI PHẢI</x:v>
      </x:c>
      <x:c r="H97"/>
      <x:c r="I97" t="str">
        <x:v>UNVERIFIED_ATTRIBUTE</x:v>
      </x:c>
      <x:c r="J97" t="str">
        <x:v>PROFILE_PRESET_UNAPPROVED</x:v>
      </x:c>
      <x:c r="K97" t="str">
        <x:v>Chỉ khi có khối người ký; cần chứng cứ thẩm quyền, chức vụ, người ký; tài liệu soạn thảo không tạo chữ ký</x:v>
      </x:c>
      <x:c r="L97" t="str">
        <x:v>Không tạo nhân thân/chức vụ/dấu/chữ ký; bảo toàn nơi nhận và thẩm quyền.</x:v>
      </x:c>
      <x:c r="M97"/>
      <x:c r="N97" t="str">
        <x:v>NĐ30, Phụ lục I, Phần I, II.7; V.7</x:v>
      </x:c>
      <x:c r="O97" t="str">
        <x:v>https://congbao.chinhphu.vn/van-ban/nghi-dinh-so-30-2020-nd-cp-30858/30246.htm</x:v>
      </x:c>
      <x:c r="P97" t="str">
        <x:v>PLUGIN:hoa-tieu-mien-bac-administrative-v1 | user_approved_visual_reference</x:v>
      </x:c>
      <x:c r="Q97" t="str">
        <x:v>CHECK_ONLY</x:v>
      </x:c>
      <x:c r="R97" t="str">
        <x:v>Kiểm tra từng thuộc tính có mặt; so sánh nguồn/role; không suy đoán từ kết quả render chưa có</x:v>
      </x:c>
      <x:c r="S97" t="str">
        <x:v>STRUCTURE_READ_EXISTING_WORKBOOK</x:v>
      </x:c>
      <x:c r="T97"/>
      <x:c r="U97" t="str">
        <x:v>Văn bản/OOXML: xác định đối tượng trước khi sửa</x:v>
      </x:c>
    </x:row>
    <x:row r="98">
      <x:c r="A98" t="n">
        <x:v>97</x:v>
      </x:c>
      <x:c r="B98" t="str">
        <x:v>ND30.C.KY.HO_TEN.KEEP_NEXT</x:v>
      </x:c>
      <x:c r="C98" t="str">
        <x:v>ND30.C.KY.HO_TEN</x:v>
      </x:c>
      <x:c r="D98" t="str">
        <x:v>C</x:v>
      </x:c>
      <x:c r="E98" t="str">
        <x:v>Họ tên người ký</x:v>
      </x:c>
      <x:c r="F98" t="str">
        <x:v>KEEP_NEXT</x:v>
      </x:c>
      <x:c r="G98"/>
      <x:c r="H98"/>
      <x:c r="I98" t="str">
        <x:v>UNVERIFIED_ATTRIBUTE</x:v>
      </x:c>
      <x:c r="J98" t="str">
        <x:v>BLOCKED_NO_ATTRIBUTE_VALUE</x:v>
      </x:c>
      <x:c r="K98" t="str">
        <x:v>Chỉ khi có khối người ký; cần chứng cứ thẩm quyền, chức vụ, người ký; tài liệu soạn thảo không tạo chữ ký</x:v>
      </x:c>
      <x:c r="L98" t="str">
        <x:v>Không tạo nhân thân/chức vụ/dấu/chữ ký; bảo toàn nơi nhận và thẩm quyền.</x:v>
      </x:c>
      <x:c r="M98"/>
      <x:c r="N98" t="str">
        <x:v>NĐ30, Phụ lục I, Phần I, II.7; V.7</x:v>
      </x:c>
      <x:c r="O98" t="str">
        <x:v>https://congbao.chinhphu.vn/van-ban/nghi-dinh-so-30-2020-nd-cp-30858/30246.htm</x:v>
      </x:c>
      <x:c r="P98" t="str">
        <x:v>PLUGIN:hoa-tieu-mien-bac-administrative-v1 | user_approved_visual_reference</x:v>
      </x:c>
      <x:c r="Q98" t="str">
        <x:v>CHECK_ONLY</x:v>
      </x:c>
      <x:c r="R98" t="str">
        <x:v>Kiểm tra từng thuộc tính có mặt; so sánh nguồn/role; không suy đoán từ kết quả render chưa có</x:v>
      </x:c>
      <x:c r="S98" t="str">
        <x:v>RULE_INFERENCE_NOT_MEASURED</x:v>
      </x:c>
      <x:c r="T98" t="str">
        <x:v>Xác minh căn cứ theo loại văn bản / tài liệu phát hành hoặc phê duyệt</x:v>
      </x:c>
      <x:c r="U98" t="str">
        <x:v>Văn bản/OOXML: xác định đối tượng trước khi sửa</x:v>
      </x:c>
    </x:row>
    <x:row r="99">
      <x:c r="A99" t="n">
        <x:v>98</x:v>
      </x:c>
      <x:c r="B99" t="str">
        <x:v>ND30.C.KY.KHOI_KY.HIEN_DIEN</x:v>
      </x:c>
      <x:c r="C99" t="str">
        <x:v>ND30.C.KY.KHOI_KY</x:v>
      </x:c>
      <x:c r="D99" t="str">
        <x:v>C</x:v>
      </x:c>
      <x:c r="E99" t="str">
        <x:v>Một khối ký có thể lặp nhiều instance</x:v>
      </x:c>
      <x:c r="F99" t="str">
        <x:v>HIEN_DIEN</x:v>
      </x:c>
      <x:c r="G99" t="str">
        <x:v>Khối ký tùy thẩm quyền/loại văn bản</x:v>
      </x:c>
      <x:c r="H99"/>
      <x:c r="I99" t="str">
        <x:v>UNVERIFIED_ATTRIBUTE</x:v>
      </x:c>
      <x:c r="J99" t="str">
        <x:v>SOURCE_DESCRIPTION_NOT_APPROVAL</x:v>
      </x:c>
      <x:c r="K99" t="str">
        <x:v>Chỉ khi có khối người ký; cần chứng cứ thẩm quyền, chức vụ, người ký; tài liệu soạn thảo không tạo chữ ký</x:v>
      </x:c>
      <x:c r="L99" t="str">
        <x:v>Không tạo nhân thân/chức vụ/dấu/chữ ký; bảo toàn nơi nhận và thẩm quyền.</x:v>
      </x:c>
      <x:c r="M99"/>
      <x:c r="N99" t="str">
        <x:v>NĐ30, Phụ lục I, Phần I, II.7; V.7</x:v>
      </x:c>
      <x:c r="O99" t="str">
        <x:v>https://congbao.chinhphu.vn/van-ban/nghi-dinh-so-30-2020-nd-cp-30858/30246.htm</x:v>
      </x:c>
      <x:c r="P99" t="str">
        <x:v>PLUGIN:hoa-tieu-mien-bac-administrative-v1 | user_approved_visual_reference</x:v>
      </x:c>
      <x:c r="Q99" t="str">
        <x:v>CHECK_ONLY</x:v>
      </x:c>
      <x:c r="R99" t="str">
        <x:v>Kiểm tra từng thuộc tính có mặt; so sánh nguồn/role; không suy đoán từ kết quả render chưa có</x:v>
      </x:c>
      <x:c r="S99" t="str">
        <x:v>STRUCTURE_READ_EXISTING_WORKBOOK</x:v>
      </x:c>
      <x:c r="T99"/>
      <x:c r="U99" t="str">
        <x:v>Văn bản/OOXML: xác định đối tượng trước khi sửa</x:v>
      </x:c>
    </x:row>
    <x:row r="100">
      <x:c r="A100" t="n">
        <x:v>99</x:v>
      </x:c>
      <x:c r="B100" t="str">
        <x:v>ND30.C.KY.KHOI_KY.NOI_DUNG</x:v>
      </x:c>
      <x:c r="C100" t="str">
        <x:v>ND30.C.KY.KHOI_KY</x:v>
      </x:c>
      <x:c r="D100" t="str">
        <x:v>C</x:v>
      </x:c>
      <x:c r="E100" t="str">
        <x:v>Một khối ký có thể lặp nhiều instance</x:v>
      </x:c>
      <x:c r="F100" t="str">
        <x:v>NOI_DUNG</x:v>
      </x:c>
      <x:c r="G100" t="str">
        <x:v>Cụm signer lặp được; bố cục nhiều người ký/biên bản theo mẫu riêng</x:v>
      </x:c>
      <x:c r="H100"/>
      <x:c r="I100" t="str">
        <x:v>UNVERIFIED_ATTRIBUTE</x:v>
      </x:c>
      <x:c r="J100" t="str">
        <x:v>SOURCE_DESCRIPTION_NOT_APPROVAL</x:v>
      </x:c>
      <x:c r="K100" t="str">
        <x:v>Chỉ khi có khối người ký; cần chứng cứ thẩm quyền, chức vụ, người ký; tài liệu soạn thảo không tạo chữ ký</x:v>
      </x:c>
      <x:c r="L100" t="str">
        <x:v>Không tạo nhân thân/chức vụ/dấu/chữ ký; bảo toàn nơi nhận và thẩm quyền.</x:v>
      </x:c>
      <x:c r="M100"/>
      <x:c r="N100" t="str">
        <x:v>NĐ30, Phụ lục I, Phần I, II.7; V.7</x:v>
      </x:c>
      <x:c r="O100" t="str">
        <x:v>https://congbao.chinhphu.vn/van-ban/nghi-dinh-so-30-2020-nd-cp-30858/30246.htm</x:v>
      </x:c>
      <x:c r="P100" t="str">
        <x:v>PLUGIN:hoa-tieu-mien-bac-administrative-v1 | user_approved_visual_reference</x:v>
      </x:c>
      <x:c r="Q100" t="str">
        <x:v>CHECK_ONLY</x:v>
      </x:c>
      <x:c r="R100" t="str">
        <x:v>Kiểm tra từng thuộc tính có mặt; so sánh nguồn/role; không suy đoán từ kết quả render chưa có</x:v>
      </x:c>
      <x:c r="S100" t="str">
        <x:v>STRUCTURE_READ_EXISTING_WORKBOOK</x:v>
      </x:c>
      <x:c r="T100"/>
      <x:c r="U100" t="str">
        <x:v>Văn bản/OOXML: xác định đối tượng trước khi sửa</x:v>
      </x:c>
    </x:row>
    <x:row r="101">
      <x:c r="A101" t="n">
        <x:v>100</x:v>
      </x:c>
      <x:c r="B101" t="str">
        <x:v>ND30.C.KY.KHOI_KY.CAU_TRUC</x:v>
      </x:c>
      <x:c r="C101" t="str">
        <x:v>ND30.C.KY.KHOI_KY</x:v>
      </x:c>
      <x:c r="D101" t="str">
        <x:v>C</x:v>
      </x:c>
      <x:c r="E101" t="str">
        <x:v>Một khối ký có thể lặp nhiều instance</x:v>
      </x:c>
      <x:c r="F101" t="str">
        <x:v>CAU_TRUC</x:v>
      </x:c>
      <x:c r="G101"/>
      <x:c r="H101"/>
      <x:c r="I101" t="str">
        <x:v>UNVERIFIED_ATTRIBUTE</x:v>
      </x:c>
      <x:c r="J101" t="str">
        <x:v>BLOCKED_NO_ATTRIBUTE_VALUE</x:v>
      </x:c>
      <x:c r="K101" t="str">
        <x:v>Chỉ khi có khối người ký; cần chứng cứ thẩm quyền, chức vụ, người ký; tài liệu soạn thảo không tạo chữ ký</x:v>
      </x:c>
      <x:c r="L101" t="str">
        <x:v>Không tạo nhân thân/chức vụ/dấu/chữ ký; bảo toàn nơi nhận và thẩm quyền.</x:v>
      </x:c>
      <x:c r="M101"/>
      <x:c r="N101" t="str">
        <x:v>NĐ30, Phụ lục I, Phần I, II.7; V.7</x:v>
      </x:c>
      <x:c r="O101" t="str">
        <x:v>https://congbao.chinhphu.vn/van-ban/nghi-dinh-so-30-2020-nd-cp-30858/30246.htm</x:v>
      </x:c>
      <x:c r="P101" t="str">
        <x:v>PLUGIN:hoa-tieu-mien-bac-administrative-v1 | user_approved_visual_reference</x:v>
      </x:c>
      <x:c r="Q101" t="str">
        <x:v>CHECK_ONLY</x:v>
      </x:c>
      <x:c r="R101" t="str">
        <x:v>Kiểm tra từng thuộc tính có mặt; so sánh nguồn/role; không suy đoán từ kết quả render chưa có</x:v>
      </x:c>
      <x:c r="S101" t="str">
        <x:v>RULE_INFERENCE_NOT_MEASURED</x:v>
      </x:c>
      <x:c r="T101" t="str">
        <x:v>Xác minh căn cứ theo loại văn bản / tài liệu phát hành hoặc phê duyệt</x:v>
      </x:c>
      <x:c r="U101" t="str">
        <x:v>Văn bản/OOXML: xác định đối tượng trước khi sửa</x:v>
      </x:c>
    </x:row>
    <x:row r="102">
      <x:c r="A102" t="n">
        <x:v>101</x:v>
      </x:c>
      <x:c r="B102" t="str">
        <x:v>ND30.C.KY.KHOI_KY.VI_TRI</x:v>
      </x:c>
      <x:c r="C102" t="str">
        <x:v>ND30.C.KY.KHOI_KY</x:v>
      </x:c>
      <x:c r="D102" t="str">
        <x:v>C</x:v>
      </x:c>
      <x:c r="E102" t="str">
        <x:v>Một khối ký có thể lặp nhiều instance</x:v>
      </x:c>
      <x:c r="F102" t="str">
        <x:v>VI_TRI</x:v>
      </x:c>
      <x:c r="G102" t="str">
        <x:v>KHỐI PHẢI</x:v>
      </x:c>
      <x:c r="H102"/>
      <x:c r="I102" t="str">
        <x:v>UNVERIFIED_ATTRIBUTE</x:v>
      </x:c>
      <x:c r="J102" t="str">
        <x:v>PROFILE_PRESET_UNAPPROVED</x:v>
      </x:c>
      <x:c r="K102" t="str">
        <x:v>Chỉ khi có khối người ký; cần chứng cứ thẩm quyền, chức vụ, người ký; tài liệu soạn thảo không tạo chữ ký</x:v>
      </x:c>
      <x:c r="L102" t="str">
        <x:v>Không tạo nhân thân/chức vụ/dấu/chữ ký; bảo toàn nơi nhận và thẩm quyền.</x:v>
      </x:c>
      <x:c r="M102"/>
      <x:c r="N102" t="str">
        <x:v>NĐ30, Phụ lục I, Phần I, II.7; V.7</x:v>
      </x:c>
      <x:c r="O102" t="str">
        <x:v>https://congbao.chinhphu.vn/van-ban/nghi-dinh-so-30-2020-nd-cp-30858/30246.htm</x:v>
      </x:c>
      <x:c r="P102" t="str">
        <x:v>PLUGIN:hoa-tieu-mien-bac-administrative-v1 | user_approved_visual_reference</x:v>
      </x:c>
      <x:c r="Q102" t="str">
        <x:v>CHECK_ONLY</x:v>
      </x:c>
      <x:c r="R102" t="str">
        <x:v>Kiểm tra từng thuộc tính có mặt; so sánh nguồn/role; không suy đoán từ kết quả render chưa có</x:v>
      </x:c>
      <x:c r="S102" t="str">
        <x:v>STRUCTURE_READ_EXISTING_WORKBOOK</x:v>
      </x:c>
      <x:c r="T102"/>
      <x:c r="U102" t="str">
        <x:v>Văn bản/OOXML: xác định đối tượng trước khi sửa</x:v>
      </x:c>
    </x:row>
    <x:row r="103">
      <x:c r="A103" t="n">
        <x:v>102</x:v>
      </x:c>
      <x:c r="B103" t="str">
        <x:v>ND30.C.KY.KHOI_KY.KEEP_NEXT</x:v>
      </x:c>
      <x:c r="C103" t="str">
        <x:v>ND30.C.KY.KHOI_KY</x:v>
      </x:c>
      <x:c r="D103" t="str">
        <x:v>C</x:v>
      </x:c>
      <x:c r="E103" t="str">
        <x:v>Một khối ký có thể lặp nhiều instance</x:v>
      </x:c>
      <x:c r="F103" t="str">
        <x:v>KEEP_NEXT</x:v>
      </x:c>
      <x:c r="G103"/>
      <x:c r="H103"/>
      <x:c r="I103" t="str">
        <x:v>UNVERIFIED_ATTRIBUTE</x:v>
      </x:c>
      <x:c r="J103" t="str">
        <x:v>BLOCKED_NO_ATTRIBUTE_VALUE</x:v>
      </x:c>
      <x:c r="K103" t="str">
        <x:v>Chỉ khi có khối người ký; cần chứng cứ thẩm quyền, chức vụ, người ký; tài liệu soạn thảo không tạo chữ ký</x:v>
      </x:c>
      <x:c r="L103" t="str">
        <x:v>Không tạo nhân thân/chức vụ/dấu/chữ ký; bảo toàn nơi nhận và thẩm quyền.</x:v>
      </x:c>
      <x:c r="M103"/>
      <x:c r="N103" t="str">
        <x:v>NĐ30, Phụ lục I, Phần I, II.7; V.7</x:v>
      </x:c>
      <x:c r="O103" t="str">
        <x:v>https://congbao.chinhphu.vn/van-ban/nghi-dinh-so-30-2020-nd-cp-30858/30246.htm</x:v>
      </x:c>
      <x:c r="P103" t="str">
        <x:v>PLUGIN:hoa-tieu-mien-bac-administrative-v1 | user_approved_visual_reference</x:v>
      </x:c>
      <x:c r="Q103" t="str">
        <x:v>CHECK_ONLY</x:v>
      </x:c>
      <x:c r="R103" t="str">
        <x:v>Kiểm tra từng thuộc tính có mặt; so sánh nguồn/role; không suy đoán từ kết quả render chưa có</x:v>
      </x:c>
      <x:c r="S103" t="str">
        <x:v>RULE_INFERENCE_NOT_MEASURED</x:v>
      </x:c>
      <x:c r="T103" t="str">
        <x:v>Xác minh căn cứ theo loại văn bản / tài liệu phát hành hoặc phê duyệt</x:v>
      </x:c>
      <x:c r="U103" t="str">
        <x:v>Văn bản/OOXML: xác định đối tượng trước khi sửa</x:v>
      </x:c>
    </x:row>
    <x:row r="104">
      <x:c r="A104" t="n">
        <x:v>103</x:v>
      </x:c>
      <x:c r="B104" t="str">
        <x:v>ND30.C.DAU.DAU_CO_QUAN.HIEN_DIEN</x:v>
      </x:c>
      <x:c r="C104" t="str">
        <x:v>ND30.C.DAU.DAU_CO_QUAN</x:v>
      </x:c>
      <x:c r="D104" t="str">
        <x:v>C</x:v>
      </x:c>
      <x:c r="E104" t="str">
        <x:v>Vị trí dấu của cơ quan ban hành</x:v>
      </x:c>
      <x:c r="F104" t="str">
        <x:v>HIEN_DIEN</x:v>
      </x:c>
      <x:c r="G104" t="str">
        <x:v>Khi có khối ký/dấu trong văn bản gốc; không tự bổ sung</x:v>
      </x:c>
      <x:c r="H104"/>
      <x:c r="I104" t="str">
        <x:v>UNVERIFIED_ATTRIBUTE</x:v>
      </x:c>
      <x:c r="J104" t="str">
        <x:v>CHECK_ONLY_PROTECTED</x:v>
      </x:c>
      <x:c r="K104" t="str">
        <x:v>Chỉ bản phát hành phù hợp, không tự đóng dấu hay tạo chữ ký số; phải có quyền và nguồn hợp lệ</x:v>
      </x:c>
      <x:c r="L104" t="str">
        <x:v>Không tạo nhân thân/chức vụ/dấu/chữ ký; bảo toàn nơi nhận và thẩm quyền.</x:v>
      </x:c>
      <x:c r="M104"/>
      <x:c r="N104" t="str">
        <x:v>NĐ30, Phụ lục I, Phần I, II.8</x:v>
      </x:c>
      <x:c r="O104" t="str">
        <x:v>https://congbao.chinhphu.vn/van-ban/nghi-dinh-so-30-2020-nd-cp-30858/30246.htm</x:v>
      </x:c>
      <x:c r="P104" t="str">
        <x:v>PLUGIN:hoa-tieu-mien-bac-administrative-v1 | user_approved_visual_reference</x:v>
      </x:c>
      <x:c r="Q104" t="str">
        <x:v>CHECK_ONLY</x:v>
      </x:c>
      <x:c r="R104" t="str">
        <x:v>Kiểm tra từng thuộc tính có mặt; so sánh nguồn/role; không suy đoán từ kết quả render chưa có</x:v>
      </x:c>
      <x:c r="S104" t="str">
        <x:v>STRUCTURE_READ_EXISTING_WORKBOOK</x:v>
      </x:c>
      <x:c r="T104"/>
      <x:c r="U104" t="str">
        <x:v>Protected visual/signature anchor; không chèn hoặc xóa</x:v>
      </x:c>
    </x:row>
    <x:row r="105">
      <x:c r="A105" t="n">
        <x:v>104</x:v>
      </x:c>
      <x:c r="B105" t="str">
        <x:v>ND30.C.DAU.DAU_CO_QUAN.NOI_DUNG</x:v>
      </x:c>
      <x:c r="C105" t="str">
        <x:v>ND30.C.DAU.DAU_CO_QUAN</x:v>
      </x:c>
      <x:c r="D105" t="str">
        <x:v>C</x:v>
      </x:c>
      <x:c r="E105" t="str">
        <x:v>Vị trí dấu của cơ quan ban hành</x:v>
      </x:c>
      <x:c r="F105" t="str">
        <x:v>NOI_DUNG</x:v>
      </x:c>
      <x:c r="G105" t="str">
        <x:v>Vùng dấu hoặc chữ ký số của cơ quan trong bản chính; không phải thao tác soạn thảo</x:v>
      </x:c>
      <x:c r="H105"/>
      <x:c r="I105" t="str">
        <x:v>UNVERIFIED_ATTRIBUTE</x:v>
      </x:c>
      <x:c r="J105" t="str">
        <x:v>CHECK_ONLY_PROTECTED</x:v>
      </x:c>
      <x:c r="K105" t="str">
        <x:v>Chỉ bản phát hành phù hợp, không tự đóng dấu hay tạo chữ ký số; phải có quyền và nguồn hợp lệ</x:v>
      </x:c>
      <x:c r="L105" t="str">
        <x:v>Không tạo nhân thân/chức vụ/dấu/chữ ký; bảo toàn nơi nhận và thẩm quyền.</x:v>
      </x:c>
      <x:c r="M105"/>
      <x:c r="N105" t="str">
        <x:v>NĐ30, Phụ lục I, Phần I, II.8</x:v>
      </x:c>
      <x:c r="O105" t="str">
        <x:v>https://congbao.chinhphu.vn/van-ban/nghi-dinh-so-30-2020-nd-cp-30858/30246.htm</x:v>
      </x:c>
      <x:c r="P105" t="str">
        <x:v>PLUGIN:hoa-tieu-mien-bac-administrative-v1 | user_approved_visual_reference</x:v>
      </x:c>
      <x:c r="Q105" t="str">
        <x:v>CHECK_ONLY</x:v>
      </x:c>
      <x:c r="R105" t="str">
        <x:v>Kiểm tra từng thuộc tính có mặt; so sánh nguồn/role; không suy đoán từ kết quả render chưa có</x:v>
      </x:c>
      <x:c r="S105" t="str">
        <x:v>STRUCTURE_READ_EXISTING_WORKBOOK</x:v>
      </x:c>
      <x:c r="T105"/>
      <x:c r="U105" t="str">
        <x:v>Protected visual/signature anchor; không chèn hoặc xóa</x:v>
      </x:c>
    </x:row>
    <x:row r="106">
      <x:c r="A106" t="n">
        <x:v>105</x:v>
      </x:c>
      <x:c r="B106" t="str">
        <x:v>ND30.C.DAU.DAU_CO_QUAN.HINH_ANH</x:v>
      </x:c>
      <x:c r="C106" t="str">
        <x:v>ND30.C.DAU.DAU_CO_QUAN</x:v>
      </x:c>
      <x:c r="D106" t="str">
        <x:v>C</x:v>
      </x:c>
      <x:c r="E106" t="str">
        <x:v>Vị trí dấu của cơ quan ban hành</x:v>
      </x:c>
      <x:c r="F106" t="str">
        <x:v>HINH_ANH</x:v>
      </x:c>
      <x:c r="G106"/>
      <x:c r="H106"/>
      <x:c r="I106" t="str">
        <x:v>UNVERIFIED_ATTRIBUTE</x:v>
      </x:c>
      <x:c r="J106" t="str">
        <x:v>CHECK_ONLY_PROTECTED</x:v>
      </x:c>
      <x:c r="K106" t="str">
        <x:v>Chỉ bản phát hành phù hợp, không tự đóng dấu hay tạo chữ ký số; phải có quyền và nguồn hợp lệ</x:v>
      </x:c>
      <x:c r="L106" t="str">
        <x:v>Không tạo nhân thân/chức vụ/dấu/chữ ký; bảo toàn nơi nhận và thẩm quyền.</x:v>
      </x:c>
      <x:c r="M106"/>
      <x:c r="N106" t="str">
        <x:v>NĐ30, Phụ lục I, Phần I, II.8</x:v>
      </x:c>
      <x:c r="O106" t="str">
        <x:v>https://congbao.chinhphu.vn/van-ban/nghi-dinh-so-30-2020-nd-cp-30858/30246.htm</x:v>
      </x:c>
      <x:c r="P106" t="str">
        <x:v>PLUGIN:hoa-tieu-mien-bac-administrative-v1 | user_approved_visual_reference</x:v>
      </x:c>
      <x:c r="Q106" t="str">
        <x:v>CHECK_ONLY</x:v>
      </x:c>
      <x:c r="R106" t="str">
        <x:v>Kiểm tra từng thuộc tính có mặt; so sánh nguồn/role; không suy đoán từ kết quả render chưa có</x:v>
      </x:c>
      <x:c r="S106" t="str">
        <x:v>RULE_INFERENCE_NOT_MEASURED</x:v>
      </x:c>
      <x:c r="T106"/>
      <x:c r="U106" t="str">
        <x:v>Protected visual/signature anchor; không chèn hoặc xóa</x:v>
      </x:c>
    </x:row>
    <x:row r="107">
      <x:c r="A107" t="n">
        <x:v>106</x:v>
      </x:c>
      <x:c r="B107" t="str">
        <x:v>ND30.C.DAU.DAU_CO_QUAN.VI_TRI</x:v>
      </x:c>
      <x:c r="C107" t="str">
        <x:v>ND30.C.DAU.DAU_CO_QUAN</x:v>
      </x:c>
      <x:c r="D107" t="str">
        <x:v>C</x:v>
      </x:c>
      <x:c r="E107" t="str">
        <x:v>Vị trí dấu của cơ quan ban hành</x:v>
      </x:c>
      <x:c r="F107" t="str">
        <x:v>VI_TRI</x:v>
      </x:c>
      <x:c r="G107"/>
      <x:c r="H107"/>
      <x:c r="I107" t="str">
        <x:v>UNVERIFIED_ATTRIBUTE</x:v>
      </x:c>
      <x:c r="J107" t="str">
        <x:v>CHECK_ONLY_PROTECTED</x:v>
      </x:c>
      <x:c r="K107" t="str">
        <x:v>Chỉ bản phát hành phù hợp, không tự đóng dấu hay tạo chữ ký số; phải có quyền và nguồn hợp lệ</x:v>
      </x:c>
      <x:c r="L107" t="str">
        <x:v>Không tạo nhân thân/chức vụ/dấu/chữ ký; bảo toàn nơi nhận và thẩm quyền.</x:v>
      </x:c>
      <x:c r="M107"/>
      <x:c r="N107" t="str">
        <x:v>NĐ30, Phụ lục I, Phần I, II.8</x:v>
      </x:c>
      <x:c r="O107" t="str">
        <x:v>https://congbao.chinhphu.vn/van-ban/nghi-dinh-so-30-2020-nd-cp-30858/30246.htm</x:v>
      </x:c>
      <x:c r="P107" t="str">
        <x:v>PLUGIN:hoa-tieu-mien-bac-administrative-v1 | user_approved_visual_reference</x:v>
      </x:c>
      <x:c r="Q107" t="str">
        <x:v>CHECK_ONLY</x:v>
      </x:c>
      <x:c r="R107" t="str">
        <x:v>Kiểm tra từng thuộc tính có mặt; so sánh nguồn/role; không suy đoán từ kết quả render chưa có</x:v>
      </x:c>
      <x:c r="S107" t="str">
        <x:v>RULE_INFERENCE_NOT_MEASURED</x:v>
      </x:c>
      <x:c r="T107"/>
      <x:c r="U107" t="str">
        <x:v>Protected visual/signature anchor; không chèn hoặc xóa</x:v>
      </x:c>
    </x:row>
    <x:row r="108">
      <x:c r="A108" t="n">
        <x:v>107</x:v>
      </x:c>
      <x:c r="B108" t="str">
        <x:v>ND30.C.DAU.DAU_CO_QUAN.TRANG_THAI_HIEN_THI</x:v>
      </x:c>
      <x:c r="C108" t="str">
        <x:v>ND30.C.DAU.DAU_CO_QUAN</x:v>
      </x:c>
      <x:c r="D108" t="str">
        <x:v>C</x:v>
      </x:c>
      <x:c r="E108" t="str">
        <x:v>Vị trí dấu của cơ quan ban hành</x:v>
      </x:c>
      <x:c r="F108" t="str">
        <x:v>TRANG_THAI_HIEN_THI</x:v>
      </x:c>
      <x:c r="G108"/>
      <x:c r="H108"/>
      <x:c r="I108" t="str">
        <x:v>UNVERIFIED_ATTRIBUTE</x:v>
      </x:c>
      <x:c r="J108" t="str">
        <x:v>CHECK_ONLY_PROTECTED</x:v>
      </x:c>
      <x:c r="K108" t="str">
        <x:v>Chỉ bản phát hành phù hợp, không tự đóng dấu hay tạo chữ ký số; phải có quyền và nguồn hợp lệ</x:v>
      </x:c>
      <x:c r="L108" t="str">
        <x:v>Không tạo nhân thân/chức vụ/dấu/chữ ký; bảo toàn nơi nhận và thẩm quyền.</x:v>
      </x:c>
      <x:c r="M108"/>
      <x:c r="N108" t="str">
        <x:v>NĐ30, Phụ lục I, Phần I, II.8</x:v>
      </x:c>
      <x:c r="O108" t="str">
        <x:v>https://congbao.chinhphu.vn/van-ban/nghi-dinh-so-30-2020-nd-cp-30858/30246.htm</x:v>
      </x:c>
      <x:c r="P108" t="str">
        <x:v>PLUGIN:hoa-tieu-mien-bac-administrative-v1 | user_approved_visual_reference</x:v>
      </x:c>
      <x:c r="Q108" t="str">
        <x:v>CHECK_ONLY</x:v>
      </x:c>
      <x:c r="R108" t="str">
        <x:v>Kiểm tra từng thuộc tính có mặt; so sánh nguồn/role; không suy đoán từ kết quả render chưa có</x:v>
      </x:c>
      <x:c r="S108" t="str">
        <x:v>RULE_INFERENCE_NOT_MEASURED</x:v>
      </x:c>
      <x:c r="T108"/>
      <x:c r="U108" t="str">
        <x:v>Protected visual/signature anchor; không chèn hoặc xóa</x:v>
      </x:c>
    </x:row>
    <x:row r="109">
      <x:c r="A109" t="n">
        <x:v>108</x:v>
      </x:c>
      <x:c r="B109" t="str">
        <x:v>ND30.C.DAU.CHU_KY_SO.HIEN_DIEN</x:v>
      </x:c>
      <x:c r="C109" t="str">
        <x:v>ND30.C.DAU.CHU_KY_SO</x:v>
      </x:c>
      <x:c r="D109" t="str">
        <x:v>C</x:v>
      </x:c>
      <x:c r="E109" t="str">
        <x:v>Chữ ký số cơ quan trên bản văn bản điện tử</x:v>
      </x:c>
      <x:c r="F109" t="str">
        <x:v>HIEN_DIEN</x:v>
      </x:c>
      <x:c r="G109" t="str">
        <x:v>Khi có khối ký/dấu trong văn bản gốc; không tự bổ sung</x:v>
      </x:c>
      <x:c r="H109"/>
      <x:c r="I109" t="str">
        <x:v>UNVERIFIED_ATTRIBUTE</x:v>
      </x:c>
      <x:c r="J109" t="str">
        <x:v>CHECK_ONLY_PROTECTED</x:v>
      </x:c>
      <x:c r="K109" t="str">
        <x:v>Chỉ bản phát hành phù hợp, không tự đóng dấu hay tạo chữ ký số; phải có quyền và nguồn hợp lệ</x:v>
      </x:c>
      <x:c r="L109" t="str">
        <x:v>Không tạo nhân thân/chức vụ/dấu/chữ ký; bảo toàn nơi nhận và thẩm quyền.</x:v>
      </x:c>
      <x:c r="M109"/>
      <x:c r="N109" t="str">
        <x:v>NĐ30, Phụ lục I, Phần I, II.8</x:v>
      </x:c>
      <x:c r="O109" t="str">
        <x:v>https://congbao.chinhphu.vn/van-ban/nghi-dinh-so-30-2020-nd-cp-30858/30246.htm</x:v>
      </x:c>
      <x:c r="P109" t="str">
        <x:v>PLUGIN:hoa-tieu-mien-bac-administrative-v1 | user_approved_visual_reference</x:v>
      </x:c>
      <x:c r="Q109" t="str">
        <x:v>CHECK_ONLY</x:v>
      </x:c>
      <x:c r="R109" t="str">
        <x:v>Kiểm tra từng thuộc tính có mặt; so sánh nguồn/role; không suy đoán từ kết quả render chưa có</x:v>
      </x:c>
      <x:c r="S109" t="str">
        <x:v>STRUCTURE_READ_EXISTING_WORKBOOK</x:v>
      </x:c>
      <x:c r="T109"/>
      <x:c r="U109" t="str">
        <x:v>Protected visual/signature anchor; không chèn hoặc xóa</x:v>
      </x:c>
    </x:row>
    <x:row r="110">
      <x:c r="A110" t="n">
        <x:v>109</x:v>
      </x:c>
      <x:c r="B110" t="str">
        <x:v>ND30.C.DAU.CHU_KY_SO.NOI_DUNG</x:v>
      </x:c>
      <x:c r="C110" t="str">
        <x:v>ND30.C.DAU.CHU_KY_SO</x:v>
      </x:c>
      <x:c r="D110" t="str">
        <x:v>C</x:v>
      </x:c>
      <x:c r="E110" t="str">
        <x:v>Chữ ký số cơ quan trên bản văn bản điện tử</x:v>
      </x:c>
      <x:c r="F110" t="str">
        <x:v>NOI_DUNG</x:v>
      </x:c>
      <x:c r="G110" t="str">
        <x:v>Vùng dấu hoặc chữ ký số của cơ quan trong bản chính; không phải thao tác soạn thảo</x:v>
      </x:c>
      <x:c r="H110"/>
      <x:c r="I110" t="str">
        <x:v>UNVERIFIED_ATTRIBUTE</x:v>
      </x:c>
      <x:c r="J110" t="str">
        <x:v>CHECK_ONLY_PROTECTED</x:v>
      </x:c>
      <x:c r="K110" t="str">
        <x:v>Chỉ bản phát hành phù hợp, không tự đóng dấu hay tạo chữ ký số; phải có quyền và nguồn hợp lệ</x:v>
      </x:c>
      <x:c r="L110" t="str">
        <x:v>Không tạo nhân thân/chức vụ/dấu/chữ ký; bảo toàn nơi nhận và thẩm quyền.</x:v>
      </x:c>
      <x:c r="M110"/>
      <x:c r="N110" t="str">
        <x:v>NĐ30, Phụ lục I, Phần I, II.8</x:v>
      </x:c>
      <x:c r="O110" t="str">
        <x:v>https://congbao.chinhphu.vn/van-ban/nghi-dinh-so-30-2020-nd-cp-30858/30246.htm</x:v>
      </x:c>
      <x:c r="P110" t="str">
        <x:v>PLUGIN:hoa-tieu-mien-bac-administrative-v1 | user_approved_visual_reference</x:v>
      </x:c>
      <x:c r="Q110" t="str">
        <x:v>CHECK_ONLY</x:v>
      </x:c>
      <x:c r="R110" t="str">
        <x:v>Kiểm tra từng thuộc tính có mặt; so sánh nguồn/role; không suy đoán từ kết quả render chưa có</x:v>
      </x:c>
      <x:c r="S110" t="str">
        <x:v>STRUCTURE_READ_EXISTING_WORKBOOK</x:v>
      </x:c>
      <x:c r="T110"/>
      <x:c r="U110" t="str">
        <x:v>Protected visual/signature anchor; không chèn hoặc xóa</x:v>
      </x:c>
    </x:row>
    <x:row r="111">
      <x:c r="A111" t="n">
        <x:v>110</x:v>
      </x:c>
      <x:c r="B111" t="str">
        <x:v>ND30.C.DAU.CHU_KY_SO.HINH_ANH</x:v>
      </x:c>
      <x:c r="C111" t="str">
        <x:v>ND30.C.DAU.CHU_KY_SO</x:v>
      </x:c>
      <x:c r="D111" t="str">
        <x:v>C</x:v>
      </x:c>
      <x:c r="E111" t="str">
        <x:v>Chữ ký số cơ quan trên bản văn bản điện tử</x:v>
      </x:c>
      <x:c r="F111" t="str">
        <x:v>HINH_ANH</x:v>
      </x:c>
      <x:c r="G111"/>
      <x:c r="H111"/>
      <x:c r="I111" t="str">
        <x:v>UNVERIFIED_ATTRIBUTE</x:v>
      </x:c>
      <x:c r="J111" t="str">
        <x:v>CHECK_ONLY_PROTECTED</x:v>
      </x:c>
      <x:c r="K111" t="str">
        <x:v>Chỉ bản phát hành phù hợp, không tự đóng dấu hay tạo chữ ký số; phải có quyền và nguồn hợp lệ</x:v>
      </x:c>
      <x:c r="L111" t="str">
        <x:v>Không tạo nhân thân/chức vụ/dấu/chữ ký; bảo toàn nơi nhận và thẩm quyền.</x:v>
      </x:c>
      <x:c r="M111"/>
      <x:c r="N111" t="str">
        <x:v>NĐ30, Phụ lục I, Phần I, II.8</x:v>
      </x:c>
      <x:c r="O111" t="str">
        <x:v>https://congbao.chinhphu.vn/van-ban/nghi-dinh-so-30-2020-nd-cp-30858/30246.htm</x:v>
      </x:c>
      <x:c r="P111" t="str">
        <x:v>PLUGIN:hoa-tieu-mien-bac-administrative-v1 | user_approved_visual_reference</x:v>
      </x:c>
      <x:c r="Q111" t="str">
        <x:v>CHECK_ONLY</x:v>
      </x:c>
      <x:c r="R111" t="str">
        <x:v>Kiểm tra từng thuộc tính có mặt; so sánh nguồn/role; không suy đoán từ kết quả render chưa có</x:v>
      </x:c>
      <x:c r="S111" t="str">
        <x:v>RULE_INFERENCE_NOT_MEASURED</x:v>
      </x:c>
      <x:c r="T111"/>
      <x:c r="U111" t="str">
        <x:v>Protected visual/signature anchor; không chèn hoặc xóa</x:v>
      </x:c>
    </x:row>
    <x:row r="112">
      <x:c r="A112" t="n">
        <x:v>111</x:v>
      </x:c>
      <x:c r="B112" t="str">
        <x:v>ND30.C.DAU.CHU_KY_SO.VI_TRI</x:v>
      </x:c>
      <x:c r="C112" t="str">
        <x:v>ND30.C.DAU.CHU_KY_SO</x:v>
      </x:c>
      <x:c r="D112" t="str">
        <x:v>C</x:v>
      </x:c>
      <x:c r="E112" t="str">
        <x:v>Chữ ký số cơ quan trên bản văn bản điện tử</x:v>
      </x:c>
      <x:c r="F112" t="str">
        <x:v>VI_TRI</x:v>
      </x:c>
      <x:c r="G112"/>
      <x:c r="H112"/>
      <x:c r="I112" t="str">
        <x:v>UNVERIFIED_ATTRIBUTE</x:v>
      </x:c>
      <x:c r="J112" t="str">
        <x:v>CHECK_ONLY_PROTECTED</x:v>
      </x:c>
      <x:c r="K112" t="str">
        <x:v>Chỉ bản phát hành phù hợp, không tự đóng dấu hay tạo chữ ký số; phải có quyền và nguồn hợp lệ</x:v>
      </x:c>
      <x:c r="L112" t="str">
        <x:v>Không tạo nhân thân/chức vụ/dấu/chữ ký; bảo toàn nơi nhận và thẩm quyền.</x:v>
      </x:c>
      <x:c r="M112"/>
      <x:c r="N112" t="str">
        <x:v>NĐ30, Phụ lục I, Phần I, II.8</x:v>
      </x:c>
      <x:c r="O112" t="str">
        <x:v>https://congbao.chinhphu.vn/van-ban/nghi-dinh-so-30-2020-nd-cp-30858/30246.htm</x:v>
      </x:c>
      <x:c r="P112" t="str">
        <x:v>PLUGIN:hoa-tieu-mien-bac-administrative-v1 | user_approved_visual_reference</x:v>
      </x:c>
      <x:c r="Q112" t="str">
        <x:v>CHECK_ONLY</x:v>
      </x:c>
      <x:c r="R112" t="str">
        <x:v>Kiểm tra từng thuộc tính có mặt; so sánh nguồn/role; không suy đoán từ kết quả render chưa có</x:v>
      </x:c>
      <x:c r="S112" t="str">
        <x:v>RULE_INFERENCE_NOT_MEASURED</x:v>
      </x:c>
      <x:c r="T112"/>
      <x:c r="U112" t="str">
        <x:v>Protected visual/signature anchor; không chèn hoặc xóa</x:v>
      </x:c>
    </x:row>
    <x:row r="113">
      <x:c r="A113" t="n">
        <x:v>112</x:v>
      </x:c>
      <x:c r="B113" t="str">
        <x:v>ND30.C.DAU.CHU_KY_SO.TRANG_THAI_HIEN_THI</x:v>
      </x:c>
      <x:c r="C113" t="str">
        <x:v>ND30.C.DAU.CHU_KY_SO</x:v>
      </x:c>
      <x:c r="D113" t="str">
        <x:v>C</x:v>
      </x:c>
      <x:c r="E113" t="str">
        <x:v>Chữ ký số cơ quan trên bản văn bản điện tử</x:v>
      </x:c>
      <x:c r="F113" t="str">
        <x:v>TRANG_THAI_HIEN_THI</x:v>
      </x:c>
      <x:c r="G113"/>
      <x:c r="H113"/>
      <x:c r="I113" t="str">
        <x:v>UNVERIFIED_ATTRIBUTE</x:v>
      </x:c>
      <x:c r="J113" t="str">
        <x:v>CHECK_ONLY_PROTECTED</x:v>
      </x:c>
      <x:c r="K113" t="str">
        <x:v>Chỉ bản phát hành phù hợp, không tự đóng dấu hay tạo chữ ký số; phải có quyền và nguồn hợp lệ</x:v>
      </x:c>
      <x:c r="L113" t="str">
        <x:v>Không tạo nhân thân/chức vụ/dấu/chữ ký; bảo toàn nơi nhận và thẩm quyền.</x:v>
      </x:c>
      <x:c r="M113"/>
      <x:c r="N113" t="str">
        <x:v>NĐ30, Phụ lục I, Phần I, II.8</x:v>
      </x:c>
      <x:c r="O113" t="str">
        <x:v>https://congbao.chinhphu.vn/van-ban/nghi-dinh-so-30-2020-nd-cp-30858/30246.htm</x:v>
      </x:c>
      <x:c r="P113" t="str">
        <x:v>PLUGIN:hoa-tieu-mien-bac-administrative-v1 | user_approved_visual_reference</x:v>
      </x:c>
      <x:c r="Q113" t="str">
        <x:v>CHECK_ONLY</x:v>
      </x:c>
      <x:c r="R113" t="str">
        <x:v>Kiểm tra từng thuộc tính có mặt; so sánh nguồn/role; không suy đoán từ kết quả render chưa có</x:v>
      </x:c>
      <x:c r="S113" t="str">
        <x:v>RULE_INFERENCE_NOT_MEASURED</x:v>
      </x:c>
      <x:c r="T113"/>
      <x:c r="U113" t="str">
        <x:v>Protected visual/signature anchor; không chèn hoặc xóa</x:v>
      </x:c>
    </x:row>
  </x:sheetData>
  <x:pageMargins left="0.7" right="0.7" top="0.75" bottom="0.75" header="0.3" footer="0.3"/>
</x:worksheet>
</file>

<file path=xl/worksheets/sheet2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 hidden="0" customWidth="1"/>
    <x:col min="2" max="2" width="37" hidden="0" customWidth="1"/>
    <x:col min="3" max="3" width="32" hidden="0" customWidth="1"/>
    <x:col min="4" max="4" width="12" hidden="0" customWidth="1"/>
    <x:col min="5" max="5" width="26" hidden="0" customWidth="1"/>
    <x:col min="6" max="6" width="17" hidden="0" customWidth="1"/>
    <x:col min="7" max="7" width="25" hidden="0" customWidth="1"/>
    <x:col min="8" max="8" width="20" hidden="0" customWidth="1"/>
    <x:col min="9" max="9" width="22" hidden="0" customWidth="1"/>
    <x:col min="10" max="10" width="25" hidden="0" customWidth="1"/>
    <x:col min="11" max="11" width="38" hidden="0" customWidth="1"/>
    <x:col min="12" max="12" width="44" hidden="0" customWidth="1"/>
    <x:col min="13" max="13" width="10" hidden="0" customWidth="1"/>
    <x:col min="14" max="14" width="27" hidden="0" customWidth="1"/>
    <x:col min="15" max="15" width="25" hidden="0" customWidth="1"/>
    <x:col min="16" max="16" width="28" hidden="0" customWidth="1"/>
    <x:col min="17" max="17" width="14" hidden="0" customWidth="1"/>
    <x:col min="18" max="18" width="38" hidden="0" customWidth="1"/>
    <x:col min="19" max="19" width="22" hidden="0" customWidth="1"/>
    <x:col min="20" max="20" width="30" hidden="0" customWidth="1"/>
    <x:col min="21" max="21" width="24" hidden="0" customWidth="1"/>
  </x:cols>
  <x:sheetData>
    <x:row r="1" ht="28" customHeight="1">
      <x:c r="A1" s="305" t="str">
        <x:v>STT</x:v>
      </x:c>
      <x:c r="B1" s="305" t="str">
        <x:v>Mã rule con</x:v>
      </x:c>
      <x:c r="C1" s="305" t="str">
        <x:v>Mã cha gốc</x:v>
      </x:c>
      <x:c r="D1" s="305" t="str">
        <x:v>Nhóm</x:v>
      </x:c>
      <x:c r="E1" s="305" t="str">
        <x:v>Tên thành phần</x:v>
      </x:c>
      <x:c r="F1" s="305" t="str">
        <x:v>Thuộc tính</x:v>
      </x:c>
      <x:c r="G1" s="305" t="str">
        <x:v>Giá trị profile đang có</x:v>
      </x:c>
      <x:c r="H1" s="305" t="str">
        <x:v>Giá trị pháp lý kiểm chứng</x:v>
      </x:c>
      <x:c r="I1" s="305" t="str">
        <x:v>Trạng thái pháp lý thuộc tính</x:v>
      </x:c>
      <x:c r="J1" s="305" t="str">
        <x:v>Trạng thái quyết định profile</x:v>
      </x:c>
      <x:c r="K1" s="305" t="str">
        <x:v>Điều kiện áp dụng</x:v>
      </x:c>
      <x:c r="L1" s="305" t="str">
        <x:v>Ngoại lệ/phân nhánh</x:v>
      </x:c>
      <x:c r="M1" s="305" t="str">
        <x:v>Đơn vị</x:v>
      </x:c>
      <x:c r="N1" s="305" t="str">
        <x:v>Nguồn/định vị</x:v>
      </x:c>
      <x:c r="O1" s="305" t="str">
        <x:v>URL nguồn</x:v>
      </x:c>
      <x:c r="P1" s="305" t="str">
        <x:v>Nguồn profile/ghi chú</x:v>
      </x:c>
      <x:c r="Q1" s="305" t="str">
        <x:v>Quyền xử lý</x:v>
      </x:c>
      <x:c r="R1" s="305" t="str">
        <x:v>Cách kiểm tra offline</x:v>
      </x:c>
      <x:c r="S1" s="305" t="str">
        <x:v>Phân loại bằng chứng TQA-NR</x:v>
      </x:c>
      <x:c r="T1" s="305" t="str">
        <x:v>Giá trị cần bổ sung</x:v>
      </x:c>
      <x:c r="U1" s="305" t="str">
        <x:v>Đối tượng</x:v>
      </x:c>
    </x:row>
    <x:row r="2">
      <x:c r="A2" t="n">
        <x:v>1</x:v>
      </x:c>
      <x:c r="B2" t="str">
        <x:v>ND30.G.TRANG.KHO_GIAY.HIEN_DIEN</x:v>
      </x:c>
      <x:c r="C2" t="str">
        <x:v>ND30.G.TRANG.KHO_GIAY</x:v>
      </x:c>
      <x:c r="D2" t="str">
        <x:v>G</x:v>
      </x:c>
      <x:c r="E2" t="str">
        <x:v>Khổ giấy</x:v>
      </x:c>
      <x:c r="F2" t="str">
        <x:v>HIEN_DIEN</x:v>
      </x:c>
      <x:c r="G2" t="str">
        <x:v>Dùng cho văn bản chính theo profile; loại trừ bản sao/phụ lục riêng khi chưa có route</x:v>
      </x:c>
      <x:c r="H2"/>
      <x:c r="I2" t="str">
        <x:v>UNVERIFIED_ATTRIBUTE</x:v>
      </x:c>
      <x:c r="J2" t="str">
        <x:v>SOURCE_DESCRIPTION_NOT_APPROVAL</x:v>
      </x:c>
      <x:c r="K2" t="str">
        <x:v>Chỉ sau xác định chế độ NĐ30/HD05, section và loại văn bản; phần chung không ghi đè thuộc tính đặc thù</x:v>
      </x:c>
      <x:c r="L2" t="str">
        <x:v>Phần G là mặc định; D/N/C/X cụ thể và quy định nguồn được ưu tiên. Giữ section, header, footer nếu không có chứng cứ thay đổi.</x:v>
      </x:c>
      <x:c r="M2"/>
      <x:c r="N2" t="str">
        <x:v>NĐ30, Phụ lục I, Phần I, I (Quy định chung)</x:v>
      </x:c>
      <x:c r="O2" t="str">
        <x:v>https://congbao.chinhphu.vn/van-ban/nghi-dinh-so-30-2020-nd-cp-30858/30246.htm</x:v>
      </x:c>
      <x:c r="P2" t="str">
        <x:v>PLUGIN:hoa-tieu-mien-bac-administrative-v1 | user_approved_visual_reference</x:v>
      </x:c>
      <x:c r="Q2" t="str">
        <x:v>CHECK_ONLY</x:v>
      </x:c>
      <x:c r="R2" t="str">
        <x:v>Kiểm tra từng thuộc tính có mặt; so sánh nguồn/role; không suy đoán từ kết quả render chưa có</x:v>
      </x:c>
      <x:c r="S2" t="str">
        <x:v>STRUCTURE_READ_EXISTING_WORKBOOK</x:v>
      </x:c>
      <x:c r="T2"/>
      <x:c r="U2" t="str">
        <x:v>Word settings | w:pgSz = 11906 × 16838 twip</x:v>
      </x:c>
    </x:row>
    <x:row r="3">
      <x:c r="A3" t="n">
        <x:v>2</x:v>
      </x:c>
      <x:c r="B3" t="str">
        <x:v>ND30.G.TRANG.KHO_GIAY.KHO_GIAY</x:v>
      </x:c>
      <x:c r="C3" t="str">
        <x:v>ND30.G.TRANG.KHO_GIAY</x:v>
      </x:c>
      <x:c r="D3" t="str">
        <x:v>G</x:v>
      </x:c>
      <x:c r="E3" t="str">
        <x:v>Khổ giấy</x:v>
      </x:c>
      <x:c r="F3" t="str">
        <x:v>KHO_GIAY</x:v>
      </x:c>
      <x:c r="G3" t="str">
        <x:v>A4 (210 x 297 mm)</x:v>
      </x:c>
      <x:c r="H3" t="str">
        <x:v>A4 (210 x 297 mm)</x:v>
      </x:c>
      <x:c r="I3" t="str">
        <x:v>LEGAL_EXPLICIT_CHECKED</x:v>
      </x:c>
      <x:c r="J3" t="str">
        <x:v>PROFILE_PRESET_UNAPPROVED</x:v>
      </x:c>
      <x:c r="K3" t="str">
        <x:v>Chỉ sau xác định chế độ NĐ30/HD05, section và loại văn bản; phần chung không ghi đè thuộc tính đặc thù</x:v>
      </x:c>
      <x:c r="L3" t="str">
        <x:v>Phần G là mặc định; D/N/C/X cụ thể và quy định nguồn được ưu tiên. Giữ section, header, footer nếu không có chứng cứ thay đổi.</x:v>
      </x:c>
      <x:c r="M3"/>
      <x:c r="N3" t="str">
        <x:v>Phụ lục I, Phần I.I.1</x:v>
      </x:c>
      <x:c r="O3" t="str">
        <x:v>https://congbao.chinhphu.vn/van-ban/nghi-dinh-so-30-2020-nd-cp-30858/30246.htm</x:v>
      </x:c>
      <x:c r="P3" t="str">
        <x:v>PLUGIN:hoa-tieu-mien-bac-administrative-v1 | user_approved_visual_reference</x:v>
      </x:c>
      <x:c r="Q3" t="str">
        <x:v>CHECK_ONLY</x:v>
      </x:c>
      <x:c r="R3" t="str">
        <x:v>Kiểm tra từng thuộc tính có mặt; so sánh nguồn/role; không suy đoán từ kết quả render chưa có</x:v>
      </x:c>
      <x:c r="S3" t="str">
        <x:v>OFFICIAL_TEXT_VERIFIED</x:v>
      </x:c>
      <x:c r="T3"/>
      <x:c r="U3" t="str">
        <x:v>Word settings | w:pgSz = 11906 × 16838 twip</x:v>
      </x:c>
    </x:row>
    <x:row r="4">
      <x:c r="A4" t="n">
        <x:v>3</x:v>
      </x:c>
      <x:c r="B4" t="str">
        <x:v>ND30.G.TRANG.HUONG_GIAY.HIEN_DIEN</x:v>
      </x:c>
      <x:c r="C4" t="str">
        <x:v>ND30.G.TRANG.HUONG_GIAY</x:v>
      </x:c>
      <x:c r="D4" t="str">
        <x:v>G</x:v>
      </x:c>
      <x:c r="E4" t="str">
        <x:v>Hướng giấy</x:v>
      </x:c>
      <x:c r="F4" t="str">
        <x:v>HIEN_DIEN</x:v>
      </x:c>
      <x:c r="G4" t="str">
        <x:v>Dùng cho văn bản chính theo profile; loại trừ bản sao/phụ lục riêng khi chưa có route</x:v>
      </x:c>
      <x:c r="H4"/>
      <x:c r="I4" t="str">
        <x:v>UNVERIFIED_ATTRIBUTE</x:v>
      </x:c>
      <x:c r="J4" t="str">
        <x:v>SOURCE_DESCRIPTION_NOT_APPROVAL</x:v>
      </x:c>
      <x:c r="K4" t="str">
        <x:v>Chỉ sau xác định chế độ NĐ30/HD05, section và loại văn bản; phần chung không ghi đè thuộc tính đặc thù</x:v>
      </x:c>
      <x:c r="L4" t="str">
        <x:v>Phần G là mặc định; D/N/C/X cụ thể và quy định nguồn được ưu tiên. Giữ section, header, footer nếu không có chứng cứ thay đổi.</x:v>
      </x:c>
      <x:c r="M4"/>
      <x:c r="N4" t="str">
        <x:v>NĐ30, Phụ lục I, Phần I, I (Quy định chung)</x:v>
      </x:c>
      <x:c r="O4" t="str">
        <x:v>https://congbao.chinhphu.vn/van-ban/nghi-dinh-so-30-2020-nd-cp-30858/30246.htm</x:v>
      </x:c>
      <x:c r="P4" t="str">
        <x:v>PLUGIN:hoa-tieu-mien-bac-administrative-v1 | user_approved_visual_reference</x:v>
      </x:c>
      <x:c r="Q4" t="str">
        <x:v>CHECK_ONLY</x:v>
      </x:c>
      <x:c r="R4" t="str">
        <x:v>Kiểm tra từng thuộc tính có mặt; so sánh nguồn/role; không suy đoán từ kết quả render chưa có</x:v>
      </x:c>
      <x:c r="S4" t="str">
        <x:v>STRUCTURE_READ_EXISTING_WORKBOOK</x:v>
      </x:c>
      <x:c r="T4"/>
      <x:c r="U4" t="str">
        <x:v>Word settings | w:pgSz orient=portrait</x:v>
      </x:c>
    </x:row>
    <x:row r="5">
      <x:c r="A5" t="n">
        <x:v>4</x:v>
      </x:c>
      <x:c r="B5" t="str">
        <x:v>ND30.G.TRANG.HUONG_GIAY.HUONG_GIAY</x:v>
      </x:c>
      <x:c r="C5" t="str">
        <x:v>ND30.G.TRANG.HUONG_GIAY</x:v>
      </x:c>
      <x:c r="D5" t="str">
        <x:v>G</x:v>
      </x:c>
      <x:c r="E5" t="str">
        <x:v>Hướng giấy</x:v>
      </x:c>
      <x:c r="F5" t="str">
        <x:v>HUONG_GIAY</x:v>
      </x:c>
      <x:c r="G5" t="str">
        <x:v>Portrait | dọc; bảng rộng được tách section ngang khi duyệt</x:v>
      </x:c>
      <x:c r="H5" t="str">
        <x:v>PORTRAIT; LANDSCAPE_CONDITIONAL_TABLE</x:v>
      </x:c>
      <x:c r="I5" t="str">
        <x:v>LEGAL_EXPLICIT_CHECKED</x:v>
      </x:c>
      <x:c r="J5" t="str">
        <x:v>PROFILE_PRESET_UNAPPROVED</x:v>
      </x:c>
      <x:c r="K5" t="str">
        <x:v>Chỉ sau xác định chế độ NĐ30/HD05, section và loại văn bản; phần chung không ghi đè thuộc tính đặc thù</x:v>
      </x:c>
      <x:c r="L5" t="str">
        <x:v>Phần G là mặc định; D/N/C/X cụ thể và quy định nguồn được ưu tiên. Giữ section, header, footer nếu không có chứng cứ thay đổi.</x:v>
      </x:c>
      <x:c r="M5"/>
      <x:c r="N5" t="str">
        <x:v>Phụ lục I, Phần I.I.2</x:v>
      </x:c>
      <x:c r="O5" t="str">
        <x:v>https://congbao.chinhphu.vn/van-ban/nghi-dinh-so-30-2020-nd-cp-30858/30246.htm</x:v>
      </x:c>
      <x:c r="P5" t="str">
        <x:v>PLUGIN:hoa-tieu-mien-bac-administrative-v1 | user_approved_visual_reference</x:v>
      </x:c>
      <x:c r="Q5" t="str">
        <x:v>CHECK_ONLY</x:v>
      </x:c>
      <x:c r="R5" t="str">
        <x:v>Kiểm tra từng thuộc tính có mặt; so sánh nguồn/role; không suy đoán từ kết quả render chưa có</x:v>
      </x:c>
      <x:c r="S5" t="str">
        <x:v>OFFICIAL_TEXT_VERIFIED</x:v>
      </x:c>
      <x:c r="T5"/>
      <x:c r="U5" t="str">
        <x:v>Word settings | w:pgSz orient=portrait</x:v>
      </x:c>
    </x:row>
    <x:row r="6">
      <x:c r="A6" t="n">
        <x:v>5</x:v>
      </x:c>
      <x:c r="B6" t="str">
        <x:v>ND30.G.TRANG.LE_TRANG.HIEN_DIEN</x:v>
      </x:c>
      <x:c r="C6" t="str">
        <x:v>ND30.G.TRANG.LE_TRANG</x:v>
      </x:c>
      <x:c r="D6" t="str">
        <x:v>G</x:v>
      </x:c>
      <x:c r="E6" t="str">
        <x:v>Lề trang</x:v>
      </x:c>
      <x:c r="F6" t="str">
        <x:v>HIEN_DIEN</x:v>
      </x:c>
      <x:c r="G6" t="str">
        <x:v>Dùng cho văn bản chính theo profile; loại trừ bản sao/phụ lục riêng khi chưa có route</x:v>
      </x:c>
      <x:c r="H6"/>
      <x:c r="I6" t="str">
        <x:v>UNVERIFIED_ATTRIBUTE</x:v>
      </x:c>
      <x:c r="J6" t="str">
        <x:v>SOURCE_DESCRIPTION_NOT_APPROVAL</x:v>
      </x:c>
      <x:c r="K6" t="str">
        <x:v>Chỉ sau xác định chế độ NĐ30/HD05, section và loại văn bản; phần chung không ghi đè thuộc tính đặc thù</x:v>
      </x:c>
      <x:c r="L6" t="str">
        <x:v>Phần G là mặc định; D/N/C/X cụ thể và quy định nguồn được ưu tiên. Giữ section, header, footer nếu không có chứng cứ thay đổi.</x:v>
      </x:c>
      <x:c r="M6"/>
      <x:c r="N6" t="str">
        <x:v>NĐ30, Phụ lục I, Phần I, I (Quy định chung)</x:v>
      </x:c>
      <x:c r="O6" t="str">
        <x:v>https://congbao.chinhphu.vn/van-ban/nghi-dinh-so-30-2020-nd-cp-30858/30246.htm</x:v>
      </x:c>
      <x:c r="P6" t="str">
        <x:v>PLUGIN:hoa-tieu-mien-bac-administrative-v1 | user_approved_visual_reference</x:v>
      </x:c>
      <x:c r="Q6" t="str">
        <x:v>CHECK_ONLY</x:v>
      </x:c>
      <x:c r="R6" t="str">
        <x:v>Kiểm tra từng thuộc tính có mặt; so sánh nguồn/role; không suy đoán từ kết quả render chưa có</x:v>
      </x:c>
      <x:c r="S6" t="str">
        <x:v>STRUCTURE_READ_EXISTING_WORKBOOK</x:v>
      </x:c>
      <x:c r="T6"/>
      <x:c r="U6" t="str">
        <x:v>Word settings | w:pgMar t=1134 b=1134 l=1701 r=850 twip</x:v>
      </x:c>
    </x:row>
    <x:row r="7">
      <x:c r="A7" t="n">
        <x:v>6</x:v>
      </x:c>
      <x:c r="B7" t="str">
        <x:v>ND30.G.TRANG.LE_TRANG.LE_TREN</x:v>
      </x:c>
      <x:c r="C7" t="str">
        <x:v>ND30.G.TRANG.LE_TRANG</x:v>
      </x:c>
      <x:c r="D7" t="str">
        <x:v>G</x:v>
      </x:c>
      <x:c r="E7" t="str">
        <x:v>Lề trang</x:v>
      </x:c>
      <x:c r="F7" t="str">
        <x:v>LE_TREN</x:v>
      </x:c>
      <x:c r="G7"/>
      <x:c r="H7" t="str">
        <x:v>20–25</x:v>
      </x:c>
      <x:c r="I7" t="str">
        <x:v>LEGAL_EXPLICIT_CHECKED</x:v>
      </x:c>
      <x:c r="J7" t="str">
        <x:v>BLOCKED_NO_ATTRIBUTE_VALUE</x:v>
      </x:c>
      <x:c r="K7" t="str">
        <x:v>Chỉ sau xác định chế độ NĐ30/HD05, section và loại văn bản; phần chung không ghi đè thuộc tính đặc thù</x:v>
      </x:c>
      <x:c r="L7" t="str">
        <x:v>Phần G là mặc định; D/N/C/X cụ thể và quy định nguồn được ưu tiên. Giữ section, header, footer nếu không có chứng cứ thay đổi.</x:v>
      </x:c>
      <x:c r="M7" t="str">
        <x:v>mm</x:v>
      </x:c>
      <x:c r="N7" t="str">
        <x:v>Phụ lục I, Phần I.I.3</x:v>
      </x:c>
      <x:c r="O7" t="str">
        <x:v>https://congbao.chinhphu.vn/van-ban/nghi-dinh-so-30-2020-nd-cp-30858/30246.htm</x:v>
      </x:c>
      <x:c r="P7" t="str">
        <x:v>PLUGIN:hoa-tieu-mien-bac-administrative-v1 | user_approved_visual_reference</x:v>
      </x:c>
      <x:c r="Q7" t="str">
        <x:v>CHECK_ONLY</x:v>
      </x:c>
      <x:c r="R7" t="str">
        <x:v>Kiểm tra từng thuộc tính có mặt; so sánh nguồn/role; không suy đoán từ kết quả render chưa có</x:v>
      </x:c>
      <x:c r="S7" t="str">
        <x:v>OFFICIAL_TEXT_VERIFIED</x:v>
      </x:c>
      <x:c r="T7" t="str">
        <x:v>Xác minh căn cứ theo loại văn bản / tài liệu phát hành hoặc phê duyệt</x:v>
      </x:c>
      <x:c r="U7" t="str">
        <x:v>Word settings | w:pgMar t=1134 b=1134 l=1701 r=850 twip</x:v>
      </x:c>
    </x:row>
    <x:row r="8">
      <x:c r="A8" t="n">
        <x:v>7</x:v>
      </x:c>
      <x:c r="B8" t="str">
        <x:v>ND30.G.TRANG.LE_TRANG.LE_DUOI</x:v>
      </x:c>
      <x:c r="C8" t="str">
        <x:v>ND30.G.TRANG.LE_TRANG</x:v>
      </x:c>
      <x:c r="D8" t="str">
        <x:v>G</x:v>
      </x:c>
      <x:c r="E8" t="str">
        <x:v>Lề trang</x:v>
      </x:c>
      <x:c r="F8" t="str">
        <x:v>LE_DUOI</x:v>
      </x:c>
      <x:c r="G8"/>
      <x:c r="H8" t="str">
        <x:v>20–25</x:v>
      </x:c>
      <x:c r="I8" t="str">
        <x:v>LEGAL_EXPLICIT_CHECKED</x:v>
      </x:c>
      <x:c r="J8" t="str">
        <x:v>BLOCKED_NO_ATTRIBUTE_VALUE</x:v>
      </x:c>
      <x:c r="K8" t="str">
        <x:v>Chỉ sau xác định chế độ NĐ30/HD05, section và loại văn bản; phần chung không ghi đè thuộc tính đặc thù</x:v>
      </x:c>
      <x:c r="L8" t="str">
        <x:v>Phần G là mặc định; D/N/C/X cụ thể và quy định nguồn được ưu tiên. Giữ section, header, footer nếu không có chứng cứ thay đổi.</x:v>
      </x:c>
      <x:c r="M8" t="str">
        <x:v>mm</x:v>
      </x:c>
      <x:c r="N8" t="str">
        <x:v>Phụ lục I, Phần I.I.3</x:v>
      </x:c>
      <x:c r="O8" t="str">
        <x:v>https://congbao.chinhphu.vn/van-ban/nghi-dinh-so-30-2020-nd-cp-30858/30246.htm</x:v>
      </x:c>
      <x:c r="P8" t="str">
        <x:v>PLUGIN:hoa-tieu-mien-bac-administrative-v1 | user_approved_visual_reference</x:v>
      </x:c>
      <x:c r="Q8" t="str">
        <x:v>CHECK_ONLY</x:v>
      </x:c>
      <x:c r="R8" t="str">
        <x:v>Kiểm tra từng thuộc tính có mặt; so sánh nguồn/role; không suy đoán từ kết quả render chưa có</x:v>
      </x:c>
      <x:c r="S8" t="str">
        <x:v>OFFICIAL_TEXT_VERIFIED</x:v>
      </x:c>
      <x:c r="T8" t="str">
        <x:v>Xác minh căn cứ theo loại văn bản / tài liệu phát hành hoặc phê duyệt</x:v>
      </x:c>
      <x:c r="U8" t="str">
        <x:v>Word settings | w:pgMar t=1134 b=1134 l=1701 r=850 twip</x:v>
      </x:c>
    </x:row>
    <x:row r="9">
      <x:c r="A9" t="n">
        <x:v>8</x:v>
      </x:c>
      <x:c r="B9" t="str">
        <x:v>ND30.G.TRANG.LE_TRANG.LE_TRAI</x:v>
      </x:c>
      <x:c r="C9" t="str">
        <x:v>ND30.G.TRANG.LE_TRANG</x:v>
      </x:c>
      <x:c r="D9" t="str">
        <x:v>G</x:v>
      </x:c>
      <x:c r="E9" t="str">
        <x:v>Lề trang</x:v>
      </x:c>
      <x:c r="F9" t="str">
        <x:v>LE_TRAI</x:v>
      </x:c>
      <x:c r="G9"/>
      <x:c r="H9" t="str">
        <x:v>30–35</x:v>
      </x:c>
      <x:c r="I9" t="str">
        <x:v>LEGAL_EXPLICIT_CHECKED</x:v>
      </x:c>
      <x:c r="J9" t="str">
        <x:v>BLOCKED_NO_ATTRIBUTE_VALUE</x:v>
      </x:c>
      <x:c r="K9" t="str">
        <x:v>Chỉ sau xác định chế độ NĐ30/HD05, section và loại văn bản; phần chung không ghi đè thuộc tính đặc thù</x:v>
      </x:c>
      <x:c r="L9" t="str">
        <x:v>Phần G là mặc định; D/N/C/X cụ thể và quy định nguồn được ưu tiên. Giữ section, header, footer nếu không có chứng cứ thay đổi.</x:v>
      </x:c>
      <x:c r="M9" t="str">
        <x:v>mm</x:v>
      </x:c>
      <x:c r="N9" t="str">
        <x:v>Phụ lục I, Phần I.I.3</x:v>
      </x:c>
      <x:c r="O9" t="str">
        <x:v>https://congbao.chinhphu.vn/van-ban/nghi-dinh-so-30-2020-nd-cp-30858/30246.htm</x:v>
      </x:c>
      <x:c r="P9" t="str">
        <x:v>PLUGIN:hoa-tieu-mien-bac-administrative-v1 | user_approved_visual_reference</x:v>
      </x:c>
      <x:c r="Q9" t="str">
        <x:v>CHECK_ONLY</x:v>
      </x:c>
      <x:c r="R9" t="str">
        <x:v>Kiểm tra từng thuộc tính có mặt; so sánh nguồn/role; không suy đoán từ kết quả render chưa có</x:v>
      </x:c>
      <x:c r="S9" t="str">
        <x:v>OFFICIAL_TEXT_VERIFIED</x:v>
      </x:c>
      <x:c r="T9" t="str">
        <x:v>Xác minh căn cứ theo loại văn bản / tài liệu phát hành hoặc phê duyệt</x:v>
      </x:c>
      <x:c r="U9" t="str">
        <x:v>Word settings | w:pgMar t=1134 b=1134 l=1701 r=850 twip</x:v>
      </x:c>
    </x:row>
    <x:row r="10">
      <x:c r="A10" t="n">
        <x:v>9</x:v>
      </x:c>
      <x:c r="B10" t="str">
        <x:v>ND30.G.TRANG.LE_TRANG.LE_PHAI</x:v>
      </x:c>
      <x:c r="C10" t="str">
        <x:v>ND30.G.TRANG.LE_TRANG</x:v>
      </x:c>
      <x:c r="D10" t="str">
        <x:v>G</x:v>
      </x:c>
      <x:c r="E10" t="str">
        <x:v>Lề trang</x:v>
      </x:c>
      <x:c r="F10" t="str">
        <x:v>LE_PHAI</x:v>
      </x:c>
      <x:c r="G10"/>
      <x:c r="H10" t="str">
        <x:v>15–20</x:v>
      </x:c>
      <x:c r="I10" t="str">
        <x:v>LEGAL_EXPLICIT_CHECKED</x:v>
      </x:c>
      <x:c r="J10" t="str">
        <x:v>BLOCKED_NO_ATTRIBUTE_VALUE</x:v>
      </x:c>
      <x:c r="K10" t="str">
        <x:v>Chỉ sau xác định chế độ NĐ30/HD05, section và loại văn bản; phần chung không ghi đè thuộc tính đặc thù</x:v>
      </x:c>
      <x:c r="L10" t="str">
        <x:v>Phần G là mặc định; D/N/C/X cụ thể và quy định nguồn được ưu tiên. Giữ section, header, footer nếu không có chứng cứ thay đổi.</x:v>
      </x:c>
      <x:c r="M10" t="str">
        <x:v>mm</x:v>
      </x:c>
      <x:c r="N10" t="str">
        <x:v>Phụ lục I, Phần I.I.3</x:v>
      </x:c>
      <x:c r="O10" t="str">
        <x:v>https://congbao.chinhphu.vn/van-ban/nghi-dinh-so-30-2020-nd-cp-30858/30246.htm</x:v>
      </x:c>
      <x:c r="P10" t="str">
        <x:v>PLUGIN:hoa-tieu-mien-bac-administrative-v1 | user_approved_visual_reference</x:v>
      </x:c>
      <x:c r="Q10" t="str">
        <x:v>CHECK_ONLY</x:v>
      </x:c>
      <x:c r="R10" t="str">
        <x:v>Kiểm tra từng thuộc tính có mặt; so sánh nguồn/role; không suy đoán từ kết quả render chưa có</x:v>
      </x:c>
      <x:c r="S10" t="str">
        <x:v>OFFICIAL_TEXT_VERIFIED</x:v>
      </x:c>
      <x:c r="T10" t="str">
        <x:v>Xác minh căn cứ theo loại văn bản / tài liệu phát hành hoặc phê duyệt</x:v>
      </x:c>
      <x:c r="U10" t="str">
        <x:v>Word settings | w:pgMar t=1134 b=1134 l=1701 r=850 twip</x:v>
      </x:c>
    </x:row>
    <x:row r="11">
      <x:c r="A11" t="n">
        <x:v>10</x:v>
      </x:c>
      <x:c r="B11" t="str">
        <x:v>ND30.G.CHU.PHONG.HIEN_DIEN</x:v>
      </x:c>
      <x:c r="C11" t="str">
        <x:v>ND30.G.CHU.PHONG</x:v>
      </x:c>
      <x:c r="D11" t="str">
        <x:v>G</x:v>
      </x:c>
      <x:c r="E11" t="str">
        <x:v>Phông chữ</x:v>
      </x:c>
      <x:c r="F11" t="str">
        <x:v>HIEN_DIEN</x:v>
      </x:c>
      <x:c r="G11" t="str">
        <x:v>Dùng cho văn bản chính theo profile; loại trừ bản sao/phụ lục riêng khi chưa có route</x:v>
      </x:c>
      <x:c r="H11"/>
      <x:c r="I11" t="str">
        <x:v>UNVERIFIED_ATTRIBUTE</x:v>
      </x:c>
      <x:c r="J11" t="str">
        <x:v>SOURCE_DESCRIPTION_NOT_APPROVAL</x:v>
      </x:c>
      <x:c r="K11" t="str">
        <x:v>Chỉ sau xác định chế độ NĐ30/HD05, section và loại văn bản; phần chung không ghi đè thuộc tính đặc thù</x:v>
      </x:c>
      <x:c r="L11" t="str">
        <x:v>Phần G là mặc định; D/N/C/X cụ thể và quy định nguồn được ưu tiên. Giữ section, header, footer nếu không có chứng cứ thay đổi.</x:v>
      </x:c>
      <x:c r="M11"/>
      <x:c r="N11" t="str">
        <x:v>NĐ30, Phụ lục I, Phần I, I (Quy định chung)</x:v>
      </x:c>
      <x:c r="O11" t="str">
        <x:v>https://congbao.chinhphu.vn/van-ban/nghi-dinh-so-30-2020-nd-cp-30858/30246.htm</x:v>
      </x:c>
      <x:c r="P11" t="str">
        <x:v>PLUGIN:hoa-tieu-mien-bac-administrative-v1 | user_approved_visual_reference</x:v>
      </x:c>
      <x:c r="Q11" t="str">
        <x:v>CHECK_ONLY</x:v>
      </x:c>
      <x:c r="R11" t="str">
        <x:v>Kiểm tra từng thuộc tính có mặt; so sánh nguồn/role; không suy đoán từ kết quả render chưa có</x:v>
      </x:c>
      <x:c r="S11" t="str">
        <x:v>STRUCTURE_READ_EXISTING_WORKBOOK</x:v>
      </x:c>
      <x:c r="T11"/>
      <x:c r="U11" t="str">
        <x:v>Word settings | w:rFonts=Times New Roman</x:v>
      </x:c>
    </x:row>
    <x:row r="12">
      <x:c r="A12" t="n">
        <x:v>11</x:v>
      </x:c>
      <x:c r="B12" t="str">
        <x:v>ND30.G.CHU.PHONG.PHONG_CHU</x:v>
      </x:c>
      <x:c r="C12" t="str">
        <x:v>ND30.G.CHU.PHONG</x:v>
      </x:c>
      <x:c r="D12" t="str">
        <x:v>G</x:v>
      </x:c>
      <x:c r="E12" t="str">
        <x:v>Phông chữ</x:v>
      </x:c>
      <x:c r="F12" t="str">
        <x:v>PHONG_CHU</x:v>
      </x:c>
      <x:c r="G12" t="str">
        <x:v>Times New Roman</x:v>
      </x:c>
      <x:c r="H12" t="str">
        <x:v>Times New Roman</x:v>
      </x:c>
      <x:c r="I12" t="str">
        <x:v>LEGAL_EXPLICIT_CHECKED</x:v>
      </x:c>
      <x:c r="J12" t="str">
        <x:v>PROFILE_PRESET_UNAPPROVED</x:v>
      </x:c>
      <x:c r="K12" t="str">
        <x:v>Chỉ sau xác định chế độ NĐ30/HD05, section và loại văn bản; phần chung không ghi đè thuộc tính đặc thù</x:v>
      </x:c>
      <x:c r="L12" t="str">
        <x:v>Phần G là mặc định; D/N/C/X cụ thể và quy định nguồn được ưu tiên. Giữ section, header, footer nếu không có chứng cứ thay đổi.</x:v>
      </x:c>
      <x:c r="M12"/>
      <x:c r="N12" t="str">
        <x:v>Phụ lục I, Phần I.I.4</x:v>
      </x:c>
      <x:c r="O12" t="str">
        <x:v>https://congbao.chinhphu.vn/van-ban/nghi-dinh-so-30-2020-nd-cp-30858/30246.htm</x:v>
      </x:c>
      <x:c r="P12" t="str">
        <x:v>PLUGIN:hoa-tieu-mien-bac-administrative-v1 | user_approved_visual_reference</x:v>
      </x:c>
      <x:c r="Q12" t="str">
        <x:v>CHECK_ONLY</x:v>
      </x:c>
      <x:c r="R12" t="str">
        <x:v>Kiểm tra từng thuộc tính có mặt; so sánh nguồn/role; không suy đoán từ kết quả render chưa có</x:v>
      </x:c>
      <x:c r="S12" t="str">
        <x:v>OFFICIAL_TEXT_VERIFIED</x:v>
      </x:c>
      <x:c r="T12"/>
      <x:c r="U12" t="str">
        <x:v>Word settings | w:rFonts=Times New Roman</x:v>
      </x:c>
    </x:row>
    <x:row r="13">
      <x:c r="A13" t="n">
        <x:v>12</x:v>
      </x:c>
      <x:c r="B13" t="str">
        <x:v>ND30.G.CHU.PHONG.MAU_CHU</x:v>
      </x:c>
      <x:c r="C13" t="str">
        <x:v>ND30.G.CHU.PHONG</x:v>
      </x:c>
      <x:c r="D13" t="str">
        <x:v>G</x:v>
      </x:c>
      <x:c r="E13" t="str">
        <x:v>Phông chữ</x:v>
      </x:c>
      <x:c r="F13" t="str">
        <x:v>MAU_CHU</x:v>
      </x:c>
      <x:c r="G13" t="str">
        <x:v>#000000</x:v>
      </x:c>
      <x:c r="H13" t="str">
        <x:v>#000000</x:v>
      </x:c>
      <x:c r="I13" t="str">
        <x:v>LEGAL_EXPLICIT_CHECKED</x:v>
      </x:c>
      <x:c r="J13" t="str">
        <x:v>PROFILE_PRESET_UNAPPROVED</x:v>
      </x:c>
      <x:c r="K13" t="str">
        <x:v>Chỉ sau xác định chế độ NĐ30/HD05, section và loại văn bản; phần chung không ghi đè thuộc tính đặc thù</x:v>
      </x:c>
      <x:c r="L13" t="str">
        <x:v>Phần G là mặc định; D/N/C/X cụ thể và quy định nguồn được ưu tiên. Giữ section, header, footer nếu không có chứng cứ thay đổi.</x:v>
      </x:c>
      <x:c r="M13"/>
      <x:c r="N13" t="str">
        <x:v>Phụ lục I, Phần I.I.4</x:v>
      </x:c>
      <x:c r="O13" t="str">
        <x:v>https://congbao.chinhphu.vn/van-ban/nghi-dinh-so-30-2020-nd-cp-30858/30246.htm</x:v>
      </x:c>
      <x:c r="P13" t="str">
        <x:v>PLUGIN:hoa-tieu-mien-bac-administrative-v1 | user_approved_visual_reference</x:v>
      </x:c>
      <x:c r="Q13" t="str">
        <x:v>CHECK_ONLY</x:v>
      </x:c>
      <x:c r="R13" t="str">
        <x:v>Kiểm tra từng thuộc tính có mặt; so sánh nguồn/role; không suy đoán từ kết quả render chưa có</x:v>
      </x:c>
      <x:c r="S13" t="str">
        <x:v>OFFICIAL_TEXT_VERIFIED</x:v>
      </x:c>
      <x:c r="T13"/>
      <x:c r="U13" t="str">
        <x:v>Word settings | w:rFonts=Times New Roman</x:v>
      </x:c>
    </x:row>
    <x:row r="14">
      <x:c r="A14" t="n">
        <x:v>13</x:v>
      </x:c>
      <x:c r="B14" t="str">
        <x:v>ND30.G.CHU.CO_CHU.HIEN_DIEN</x:v>
      </x:c>
      <x:c r="C14" t="str">
        <x:v>ND30.G.CHU.CO_CHU</x:v>
      </x:c>
      <x:c r="D14" t="str">
        <x:v>G</x:v>
      </x:c>
      <x:c r="E14" t="str">
        <x:v>Cỡ chữ</x:v>
      </x:c>
      <x:c r="F14" t="str">
        <x:v>HIEN_DIEN</x:v>
      </x:c>
      <x:c r="G14" t="str">
        <x:v>Dùng cho văn bản chính theo profile; loại trừ bản sao/phụ lục riêng khi chưa có route</x:v>
      </x:c>
      <x:c r="H14"/>
      <x:c r="I14" t="str">
        <x:v>UNVERIFIED_ATTRIBUTE</x:v>
      </x:c>
      <x:c r="J14" t="str">
        <x:v>SOURCE_DESCRIPTION_NOT_APPROVAL</x:v>
      </x:c>
      <x:c r="K14" t="str">
        <x:v>Chỉ sau xác định chế độ NĐ30/HD05, section và loại văn bản; phần chung không ghi đè thuộc tính đặc thù</x:v>
      </x:c>
      <x:c r="L14" t="str">
        <x:v>Phần G là mặc định; D/N/C/X cụ thể và quy định nguồn được ưu tiên. Giữ section, header, footer nếu không có chứng cứ thay đổi.</x:v>
      </x:c>
      <x:c r="M14"/>
      <x:c r="N14" t="str">
        <x:v>NĐ30, Phụ lục I, Phần I, I (Quy định chung)</x:v>
      </x:c>
      <x:c r="O14" t="str">
        <x:v>https://congbao.chinhphu.vn/van-ban/nghi-dinh-so-30-2020-nd-cp-30858/30246.htm</x:v>
      </x:c>
      <x:c r="P14" t="str">
        <x:v>PLUGIN:hoa-tieu-mien-bac-administrative-v1 | user_approved_visual_reference</x:v>
      </x:c>
      <x:c r="Q14" t="str">
        <x:v>CHECK_ONLY</x:v>
      </x:c>
      <x:c r="R14" t="str">
        <x:v>Kiểm tra từng thuộc tính có mặt; so sánh nguồn/role; không suy đoán từ kết quả render chưa có</x:v>
      </x:c>
      <x:c r="S14" t="str">
        <x:v>STRUCTURE_READ_EXISTING_WORKBOOK</x:v>
      </x:c>
      <x:c r="T14"/>
      <x:c r="U14" t="str">
        <x:v>Word settings | w:sz 28 half-points cho thân bài</x:v>
      </x:c>
    </x:row>
    <x:row r="15">
      <x:c r="A15" t="n">
        <x:v>14</x:v>
      </x:c>
      <x:c r="B15" t="str">
        <x:v>ND30.G.CHU.CO_CHU.CO_CHU</x:v>
      </x:c>
      <x:c r="C15" t="str">
        <x:v>ND30.G.CHU.CO_CHU</x:v>
      </x:c>
      <x:c r="D15" t="str">
        <x:v>G</x:v>
      </x:c>
      <x:c r="E15" t="str">
        <x:v>Cỡ chữ</x:v>
      </x:c>
      <x:c r="F15" t="str">
        <x:v>CO_CHU</x:v>
      </x:c>
      <x:c r="G15" t="n">
        <x:v>14</x:v>
      </x:c>
      <x:c r="H15"/>
      <x:c r="I15" t="str">
        <x:v>UNVERIFIED_ATTRIBUTE</x:v>
      </x:c>
      <x:c r="J15" t="str">
        <x:v>PROFILE_PRESET_UNAPPROVED</x:v>
      </x:c>
      <x:c r="K15" t="str">
        <x:v>Chỉ sau xác định chế độ NĐ30/HD05, section và loại văn bản; phần chung không ghi đè thuộc tính đặc thù</x:v>
      </x:c>
      <x:c r="L15" t="str">
        <x:v>Phần G là mặc định; D/N/C/X cụ thể và quy định nguồn được ưu tiên. Giữ section, header, footer nếu không có chứng cứ thay đổi.</x:v>
      </x:c>
      <x:c r="M15" t="str">
        <x:v>pt</x:v>
      </x:c>
      <x:c r="N15" t="str">
        <x:v>NĐ30, Phụ lục I, Phần I, I (Quy định chung)</x:v>
      </x:c>
      <x:c r="O15" t="str">
        <x:v>https://congbao.chinhphu.vn/van-ban/nghi-dinh-so-30-2020-nd-cp-30858/30246.htm</x:v>
      </x:c>
      <x:c r="P15" t="str">
        <x:v>PLUGIN:hoa-tieu-mien-bac-administrative-v1 | user_approved_visual_reference</x:v>
      </x:c>
      <x:c r="Q15" t="str">
        <x:v>CHECK_ONLY</x:v>
      </x:c>
      <x:c r="R15" t="str">
        <x:v>Kiểm tra từng thuộc tính có mặt; so sánh nguồn/role; không suy đoán từ kết quả render chưa có</x:v>
      </x:c>
      <x:c r="S15" t="str">
        <x:v>STRUCTURE_READ_EXISTING_WORKBOOK</x:v>
      </x:c>
      <x:c r="T15"/>
      <x:c r="U15" t="str">
        <x:v>Word settings | w:sz 28 half-points cho thân bài</x:v>
      </x:c>
    </x:row>
    <x:row r="16">
      <x:c r="A16" t="n">
        <x:v>15</x:v>
      </x:c>
      <x:c r="B16" t="str">
        <x:v>ND30.G.CHU.KIEU_CHU.HIEN_DIEN</x:v>
      </x:c>
      <x:c r="C16" t="str">
        <x:v>ND30.G.CHU.KIEU_CHU</x:v>
      </x:c>
      <x:c r="D16" t="str">
        <x:v>G</x:v>
      </x:c>
      <x:c r="E16" t="str">
        <x:v>Kiểu chữ</x:v>
      </x:c>
      <x:c r="F16" t="str">
        <x:v>HIEN_DIEN</x:v>
      </x:c>
      <x:c r="G16" t="str">
        <x:v>Dùng cho văn bản chính theo profile; loại trừ bản sao/phụ lục riêng khi chưa có route</x:v>
      </x:c>
      <x:c r="H16"/>
      <x:c r="I16" t="str">
        <x:v>UNVERIFIED_ATTRIBUTE</x:v>
      </x:c>
      <x:c r="J16" t="str">
        <x:v>SOURCE_DESCRIPTION_NOT_APPROVAL</x:v>
      </x:c>
      <x:c r="K16" t="str">
        <x:v>Chỉ sau xác định chế độ NĐ30/HD05, section và loại văn bản; phần chung không ghi đè thuộc tính đặc thù</x:v>
      </x:c>
      <x:c r="L16" t="str">
        <x:v>Phần G là mặc định; D/N/C/X cụ thể và quy định nguồn được ưu tiên. Giữ section, header, footer nếu không có chứng cứ thay đổi.</x:v>
      </x:c>
      <x:c r="M16"/>
      <x:c r="N16" t="str">
        <x:v>NĐ30, Phụ lục I, Phần I, I (Quy định chung)</x:v>
      </x:c>
      <x:c r="O16" t="str">
        <x:v>https://congbao.chinhphu.vn/van-ban/nghi-dinh-so-30-2020-nd-cp-30858/30246.htm</x:v>
      </x:c>
      <x:c r="P16" t="str">
        <x:v>PLUGIN:hoa-tieu-mien-bac-administrative-v1 | user_approved_visual_reference</x:v>
      </x:c>
      <x:c r="Q16" t="str">
        <x:v>CHECK_ONLY</x:v>
      </x:c>
      <x:c r="R16" t="str">
        <x:v>Kiểm tra từng thuộc tính có mặt; so sánh nguồn/role; không suy đoán từ kết quả render chưa có</x:v>
      </x:c>
      <x:c r="S16" t="str">
        <x:v>STRUCTURE_READ_EXISTING_WORKBOOK</x:v>
      </x:c>
      <x:c r="T16"/>
      <x:c r="U16" t="str">
        <x:v>Word settings | w:rPr/w:b/w:i + text case</x:v>
      </x:c>
    </x:row>
    <x:row r="17">
      <x:c r="A17" t="n">
        <x:v>16</x:v>
      </x:c>
      <x:c r="B17" t="str">
        <x:v>ND30.G.CHU.KIEU_CHU.KIEU_CHU</x:v>
      </x:c>
      <x:c r="C17" t="str">
        <x:v>ND30.G.CHU.KIEU_CHU</x:v>
      </x:c>
      <x:c r="D17" t="str">
        <x:v>G</x:v>
      </x:c>
      <x:c r="E17" t="str">
        <x:v>Kiểu chữ</x:v>
      </x:c>
      <x:c r="F17" t="str">
        <x:v>KIEU_CHU</x:v>
      </x:c>
      <x:c r="G17"/>
      <x:c r="H17"/>
      <x:c r="I17" t="str">
        <x:v>UNVERIFIED_ATTRIBUTE</x:v>
      </x:c>
      <x:c r="J17" t="str">
        <x:v>BLOCKED_NO_ATTRIBUTE_VALUE</x:v>
      </x:c>
      <x:c r="K17" t="str">
        <x:v>Chỉ sau xác định chế độ NĐ30/HD05, section và loại văn bản; phần chung không ghi đè thuộc tính đặc thù</x:v>
      </x:c>
      <x:c r="L17" t="str">
        <x:v>Phần G là mặc định; D/N/C/X cụ thể và quy định nguồn được ưu tiên. Giữ section, header, footer nếu không có chứng cứ thay đổi.</x:v>
      </x:c>
      <x:c r="M17"/>
      <x:c r="N17" t="str">
        <x:v>NĐ30, Phụ lục I, Phần I, I (Quy định chung)</x:v>
      </x:c>
      <x:c r="O17" t="str">
        <x:v>https://congbao.chinhphu.vn/van-ban/nghi-dinh-so-30-2020-nd-cp-30858/30246.htm</x:v>
      </x:c>
      <x:c r="P17" t="str">
        <x:v>PLUGIN:hoa-tieu-mien-bac-administrative-v1 | user_approved_visual_reference</x:v>
      </x:c>
      <x:c r="Q17" t="str">
        <x:v>CHECK_ONLY</x:v>
      </x:c>
      <x:c r="R17" t="str">
        <x:v>Kiểm tra từng thuộc tính có mặt; so sánh nguồn/role; không suy đoán từ kết quả render chưa có</x:v>
      </x:c>
      <x:c r="S17" t="str">
        <x:v>RULE_INFERENCE_NOT_MEASURED</x:v>
      </x:c>
      <x:c r="T17" t="str">
        <x:v>Xác minh căn cứ theo loại văn bản / tài liệu phát hành hoặc phê duyệt</x:v>
      </x:c>
      <x:c r="U17" t="str">
        <x:v>Word settings | w:rPr/w:b/w:i + text case</x:v>
      </x:c>
    </x:row>
    <x:row r="18">
      <x:c r="A18" t="n">
        <x:v>17</x:v>
      </x:c>
      <x:c r="B18" t="str">
        <x:v>ND30.G.DOAN.CAN_LE.HIEN_DIEN</x:v>
      </x:c>
      <x:c r="C18" t="str">
        <x:v>ND30.G.DOAN.CAN_LE</x:v>
      </x:c>
      <x:c r="D18" t="str">
        <x:v>G</x:v>
      </x:c>
      <x:c r="E18" t="str">
        <x:v>Căn lề</x:v>
      </x:c>
      <x:c r="F18" t="str">
        <x:v>HIEN_DIEN</x:v>
      </x:c>
      <x:c r="G18" t="str">
        <x:v>Dùng cho văn bản chính theo profile; loại trừ bản sao/phụ lục riêng khi chưa có route</x:v>
      </x:c>
      <x:c r="H18"/>
      <x:c r="I18" t="str">
        <x:v>UNVERIFIED_ATTRIBUTE</x:v>
      </x:c>
      <x:c r="J18" t="str">
        <x:v>SOURCE_DESCRIPTION_NOT_APPROVAL</x:v>
      </x:c>
      <x:c r="K18" t="str">
        <x:v>Chỉ sau xác định chế độ NĐ30/HD05, section và loại văn bản; phần chung không ghi đè thuộc tính đặc thù</x:v>
      </x:c>
      <x:c r="L18" t="str">
        <x:v>Phần G là mặc định; D/N/C/X cụ thể và quy định nguồn được ưu tiên. Giữ section, header, footer nếu không có chứng cứ thay đổi.</x:v>
      </x:c>
      <x:c r="M18"/>
      <x:c r="N18" t="str">
        <x:v>NĐ30, Phụ lục I, Phần I, I (Quy định chung)</x:v>
      </x:c>
      <x:c r="O18" t="str">
        <x:v>https://congbao.chinhphu.vn/van-ban/nghi-dinh-so-30-2020-nd-cp-30858/30246.htm</x:v>
      </x:c>
      <x:c r="P18" t="str">
        <x:v>PLUGIN:hoa-tieu-mien-bac-administrative-v1 | user_approved_visual_reference</x:v>
      </x:c>
      <x:c r="Q18" t="str">
        <x:v>CHECK_ONLY</x:v>
      </x:c>
      <x:c r="R18" t="str">
        <x:v>Kiểm tra từng thuộc tính có mặt; so sánh nguồn/role; không suy đoán từ kết quả render chưa có</x:v>
      </x:c>
      <x:c r="S18" t="str">
        <x:v>STRUCTURE_READ_EXISTING_WORKBOOK</x:v>
      </x:c>
      <x:c r="T18"/>
      <x:c r="U18" t="str">
        <x:v>Word settings | w:jc=both (body)</x:v>
      </x:c>
    </x:row>
    <x:row r="19">
      <x:c r="A19" t="n">
        <x:v>18</x:v>
      </x:c>
      <x:c r="B19" t="str">
        <x:v>ND30.G.DOAN.CAN_LE.CAN_NGANG</x:v>
      </x:c>
      <x:c r="C19" t="str">
        <x:v>ND30.G.DOAN.CAN_LE</x:v>
      </x:c>
      <x:c r="D19" t="str">
        <x:v>G</x:v>
      </x:c>
      <x:c r="E19" t="str">
        <x:v>Căn lề</x:v>
      </x:c>
      <x:c r="F19" t="str">
        <x:v>CAN_NGANG</x:v>
      </x:c>
      <x:c r="G19" t="str">
        <x:v>JUSTIFY</x:v>
      </x:c>
      <x:c r="H19"/>
      <x:c r="I19" t="str">
        <x:v>UNVERIFIED_ATTRIBUTE</x:v>
      </x:c>
      <x:c r="J19" t="str">
        <x:v>PROFILE_PRESET_UNAPPROVED</x:v>
      </x:c>
      <x:c r="K19" t="str">
        <x:v>Chỉ sau xác định chế độ NĐ30/HD05, section và loại văn bản; phần chung không ghi đè thuộc tính đặc thù</x:v>
      </x:c>
      <x:c r="L19" t="str">
        <x:v>Phần G là mặc định; D/N/C/X cụ thể và quy định nguồn được ưu tiên. Giữ section, header, footer nếu không có chứng cứ thay đổi.</x:v>
      </x:c>
      <x:c r="M19"/>
      <x:c r="N19" t="str">
        <x:v>NĐ30, Phụ lục I, Phần I, I (Quy định chung)</x:v>
      </x:c>
      <x:c r="O19" t="str">
        <x:v>https://congbao.chinhphu.vn/van-ban/nghi-dinh-so-30-2020-nd-cp-30858/30246.htm</x:v>
      </x:c>
      <x:c r="P19" t="str">
        <x:v>PLUGIN:hoa-tieu-mien-bac-administrative-v1 | user_approved_visual_reference</x:v>
      </x:c>
      <x:c r="Q19" t="str">
        <x:v>CHECK_ONLY</x:v>
      </x:c>
      <x:c r="R19" t="str">
        <x:v>Kiểm tra từng thuộc tính có mặt; so sánh nguồn/role; không suy đoán từ kết quả render chưa có</x:v>
      </x:c>
      <x:c r="S19" t="str">
        <x:v>STRUCTURE_READ_EXISTING_WORKBOOK</x:v>
      </x:c>
      <x:c r="T19"/>
      <x:c r="U19" t="str">
        <x:v>Word settings | w:jc=both (body)</x:v>
      </x:c>
    </x:row>
    <x:row r="20">
      <x:c r="A20" t="n">
        <x:v>19</x:v>
      </x:c>
      <x:c r="B20" t="str">
        <x:v>ND30.G.DOAN.GIUA_DONG.HIEN_DIEN</x:v>
      </x:c>
      <x:c r="C20" t="str">
        <x:v>ND30.G.DOAN.GIUA_DONG</x:v>
      </x:c>
      <x:c r="D20" t="str">
        <x:v>G</x:v>
      </x:c>
      <x:c r="E20" t="str">
        <x:v>Khoảng cách dòng</x:v>
      </x:c>
      <x:c r="F20" t="str">
        <x:v>HIEN_DIEN</x:v>
      </x:c>
      <x:c r="G20" t="str">
        <x:v>Dùng cho văn bản chính theo profile; loại trừ bản sao/phụ lục riêng khi chưa có route</x:v>
      </x:c>
      <x:c r="H20"/>
      <x:c r="I20" t="str">
        <x:v>UNVERIFIED_ATTRIBUTE</x:v>
      </x:c>
      <x:c r="J20" t="str">
        <x:v>SOURCE_DESCRIPTION_NOT_APPROVAL</x:v>
      </x:c>
      <x:c r="K20" t="str">
        <x:v>Chỉ sau xác định chế độ NĐ30/HD05, section và loại văn bản; phần chung không ghi đè thuộc tính đặc thù</x:v>
      </x:c>
      <x:c r="L20" t="str">
        <x:v>Phần G là mặc định; D/N/C/X cụ thể và quy định nguồn được ưu tiên. Giữ section, header, footer nếu không có chứng cứ thay đổi.</x:v>
      </x:c>
      <x:c r="M20"/>
      <x:c r="N20" t="str">
        <x:v>NĐ30, Phụ lục I, Phần I, I (Quy định chung)</x:v>
      </x:c>
      <x:c r="O20" t="str">
        <x:v>https://congbao.chinhphu.vn/van-ban/nghi-dinh-so-30-2020-nd-cp-30858/30246.htm</x:v>
      </x:c>
      <x:c r="P20" t="str">
        <x:v>PLUGIN:hoa-tieu-mien-bac-administrative-v1 | user_approved_visual_reference</x:v>
      </x:c>
      <x:c r="Q20" t="str">
        <x:v>CHECK_ONLY</x:v>
      </x:c>
      <x:c r="R20" t="str">
        <x:v>Kiểm tra từng thuộc tính có mặt; so sánh nguồn/role; không suy đoán từ kết quả render chưa có</x:v>
      </x:c>
      <x:c r="S20" t="str">
        <x:v>STRUCTURE_READ_EXISTING_WORKBOOK</x:v>
      </x:c>
      <x:c r="T20"/>
      <x:c r="U20" t="str">
        <x:v>Word settings | w:spacing line=380; lineRule=exact</x:v>
      </x:c>
    </x:row>
    <x:row r="21">
      <x:c r="A21" t="n">
        <x:v>20</x:v>
      </x:c>
      <x:c r="B21" t="str">
        <x:v>ND30.G.DOAN.GIUA_DONG.GIAN_DONG</x:v>
      </x:c>
      <x:c r="C21" t="str">
        <x:v>ND30.G.DOAN.GIUA_DONG</x:v>
      </x:c>
      <x:c r="D21" t="str">
        <x:v>G</x:v>
      </x:c>
      <x:c r="E21" t="str">
        <x:v>Khoảng cách dòng</x:v>
      </x:c>
      <x:c r="F21" t="str">
        <x:v>GIAN_DONG</x:v>
      </x:c>
      <x:c r="G21" t="n">
        <x:v>19</x:v>
      </x:c>
      <x:c r="H21"/>
      <x:c r="I21" t="str">
        <x:v>UNVERIFIED_ATTRIBUTE</x:v>
      </x:c>
      <x:c r="J21" t="str">
        <x:v>PROFILE_PRESET_UNAPPROVED</x:v>
      </x:c>
      <x:c r="K21" t="str">
        <x:v>Chỉ sau xác định chế độ NĐ30/HD05, section và loại văn bản; phần chung không ghi đè thuộc tính đặc thù</x:v>
      </x:c>
      <x:c r="L21" t="str">
        <x:v>Phần G là mặc định; D/N/C/X cụ thể và quy định nguồn được ưu tiên. Giữ section, header, footer nếu không có chứng cứ thay đổi.</x:v>
      </x:c>
      <x:c r="M21" t="str">
        <x:v>pt</x:v>
      </x:c>
      <x:c r="N21" t="str">
        <x:v>NĐ30, Phụ lục I, Phần I, I (Quy định chung)</x:v>
      </x:c>
      <x:c r="O21" t="str">
        <x:v>https://congbao.chinhphu.vn/van-ban/nghi-dinh-so-30-2020-nd-cp-30858/30246.htm</x:v>
      </x:c>
      <x:c r="P21" t="str">
        <x:v>PLUGIN:hoa-tieu-mien-bac-administrative-v1 | user_approved_visual_reference</x:v>
      </x:c>
      <x:c r="Q21" t="str">
        <x:v>CHECK_ONLY</x:v>
      </x:c>
      <x:c r="R21" t="str">
        <x:v>Kiểm tra từng thuộc tính có mặt; so sánh nguồn/role; không suy đoán từ kết quả render chưa có</x:v>
      </x:c>
      <x:c r="S21" t="str">
        <x:v>STRUCTURE_READ_EXISTING_WORKBOOK</x:v>
      </x:c>
      <x:c r="T21"/>
      <x:c r="U21" t="str">
        <x:v>Word settings | w:spacing line=380; lineRule=exact</x:v>
      </x:c>
    </x:row>
    <x:row r="22">
      <x:c r="A22" t="n">
        <x:v>21</x:v>
      </x:c>
      <x:c r="B22" t="str">
        <x:v>ND30.G.DOAN.GIUA_DOAN.HIEN_DIEN</x:v>
      </x:c>
      <x:c r="C22" t="str">
        <x:v>ND30.G.DOAN.GIUA_DOAN</x:v>
      </x:c>
      <x:c r="D22" t="str">
        <x:v>G</x:v>
      </x:c>
      <x:c r="E22" t="str">
        <x:v>Khoảng cách đoạn</x:v>
      </x:c>
      <x:c r="F22" t="str">
        <x:v>HIEN_DIEN</x:v>
      </x:c>
      <x:c r="G22" t="str">
        <x:v>Dùng cho văn bản chính theo profile; loại trừ bản sao/phụ lục riêng khi chưa có route</x:v>
      </x:c>
      <x:c r="H22"/>
      <x:c r="I22" t="str">
        <x:v>UNVERIFIED_ATTRIBUTE</x:v>
      </x:c>
      <x:c r="J22" t="str">
        <x:v>SOURCE_DESCRIPTION_NOT_APPROVAL</x:v>
      </x:c>
      <x:c r="K22" t="str">
        <x:v>Chỉ sau xác định chế độ NĐ30/HD05, section và loại văn bản; phần chung không ghi đè thuộc tính đặc thù</x:v>
      </x:c>
      <x:c r="L22" t="str">
        <x:v>Phần G là mặc định; D/N/C/X cụ thể và quy định nguồn được ưu tiên. Giữ section, header, footer nếu không có chứng cứ thay đổi.</x:v>
      </x:c>
      <x:c r="M22"/>
      <x:c r="N22" t="str">
        <x:v>NĐ30, Phụ lục I, Phần I, I (Quy định chung)</x:v>
      </x:c>
      <x:c r="O22" t="str">
        <x:v>https://congbao.chinhphu.vn/van-ban/nghi-dinh-so-30-2020-nd-cp-30858/30246.htm</x:v>
      </x:c>
      <x:c r="P22" t="str">
        <x:v>PLUGIN:hoa-tieu-mien-bac-administrative-v1 | user_approved_visual_reference</x:v>
      </x:c>
      <x:c r="Q22" t="str">
        <x:v>CHECK_ONLY</x:v>
      </x:c>
      <x:c r="R22" t="str">
        <x:v>Kiểm tra từng thuộc tính có mặt; so sánh nguồn/role; không suy đoán từ kết quả render chưa có</x:v>
      </x:c>
      <x:c r="S22" t="str">
        <x:v>STRUCTURE_READ_EXISTING_WORKBOOK</x:v>
      </x:c>
      <x:c r="T22"/>
      <x:c r="U22" t="str">
        <x:v>Word settings | w:spacing before=0 after=120</x:v>
      </x:c>
    </x:row>
    <x:row r="23">
      <x:c r="A23" t="n">
        <x:v>22</x:v>
      </x:c>
      <x:c r="B23" t="str">
        <x:v>ND30.G.DOAN.GIUA_DOAN.CACH_TRUOC</x:v>
      </x:c>
      <x:c r="C23" t="str">
        <x:v>ND30.G.DOAN.GIUA_DOAN</x:v>
      </x:c>
      <x:c r="D23" t="str">
        <x:v>G</x:v>
      </x:c>
      <x:c r="E23" t="str">
        <x:v>Khoảng cách đoạn</x:v>
      </x:c>
      <x:c r="F23" t="str">
        <x:v>CACH_TRUOC</x:v>
      </x:c>
      <x:c r="G23" t="n">
        <x:v>0</x:v>
      </x:c>
      <x:c r="H23"/>
      <x:c r="I23" t="str">
        <x:v>UNVERIFIED_ATTRIBUTE</x:v>
      </x:c>
      <x:c r="J23" t="str">
        <x:v>PROFILE_PRESET_UNAPPROVED</x:v>
      </x:c>
      <x:c r="K23" t="str">
        <x:v>Chỉ sau xác định chế độ NĐ30/HD05, section và loại văn bản; phần chung không ghi đè thuộc tính đặc thù</x:v>
      </x:c>
      <x:c r="L23" t="str">
        <x:v>Phần G là mặc định; D/N/C/X cụ thể và quy định nguồn được ưu tiên. Giữ section, header, footer nếu không có chứng cứ thay đổi.</x:v>
      </x:c>
      <x:c r="M23" t="str">
        <x:v>pt</x:v>
      </x:c>
      <x:c r="N23" t="str">
        <x:v>NĐ30, Phụ lục I, Phần I, I (Quy định chung)</x:v>
      </x:c>
      <x:c r="O23" t="str">
        <x:v>https://congbao.chinhphu.vn/van-ban/nghi-dinh-so-30-2020-nd-cp-30858/30246.htm</x:v>
      </x:c>
      <x:c r="P23" t="str">
        <x:v>PLUGIN:hoa-tieu-mien-bac-administrative-v1 | user_approved_visual_reference</x:v>
      </x:c>
      <x:c r="Q23" t="str">
        <x:v>CHECK_ONLY</x:v>
      </x:c>
      <x:c r="R23" t="str">
        <x:v>Kiểm tra từng thuộc tính có mặt; so sánh nguồn/role; không suy đoán từ kết quả render chưa có</x:v>
      </x:c>
      <x:c r="S23" t="str">
        <x:v>STRUCTURE_READ_EXISTING_WORKBOOK</x:v>
      </x:c>
      <x:c r="T23"/>
      <x:c r="U23" t="str">
        <x:v>Word settings | w:spacing before=0 after=120</x:v>
      </x:c>
    </x:row>
    <x:row r="24">
      <x:c r="A24" t="n">
        <x:v>23</x:v>
      </x:c>
      <x:c r="B24" t="str">
        <x:v>ND30.G.DOAN.GIUA_DOAN.CACH_SAU</x:v>
      </x:c>
      <x:c r="C24" t="str">
        <x:v>ND30.G.DOAN.GIUA_DOAN</x:v>
      </x:c>
      <x:c r="D24" t="str">
        <x:v>G</x:v>
      </x:c>
      <x:c r="E24" t="str">
        <x:v>Khoảng cách đoạn</x:v>
      </x:c>
      <x:c r="F24" t="str">
        <x:v>CACH_SAU</x:v>
      </x:c>
      <x:c r="G24" t="n">
        <x:v>6</x:v>
      </x:c>
      <x:c r="H24"/>
      <x:c r="I24" t="str">
        <x:v>UNVERIFIED_ATTRIBUTE</x:v>
      </x:c>
      <x:c r="J24" t="str">
        <x:v>PROFILE_PRESET_UNAPPROVED</x:v>
      </x:c>
      <x:c r="K24" t="str">
        <x:v>Chỉ sau xác định chế độ NĐ30/HD05, section và loại văn bản; phần chung không ghi đè thuộc tính đặc thù</x:v>
      </x:c>
      <x:c r="L24" t="str">
        <x:v>Phần G là mặc định; D/N/C/X cụ thể và quy định nguồn được ưu tiên. Giữ section, header, footer nếu không có chứng cứ thay đổi.</x:v>
      </x:c>
      <x:c r="M24" t="str">
        <x:v>pt</x:v>
      </x:c>
      <x:c r="N24" t="str">
        <x:v>NĐ30, Phụ lục I, Phần I, I (Quy định chung)</x:v>
      </x:c>
      <x:c r="O24" t="str">
        <x:v>https://congbao.chinhphu.vn/van-ban/nghi-dinh-so-30-2020-nd-cp-30858/30246.htm</x:v>
      </x:c>
      <x:c r="P24" t="str">
        <x:v>PLUGIN:hoa-tieu-mien-bac-administrative-v1 | user_approved_visual_reference</x:v>
      </x:c>
      <x:c r="Q24" t="str">
        <x:v>CHECK_ONLY</x:v>
      </x:c>
      <x:c r="R24" t="str">
        <x:v>Kiểm tra từng thuộc tính có mặt; so sánh nguồn/role; không suy đoán từ kết quả render chưa có</x:v>
      </x:c>
      <x:c r="S24" t="str">
        <x:v>STRUCTURE_READ_EXISTING_WORKBOOK</x:v>
      </x:c>
      <x:c r="T24"/>
      <x:c r="U24" t="str">
        <x:v>Word settings | w:spacing before=0 after=120</x:v>
      </x:c>
    </x:row>
    <x:row r="25">
      <x:c r="A25" t="n">
        <x:v>24</x:v>
      </x:c>
      <x:c r="B25" t="str">
        <x:v>ND30.G.DOAN.THUT_DONG.HIEN_DIEN</x:v>
      </x:c>
      <x:c r="C25" t="str">
        <x:v>ND30.G.DOAN.THUT_DONG</x:v>
      </x:c>
      <x:c r="D25" t="str">
        <x:v>G</x:v>
      </x:c>
      <x:c r="E25" t="str">
        <x:v>Thụt đầu dòng</x:v>
      </x:c>
      <x:c r="F25" t="str">
        <x:v>HIEN_DIEN</x:v>
      </x:c>
      <x:c r="G25" t="str">
        <x:v>Dùng cho văn bản chính theo profile; loại trừ bản sao/phụ lục riêng khi chưa có route</x:v>
      </x:c>
      <x:c r="H25"/>
      <x:c r="I25" t="str">
        <x:v>UNVERIFIED_ATTRIBUTE</x:v>
      </x:c>
      <x:c r="J25" t="str">
        <x:v>SOURCE_DESCRIPTION_NOT_APPROVAL</x:v>
      </x:c>
      <x:c r="K25" t="str">
        <x:v>Chỉ sau xác định chế độ NĐ30/HD05, section và loại văn bản; phần chung không ghi đè thuộc tính đặc thù</x:v>
      </x:c>
      <x:c r="L25" t="str">
        <x:v>Phần G là mặc định; D/N/C/X cụ thể và quy định nguồn được ưu tiên. Giữ section, header, footer nếu không có chứng cứ thay đổi.</x:v>
      </x:c>
      <x:c r="M25"/>
      <x:c r="N25" t="str">
        <x:v>NĐ30, Phụ lục I, Phần I, I (Quy định chung)</x:v>
      </x:c>
      <x:c r="O25" t="str">
        <x:v>https://congbao.chinhphu.vn/van-ban/nghi-dinh-so-30-2020-nd-cp-30858/30246.htm</x:v>
      </x:c>
      <x:c r="P25" t="str">
        <x:v>PLUGIN:hoa-tieu-mien-bac-administrative-v1 | user_approved_visual_reference</x:v>
      </x:c>
      <x:c r="Q25" t="str">
        <x:v>CHECK_ONLY</x:v>
      </x:c>
      <x:c r="R25" t="str">
        <x:v>Kiểm tra từng thuộc tính có mặt; so sánh nguồn/role; không suy đoán từ kết quả render chưa có</x:v>
      </x:c>
      <x:c r="S25" t="str">
        <x:v>STRUCTURE_READ_EXISTING_WORKBOOK</x:v>
      </x:c>
      <x:c r="T25"/>
      <x:c r="U25" t="str">
        <x:v>Word settings | w:ind w:firstLine=720</x:v>
      </x:c>
    </x:row>
    <x:row r="26">
      <x:c r="A26" t="n">
        <x:v>25</x:v>
      </x:c>
      <x:c r="B26" t="str">
        <x:v>ND30.G.DOAN.THUT_DONG.THUT_DONG_DAU</x:v>
      </x:c>
      <x:c r="C26" t="str">
        <x:v>ND30.G.DOAN.THUT_DONG</x:v>
      </x:c>
      <x:c r="D26" t="str">
        <x:v>G</x:v>
      </x:c>
      <x:c r="E26" t="str">
        <x:v>Thụt đầu dòng</x:v>
      </x:c>
      <x:c r="F26" t="str">
        <x:v>THUT_DONG_DAU</x:v>
      </x:c>
      <x:c r="G26" t="n">
        <x:v>12.7</x:v>
      </x:c>
      <x:c r="H26"/>
      <x:c r="I26" t="str">
        <x:v>UNVERIFIED_ATTRIBUTE</x:v>
      </x:c>
      <x:c r="J26" t="str">
        <x:v>PROFILE_PRESET_UNAPPROVED</x:v>
      </x:c>
      <x:c r="K26" t="str">
        <x:v>Chỉ sau xác định chế độ NĐ30/HD05, section và loại văn bản; phần chung không ghi đè thuộc tính đặc thù</x:v>
      </x:c>
      <x:c r="L26" t="str">
        <x:v>Phần G là mặc định; D/N/C/X cụ thể và quy định nguồn được ưu tiên. Giữ section, header, footer nếu không có chứng cứ thay đổi.</x:v>
      </x:c>
      <x:c r="M26" t="str">
        <x:v>mm</x:v>
      </x:c>
      <x:c r="N26" t="str">
        <x:v>NĐ30, Phụ lục I, Phần I, I (Quy định chung)</x:v>
      </x:c>
      <x:c r="O26" t="str">
        <x:v>https://congbao.chinhphu.vn/van-ban/nghi-dinh-so-30-2020-nd-cp-30858/30246.htm</x:v>
      </x:c>
      <x:c r="P26" t="str">
        <x:v>PLUGIN:hoa-tieu-mien-bac-administrative-v1 | user_approved_visual_reference</x:v>
      </x:c>
      <x:c r="Q26" t="str">
        <x:v>CHECK_ONLY</x:v>
      </x:c>
      <x:c r="R26" t="str">
        <x:v>Kiểm tra từng thuộc tính có mặt; so sánh nguồn/role; không suy đoán từ kết quả render chưa có</x:v>
      </x:c>
      <x:c r="S26" t="str">
        <x:v>STRUCTURE_READ_EXISTING_WORKBOOK</x:v>
      </x:c>
      <x:c r="T26"/>
      <x:c r="U26" t="str">
        <x:v>Word settings | w:ind w:firstLine=720</x:v>
      </x:c>
    </x:row>
    <x:row r="27">
      <x:c r="A27" t="n">
        <x:v>26</x:v>
      </x:c>
      <x:c r="B27" t="str">
        <x:v>ND30.G.PHAN_TRANG.SECTION.HIEN_DIEN</x:v>
      </x:c>
      <x:c r="C27" t="str">
        <x:v>ND30.G.PHAN_TRANG.SECTION</x:v>
      </x:c>
      <x:c r="D27" t="str">
        <x:v>G</x:v>
      </x:c>
      <x:c r="E27" t="str">
        <x:v>Section</x:v>
      </x:c>
      <x:c r="F27" t="str">
        <x:v>HIEN_DIEN</x:v>
      </x:c>
      <x:c r="G27" t="str">
        <x:v>Dùng cho văn bản chính theo profile; loại trừ bản sao/phụ lục riêng khi chưa có route</x:v>
      </x:c>
      <x:c r="H27"/>
      <x:c r="I27" t="str">
        <x:v>UNVERIFIED_ATTRIBUTE</x:v>
      </x:c>
      <x:c r="J27" t="str">
        <x:v>SOURCE_DESCRIPTION_NOT_APPROVAL</x:v>
      </x:c>
      <x:c r="K27" t="str">
        <x:v>Chỉ sau xác định chế độ NĐ30/HD05, section và loại văn bản; phần chung không ghi đè thuộc tính đặc thù</x:v>
      </x:c>
      <x:c r="L27" t="str">
        <x:v>Phần G là mặc định; D/N/C/X cụ thể và quy định nguồn được ưu tiên. Giữ section, header, footer nếu không có chứng cứ thay đổi.</x:v>
      </x:c>
      <x:c r="M27"/>
      <x:c r="N27" t="str">
        <x:v>NĐ30, Phụ lục I, Phần I, I (Quy định chung)</x:v>
      </x:c>
      <x:c r="O27" t="str">
        <x:v>https://congbao.chinhphu.vn/van-ban/nghi-dinh-so-30-2020-nd-cp-30858/30246.htm</x:v>
      </x:c>
      <x:c r="P27" t="str">
        <x:v>PLUGIN:hoa-tieu-mien-bac-administrative-v1 | user_approved_visual_reference</x:v>
      </x:c>
      <x:c r="Q27" t="str">
        <x:v>CHECK_ONLY</x:v>
      </x:c>
      <x:c r="R27" t="str">
        <x:v>Kiểm tra từng thuộc tính có mặt; so sánh nguồn/role; không suy đoán từ kết quả render chưa có</x:v>
      </x:c>
      <x:c r="S27" t="str">
        <x:v>STRUCTURE_READ_EXISTING_WORKBOOK</x:v>
      </x:c>
      <x:c r="T27"/>
      <x:c r="U27" t="str">
        <x:v>Word settings | sectPr, preserve original</x:v>
      </x:c>
    </x:row>
    <x:row r="28">
      <x:c r="A28" t="n">
        <x:v>27</x:v>
      </x:c>
      <x:c r="B28" t="str">
        <x:v>ND30.G.PHAN_TRANG.SECTION.SECTION</x:v>
      </x:c>
      <x:c r="C28" t="str">
        <x:v>ND30.G.PHAN_TRANG.SECTION</x:v>
      </x:c>
      <x:c r="D28" t="str">
        <x:v>G</x:v>
      </x:c>
      <x:c r="E28" t="str">
        <x:v>Section</x:v>
      </x:c>
      <x:c r="F28" t="str">
        <x:v>SECTION</x:v>
      </x:c>
      <x:c r="G28"/>
      <x:c r="H28"/>
      <x:c r="I28" t="str">
        <x:v>UNVERIFIED_ATTRIBUTE</x:v>
      </x:c>
      <x:c r="J28" t="str">
        <x:v>BLOCKED_NO_ATTRIBUTE_VALUE</x:v>
      </x:c>
      <x:c r="K28" t="str">
        <x:v>Chỉ sau xác định chế độ NĐ30/HD05, section và loại văn bản; phần chung không ghi đè thuộc tính đặc thù</x:v>
      </x:c>
      <x:c r="L28" t="str">
        <x:v>Phần G là mặc định; D/N/C/X cụ thể và quy định nguồn được ưu tiên. Giữ section, header, footer nếu không có chứng cứ thay đổi.</x:v>
      </x:c>
      <x:c r="M28"/>
      <x:c r="N28" t="str">
        <x:v>NĐ30, Phụ lục I, Phần I, I (Quy định chung)</x:v>
      </x:c>
      <x:c r="O28" t="str">
        <x:v>https://congbao.chinhphu.vn/van-ban/nghi-dinh-so-30-2020-nd-cp-30858/30246.htm</x:v>
      </x:c>
      <x:c r="P28" t="str">
        <x:v>PLUGIN:hoa-tieu-mien-bac-administrative-v1 | user_approved_visual_reference</x:v>
      </x:c>
      <x:c r="Q28" t="str">
        <x:v>CHECK_ONLY</x:v>
      </x:c>
      <x:c r="R28" t="str">
        <x:v>Kiểm tra từng thuộc tính có mặt; so sánh nguồn/role; không suy đoán từ kết quả render chưa có</x:v>
      </x:c>
      <x:c r="S28" t="str">
        <x:v>RULE_INFERENCE_NOT_MEASURED</x:v>
      </x:c>
      <x:c r="T28" t="str">
        <x:v>Xác minh căn cứ theo loại văn bản / tài liệu phát hành hoặc phê duyệt</x:v>
      </x:c>
      <x:c r="U28" t="str">
        <x:v>Word settings | sectPr, preserve original</x:v>
      </x:c>
    </x:row>
    <x:row r="29">
      <x:c r="A29" t="n">
        <x:v>28</x:v>
      </x:c>
      <x:c r="B29" t="str">
        <x:v>ND30.G.PHAN_TRANG.NGAT_TRANG.HIEN_DIEN</x:v>
      </x:c>
      <x:c r="C29" t="str">
        <x:v>ND30.G.PHAN_TRANG.NGAT_TRANG</x:v>
      </x:c>
      <x:c r="D29" t="str">
        <x:v>G</x:v>
      </x:c>
      <x:c r="E29" t="str">
        <x:v>Ngắt trang</x:v>
      </x:c>
      <x:c r="F29" t="str">
        <x:v>HIEN_DIEN</x:v>
      </x:c>
      <x:c r="G29" t="str">
        <x:v>Dùng cho văn bản chính theo profile; loại trừ bản sao/phụ lục riêng khi chưa có route</x:v>
      </x:c>
      <x:c r="H29"/>
      <x:c r="I29" t="str">
        <x:v>UNVERIFIED_ATTRIBUTE</x:v>
      </x:c>
      <x:c r="J29" t="str">
        <x:v>SOURCE_DESCRIPTION_NOT_APPROVAL</x:v>
      </x:c>
      <x:c r="K29" t="str">
        <x:v>Chỉ sau xác định chế độ NĐ30/HD05, section và loại văn bản; phần chung không ghi đè thuộc tính đặc thù</x:v>
      </x:c>
      <x:c r="L29" t="str">
        <x:v>Phần G là mặc định; D/N/C/X cụ thể và quy định nguồn được ưu tiên. Giữ section, header, footer nếu không có chứng cứ thay đổi.</x:v>
      </x:c>
      <x:c r="M29"/>
      <x:c r="N29" t="str">
        <x:v>NĐ30, Phụ lục I, Phần I, I (Quy định chung)</x:v>
      </x:c>
      <x:c r="O29" t="str">
        <x:v>https://congbao.chinhphu.vn/van-ban/nghi-dinh-so-30-2020-nd-cp-30858/30246.htm</x:v>
      </x:c>
      <x:c r="P29" t="str">
        <x:v>PLUGIN:hoa-tieu-mien-bac-administrative-v1 | user_approved_visual_reference</x:v>
      </x:c>
      <x:c r="Q29" t="str">
        <x:v>CHECK_ONLY</x:v>
      </x:c>
      <x:c r="R29" t="str">
        <x:v>Kiểm tra từng thuộc tính có mặt; so sánh nguồn/role; không suy đoán từ kết quả render chưa có</x:v>
      </x:c>
      <x:c r="S29" t="str">
        <x:v>STRUCTURE_READ_EXISTING_WORKBOOK</x:v>
      </x:c>
      <x:c r="T29"/>
      <x:c r="U29" t="str">
        <x:v>Word settings | w:br type=page (check-only)</x:v>
      </x:c>
    </x:row>
    <x:row r="30">
      <x:c r="A30" t="n">
        <x:v>29</x:v>
      </x:c>
      <x:c r="B30" t="str">
        <x:v>ND30.G.PHAN_TRANG.NGAT_TRANG.NGAT_TRANG</x:v>
      </x:c>
      <x:c r="C30" t="str">
        <x:v>ND30.G.PHAN_TRANG.NGAT_TRANG</x:v>
      </x:c>
      <x:c r="D30" t="str">
        <x:v>G</x:v>
      </x:c>
      <x:c r="E30" t="str">
        <x:v>Ngắt trang</x:v>
      </x:c>
      <x:c r="F30" t="str">
        <x:v>NGAT_TRANG</x:v>
      </x:c>
      <x:c r="G30"/>
      <x:c r="H30"/>
      <x:c r="I30" t="str">
        <x:v>UNVERIFIED_ATTRIBUTE</x:v>
      </x:c>
      <x:c r="J30" t="str">
        <x:v>BLOCKED_NO_ATTRIBUTE_VALUE</x:v>
      </x:c>
      <x:c r="K30" t="str">
        <x:v>Chỉ sau xác định chế độ NĐ30/HD05, section và loại văn bản; phần chung không ghi đè thuộc tính đặc thù</x:v>
      </x:c>
      <x:c r="L30" t="str">
        <x:v>Phần G là mặc định; D/N/C/X cụ thể và quy định nguồn được ưu tiên. Giữ section, header, footer nếu không có chứng cứ thay đổi.</x:v>
      </x:c>
      <x:c r="M30"/>
      <x:c r="N30" t="str">
        <x:v>NĐ30, Phụ lục I, Phần I, I (Quy định chung)</x:v>
      </x:c>
      <x:c r="O30" t="str">
        <x:v>https://congbao.chinhphu.vn/van-ban/nghi-dinh-so-30-2020-nd-cp-30858/30246.htm</x:v>
      </x:c>
      <x:c r="P30" t="str">
        <x:v>PLUGIN:hoa-tieu-mien-bac-administrative-v1 | user_approved_visual_reference</x:v>
      </x:c>
      <x:c r="Q30" t="str">
        <x:v>CHECK_ONLY</x:v>
      </x:c>
      <x:c r="R30" t="str">
        <x:v>Kiểm tra từng thuộc tính có mặt; so sánh nguồn/role; không suy đoán từ kết quả render chưa có</x:v>
      </x:c>
      <x:c r="S30" t="str">
        <x:v>RULE_INFERENCE_NOT_MEASURED</x:v>
      </x:c>
      <x:c r="T30" t="str">
        <x:v>Xác minh căn cứ theo loại văn bản / tài liệu phát hành hoặc phê duyệt</x:v>
      </x:c>
      <x:c r="U30" t="str">
        <x:v>Word settings | w:br type=page (check-only)</x:v>
      </x:c>
    </x:row>
    <x:row r="31">
      <x:c r="A31" t="n">
        <x:v>30</x:v>
      </x:c>
      <x:c r="B31" t="str">
        <x:v>ND30.G.PHAN_TRANG.KEEP_WITH_NEXT.HIEN_DIEN</x:v>
      </x:c>
      <x:c r="C31" t="str">
        <x:v>ND30.G.PHAN_TRANG.KEEP_WITH_NEXT</x:v>
      </x:c>
      <x:c r="D31" t="str">
        <x:v>G</x:v>
      </x:c>
      <x:c r="E31" t="str">
        <x:v>Giữ cùng đoạn tiếp</x:v>
      </x:c>
      <x:c r="F31" t="str">
        <x:v>HIEN_DIEN</x:v>
      </x:c>
      <x:c r="G31" t="str">
        <x:v>Dùng cho văn bản chính theo profile; loại trừ bản sao/phụ lục riêng khi chưa có route</x:v>
      </x:c>
      <x:c r="H31"/>
      <x:c r="I31" t="str">
        <x:v>UNVERIFIED_ATTRIBUTE</x:v>
      </x:c>
      <x:c r="J31" t="str">
        <x:v>SOURCE_DESCRIPTION_NOT_APPROVAL</x:v>
      </x:c>
      <x:c r="K31" t="str">
        <x:v>Chỉ sau xác định chế độ NĐ30/HD05, section và loại văn bản; phần chung không ghi đè thuộc tính đặc thù</x:v>
      </x:c>
      <x:c r="L31" t="str">
        <x:v>Phần G là mặc định; D/N/C/X cụ thể và quy định nguồn được ưu tiên. Giữ section, header, footer nếu không có chứng cứ thay đổi.</x:v>
      </x:c>
      <x:c r="M31"/>
      <x:c r="N31" t="str">
        <x:v>NĐ30, Phụ lục I, Phần I, I (Quy định chung)</x:v>
      </x:c>
      <x:c r="O31" t="str">
        <x:v>https://congbao.chinhphu.vn/van-ban/nghi-dinh-so-30-2020-nd-cp-30858/30246.htm</x:v>
      </x:c>
      <x:c r="P31" t="str">
        <x:v>PLUGIN:hoa-tieu-mien-bac-administrative-v1 | user_approved_visual_reference</x:v>
      </x:c>
      <x:c r="Q31" t="str">
        <x:v>CHECK_ONLY</x:v>
      </x:c>
      <x:c r="R31" t="str">
        <x:v>Kiểm tra từng thuộc tính có mặt; so sánh nguồn/role; không suy đoán từ kết quả render chưa có</x:v>
      </x:c>
      <x:c r="S31" t="str">
        <x:v>STRUCTURE_READ_EXISTING_WORKBOOK</x:v>
      </x:c>
      <x:c r="T31"/>
      <x:c r="U31" t="str">
        <x:v>Word settings | w:keepNext</x:v>
      </x:c>
    </x:row>
    <x:row r="32">
      <x:c r="A32" t="n">
        <x:v>31</x:v>
      </x:c>
      <x:c r="B32" t="str">
        <x:v>ND30.G.PHAN_TRANG.KEEP_WITH_NEXT.KEEP_NEXT</x:v>
      </x:c>
      <x:c r="C32" t="str">
        <x:v>ND30.G.PHAN_TRANG.KEEP_WITH_NEXT</x:v>
      </x:c>
      <x:c r="D32" t="str">
        <x:v>G</x:v>
      </x:c>
      <x:c r="E32" t="str">
        <x:v>Giữ cùng đoạn tiếp</x:v>
      </x:c>
      <x:c r="F32" t="str">
        <x:v>KEEP_NEXT</x:v>
      </x:c>
      <x:c r="G32" t="str">
        <x:v>CÓ VỚI TIÊU ĐỀ; KHÔNG VỚI LỜI VĂN</x:v>
      </x:c>
      <x:c r="H32"/>
      <x:c r="I32" t="str">
        <x:v>UNVERIFIED_ATTRIBUTE</x:v>
      </x:c>
      <x:c r="J32" t="str">
        <x:v>PROFILE_PRESET_UNAPPROVED</x:v>
      </x:c>
      <x:c r="K32" t="str">
        <x:v>Chỉ sau xác định chế độ NĐ30/HD05, section và loại văn bản; phần chung không ghi đè thuộc tính đặc thù</x:v>
      </x:c>
      <x:c r="L32" t="str">
        <x:v>Phần G là mặc định; D/N/C/X cụ thể và quy định nguồn được ưu tiên. Giữ section, header, footer nếu không có chứng cứ thay đổi.</x:v>
      </x:c>
      <x:c r="M32"/>
      <x:c r="N32" t="str">
        <x:v>NĐ30, Phụ lục I, Phần I, I (Quy định chung)</x:v>
      </x:c>
      <x:c r="O32" t="str">
        <x:v>https://congbao.chinhphu.vn/van-ban/nghi-dinh-so-30-2020-nd-cp-30858/30246.htm</x:v>
      </x:c>
      <x:c r="P32" t="str">
        <x:v>PLUGIN:hoa-tieu-mien-bac-administrative-v1 | user_approved_visual_reference</x:v>
      </x:c>
      <x:c r="Q32" t="str">
        <x:v>CHECK_ONLY</x:v>
      </x:c>
      <x:c r="R32" t="str">
        <x:v>Kiểm tra từng thuộc tính có mặt; so sánh nguồn/role; không suy đoán từ kết quả render chưa có</x:v>
      </x:c>
      <x:c r="S32" t="str">
        <x:v>STRUCTURE_READ_EXISTING_WORKBOOK</x:v>
      </x:c>
      <x:c r="T32"/>
      <x:c r="U32" t="str">
        <x:v>Word settings | w:keepNext</x:v>
      </x:c>
    </x:row>
    <x:row r="33">
      <x:c r="A33" t="n">
        <x:v>32</x:v>
      </x:c>
      <x:c r="B33" t="str">
        <x:v>ND30.G.SO_TRANG.VI_TRI.HIEN_DIEN</x:v>
      </x:c>
      <x:c r="C33" t="str">
        <x:v>ND30.G.SO_TRANG.VI_TRI</x:v>
      </x:c>
      <x:c r="D33" t="str">
        <x:v>G</x:v>
      </x:c>
      <x:c r="E33" t="str">
        <x:v>Vị trí số trang</x:v>
      </x:c>
      <x:c r="F33" t="str">
        <x:v>HIEN_DIEN</x:v>
      </x:c>
      <x:c r="G33" t="str">
        <x:v>Dùng cho văn bản chính theo profile; loại trừ bản sao/phụ lục riêng khi chưa có route</x:v>
      </x:c>
      <x:c r="H33"/>
      <x:c r="I33" t="str">
        <x:v>UNVERIFIED_ATTRIBUTE</x:v>
      </x:c>
      <x:c r="J33" t="str">
        <x:v>SOURCE_DESCRIPTION_NOT_APPROVAL</x:v>
      </x:c>
      <x:c r="K33" t="str">
        <x:v>Chỉ sau xác định chế độ NĐ30/HD05, section và loại văn bản; phần chung không ghi đè thuộc tính đặc thù</x:v>
      </x:c>
      <x:c r="L33" t="str">
        <x:v>Phần G là mặc định; D/N/C/X cụ thể và quy định nguồn được ưu tiên. Giữ section, header, footer nếu không có chứng cứ thay đổi.</x:v>
      </x:c>
      <x:c r="M33"/>
      <x:c r="N33" t="str">
        <x:v>NĐ30, Phụ lục I, Phần I, I (Quy định chung)</x:v>
      </x:c>
      <x:c r="O33" t="str">
        <x:v>https://congbao.chinhphu.vn/van-ban/nghi-dinh-so-30-2020-nd-cp-30858/30246.htm</x:v>
      </x:c>
      <x:c r="P33" t="str">
        <x:v>PLUGIN:hoa-tieu-mien-bac-administrative-v1 | user_approved_visual_reference</x:v>
      </x:c>
      <x:c r="Q33" t="str">
        <x:v>CHECK_ONLY</x:v>
      </x:c>
      <x:c r="R33" t="str">
        <x:v>Kiểm tra từng thuộc tính có mặt; so sánh nguồn/role; không suy đoán từ kết quả render chưa có</x:v>
      </x:c>
      <x:c r="S33" t="str">
        <x:v>STRUCTURE_READ_EXISTING_WORKBOOK</x:v>
      </x:c>
      <x:c r="T33"/>
      <x:c r="U33" t="str">
        <x:v>Word settings | Header footer settings + PAGE field</x:v>
      </x:c>
    </x:row>
    <x:row r="34">
      <x:c r="A34" t="n">
        <x:v>33</x:v>
      </x:c>
      <x:c r="B34" t="str">
        <x:v>ND30.G.SO_TRANG.VI_TRI.VI_TRI</x:v>
      </x:c>
      <x:c r="C34" t="str">
        <x:v>ND30.G.SO_TRANG.VI_TRI</x:v>
      </x:c>
      <x:c r="D34" t="str">
        <x:v>G</x:v>
      </x:c>
      <x:c r="E34" t="str">
        <x:v>Vị trí số trang</x:v>
      </x:c>
      <x:c r="F34" t="str">
        <x:v>VI_TRI</x:v>
      </x:c>
      <x:c r="G34" t="str">
        <x:v>Giữa lề trên</x:v>
      </x:c>
      <x:c r="H34" t="str">
        <x:v>Giữa lề trên</x:v>
      </x:c>
      <x:c r="I34" t="str">
        <x:v>LEGAL_EXPLICIT_CHECKED</x:v>
      </x:c>
      <x:c r="J34" t="str">
        <x:v>PROFILE_PRESET_UNAPPROVED</x:v>
      </x:c>
      <x:c r="K34" t="str">
        <x:v>Chỉ sau xác định chế độ NĐ30/HD05, section và loại văn bản; phần chung không ghi đè thuộc tính đặc thù</x:v>
      </x:c>
      <x:c r="L34" t="str">
        <x:v>Phần G là mặc định; D/N/C/X cụ thể và quy định nguồn được ưu tiên. Giữ section, header, footer nếu không có chứng cứ thay đổi.</x:v>
      </x:c>
      <x:c r="M34"/>
      <x:c r="N34" t="str">
        <x:v>Phụ lục I, Phần I.I.7</x:v>
      </x:c>
      <x:c r="O34" t="str">
        <x:v>https://congbao.chinhphu.vn/van-ban/nghi-dinh-so-30-2020-nd-cp-30858/30246.htm</x:v>
      </x:c>
      <x:c r="P34" t="str">
        <x:v>PLUGIN:hoa-tieu-mien-bac-administrative-v1 | user_approved_visual_reference</x:v>
      </x:c>
      <x:c r="Q34" t="str">
        <x:v>CHECK_ONLY</x:v>
      </x:c>
      <x:c r="R34" t="str">
        <x:v>Kiểm tra từng thuộc tính có mặt; so sánh nguồn/role; không suy đoán từ kết quả render chưa có</x:v>
      </x:c>
      <x:c r="S34" t="str">
        <x:v>OFFICIAL_TEXT_VERIFIED</x:v>
      </x:c>
      <x:c r="T34"/>
      <x:c r="U34" t="str">
        <x:v>Word settings | Header footer settings + PAGE field</x:v>
      </x:c>
    </x:row>
    <x:row r="35">
      <x:c r="A35" t="n">
        <x:v>34</x:v>
      </x:c>
      <x:c r="B35" t="str">
        <x:v>ND30.G.SO_TRANG.VI_TRI.AN_TRANG_DAU</x:v>
      </x:c>
      <x:c r="C35" t="str">
        <x:v>ND30.G.SO_TRANG.VI_TRI</x:v>
      </x:c>
      <x:c r="D35" t="str">
        <x:v>G</x:v>
      </x:c>
      <x:c r="E35" t="str">
        <x:v>Vị trí số trang</x:v>
      </x:c>
      <x:c r="F35" t="str">
        <x:v>AN_TRANG_DAU</x:v>
      </x:c>
      <x:c r="G35" t="str">
        <x:v>CÓ</x:v>
      </x:c>
      <x:c r="H35" t="str">
        <x:v>CÓ</x:v>
      </x:c>
      <x:c r="I35" t="str">
        <x:v>LEGAL_EXPLICIT_CHECKED</x:v>
      </x:c>
      <x:c r="J35" t="str">
        <x:v>PROFILE_PRESET_UNAPPROVED</x:v>
      </x:c>
      <x:c r="K35" t="str">
        <x:v>Chỉ sau xác định chế độ NĐ30/HD05, section và loại văn bản; phần chung không ghi đè thuộc tính đặc thù</x:v>
      </x:c>
      <x:c r="L35" t="str">
        <x:v>Phần G là mặc định; D/N/C/X cụ thể và quy định nguồn được ưu tiên. Giữ section, header, footer nếu không có chứng cứ thay đổi.</x:v>
      </x:c>
      <x:c r="M35"/>
      <x:c r="N35" t="str">
        <x:v>Phụ lục I, Phần I.I.7</x:v>
      </x:c>
      <x:c r="O35" t="str">
        <x:v>https://congbao.chinhphu.vn/van-ban/nghi-dinh-so-30-2020-nd-cp-30858/30246.htm</x:v>
      </x:c>
      <x:c r="P35" t="str">
        <x:v>PLUGIN:hoa-tieu-mien-bac-administrative-v1 | user_approved_visual_reference</x:v>
      </x:c>
      <x:c r="Q35" t="str">
        <x:v>CHECK_ONLY</x:v>
      </x:c>
      <x:c r="R35" t="str">
        <x:v>Kiểm tra từng thuộc tính có mặt; so sánh nguồn/role; không suy đoán từ kết quả render chưa có</x:v>
      </x:c>
      <x:c r="S35" t="str">
        <x:v>OFFICIAL_TEXT_VERIFIED</x:v>
      </x:c>
      <x:c r="T35"/>
      <x:c r="U35" t="str">
        <x:v>Word settings | Header footer settings + PAGE field</x:v>
      </x:c>
    </x:row>
    <x:row r="36">
      <x:c r="A36" t="n">
        <x:v>35</x:v>
      </x:c>
      <x:c r="B36" t="str">
        <x:v>ND30.G.SO_TRANG.DINH_DANG.HIEN_DIEN</x:v>
      </x:c>
      <x:c r="C36" t="str">
        <x:v>ND30.G.SO_TRANG.DINH_DANG</x:v>
      </x:c>
      <x:c r="D36" t="str">
        <x:v>G</x:v>
      </x:c>
      <x:c r="E36" t="str">
        <x:v>Định dạng số trang</x:v>
      </x:c>
      <x:c r="F36" t="str">
        <x:v>HIEN_DIEN</x:v>
      </x:c>
      <x:c r="G36" t="str">
        <x:v>Dùng cho văn bản chính theo profile; loại trừ bản sao/phụ lục riêng khi chưa có route</x:v>
      </x:c>
      <x:c r="H36"/>
      <x:c r="I36" t="str">
        <x:v>UNVERIFIED_ATTRIBUTE</x:v>
      </x:c>
      <x:c r="J36" t="str">
        <x:v>SOURCE_DESCRIPTION_NOT_APPROVAL</x:v>
      </x:c>
      <x:c r="K36" t="str">
        <x:v>Chỉ sau xác định chế độ NĐ30/HD05, section và loại văn bản; phần chung không ghi đè thuộc tính đặc thù</x:v>
      </x:c>
      <x:c r="L36" t="str">
        <x:v>Phần G là mặc định; D/N/C/X cụ thể và quy định nguồn được ưu tiên. Giữ section, header, footer nếu không có chứng cứ thay đổi.</x:v>
      </x:c>
      <x:c r="M36"/>
      <x:c r="N36" t="str">
        <x:v>NĐ30, Phụ lục I, Phần I, I (Quy định chung)</x:v>
      </x:c>
      <x:c r="O36" t="str">
        <x:v>https://congbao.chinhphu.vn/van-ban/nghi-dinh-so-30-2020-nd-cp-30858/30246.htm</x:v>
      </x:c>
      <x:c r="P36" t="str">
        <x:v>PLUGIN:hoa-tieu-mien-bac-administrative-v1 | user_approved_visual_reference</x:v>
      </x:c>
      <x:c r="Q36" t="str">
        <x:v>CHECK_ONLY</x:v>
      </x:c>
      <x:c r="R36" t="str">
        <x:v>Kiểm tra từng thuộc tính có mặt; so sánh nguồn/role; không suy đoán từ kết quả render chưa có</x:v>
      </x:c>
      <x:c r="S36" t="str">
        <x:v>STRUCTURE_READ_EXISTING_WORKBOOK</x:v>
      </x:c>
      <x:c r="T36"/>
      <x:c r="U36" t="str">
        <x:v>PAGE field / header pagination; khác HEAD logic</x:v>
      </x:c>
    </x:row>
    <x:row r="37">
      <x:c r="A37" t="n">
        <x:v>36</x:v>
      </x:c>
      <x:c r="B37" t="str">
        <x:v>ND30.G.SO_TRANG.DINH_DANG.CO_CHU</x:v>
      </x:c>
      <x:c r="C37" t="str">
        <x:v>ND30.G.SO_TRANG.DINH_DANG</x:v>
      </x:c>
      <x:c r="D37" t="str">
        <x:v>G</x:v>
      </x:c>
      <x:c r="E37" t="str">
        <x:v>Định dạng số trang</x:v>
      </x:c>
      <x:c r="F37" t="str">
        <x:v>CO_CHU</x:v>
      </x:c>
      <x:c r="G37"/>
      <x:c r="H37" t="str">
        <x:v>13–14</x:v>
      </x:c>
      <x:c r="I37" t="str">
        <x:v>LEGAL_EXPLICIT_CHECKED</x:v>
      </x:c>
      <x:c r="J37" t="str">
        <x:v>BLOCKED_NO_ATTRIBUTE_VALUE</x:v>
      </x:c>
      <x:c r="K37" t="str">
        <x:v>Chỉ sau xác định chế độ NĐ30/HD05, section và loại văn bản; phần chung không ghi đè thuộc tính đặc thù</x:v>
      </x:c>
      <x:c r="L37" t="str">
        <x:v>Phần G là mặc định; D/N/C/X cụ thể và quy định nguồn được ưu tiên. Giữ section, header, footer nếu không có chứng cứ thay đổi.</x:v>
      </x:c>
      <x:c r="M37" t="str">
        <x:v>pt</x:v>
      </x:c>
      <x:c r="N37" t="str">
        <x:v>Phụ lục I, Phần I.I.7</x:v>
      </x:c>
      <x:c r="O37" t="str">
        <x:v>https://congbao.chinhphu.vn/van-ban/nghi-dinh-so-30-2020-nd-cp-30858/30246.htm</x:v>
      </x:c>
      <x:c r="P37" t="str">
        <x:v>PLUGIN:hoa-tieu-mien-bac-administrative-v1 | user_approved_visual_reference</x:v>
      </x:c>
      <x:c r="Q37" t="str">
        <x:v>CHECK_ONLY</x:v>
      </x:c>
      <x:c r="R37" t="str">
        <x:v>Kiểm tra từng thuộc tính có mặt; so sánh nguồn/role; không suy đoán từ kết quả render chưa có</x:v>
      </x:c>
      <x:c r="S37" t="str">
        <x:v>OFFICIAL_TEXT_VERIFIED</x:v>
      </x:c>
      <x:c r="T37" t="str">
        <x:v>Xác minh căn cứ theo loại văn bản / tài liệu phát hành hoặc phê duyệt</x:v>
      </x:c>
      <x:c r="U37" t="str">
        <x:v>PAGE field / header pagination; khác HEAD logic</x:v>
      </x:c>
    </x:row>
    <x:row r="38">
      <x:c r="A38" t="n">
        <x:v>37</x:v>
      </x:c>
      <x:c r="B38" t="str">
        <x:v>ND30.G.SO_TRANG.DINH_DANG.KIEU_CHU</x:v>
      </x:c>
      <x:c r="C38" t="str">
        <x:v>ND30.G.SO_TRANG.DINH_DANG</x:v>
      </x:c>
      <x:c r="D38" t="str">
        <x:v>G</x:v>
      </x:c>
      <x:c r="E38" t="str">
        <x:v>Định dạng số trang</x:v>
      </x:c>
      <x:c r="F38" t="str">
        <x:v>KIEU_CHU</x:v>
      </x:c>
      <x:c r="G38"/>
      <x:c r="H38"/>
      <x:c r="I38" t="str">
        <x:v>UNVERIFIED_ATTRIBUTE</x:v>
      </x:c>
      <x:c r="J38" t="str">
        <x:v>BLOCKED_NO_ATTRIBUTE_VALUE</x:v>
      </x:c>
      <x:c r="K38" t="str">
        <x:v>Chỉ sau xác định chế độ NĐ30/HD05, section và loại văn bản; phần chung không ghi đè thuộc tính đặc thù</x:v>
      </x:c>
      <x:c r="L38" t="str">
        <x:v>Phần G là mặc định; D/N/C/X cụ thể và quy định nguồn được ưu tiên. Giữ section, header, footer nếu không có chứng cứ thay đổi.</x:v>
      </x:c>
      <x:c r="M38"/>
      <x:c r="N38" t="str">
        <x:v>NĐ30, Phụ lục I, Phần I, I (Quy định chung)</x:v>
      </x:c>
      <x:c r="O38" t="str">
        <x:v>https://congbao.chinhphu.vn/van-ban/nghi-dinh-so-30-2020-nd-cp-30858/30246.htm</x:v>
      </x:c>
      <x:c r="P38" t="str">
        <x:v>PLUGIN:hoa-tieu-mien-bac-administrative-v1 | user_approved_visual_reference</x:v>
      </x:c>
      <x:c r="Q38" t="str">
        <x:v>CHECK_ONLY</x:v>
      </x:c>
      <x:c r="R38" t="str">
        <x:v>Kiểm tra từng thuộc tính có mặt; so sánh nguồn/role; không suy đoán từ kết quả render chưa có</x:v>
      </x:c>
      <x:c r="S38" t="str">
        <x:v>RULE_INFERENCE_NOT_MEASURED</x:v>
      </x:c>
      <x:c r="T38" t="str">
        <x:v>Xác minh căn cứ theo loại văn bản / tài liệu phát hành hoặc phê duyệt</x:v>
      </x:c>
      <x:c r="U38" t="str">
        <x:v>PAGE field / header pagination; khác HEAD logic</x:v>
      </x:c>
    </x:row>
  </x:sheetData>
  <x:pageMargins left="0.7" right="0.7" top="0.75" bottom="0.75" header="0.3" footer="0.3"/>
</x:worksheet>
</file>

<file path=xl/worksheets/sheet3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 hidden="0" customWidth="1"/>
    <x:col min="2" max="2" width="37" hidden="0" customWidth="1"/>
    <x:col min="3" max="3" width="32" hidden="0" customWidth="1"/>
    <x:col min="4" max="4" width="12" hidden="0" customWidth="1"/>
    <x:col min="5" max="5" width="26" hidden="0" customWidth="1"/>
    <x:col min="6" max="6" width="17" hidden="0" customWidth="1"/>
    <x:col min="7" max="7" width="25" hidden="0" customWidth="1"/>
    <x:col min="8" max="8" width="20" hidden="0" customWidth="1"/>
    <x:col min="9" max="9" width="22" hidden="0" customWidth="1"/>
    <x:col min="10" max="10" width="25" hidden="0" customWidth="1"/>
    <x:col min="11" max="11" width="38" hidden="0" customWidth="1"/>
    <x:col min="12" max="12" width="44" hidden="0" customWidth="1"/>
    <x:col min="13" max="13" width="10" hidden="0" customWidth="1"/>
    <x:col min="14" max="14" width="27" hidden="0" customWidth="1"/>
    <x:col min="15" max="15" width="25" hidden="0" customWidth="1"/>
    <x:col min="16" max="16" width="28" hidden="0" customWidth="1"/>
    <x:col min="17" max="17" width="14" hidden="0" customWidth="1"/>
    <x:col min="18" max="18" width="38" hidden="0" customWidth="1"/>
    <x:col min="19" max="19" width="22" hidden="0" customWidth="1"/>
    <x:col min="20" max="20" width="30" hidden="0" customWidth="1"/>
    <x:col min="21" max="21" width="24" hidden="0" customWidth="1"/>
  </x:cols>
  <x:sheetData>
    <x:row r="1" ht="28" customHeight="1">
      <x:c r="A1" s="305" t="str">
        <x:v>STT</x:v>
      </x:c>
      <x:c r="B1" s="305" t="str">
        <x:v>Mã rule con</x:v>
      </x:c>
      <x:c r="C1" s="305" t="str">
        <x:v>Mã cha gốc</x:v>
      </x:c>
      <x:c r="D1" s="305" t="str">
        <x:v>Nhóm</x:v>
      </x:c>
      <x:c r="E1" s="305" t="str">
        <x:v>Tên thành phần</x:v>
      </x:c>
      <x:c r="F1" s="305" t="str">
        <x:v>Thuộc tính</x:v>
      </x:c>
      <x:c r="G1" s="305" t="str">
        <x:v>Giá trị profile đang có</x:v>
      </x:c>
      <x:c r="H1" s="305" t="str">
        <x:v>Giá trị pháp lý kiểm chứng</x:v>
      </x:c>
      <x:c r="I1" s="305" t="str">
        <x:v>Trạng thái pháp lý thuộc tính</x:v>
      </x:c>
      <x:c r="J1" s="305" t="str">
        <x:v>Trạng thái quyết định profile</x:v>
      </x:c>
      <x:c r="K1" s="305" t="str">
        <x:v>Điều kiện áp dụng</x:v>
      </x:c>
      <x:c r="L1" s="305" t="str">
        <x:v>Ngoại lệ/phân nhánh</x:v>
      </x:c>
      <x:c r="M1" s="305" t="str">
        <x:v>Đơn vị</x:v>
      </x:c>
      <x:c r="N1" s="305" t="str">
        <x:v>Nguồn/định vị</x:v>
      </x:c>
      <x:c r="O1" s="305" t="str">
        <x:v>URL nguồn</x:v>
      </x:c>
      <x:c r="P1" s="305" t="str">
        <x:v>Nguồn profile/ghi chú</x:v>
      </x:c>
      <x:c r="Q1" s="305" t="str">
        <x:v>Quyền xử lý</x:v>
      </x:c>
      <x:c r="R1" s="305" t="str">
        <x:v>Cách kiểm tra offline</x:v>
      </x:c>
      <x:c r="S1" s="305" t="str">
        <x:v>Phân loại bằng chứng TQA-NR</x:v>
      </x:c>
      <x:c r="T1" s="305" t="str">
        <x:v>Giá trị cần bổ sung</x:v>
      </x:c>
      <x:c r="U1" s="305" t="str">
        <x:v>Đối tượng</x:v>
      </x:c>
    </x:row>
    <x:row r="2">
      <x:c r="A2" t="n">
        <x:v>1</x:v>
      </x:c>
      <x:c r="B2" t="str">
        <x:v>ND30.X.MAT.MUC_DO.HIEN_DIEN</x:v>
      </x:c>
      <x:c r="C2" t="str">
        <x:v>ND30.X.MAT.MUC_DO</x:v>
      </x:c>
      <x:c r="D2" t="str">
        <x:v>X</x:v>
      </x:c>
      <x:c r="E2" t="str">
        <x:v>Mức độ mật và dấu chỉ tương ứng</x:v>
      </x:c>
      <x:c r="F2" t="str">
        <x:v>HIEN_DIEN</x:v>
      </x:c>
      <x:c r="G2" t="str">
        <x:v>Chỉ khi đủ chứng cứ/được phép hiện diện; không tự chèn giá trị</x:v>
      </x:c>
      <x:c r="H2"/>
      <x:c r="I2" t="str">
        <x:v>UNVERIFIED_ATTRIBUTE</x:v>
      </x:c>
      <x:c r="J2" t="str">
        <x:v>SOURCE_DESCRIPTION_NOT_APPROVAL</x:v>
      </x:c>
      <x:c r="K2" t="str">
        <x:v>Chỉ theo phân loại mật từ nguồn có thẩm quyền; không tự xác định dấu mật</x:v>
      </x:c>
      <x:c r="L2" t="str">
        <x:v>Mặc định ẩn khi không có điều kiện/căn cứ cho xuất hiện; không chèn tài liệu mật/dấu khẩn.</x:v>
      </x:c>
      <x:c r="M2"/>
      <x:c r="N2" t="str">
        <x:v>NĐ30, Phụ lục I, III.2.a; quy định BV BMNN</x:v>
      </x:c>
      <x:c r="O2" t="str">
        <x:v>https://congbao.chinhphu.vn/van-ban/nghi-dinh-so-30-2020-nd-cp-30858/30246.htm</x:v>
      </x:c>
      <x:c r="P2" t="str">
        <x:v>PLUGIN:hoa-tieu-mien-bac-administrative-v1 | user_approved_visual_reference</x:v>
      </x:c>
      <x:c r="Q2" t="str">
        <x:v>CHECK_ONLY</x:v>
      </x:c>
      <x:c r="R2" t="str">
        <x:v>Kiểm tra từng thuộc tính có mặt; so sánh nguồn/role; không suy đoán từ kết quả render chưa có</x:v>
      </x:c>
      <x:c r="S2" t="str">
        <x:v>STRUCTURE_READ_EXISTING_WORKBOOK</x:v>
      </x:c>
      <x:c r="T2"/>
      <x:c r="U2" t="str">
        <x:v>Metadata + vùng trình bày có điều kiện; đánh giá thủ công trước sửa</x:v>
      </x:c>
    </x:row>
    <x:row r="3">
      <x:c r="A3" t="n">
        <x:v>2</x:v>
      </x:c>
      <x:c r="B3" t="str">
        <x:v>ND30.X.MAT.MUC_DO.MUC_DO</x:v>
      </x:c>
      <x:c r="C3" t="str">
        <x:v>ND30.X.MAT.MUC_DO</x:v>
      </x:c>
      <x:c r="D3" t="str">
        <x:v>X</x:v>
      </x:c>
      <x:c r="E3" t="str">
        <x:v>Mức độ mật và dấu chỉ tương ứng</x:v>
      </x:c>
      <x:c r="F3" t="str">
        <x:v>MUC_DO</x:v>
      </x:c>
      <x:c r="G3"/>
      <x:c r="H3"/>
      <x:c r="I3" t="str">
        <x:v>UNVERIFIED_ATTRIBUTE</x:v>
      </x:c>
      <x:c r="J3" t="str">
        <x:v>BLOCKED_DOCUMENT_OR_AUTHORITY</x:v>
      </x:c>
      <x:c r="K3" t="str">
        <x:v>Chỉ theo phân loại mật từ nguồn có thẩm quyền; không tự xác định dấu mật</x:v>
      </x:c>
      <x:c r="L3" t="str">
        <x:v>Mặc định ẩn khi không có điều kiện/căn cứ cho xuất hiện; không chèn tài liệu mật/dấu khẩn.</x:v>
      </x:c>
      <x:c r="M3"/>
      <x:c r="N3" t="str">
        <x:v>NĐ30, Phụ lục I, III.2.a; quy định BV BMNN</x:v>
      </x:c>
      <x:c r="O3" t="str">
        <x:v>https://congbao.chinhphu.vn/van-ban/nghi-dinh-so-30-2020-nd-cp-30858/30246.htm</x:v>
      </x:c>
      <x:c r="P3" t="str">
        <x:v>PLUGIN:hoa-tieu-mien-bac-administrative-v1 | user_approved_visual_reference</x:v>
      </x:c>
      <x:c r="Q3" t="str">
        <x:v>CHECK_ONLY</x:v>
      </x:c>
      <x:c r="R3" t="str">
        <x:v>Kiểm tra từng thuộc tính có mặt; so sánh nguồn/role; không suy đoán từ kết quả render chưa có</x:v>
      </x:c>
      <x:c r="S3" t="str">
        <x:v>RULE_INFERENCE_NOT_MEASURED</x:v>
      </x:c>
      <x:c r="T3" t="str">
        <x:v>Xác minh căn cứ theo loại văn bản / tài liệu phát hành hoặc phê duyệt</x:v>
      </x:c>
      <x:c r="U3" t="str">
        <x:v>Metadata + vùng trình bày có điều kiện; đánh giá thủ công trước sửa</x:v>
      </x:c>
    </x:row>
    <x:row r="4">
      <x:c r="A4" t="n">
        <x:v>3</x:v>
      </x:c>
      <x:c r="B4" t="str">
        <x:v>ND30.X.MAT.MUC_DO.TRANG_THAI_HIEN_THI</x:v>
      </x:c>
      <x:c r="C4" t="str">
        <x:v>ND30.X.MAT.MUC_DO</x:v>
      </x:c>
      <x:c r="D4" t="str">
        <x:v>X</x:v>
      </x:c>
      <x:c r="E4" t="str">
        <x:v>Mức độ mật và dấu chỉ tương ứng</x:v>
      </x:c>
      <x:c r="F4" t="str">
        <x:v>TRANG_THAI_HIEN_THI</x:v>
      </x:c>
      <x:c r="G4"/>
      <x:c r="H4"/>
      <x:c r="I4" t="str">
        <x:v>UNVERIFIED_ATTRIBUTE</x:v>
      </x:c>
      <x:c r="J4" t="str">
        <x:v>BLOCKED_NO_ATTRIBUTE_VALUE</x:v>
      </x:c>
      <x:c r="K4" t="str">
        <x:v>Chỉ theo phân loại mật từ nguồn có thẩm quyền; không tự xác định dấu mật</x:v>
      </x:c>
      <x:c r="L4" t="str">
        <x:v>Mặc định ẩn khi không có điều kiện/căn cứ cho xuất hiện; không chèn tài liệu mật/dấu khẩn.</x:v>
      </x:c>
      <x:c r="M4"/>
      <x:c r="N4" t="str">
        <x:v>NĐ30, Phụ lục I, III.2.a; quy định BV BMNN</x:v>
      </x:c>
      <x:c r="O4" t="str">
        <x:v>https://congbao.chinhphu.vn/van-ban/nghi-dinh-so-30-2020-nd-cp-30858/30246.htm</x:v>
      </x:c>
      <x:c r="P4" t="str">
        <x:v>PLUGIN:hoa-tieu-mien-bac-administrative-v1 | user_approved_visual_reference</x:v>
      </x:c>
      <x:c r="Q4" t="str">
        <x:v>CHECK_ONLY</x:v>
      </x:c>
      <x:c r="R4" t="str">
        <x:v>Kiểm tra từng thuộc tính có mặt; so sánh nguồn/role; không suy đoán từ kết quả render chưa có</x:v>
      </x:c>
      <x:c r="S4" t="str">
        <x:v>RULE_INFERENCE_NOT_MEASURED</x:v>
      </x:c>
      <x:c r="T4" t="str">
        <x:v>Xác minh căn cứ theo loại văn bản / tài liệu phát hành hoặc phê duyệt</x:v>
      </x:c>
      <x:c r="U4" t="str">
        <x:v>Metadata + vùng trình bày có điều kiện; đánh giá thủ công trước sửa</x:v>
      </x:c>
    </x:row>
    <x:row r="5">
      <x:c r="A5" t="n">
        <x:v>4</x:v>
      </x:c>
      <x:c r="B5" t="str">
        <x:v>ND30.X.MAT.MUC_DO.VI_TRI</x:v>
      </x:c>
      <x:c r="C5" t="str">
        <x:v>ND30.X.MAT.MUC_DO</x:v>
      </x:c>
      <x:c r="D5" t="str">
        <x:v>X</x:v>
      </x:c>
      <x:c r="E5" t="str">
        <x:v>Mức độ mật và dấu chỉ tương ứng</x:v>
      </x:c>
      <x:c r="F5" t="str">
        <x:v>VI_TRI</x:v>
      </x:c>
      <x:c r="G5"/>
      <x:c r="H5"/>
      <x:c r="I5" t="str">
        <x:v>UNVERIFIED_ATTRIBUTE</x:v>
      </x:c>
      <x:c r="J5" t="str">
        <x:v>BLOCKED_NO_ATTRIBUTE_VALUE</x:v>
      </x:c>
      <x:c r="K5" t="str">
        <x:v>Chỉ theo phân loại mật từ nguồn có thẩm quyền; không tự xác định dấu mật</x:v>
      </x:c>
      <x:c r="L5" t="str">
        <x:v>Mặc định ẩn khi không có điều kiện/căn cứ cho xuất hiện; không chèn tài liệu mật/dấu khẩn.</x:v>
      </x:c>
      <x:c r="M5"/>
      <x:c r="N5" t="str">
        <x:v>NĐ30, Phụ lục I, III.2.a; quy định BV BMNN</x:v>
      </x:c>
      <x:c r="O5" t="str">
        <x:v>https://congbao.chinhphu.vn/van-ban/nghi-dinh-so-30-2020-nd-cp-30858/30246.htm</x:v>
      </x:c>
      <x:c r="P5" t="str">
        <x:v>PLUGIN:hoa-tieu-mien-bac-administrative-v1 | user_approved_visual_reference</x:v>
      </x:c>
      <x:c r="Q5" t="str">
        <x:v>CHECK_ONLY</x:v>
      </x:c>
      <x:c r="R5" t="str">
        <x:v>Kiểm tra từng thuộc tính có mặt; so sánh nguồn/role; không suy đoán từ kết quả render chưa có</x:v>
      </x:c>
      <x:c r="S5" t="str">
        <x:v>RULE_INFERENCE_NOT_MEASURED</x:v>
      </x:c>
      <x:c r="T5" t="str">
        <x:v>Xác minh căn cứ theo loại văn bản / tài liệu phát hành hoặc phê duyệt</x:v>
      </x:c>
      <x:c r="U5" t="str">
        <x:v>Metadata + vùng trình bày có điều kiện; đánh giá thủ công trước sửa</x:v>
      </x:c>
    </x:row>
    <x:row r="6">
      <x:c r="A6" t="n">
        <x:v>5</x:v>
      </x:c>
      <x:c r="B6" t="str">
        <x:v>ND30.X.MAT.MUC_DO.PHONG_CHU</x:v>
      </x:c>
      <x:c r="C6" t="str">
        <x:v>ND30.X.MAT.MUC_DO</x:v>
      </x:c>
      <x:c r="D6" t="str">
        <x:v>X</x:v>
      </x:c>
      <x:c r="E6" t="str">
        <x:v>Mức độ mật và dấu chỉ tương ứng</x:v>
      </x:c>
      <x:c r="F6" t="str">
        <x:v>PHONG_CHU</x:v>
      </x:c>
      <x:c r="G6"/>
      <x:c r="H6"/>
      <x:c r="I6" t="str">
        <x:v>UNVERIFIED_ATTRIBUTE</x:v>
      </x:c>
      <x:c r="J6" t="str">
        <x:v>BLOCKED_NO_ATTRIBUTE_VALUE</x:v>
      </x:c>
      <x:c r="K6" t="str">
        <x:v>Chỉ theo phân loại mật từ nguồn có thẩm quyền; không tự xác định dấu mật</x:v>
      </x:c>
      <x:c r="L6" t="str">
        <x:v>Mặc định ẩn khi không có điều kiện/căn cứ cho xuất hiện; không chèn tài liệu mật/dấu khẩn.</x:v>
      </x:c>
      <x:c r="M6"/>
      <x:c r="N6" t="str">
        <x:v>NĐ30, Phụ lục I, III.2.a; quy định BV BMNN</x:v>
      </x:c>
      <x:c r="O6" t="str">
        <x:v>https://congbao.chinhphu.vn/van-ban/nghi-dinh-so-30-2020-nd-cp-30858/30246.htm</x:v>
      </x:c>
      <x:c r="P6" t="str">
        <x:v>PLUGIN:hoa-tieu-mien-bac-administrative-v1 | user_approved_visual_reference</x:v>
      </x:c>
      <x:c r="Q6" t="str">
        <x:v>CHECK_ONLY</x:v>
      </x:c>
      <x:c r="R6" t="str">
        <x:v>Kiểm tra từng thuộc tính có mặt; so sánh nguồn/role; không suy đoán từ kết quả render chưa có</x:v>
      </x:c>
      <x:c r="S6" t="str">
        <x:v>RULE_INFERENCE_NOT_MEASURED</x:v>
      </x:c>
      <x:c r="T6" t="str">
        <x:v>Xác minh căn cứ theo loại văn bản / tài liệu phát hành hoặc phê duyệt</x:v>
      </x:c>
      <x:c r="U6" t="str">
        <x:v>Metadata + vùng trình bày có điều kiện; đánh giá thủ công trước sửa</x:v>
      </x:c>
    </x:row>
    <x:row r="7">
      <x:c r="A7" t="n">
        <x:v>6</x:v>
      </x:c>
      <x:c r="B7" t="str">
        <x:v>ND30.X.MAT.MUC_DO.CO_CHU</x:v>
      </x:c>
      <x:c r="C7" t="str">
        <x:v>ND30.X.MAT.MUC_DO</x:v>
      </x:c>
      <x:c r="D7" t="str">
        <x:v>X</x:v>
      </x:c>
      <x:c r="E7" t="str">
        <x:v>Mức độ mật và dấu chỉ tương ứng</x:v>
      </x:c>
      <x:c r="F7" t="str">
        <x:v>CO_CHU</x:v>
      </x:c>
      <x:c r="G7"/>
      <x:c r="H7"/>
      <x:c r="I7" t="str">
        <x:v>UNVERIFIED_ATTRIBUTE</x:v>
      </x:c>
      <x:c r="J7" t="str">
        <x:v>BLOCKED_NO_ATTRIBUTE_VALUE</x:v>
      </x:c>
      <x:c r="K7" t="str">
        <x:v>Chỉ theo phân loại mật từ nguồn có thẩm quyền; không tự xác định dấu mật</x:v>
      </x:c>
      <x:c r="L7" t="str">
        <x:v>Mặc định ẩn khi không có điều kiện/căn cứ cho xuất hiện; không chèn tài liệu mật/dấu khẩn.</x:v>
      </x:c>
      <x:c r="M7" t="str">
        <x:v>pt</x:v>
      </x:c>
      <x:c r="N7" t="str">
        <x:v>NĐ30, Phụ lục I, III.2.a; quy định BV BMNN</x:v>
      </x:c>
      <x:c r="O7" t="str">
        <x:v>https://congbao.chinhphu.vn/van-ban/nghi-dinh-so-30-2020-nd-cp-30858/30246.htm</x:v>
      </x:c>
      <x:c r="P7" t="str">
        <x:v>PLUGIN:hoa-tieu-mien-bac-administrative-v1 | user_approved_visual_reference</x:v>
      </x:c>
      <x:c r="Q7" t="str">
        <x:v>CHECK_ONLY</x:v>
      </x:c>
      <x:c r="R7" t="str">
        <x:v>Kiểm tra từng thuộc tính có mặt; so sánh nguồn/role; không suy đoán từ kết quả render chưa có</x:v>
      </x:c>
      <x:c r="S7" t="str">
        <x:v>RULE_INFERENCE_NOT_MEASURED</x:v>
      </x:c>
      <x:c r="T7" t="str">
        <x:v>Xác minh căn cứ theo loại văn bản / tài liệu phát hành hoặc phê duyệt</x:v>
      </x:c>
      <x:c r="U7" t="str">
        <x:v>Metadata + vùng trình bày có điều kiện; đánh giá thủ công trước sửa</x:v>
      </x:c>
    </x:row>
    <x:row r="8">
      <x:c r="A8" t="n">
        <x:v>7</x:v>
      </x:c>
      <x:c r="B8" t="str">
        <x:v>ND30.X.MAT.MUC_DO.DAM</x:v>
      </x:c>
      <x:c r="C8" t="str">
        <x:v>ND30.X.MAT.MUC_DO</x:v>
      </x:c>
      <x:c r="D8" t="str">
        <x:v>X</x:v>
      </x:c>
      <x:c r="E8" t="str">
        <x:v>Mức độ mật và dấu chỉ tương ứng</x:v>
      </x:c>
      <x:c r="F8" t="str">
        <x:v>DAM</x:v>
      </x:c>
      <x:c r="G8"/>
      <x:c r="H8"/>
      <x:c r="I8" t="str">
        <x:v>UNVERIFIED_ATTRIBUTE</x:v>
      </x:c>
      <x:c r="J8" t="str">
        <x:v>BLOCKED_NO_ATTRIBUTE_VALUE</x:v>
      </x:c>
      <x:c r="K8" t="str">
        <x:v>Chỉ theo phân loại mật từ nguồn có thẩm quyền; không tự xác định dấu mật</x:v>
      </x:c>
      <x:c r="L8" t="str">
        <x:v>Mặc định ẩn khi không có điều kiện/căn cứ cho xuất hiện; không chèn tài liệu mật/dấu khẩn.</x:v>
      </x:c>
      <x:c r="M8"/>
      <x:c r="N8" t="str">
        <x:v>NĐ30, Phụ lục I, III.2.a; quy định BV BMNN</x:v>
      </x:c>
      <x:c r="O8" t="str">
        <x:v>https://congbao.chinhphu.vn/van-ban/nghi-dinh-so-30-2020-nd-cp-30858/30246.htm</x:v>
      </x:c>
      <x:c r="P8" t="str">
        <x:v>PLUGIN:hoa-tieu-mien-bac-administrative-v1 | user_approved_visual_reference</x:v>
      </x:c>
      <x:c r="Q8" t="str">
        <x:v>CHECK_ONLY</x:v>
      </x:c>
      <x:c r="R8" t="str">
        <x:v>Kiểm tra từng thuộc tính có mặt; so sánh nguồn/role; không suy đoán từ kết quả render chưa có</x:v>
      </x:c>
      <x:c r="S8" t="str">
        <x:v>RULE_INFERENCE_NOT_MEASURED</x:v>
      </x:c>
      <x:c r="T8" t="str">
        <x:v>Xác minh căn cứ theo loại văn bản / tài liệu phát hành hoặc phê duyệt</x:v>
      </x:c>
      <x:c r="U8" t="str">
        <x:v>Metadata + vùng trình bày có điều kiện; đánh giá thủ công trước sửa</x:v>
      </x:c>
    </x:row>
    <x:row r="9">
      <x:c r="A9" t="n">
        <x:v>8</x:v>
      </x:c>
      <x:c r="B9" t="str">
        <x:v>ND30.X.MAT.MUC_DO.KIEU_CHU</x:v>
      </x:c>
      <x:c r="C9" t="str">
        <x:v>ND30.X.MAT.MUC_DO</x:v>
      </x:c>
      <x:c r="D9" t="str">
        <x:v>X</x:v>
      </x:c>
      <x:c r="E9" t="str">
        <x:v>Mức độ mật và dấu chỉ tương ứng</x:v>
      </x:c>
      <x:c r="F9" t="str">
        <x:v>KIEU_CHU</x:v>
      </x:c>
      <x:c r="G9"/>
      <x:c r="H9"/>
      <x:c r="I9" t="str">
        <x:v>UNVERIFIED_ATTRIBUTE</x:v>
      </x:c>
      <x:c r="J9" t="str">
        <x:v>BLOCKED_NO_ATTRIBUTE_VALUE</x:v>
      </x:c>
      <x:c r="K9" t="str">
        <x:v>Chỉ theo phân loại mật từ nguồn có thẩm quyền; không tự xác định dấu mật</x:v>
      </x:c>
      <x:c r="L9" t="str">
        <x:v>Mặc định ẩn khi không có điều kiện/căn cứ cho xuất hiện; không chèn tài liệu mật/dấu khẩn.</x:v>
      </x:c>
      <x:c r="M9"/>
      <x:c r="N9" t="str">
        <x:v>NĐ30, Phụ lục I, III.2.a; quy định BV BMNN</x:v>
      </x:c>
      <x:c r="O9" t="str">
        <x:v>https://congbao.chinhphu.vn/van-ban/nghi-dinh-so-30-2020-nd-cp-30858/30246.htm</x:v>
      </x:c>
      <x:c r="P9" t="str">
        <x:v>PLUGIN:hoa-tieu-mien-bac-administrative-v1 | user_approved_visual_reference</x:v>
      </x:c>
      <x:c r="Q9" t="str">
        <x:v>CHECK_ONLY</x:v>
      </x:c>
      <x:c r="R9" t="str">
        <x:v>Kiểm tra từng thuộc tính có mặt; so sánh nguồn/role; không suy đoán từ kết quả render chưa có</x:v>
      </x:c>
      <x:c r="S9" t="str">
        <x:v>RULE_INFERENCE_NOT_MEASURED</x:v>
      </x:c>
      <x:c r="T9" t="str">
        <x:v>Xác minh căn cứ theo loại văn bản / tài liệu phát hành hoặc phê duyệt</x:v>
      </x:c>
      <x:c r="U9" t="str">
        <x:v>Metadata + vùng trình bày có điều kiện; đánh giá thủ công trước sửa</x:v>
      </x:c>
    </x:row>
    <x:row r="10">
      <x:c r="A10" t="n">
        <x:v>9</x:v>
      </x:c>
      <x:c r="B10" t="str">
        <x:v>ND30.X.KHAN.MUC_DO.HIEN_DIEN</x:v>
      </x:c>
      <x:c r="C10" t="str">
        <x:v>ND30.X.KHAN.MUC_DO</x:v>
      </x:c>
      <x:c r="D10" t="str">
        <x:v>X</x:v>
      </x:c>
      <x:c r="E10" t="str">
        <x:v>Mức độ khẩn</x:v>
      </x:c>
      <x:c r="F10" t="str">
        <x:v>HIEN_DIEN</x:v>
      </x:c>
      <x:c r="G10" t="str">
        <x:v>Chỉ khi đủ chứng cứ/được phép hiện diện; không tự chèn giá trị</x:v>
      </x:c>
      <x:c r="H10"/>
      <x:c r="I10" t="str">
        <x:v>UNVERIFIED_ATTRIBUTE</x:v>
      </x:c>
      <x:c r="J10" t="str">
        <x:v>SOURCE_DESCRIPTION_NOT_APPROVAL</x:v>
      </x:c>
      <x:c r="K10" t="str">
        <x:v>Chỉ khi có chứng cứ chỉ mức độ khẩn do người có thẩm quyền quyết định</x:v>
      </x:c>
      <x:c r="L10" t="str">
        <x:v>Mặc định ẩn khi không có điều kiện/căn cứ cho xuất hiện; không chèn tài liệu mật/dấu khẩn.</x:v>
      </x:c>
      <x:c r="M10"/>
      <x:c r="N10" t="str">
        <x:v>NĐ30, Phụ lục I, Phần I, III (Thể thức bổ sung)</x:v>
      </x:c>
      <x:c r="O10" t="str">
        <x:v>https://congbao.chinhphu.vn/van-ban/nghi-dinh-so-30-2020-nd-cp-30858/30246.htm</x:v>
      </x:c>
      <x:c r="P10" t="str">
        <x:v>PLUGIN:hoa-tieu-mien-bac-administrative-v1 | user_approved_visual_reference</x:v>
      </x:c>
      <x:c r="Q10" t="str">
        <x:v>CHECK_ONLY</x:v>
      </x:c>
      <x:c r="R10" t="str">
        <x:v>Kiểm tra từng thuộc tính có mặt; so sánh nguồn/role; không suy đoán từ kết quả render chưa có</x:v>
      </x:c>
      <x:c r="S10" t="str">
        <x:v>STRUCTURE_READ_EXISTING_WORKBOOK</x:v>
      </x:c>
      <x:c r="T10"/>
      <x:c r="U10" t="str">
        <x:v>Metadata + vùng trình bày có điều kiện; đánh giá thủ công trước sửa</x:v>
      </x:c>
    </x:row>
    <x:row r="11">
      <x:c r="A11" t="n">
        <x:v>10</x:v>
      </x:c>
      <x:c r="B11" t="str">
        <x:v>ND30.X.KHAN.MUC_DO.MUC_DO</x:v>
      </x:c>
      <x:c r="C11" t="str">
        <x:v>ND30.X.KHAN.MUC_DO</x:v>
      </x:c>
      <x:c r="D11" t="str">
        <x:v>X</x:v>
      </x:c>
      <x:c r="E11" t="str">
        <x:v>Mức độ khẩn</x:v>
      </x:c>
      <x:c r="F11" t="str">
        <x:v>MUC_DO</x:v>
      </x:c>
      <x:c r="G11"/>
      <x:c r="H11"/>
      <x:c r="I11" t="str">
        <x:v>UNVERIFIED_ATTRIBUTE</x:v>
      </x:c>
      <x:c r="J11" t="str">
        <x:v>BLOCKED_DOCUMENT_OR_AUTHORITY</x:v>
      </x:c>
      <x:c r="K11" t="str">
        <x:v>Chỉ khi có chứng cứ chỉ mức độ khẩn do người có thẩm quyền quyết định</x:v>
      </x:c>
      <x:c r="L11" t="str">
        <x:v>Mặc định ẩn khi không có điều kiện/căn cứ cho xuất hiện; không chèn tài liệu mật/dấu khẩn.</x:v>
      </x:c>
      <x:c r="M11"/>
      <x:c r="N11" t="str">
        <x:v>NĐ30, Phụ lục I, Phần I, III (Thể thức bổ sung)</x:v>
      </x:c>
      <x:c r="O11" t="str">
        <x:v>https://congbao.chinhphu.vn/van-ban/nghi-dinh-so-30-2020-nd-cp-30858/30246.htm</x:v>
      </x:c>
      <x:c r="P11" t="str">
        <x:v>PLUGIN:hoa-tieu-mien-bac-administrative-v1 | user_approved_visual_reference</x:v>
      </x:c>
      <x:c r="Q11" t="str">
        <x:v>CHECK_ONLY</x:v>
      </x:c>
      <x:c r="R11" t="str">
        <x:v>Kiểm tra từng thuộc tính có mặt; so sánh nguồn/role; không suy đoán từ kết quả render chưa có</x:v>
      </x:c>
      <x:c r="S11" t="str">
        <x:v>RULE_INFERENCE_NOT_MEASURED</x:v>
      </x:c>
      <x:c r="T11" t="str">
        <x:v>Xác minh căn cứ theo loại văn bản / tài liệu phát hành hoặc phê duyệt</x:v>
      </x:c>
      <x:c r="U11" t="str">
        <x:v>Metadata + vùng trình bày có điều kiện; đánh giá thủ công trước sửa</x:v>
      </x:c>
    </x:row>
    <x:row r="12">
      <x:c r="A12" t="n">
        <x:v>11</x:v>
      </x:c>
      <x:c r="B12" t="str">
        <x:v>ND30.X.KHAN.MUC_DO.TRANG_THAI_HIEN_THI</x:v>
      </x:c>
      <x:c r="C12" t="str">
        <x:v>ND30.X.KHAN.MUC_DO</x:v>
      </x:c>
      <x:c r="D12" t="str">
        <x:v>X</x:v>
      </x:c>
      <x:c r="E12" t="str">
        <x:v>Mức độ khẩn</x:v>
      </x:c>
      <x:c r="F12" t="str">
        <x:v>TRANG_THAI_HIEN_THI</x:v>
      </x:c>
      <x:c r="G12"/>
      <x:c r="H12"/>
      <x:c r="I12" t="str">
        <x:v>UNVERIFIED_ATTRIBUTE</x:v>
      </x:c>
      <x:c r="J12" t="str">
        <x:v>BLOCKED_NO_ATTRIBUTE_VALUE</x:v>
      </x:c>
      <x:c r="K12" t="str">
        <x:v>Chỉ khi có chứng cứ chỉ mức độ khẩn do người có thẩm quyền quyết định</x:v>
      </x:c>
      <x:c r="L12" t="str">
        <x:v>Mặc định ẩn khi không có điều kiện/căn cứ cho xuất hiện; không chèn tài liệu mật/dấu khẩn.</x:v>
      </x:c>
      <x:c r="M12"/>
      <x:c r="N12" t="str">
        <x:v>NĐ30, Phụ lục I, Phần I, III (Thể thức bổ sung)</x:v>
      </x:c>
      <x:c r="O12" t="str">
        <x:v>https://congbao.chinhphu.vn/van-ban/nghi-dinh-so-30-2020-nd-cp-30858/30246.htm</x:v>
      </x:c>
      <x:c r="P12" t="str">
        <x:v>PLUGIN:hoa-tieu-mien-bac-administrative-v1 | user_approved_visual_reference</x:v>
      </x:c>
      <x:c r="Q12" t="str">
        <x:v>CHECK_ONLY</x:v>
      </x:c>
      <x:c r="R12" t="str">
        <x:v>Kiểm tra từng thuộc tính có mặt; so sánh nguồn/role; không suy đoán từ kết quả render chưa có</x:v>
      </x:c>
      <x:c r="S12" t="str">
        <x:v>RULE_INFERENCE_NOT_MEASURED</x:v>
      </x:c>
      <x:c r="T12" t="str">
        <x:v>Xác minh căn cứ theo loại văn bản / tài liệu phát hành hoặc phê duyệt</x:v>
      </x:c>
      <x:c r="U12" t="str">
        <x:v>Metadata + vùng trình bày có điều kiện; đánh giá thủ công trước sửa</x:v>
      </x:c>
    </x:row>
    <x:row r="13">
      <x:c r="A13" t="n">
        <x:v>12</x:v>
      </x:c>
      <x:c r="B13" t="str">
        <x:v>ND30.X.KHAN.MUC_DO.VI_TRI</x:v>
      </x:c>
      <x:c r="C13" t="str">
        <x:v>ND30.X.KHAN.MUC_DO</x:v>
      </x:c>
      <x:c r="D13" t="str">
        <x:v>X</x:v>
      </x:c>
      <x:c r="E13" t="str">
        <x:v>Mức độ khẩn</x:v>
      </x:c>
      <x:c r="F13" t="str">
        <x:v>VI_TRI</x:v>
      </x:c>
      <x:c r="G13"/>
      <x:c r="H13"/>
      <x:c r="I13" t="str">
        <x:v>UNVERIFIED_ATTRIBUTE</x:v>
      </x:c>
      <x:c r="J13" t="str">
        <x:v>BLOCKED_NO_ATTRIBUTE_VALUE</x:v>
      </x:c>
      <x:c r="K13" t="str">
        <x:v>Chỉ khi có chứng cứ chỉ mức độ khẩn do người có thẩm quyền quyết định</x:v>
      </x:c>
      <x:c r="L13" t="str">
        <x:v>Mặc định ẩn khi không có điều kiện/căn cứ cho xuất hiện; không chèn tài liệu mật/dấu khẩn.</x:v>
      </x:c>
      <x:c r="M13"/>
      <x:c r="N13" t="str">
        <x:v>NĐ30, Phụ lục I, Phần I, III (Thể thức bổ sung)</x:v>
      </x:c>
      <x:c r="O13" t="str">
        <x:v>https://congbao.chinhphu.vn/van-ban/nghi-dinh-so-30-2020-nd-cp-30858/30246.htm</x:v>
      </x:c>
      <x:c r="P13" t="str">
        <x:v>PLUGIN:hoa-tieu-mien-bac-administrative-v1 | user_approved_visual_reference</x:v>
      </x:c>
      <x:c r="Q13" t="str">
        <x:v>CHECK_ONLY</x:v>
      </x:c>
      <x:c r="R13" t="str">
        <x:v>Kiểm tra từng thuộc tính có mặt; so sánh nguồn/role; không suy đoán từ kết quả render chưa có</x:v>
      </x:c>
      <x:c r="S13" t="str">
        <x:v>RULE_INFERENCE_NOT_MEASURED</x:v>
      </x:c>
      <x:c r="T13" t="str">
        <x:v>Xác minh căn cứ theo loại văn bản / tài liệu phát hành hoặc phê duyệt</x:v>
      </x:c>
      <x:c r="U13" t="str">
        <x:v>Metadata + vùng trình bày có điều kiện; đánh giá thủ công trước sửa</x:v>
      </x:c>
    </x:row>
    <x:row r="14">
      <x:c r="A14" t="n">
        <x:v>13</x:v>
      </x:c>
      <x:c r="B14" t="str">
        <x:v>ND30.X.KHAN.MUC_DO.PHONG_CHU</x:v>
      </x:c>
      <x:c r="C14" t="str">
        <x:v>ND30.X.KHAN.MUC_DO</x:v>
      </x:c>
      <x:c r="D14" t="str">
        <x:v>X</x:v>
      </x:c>
      <x:c r="E14" t="str">
        <x:v>Mức độ khẩn</x:v>
      </x:c>
      <x:c r="F14" t="str">
        <x:v>PHONG_CHU</x:v>
      </x:c>
      <x:c r="G14" t="str">
        <x:v>Times New Roman</x:v>
      </x:c>
      <x:c r="H14"/>
      <x:c r="I14" t="str">
        <x:v>UNVERIFIED_ATTRIBUTE</x:v>
      </x:c>
      <x:c r="J14" t="str">
        <x:v>PROFILE_PRESET_UNAPPROVED</x:v>
      </x:c>
      <x:c r="K14" t="str">
        <x:v>Chỉ khi có chứng cứ chỉ mức độ khẩn do người có thẩm quyền quyết định</x:v>
      </x:c>
      <x:c r="L14" t="str">
        <x:v>Mặc định ẩn khi không có điều kiện/căn cứ cho xuất hiện; không chèn tài liệu mật/dấu khẩn.</x:v>
      </x:c>
      <x:c r="M14"/>
      <x:c r="N14" t="str">
        <x:v>NĐ30, Phụ lục I, Phần I, III (Thể thức bổ sung)</x:v>
      </x:c>
      <x:c r="O14" t="str">
        <x:v>https://congbao.chinhphu.vn/van-ban/nghi-dinh-so-30-2020-nd-cp-30858/30246.htm</x:v>
      </x:c>
      <x:c r="P14" t="str">
        <x:v>PLUGIN:hoa-tieu-mien-bac-administrative-v1 | user_approved_visual_reference</x:v>
      </x:c>
      <x:c r="Q14" t="str">
        <x:v>CHECK_ONLY</x:v>
      </x:c>
      <x:c r="R14" t="str">
        <x:v>Kiểm tra từng thuộc tính có mặt; so sánh nguồn/role; không suy đoán từ kết quả render chưa có</x:v>
      </x:c>
      <x:c r="S14" t="str">
        <x:v>STRUCTURE_READ_EXISTING_WORKBOOK</x:v>
      </x:c>
      <x:c r="T14"/>
      <x:c r="U14" t="str">
        <x:v>Metadata + vùng trình bày có điều kiện; đánh giá thủ công trước sửa</x:v>
      </x:c>
    </x:row>
    <x:row r="15">
      <x:c r="A15" t="n">
        <x:v>14</x:v>
      </x:c>
      <x:c r="B15" t="str">
        <x:v>ND30.X.KHAN.MUC_DO.CO_CHU</x:v>
      </x:c>
      <x:c r="C15" t="str">
        <x:v>ND30.X.KHAN.MUC_DO</x:v>
      </x:c>
      <x:c r="D15" t="str">
        <x:v>X</x:v>
      </x:c>
      <x:c r="E15" t="str">
        <x:v>Mức độ khẩn</x:v>
      </x:c>
      <x:c r="F15" t="str">
        <x:v>CO_CHU</x:v>
      </x:c>
      <x:c r="G15" t="n">
        <x:v>14</x:v>
      </x:c>
      <x:c r="H15"/>
      <x:c r="I15" t="str">
        <x:v>UNVERIFIED_ATTRIBUTE</x:v>
      </x:c>
      <x:c r="J15" t="str">
        <x:v>PROFILE_PRESET_UNAPPROVED</x:v>
      </x:c>
      <x:c r="K15" t="str">
        <x:v>Chỉ khi có chứng cứ chỉ mức độ khẩn do người có thẩm quyền quyết định</x:v>
      </x:c>
      <x:c r="L15" t="str">
        <x:v>Mặc định ẩn khi không có điều kiện/căn cứ cho xuất hiện; không chèn tài liệu mật/dấu khẩn.</x:v>
      </x:c>
      <x:c r="M15" t="str">
        <x:v>pt</x:v>
      </x:c>
      <x:c r="N15" t="str">
        <x:v>NĐ30, Phụ lục I, Phần I, III (Thể thức bổ sung)</x:v>
      </x:c>
      <x:c r="O15" t="str">
        <x:v>https://congbao.chinhphu.vn/van-ban/nghi-dinh-so-30-2020-nd-cp-30858/30246.htm</x:v>
      </x:c>
      <x:c r="P15" t="str">
        <x:v>PLUGIN:hoa-tieu-mien-bac-administrative-v1 | user_approved_visual_reference</x:v>
      </x:c>
      <x:c r="Q15" t="str">
        <x:v>CHECK_ONLY</x:v>
      </x:c>
      <x:c r="R15" t="str">
        <x:v>Kiểm tra từng thuộc tính có mặt; so sánh nguồn/role; không suy đoán từ kết quả render chưa có</x:v>
      </x:c>
      <x:c r="S15" t="str">
        <x:v>STRUCTURE_READ_EXISTING_WORKBOOK</x:v>
      </x:c>
      <x:c r="T15"/>
      <x:c r="U15" t="str">
        <x:v>Metadata + vùng trình bày có điều kiện; đánh giá thủ công trước sửa</x:v>
      </x:c>
    </x:row>
    <x:row r="16">
      <x:c r="A16" t="n">
        <x:v>15</x:v>
      </x:c>
      <x:c r="B16" t="str">
        <x:v>ND30.X.KHAN.MUC_DO.DAM</x:v>
      </x:c>
      <x:c r="C16" t="str">
        <x:v>ND30.X.KHAN.MUC_DO</x:v>
      </x:c>
      <x:c r="D16" t="str">
        <x:v>X</x:v>
      </x:c>
      <x:c r="E16" t="str">
        <x:v>Mức độ khẩn</x:v>
      </x:c>
      <x:c r="F16" t="str">
        <x:v>DAM</x:v>
      </x:c>
      <x:c r="G16" t="str">
        <x:v>CÓ</x:v>
      </x:c>
      <x:c r="H16"/>
      <x:c r="I16" t="str">
        <x:v>UNVERIFIED_ATTRIBUTE</x:v>
      </x:c>
      <x:c r="J16" t="str">
        <x:v>PROFILE_PRESET_UNAPPROVED</x:v>
      </x:c>
      <x:c r="K16" t="str">
        <x:v>Chỉ khi có chứng cứ chỉ mức độ khẩn do người có thẩm quyền quyết định</x:v>
      </x:c>
      <x:c r="L16" t="str">
        <x:v>Mặc định ẩn khi không có điều kiện/căn cứ cho xuất hiện; không chèn tài liệu mật/dấu khẩn.</x:v>
      </x:c>
      <x:c r="M16"/>
      <x:c r="N16" t="str">
        <x:v>NĐ30, Phụ lục I, Phần I, III (Thể thức bổ sung)</x:v>
      </x:c>
      <x:c r="O16" t="str">
        <x:v>https://congbao.chinhphu.vn/van-ban/nghi-dinh-so-30-2020-nd-cp-30858/30246.htm</x:v>
      </x:c>
      <x:c r="P16" t="str">
        <x:v>PLUGIN:hoa-tieu-mien-bac-administrative-v1 | user_approved_visual_reference</x:v>
      </x:c>
      <x:c r="Q16" t="str">
        <x:v>CHECK_ONLY</x:v>
      </x:c>
      <x:c r="R16" t="str">
        <x:v>Kiểm tra từng thuộc tính có mặt; so sánh nguồn/role; không suy đoán từ kết quả render chưa có</x:v>
      </x:c>
      <x:c r="S16" t="str">
        <x:v>STRUCTURE_READ_EXISTING_WORKBOOK</x:v>
      </x:c>
      <x:c r="T16"/>
      <x:c r="U16" t="str">
        <x:v>Metadata + vùng trình bày có điều kiện; đánh giá thủ công trước sửa</x:v>
      </x:c>
    </x:row>
    <x:row r="17">
      <x:c r="A17" t="n">
        <x:v>16</x:v>
      </x:c>
      <x:c r="B17" t="str">
        <x:v>ND30.X.KHAN.MUC_DO.KIEU_CHU</x:v>
      </x:c>
      <x:c r="C17" t="str">
        <x:v>ND30.X.KHAN.MUC_DO</x:v>
      </x:c>
      <x:c r="D17" t="str">
        <x:v>X</x:v>
      </x:c>
      <x:c r="E17" t="str">
        <x:v>Mức độ khẩn</x:v>
      </x:c>
      <x:c r="F17" t="str">
        <x:v>KIEU_CHU</x:v>
      </x:c>
      <x:c r="G17" t="str">
        <x:v>IN HOA</x:v>
      </x:c>
      <x:c r="H17"/>
      <x:c r="I17" t="str">
        <x:v>UNVERIFIED_ATTRIBUTE</x:v>
      </x:c>
      <x:c r="J17" t="str">
        <x:v>PROFILE_PRESET_UNAPPROVED</x:v>
      </x:c>
      <x:c r="K17" t="str">
        <x:v>Chỉ khi có chứng cứ chỉ mức độ khẩn do người có thẩm quyền quyết định</x:v>
      </x:c>
      <x:c r="L17" t="str">
        <x:v>Mặc định ẩn khi không có điều kiện/căn cứ cho xuất hiện; không chèn tài liệu mật/dấu khẩn.</x:v>
      </x:c>
      <x:c r="M17"/>
      <x:c r="N17" t="str">
        <x:v>NĐ30, Phụ lục I, Phần I, III (Thể thức bổ sung)</x:v>
      </x:c>
      <x:c r="O17" t="str">
        <x:v>https://congbao.chinhphu.vn/van-ban/nghi-dinh-so-30-2020-nd-cp-30858/30246.htm</x:v>
      </x:c>
      <x:c r="P17" t="str">
        <x:v>PLUGIN:hoa-tieu-mien-bac-administrative-v1 | user_approved_visual_reference</x:v>
      </x:c>
      <x:c r="Q17" t="str">
        <x:v>CHECK_ONLY</x:v>
      </x:c>
      <x:c r="R17" t="str">
        <x:v>Kiểm tra từng thuộc tính có mặt; so sánh nguồn/role; không suy đoán từ kết quả render chưa có</x:v>
      </x:c>
      <x:c r="S17" t="str">
        <x:v>STRUCTURE_READ_EXISTING_WORKBOOK</x:v>
      </x:c>
      <x:c r="T17"/>
      <x:c r="U17" t="str">
        <x:v>Metadata + vùng trình bày có điều kiện; đánh giá thủ công trước sửa</x:v>
      </x:c>
    </x:row>
    <x:row r="18">
      <x:c r="A18" t="n">
        <x:v>17</x:v>
      </x:c>
      <x:c r="B18" t="str">
        <x:v>ND30.X.LUU_HANH.CHI_DAN.HIEN_DIEN</x:v>
      </x:c>
      <x:c r="C18" t="str">
        <x:v>ND30.X.LUU_HANH.CHI_DAN</x:v>
      </x:c>
      <x:c r="D18" t="str">
        <x:v>X</x:v>
      </x:c>
      <x:c r="E18" t="str">
        <x:v>Chỉ dẫn phạm vi lưu hành</x:v>
      </x:c>
      <x:c r="F18" t="str">
        <x:v>HIEN_DIEN</x:v>
      </x:c>
      <x:c r="G18" t="str">
        <x:v>Chỉ khi đủ chứng cứ/được phép hiện diện; không tự chèn giá trị</x:v>
      </x:c>
      <x:c r="H18"/>
      <x:c r="I18" t="str">
        <x:v>UNVERIFIED_ATTRIBUTE</x:v>
      </x:c>
      <x:c r="J18" t="str">
        <x:v>SOURCE_DESCRIPTION_NOT_APPROVAL</x:v>
      </x:c>
      <x:c r="K18" t="str">
        <x:v>Chỉ khi được phép và có thông tin thật cho loại thành phần này; không tự sinh nội dung</x:v>
      </x:c>
      <x:c r="L18" t="str">
        <x:v>Mặc định ẩn khi không có điều kiện/căn cứ cho xuất hiện; không chèn tài liệu mật/dấu khẩn.</x:v>
      </x:c>
      <x:c r="M18"/>
      <x:c r="N18" t="str">
        <x:v>NĐ30, Phụ lục I, Phần I, III (Thể thức bổ sung)</x:v>
      </x:c>
      <x:c r="O18" t="str">
        <x:v>https://congbao.chinhphu.vn/van-ban/nghi-dinh-so-30-2020-nd-cp-30858/30246.htm</x:v>
      </x:c>
      <x:c r="P18" t="str">
        <x:v>PLUGIN:hoa-tieu-mien-bac-administrative-v1 | user_approved_visual_reference</x:v>
      </x:c>
      <x:c r="Q18" t="str">
        <x:v>CHECK_ONLY</x:v>
      </x:c>
      <x:c r="R18" t="str">
        <x:v>Kiểm tra từng thuộc tính có mặt; so sánh nguồn/role; không suy đoán từ kết quả render chưa có</x:v>
      </x:c>
      <x:c r="S18" t="str">
        <x:v>STRUCTURE_READ_EXISTING_WORKBOOK</x:v>
      </x:c>
      <x:c r="T18"/>
      <x:c r="U18" t="str">
        <x:v>Metadata + vùng trình bày có điều kiện; đánh giá thủ công trước sửa</x:v>
      </x:c>
    </x:row>
    <x:row r="19">
      <x:c r="A19" t="n">
        <x:v>18</x:v>
      </x:c>
      <x:c r="B19" t="str">
        <x:v>ND30.X.LUU_HANH.CHI_DAN.NOI_DUNG</x:v>
      </x:c>
      <x:c r="C19" t="str">
        <x:v>ND30.X.LUU_HANH.CHI_DAN</x:v>
      </x:c>
      <x:c r="D19" t="str">
        <x:v>X</x:v>
      </x:c>
      <x:c r="E19" t="str">
        <x:v>Chỉ dẫn phạm vi lưu hành</x:v>
      </x:c>
      <x:c r="F19" t="str">
        <x:v>NOI_DUNG</x:v>
      </x:c>
      <x:c r="G19" t="str">
        <x:v>Chỉ dẫn phạm vi lưu hành/phổ biến theo quyết định có thẩm quyền</x:v>
      </x:c>
      <x:c r="H19"/>
      <x:c r="I19" t="str">
        <x:v>UNVERIFIED_ATTRIBUTE</x:v>
      </x:c>
      <x:c r="J19" t="str">
        <x:v>SOURCE_DESCRIPTION_NOT_APPROVAL</x:v>
      </x:c>
      <x:c r="K19" t="str">
        <x:v>Chỉ khi được phép và có thông tin thật cho loại thành phần này; không tự sinh nội dung</x:v>
      </x:c>
      <x:c r="L19" t="str">
        <x:v>Mặc định ẩn khi không có điều kiện/căn cứ cho xuất hiện; không chèn tài liệu mật/dấu khẩn.</x:v>
      </x:c>
      <x:c r="M19"/>
      <x:c r="N19" t="str">
        <x:v>NĐ30, Phụ lục I, Phần I, III (Thể thức bổ sung)</x:v>
      </x:c>
      <x:c r="O19" t="str">
        <x:v>https://congbao.chinhphu.vn/van-ban/nghi-dinh-so-30-2020-nd-cp-30858/30246.htm</x:v>
      </x:c>
      <x:c r="P19" t="str">
        <x:v>PLUGIN:hoa-tieu-mien-bac-administrative-v1 | user_approved_visual_reference</x:v>
      </x:c>
      <x:c r="Q19" t="str">
        <x:v>CHECK_ONLY</x:v>
      </x:c>
      <x:c r="R19" t="str">
        <x:v>Kiểm tra từng thuộc tính có mặt; so sánh nguồn/role; không suy đoán từ kết quả render chưa có</x:v>
      </x:c>
      <x:c r="S19" t="str">
        <x:v>STRUCTURE_READ_EXISTING_WORKBOOK</x:v>
      </x:c>
      <x:c r="T19"/>
      <x:c r="U19" t="str">
        <x:v>Metadata + vùng trình bày có điều kiện; đánh giá thủ công trước sửa</x:v>
      </x:c>
    </x:row>
    <x:row r="20">
      <x:c r="A20" t="n">
        <x:v>19</x:v>
      </x:c>
      <x:c r="B20" t="str">
        <x:v>ND30.X.LUU_HANH.CHI_DAN.TRANG_THAI_HIEN_THI</x:v>
      </x:c>
      <x:c r="C20" t="str">
        <x:v>ND30.X.LUU_HANH.CHI_DAN</x:v>
      </x:c>
      <x:c r="D20" t="str">
        <x:v>X</x:v>
      </x:c>
      <x:c r="E20" t="str">
        <x:v>Chỉ dẫn phạm vi lưu hành</x:v>
      </x:c>
      <x:c r="F20" t="str">
        <x:v>TRANG_THAI_HIEN_THI</x:v>
      </x:c>
      <x:c r="G20"/>
      <x:c r="H20"/>
      <x:c r="I20" t="str">
        <x:v>UNVERIFIED_ATTRIBUTE</x:v>
      </x:c>
      <x:c r="J20" t="str">
        <x:v>BLOCKED_NO_ATTRIBUTE_VALUE</x:v>
      </x:c>
      <x:c r="K20" t="str">
        <x:v>Chỉ khi được phép và có thông tin thật cho loại thành phần này; không tự sinh nội dung</x:v>
      </x:c>
      <x:c r="L20" t="str">
        <x:v>Mặc định ẩn khi không có điều kiện/căn cứ cho xuất hiện; không chèn tài liệu mật/dấu khẩn.</x:v>
      </x:c>
      <x:c r="M20"/>
      <x:c r="N20" t="str">
        <x:v>NĐ30, Phụ lục I, Phần I, III (Thể thức bổ sung)</x:v>
      </x:c>
      <x:c r="O20" t="str">
        <x:v>https://congbao.chinhphu.vn/van-ban/nghi-dinh-so-30-2020-nd-cp-30858/30246.htm</x:v>
      </x:c>
      <x:c r="P20" t="str">
        <x:v>PLUGIN:hoa-tieu-mien-bac-administrative-v1 | user_approved_visual_reference</x:v>
      </x:c>
      <x:c r="Q20" t="str">
        <x:v>CHECK_ONLY</x:v>
      </x:c>
      <x:c r="R20" t="str">
        <x:v>Kiểm tra từng thuộc tính có mặt; so sánh nguồn/role; không suy đoán từ kết quả render chưa có</x:v>
      </x:c>
      <x:c r="S20" t="str">
        <x:v>RULE_INFERENCE_NOT_MEASURED</x:v>
      </x:c>
      <x:c r="T20" t="str">
        <x:v>Xác minh căn cứ theo loại văn bản / tài liệu phát hành hoặc phê duyệt</x:v>
      </x:c>
      <x:c r="U20" t="str">
        <x:v>Metadata + vùng trình bày có điều kiện; đánh giá thủ công trước sửa</x:v>
      </x:c>
    </x:row>
    <x:row r="21">
      <x:c r="A21" t="n">
        <x:v>20</x:v>
      </x:c>
      <x:c r="B21" t="str">
        <x:v>ND30.X.LUU_HANH.CHI_DAN.VI_TRI</x:v>
      </x:c>
      <x:c r="C21" t="str">
        <x:v>ND30.X.LUU_HANH.CHI_DAN</x:v>
      </x:c>
      <x:c r="D21" t="str">
        <x:v>X</x:v>
      </x:c>
      <x:c r="E21" t="str">
        <x:v>Chỉ dẫn phạm vi lưu hành</x:v>
      </x:c>
      <x:c r="F21" t="str">
        <x:v>VI_TRI</x:v>
      </x:c>
      <x:c r="G21"/>
      <x:c r="H21"/>
      <x:c r="I21" t="str">
        <x:v>UNVERIFIED_ATTRIBUTE</x:v>
      </x:c>
      <x:c r="J21" t="str">
        <x:v>BLOCKED_NO_ATTRIBUTE_VALUE</x:v>
      </x:c>
      <x:c r="K21" t="str">
        <x:v>Chỉ khi được phép và có thông tin thật cho loại thành phần này; không tự sinh nội dung</x:v>
      </x:c>
      <x:c r="L21" t="str">
        <x:v>Mặc định ẩn khi không có điều kiện/căn cứ cho xuất hiện; không chèn tài liệu mật/dấu khẩn.</x:v>
      </x:c>
      <x:c r="M21"/>
      <x:c r="N21" t="str">
        <x:v>NĐ30, Phụ lục I, Phần I, III (Thể thức bổ sung)</x:v>
      </x:c>
      <x:c r="O21" t="str">
        <x:v>https://congbao.chinhphu.vn/van-ban/nghi-dinh-so-30-2020-nd-cp-30858/30246.htm</x:v>
      </x:c>
      <x:c r="P21" t="str">
        <x:v>PLUGIN:hoa-tieu-mien-bac-administrative-v1 | user_approved_visual_reference</x:v>
      </x:c>
      <x:c r="Q21" t="str">
        <x:v>CHECK_ONLY</x:v>
      </x:c>
      <x:c r="R21" t="str">
        <x:v>Kiểm tra từng thuộc tính có mặt; so sánh nguồn/role; không suy đoán từ kết quả render chưa có</x:v>
      </x:c>
      <x:c r="S21" t="str">
        <x:v>RULE_INFERENCE_NOT_MEASURED</x:v>
      </x:c>
      <x:c r="T21" t="str">
        <x:v>Xác minh căn cứ theo loại văn bản / tài liệu phát hành hoặc phê duyệt</x:v>
      </x:c>
      <x:c r="U21" t="str">
        <x:v>Metadata + vùng trình bày có điều kiện; đánh giá thủ công trước sửa</x:v>
      </x:c>
    </x:row>
    <x:row r="22">
      <x:c r="A22" t="n">
        <x:v>21</x:v>
      </x:c>
      <x:c r="B22" t="str">
        <x:v>ND30.X.LUU_HANH.CHI_DAN.CO_CHU</x:v>
      </x:c>
      <x:c r="C22" t="str">
        <x:v>ND30.X.LUU_HANH.CHI_DAN</x:v>
      </x:c>
      <x:c r="D22" t="str">
        <x:v>X</x:v>
      </x:c>
      <x:c r="E22" t="str">
        <x:v>Chỉ dẫn phạm vi lưu hành</x:v>
      </x:c>
      <x:c r="F22" t="str">
        <x:v>CO_CHU</x:v>
      </x:c>
      <x:c r="G22" t="n">
        <x:v>14</x:v>
      </x:c>
      <x:c r="H22"/>
      <x:c r="I22" t="str">
        <x:v>UNVERIFIED_ATTRIBUTE</x:v>
      </x:c>
      <x:c r="J22" t="str">
        <x:v>PROFILE_PRESET_UNAPPROVED</x:v>
      </x:c>
      <x:c r="K22" t="str">
        <x:v>Chỉ khi được phép và có thông tin thật cho loại thành phần này; không tự sinh nội dung</x:v>
      </x:c>
      <x:c r="L22" t="str">
        <x:v>Mặc định ẩn khi không có điều kiện/căn cứ cho xuất hiện; không chèn tài liệu mật/dấu khẩn.</x:v>
      </x:c>
      <x:c r="M22" t="str">
        <x:v>pt</x:v>
      </x:c>
      <x:c r="N22" t="str">
        <x:v>NĐ30, Phụ lục I, Phần I, III (Thể thức bổ sung)</x:v>
      </x:c>
      <x:c r="O22" t="str">
        <x:v>https://congbao.chinhphu.vn/van-ban/nghi-dinh-so-30-2020-nd-cp-30858/30246.htm</x:v>
      </x:c>
      <x:c r="P22" t="str">
        <x:v>PLUGIN:hoa-tieu-mien-bac-administrative-v1 | user_approved_visual_reference</x:v>
      </x:c>
      <x:c r="Q22" t="str">
        <x:v>CHECK_ONLY</x:v>
      </x:c>
      <x:c r="R22" t="str">
        <x:v>Kiểm tra từng thuộc tính có mặt; so sánh nguồn/role; không suy đoán từ kết quả render chưa có</x:v>
      </x:c>
      <x:c r="S22" t="str">
        <x:v>STRUCTURE_READ_EXISTING_WORKBOOK</x:v>
      </x:c>
      <x:c r="T22"/>
      <x:c r="U22" t="str">
        <x:v>Metadata + vùng trình bày có điều kiện; đánh giá thủ công trước sửa</x:v>
      </x:c>
    </x:row>
    <x:row r="23">
      <x:c r="A23" t="n">
        <x:v>22</x:v>
      </x:c>
      <x:c r="B23" t="str">
        <x:v>ND30.X.LUU_HANH.CHI_DAN.KIEU_CHU</x:v>
      </x:c>
      <x:c r="C23" t="str">
        <x:v>ND30.X.LUU_HANH.CHI_DAN</x:v>
      </x:c>
      <x:c r="D23" t="str">
        <x:v>X</x:v>
      </x:c>
      <x:c r="E23" t="str">
        <x:v>Chỉ dẫn phạm vi lưu hành</x:v>
      </x:c>
      <x:c r="F23" t="str">
        <x:v>KIEU_CHU</x:v>
      </x:c>
      <x:c r="G23" t="str">
        <x:v>IN HOA</x:v>
      </x:c>
      <x:c r="H23"/>
      <x:c r="I23" t="str">
        <x:v>UNVERIFIED_ATTRIBUTE</x:v>
      </x:c>
      <x:c r="J23" t="str">
        <x:v>PROFILE_PRESET_UNAPPROVED</x:v>
      </x:c>
      <x:c r="K23" t="str">
        <x:v>Chỉ khi được phép và có thông tin thật cho loại thành phần này; không tự sinh nội dung</x:v>
      </x:c>
      <x:c r="L23" t="str">
        <x:v>Mặc định ẩn khi không có điều kiện/căn cứ cho xuất hiện; không chèn tài liệu mật/dấu khẩn.</x:v>
      </x:c>
      <x:c r="M23"/>
      <x:c r="N23" t="str">
        <x:v>NĐ30, Phụ lục I, Phần I, III (Thể thức bổ sung)</x:v>
      </x:c>
      <x:c r="O23" t="str">
        <x:v>https://congbao.chinhphu.vn/van-ban/nghi-dinh-so-30-2020-nd-cp-30858/30246.htm</x:v>
      </x:c>
      <x:c r="P23" t="str">
        <x:v>PLUGIN:hoa-tieu-mien-bac-administrative-v1 | user_approved_visual_reference</x:v>
      </x:c>
      <x:c r="Q23" t="str">
        <x:v>CHECK_ONLY</x:v>
      </x:c>
      <x:c r="R23" t="str">
        <x:v>Kiểm tra từng thuộc tính có mặt; so sánh nguồn/role; không suy đoán từ kết quả render chưa có</x:v>
      </x:c>
      <x:c r="S23" t="str">
        <x:v>STRUCTURE_READ_EXISTING_WORKBOOK</x:v>
      </x:c>
      <x:c r="T23"/>
      <x:c r="U23" t="str">
        <x:v>Metadata + vùng trình bày có điều kiện; đánh giá thủ công trước sửa</x:v>
      </x:c>
    </x:row>
    <x:row r="24">
      <x:c r="A24" t="n">
        <x:v>23</x:v>
      </x:c>
      <x:c r="B24" t="str">
        <x:v>ND30.X.SOAN.KY_HIEU_NGUOI_SOAN.HIEN_DIEN</x:v>
      </x:c>
      <x:c r="C24" t="str">
        <x:v>ND30.X.SOAN.KY_HIEU_NGUOI_SOAN</x:v>
      </x:c>
      <x:c r="D24" t="str">
        <x:v>X</x:v>
      </x:c>
      <x:c r="E24" t="str">
        <x:v>Ký hiệu người soạn</x:v>
      </x:c>
      <x:c r="F24" t="str">
        <x:v>HIEN_DIEN</x:v>
      </x:c>
      <x:c r="G24" t="str">
        <x:v>Chỉ khi đủ chứng cứ/được phép hiện diện; không tự chèn giá trị</x:v>
      </x:c>
      <x:c r="H24"/>
      <x:c r="I24" t="str">
        <x:v>UNVERIFIED_ATTRIBUTE</x:v>
      </x:c>
      <x:c r="J24" t="str">
        <x:v>SOURCE_DESCRIPTION_NOT_APPROVAL</x:v>
      </x:c>
      <x:c r="K24" t="str">
        <x:v>Chỉ khi được phép và có thông tin thật cho loại thành phần này; không tự sinh nội dung</x:v>
      </x:c>
      <x:c r="L24" t="str">
        <x:v>Mặc định ẩn khi không có điều kiện/căn cứ cho xuất hiện; không chèn tài liệu mật/dấu khẩn.</x:v>
      </x:c>
      <x:c r="M24"/>
      <x:c r="N24" t="str">
        <x:v>NĐ30, Phụ lục I, Phần I, III (Thể thức bổ sung)</x:v>
      </x:c>
      <x:c r="O24" t="str">
        <x:v>https://congbao.chinhphu.vn/van-ban/nghi-dinh-so-30-2020-nd-cp-30858/30246.htm</x:v>
      </x:c>
      <x:c r="P24" t="str">
        <x:v>PLUGIN:hoa-tieu-mien-bac-administrative-v1 | user_approved_visual_reference</x:v>
      </x:c>
      <x:c r="Q24" t="str">
        <x:v>CHECK_ONLY</x:v>
      </x:c>
      <x:c r="R24" t="str">
        <x:v>Kiểm tra từng thuộc tính có mặt; so sánh nguồn/role; không suy đoán từ kết quả render chưa có</x:v>
      </x:c>
      <x:c r="S24" t="str">
        <x:v>STRUCTURE_READ_EXISTING_WORKBOOK</x:v>
      </x:c>
      <x:c r="T24"/>
      <x:c r="U24" t="str">
        <x:v>Metadata + vùng trình bày có điều kiện; đánh giá thủ công trước sửa</x:v>
      </x:c>
    </x:row>
    <x:row r="25">
      <x:c r="A25" t="n">
        <x:v>24</x:v>
      </x:c>
      <x:c r="B25" t="str">
        <x:v>ND30.X.SOAN.KY_HIEU_NGUOI_SOAN.THONG_TIN</x:v>
      </x:c>
      <x:c r="C25" t="str">
        <x:v>ND30.X.SOAN.KY_HIEU_NGUOI_SOAN</x:v>
      </x:c>
      <x:c r="D25" t="str">
        <x:v>X</x:v>
      </x:c>
      <x:c r="E25" t="str">
        <x:v>Ký hiệu người soạn</x:v>
      </x:c>
      <x:c r="F25" t="str">
        <x:v>THONG_TIN</x:v>
      </x:c>
      <x:c r="G25" t="str">
        <x:v>[CHỈ KHI CÓ SỔ/ĐỊNH MỨC PHÁT HÀNH]</x:v>
      </x:c>
      <x:c r="H25"/>
      <x:c r="I25" t="str">
        <x:v>UNVERIFIED_ATTRIBUTE</x:v>
      </x:c>
      <x:c r="J25" t="str">
        <x:v>BLOCKED_OFFICIAL_PROOF</x:v>
      </x:c>
      <x:c r="K25" t="str">
        <x:v>Chỉ khi được phép và có thông tin thật cho loại thành phần này; không tự sinh nội dung</x:v>
      </x:c>
      <x:c r="L25" t="str">
        <x:v>Mặc định ẩn khi không có điều kiện/căn cứ cho xuất hiện; không chèn tài liệu mật/dấu khẩn.</x:v>
      </x:c>
      <x:c r="M25"/>
      <x:c r="N25" t="str">
        <x:v>NĐ30, Phụ lục I, Phần I, III (Thể thức bổ sung)</x:v>
      </x:c>
      <x:c r="O25" t="str">
        <x:v>https://congbao.chinhphu.vn/van-ban/nghi-dinh-so-30-2020-nd-cp-30858/30246.htm</x:v>
      </x:c>
      <x:c r="P25" t="str">
        <x:v>PLUGIN:hoa-tieu-mien-bac-administrative-v1 | user_approved_visual_reference</x:v>
      </x:c>
      <x:c r="Q25" t="str">
        <x:v>CHECK_ONLY</x:v>
      </x:c>
      <x:c r="R25" t="str">
        <x:v>Kiểm tra từng thuộc tính có mặt; so sánh nguồn/role; không suy đoán từ kết quả render chưa có</x:v>
      </x:c>
      <x:c r="S25" t="str">
        <x:v>STRUCTURE_READ_EXISTING_WORKBOOK</x:v>
      </x:c>
      <x:c r="T25" t="str">
        <x:v>Xác minh căn cứ theo loại văn bản / tài liệu phát hành hoặc phê duyệt</x:v>
      </x:c>
      <x:c r="U25" t="str">
        <x:v>Metadata + vùng trình bày có điều kiện; đánh giá thủ công trước sửa</x:v>
      </x:c>
    </x:row>
    <x:row r="26">
      <x:c r="A26" t="n">
        <x:v>25</x:v>
      </x:c>
      <x:c r="B26" t="str">
        <x:v>ND30.X.SOAN.KY_HIEU_NGUOI_SOAN.CO_CHU</x:v>
      </x:c>
      <x:c r="C26" t="str">
        <x:v>ND30.X.SOAN.KY_HIEU_NGUOI_SOAN</x:v>
      </x:c>
      <x:c r="D26" t="str">
        <x:v>X</x:v>
      </x:c>
      <x:c r="E26" t="str">
        <x:v>Ký hiệu người soạn</x:v>
      </x:c>
      <x:c r="F26" t="str">
        <x:v>CO_CHU</x:v>
      </x:c>
      <x:c r="G26" t="n">
        <x:v>11</x:v>
      </x:c>
      <x:c r="H26"/>
      <x:c r="I26" t="str">
        <x:v>UNVERIFIED_ATTRIBUTE</x:v>
      </x:c>
      <x:c r="J26" t="str">
        <x:v>PROFILE_PRESET_UNAPPROVED</x:v>
      </x:c>
      <x:c r="K26" t="str">
        <x:v>Chỉ khi được phép và có thông tin thật cho loại thành phần này; không tự sinh nội dung</x:v>
      </x:c>
      <x:c r="L26" t="str">
        <x:v>Mặc định ẩn khi không có điều kiện/căn cứ cho xuất hiện; không chèn tài liệu mật/dấu khẩn.</x:v>
      </x:c>
      <x:c r="M26" t="str">
        <x:v>pt</x:v>
      </x:c>
      <x:c r="N26" t="str">
        <x:v>NĐ30, Phụ lục I, Phần I, III (Thể thức bổ sung)</x:v>
      </x:c>
      <x:c r="O26" t="str">
        <x:v>https://congbao.chinhphu.vn/van-ban/nghi-dinh-so-30-2020-nd-cp-30858/30246.htm</x:v>
      </x:c>
      <x:c r="P26" t="str">
        <x:v>PLUGIN:hoa-tieu-mien-bac-administrative-v1 | user_approved_visual_reference</x:v>
      </x:c>
      <x:c r="Q26" t="str">
        <x:v>CHECK_ONLY</x:v>
      </x:c>
      <x:c r="R26" t="str">
        <x:v>Kiểm tra từng thuộc tính có mặt; so sánh nguồn/role; không suy đoán từ kết quả render chưa có</x:v>
      </x:c>
      <x:c r="S26" t="str">
        <x:v>STRUCTURE_READ_EXISTING_WORKBOOK</x:v>
      </x:c>
      <x:c r="T26"/>
      <x:c r="U26" t="str">
        <x:v>Metadata + vùng trình bày có điều kiện; đánh giá thủ công trước sửa</x:v>
      </x:c>
    </x:row>
    <x:row r="27">
      <x:c r="A27" t="n">
        <x:v>26</x:v>
      </x:c>
      <x:c r="B27" t="str">
        <x:v>ND30.X.SOAN.KY_HIEU_NGUOI_SOAN.VI_TRI</x:v>
      </x:c>
      <x:c r="C27" t="str">
        <x:v>ND30.X.SOAN.KY_HIEU_NGUOI_SOAN</x:v>
      </x:c>
      <x:c r="D27" t="str">
        <x:v>X</x:v>
      </x:c>
      <x:c r="E27" t="str">
        <x:v>Ký hiệu người soạn</x:v>
      </x:c>
      <x:c r="F27" t="str">
        <x:v>VI_TRI</x:v>
      </x:c>
      <x:c r="G27"/>
      <x:c r="H27"/>
      <x:c r="I27" t="str">
        <x:v>UNVERIFIED_ATTRIBUTE</x:v>
      </x:c>
      <x:c r="J27" t="str">
        <x:v>BLOCKED_NO_ATTRIBUTE_VALUE</x:v>
      </x:c>
      <x:c r="K27" t="str">
        <x:v>Chỉ khi được phép và có thông tin thật cho loại thành phần này; không tự sinh nội dung</x:v>
      </x:c>
      <x:c r="L27" t="str">
        <x:v>Mặc định ẩn khi không có điều kiện/căn cứ cho xuất hiện; không chèn tài liệu mật/dấu khẩn.</x:v>
      </x:c>
      <x:c r="M27"/>
      <x:c r="N27" t="str">
        <x:v>NĐ30, Phụ lục I, Phần I, III (Thể thức bổ sung)</x:v>
      </x:c>
      <x:c r="O27" t="str">
        <x:v>https://congbao.chinhphu.vn/van-ban/nghi-dinh-so-30-2020-nd-cp-30858/30246.htm</x:v>
      </x:c>
      <x:c r="P27" t="str">
        <x:v>PLUGIN:hoa-tieu-mien-bac-administrative-v1 | user_approved_visual_reference</x:v>
      </x:c>
      <x:c r="Q27" t="str">
        <x:v>CHECK_ONLY</x:v>
      </x:c>
      <x:c r="R27" t="str">
        <x:v>Kiểm tra từng thuộc tính có mặt; so sánh nguồn/role; không suy đoán từ kết quả render chưa có</x:v>
      </x:c>
      <x:c r="S27" t="str">
        <x:v>RULE_INFERENCE_NOT_MEASURED</x:v>
      </x:c>
      <x:c r="T27" t="str">
        <x:v>Xác minh căn cứ theo loại văn bản / tài liệu phát hành hoặc phê duyệt</x:v>
      </x:c>
      <x:c r="U27" t="str">
        <x:v>Metadata + vùng trình bày có điều kiện; đánh giá thủ công trước sửa</x:v>
      </x:c>
    </x:row>
    <x:row r="28">
      <x:c r="A28" t="n">
        <x:v>27</x:v>
      </x:c>
      <x:c r="B28" t="str">
        <x:v>ND30.X.SOAN.SO_BAN.HIEN_DIEN</x:v>
      </x:c>
      <x:c r="C28" t="str">
        <x:v>ND30.X.SOAN.SO_BAN</x:v>
      </x:c>
      <x:c r="D28" t="str">
        <x:v>X</x:v>
      </x:c>
      <x:c r="E28" t="str">
        <x:v>Số lượng bản phát hành</x:v>
      </x:c>
      <x:c r="F28" t="str">
        <x:v>HIEN_DIEN</x:v>
      </x:c>
      <x:c r="G28" t="str">
        <x:v>Chỉ khi đủ chứng cứ/được phép hiện diện; không tự chèn giá trị</x:v>
      </x:c>
      <x:c r="H28"/>
      <x:c r="I28" t="str">
        <x:v>UNVERIFIED_ATTRIBUTE</x:v>
      </x:c>
      <x:c r="J28" t="str">
        <x:v>SOURCE_DESCRIPTION_NOT_APPROVAL</x:v>
      </x:c>
      <x:c r="K28" t="str">
        <x:v>Chỉ khi được phép và có thông tin thật cho loại thành phần này; không tự sinh nội dung</x:v>
      </x:c>
      <x:c r="L28" t="str">
        <x:v>Mặc định ẩn khi không có điều kiện/căn cứ cho xuất hiện; không chèn tài liệu mật/dấu khẩn.</x:v>
      </x:c>
      <x:c r="M28"/>
      <x:c r="N28" t="str">
        <x:v>NĐ30, Phụ lục I, Phần I, III (Thể thức bổ sung)</x:v>
      </x:c>
      <x:c r="O28" t="str">
        <x:v>https://congbao.chinhphu.vn/van-ban/nghi-dinh-so-30-2020-nd-cp-30858/30246.htm</x:v>
      </x:c>
      <x:c r="P28" t="str">
        <x:v>PLUGIN:hoa-tieu-mien-bac-administrative-v1 | user_approved_visual_reference</x:v>
      </x:c>
      <x:c r="Q28" t="str">
        <x:v>CHECK_ONLY</x:v>
      </x:c>
      <x:c r="R28" t="str">
        <x:v>Kiểm tra từng thuộc tính có mặt; so sánh nguồn/role; không suy đoán từ kết quả render chưa có</x:v>
      </x:c>
      <x:c r="S28" t="str">
        <x:v>STRUCTURE_READ_EXISTING_WORKBOOK</x:v>
      </x:c>
      <x:c r="T28"/>
      <x:c r="U28" t="str">
        <x:v>Metadata + vùng trình bày có điều kiện; đánh giá thủ công trước sửa</x:v>
      </x:c>
    </x:row>
    <x:row r="29">
      <x:c r="A29" t="n">
        <x:v>28</x:v>
      </x:c>
      <x:c r="B29" t="str">
        <x:v>ND30.X.SOAN.SO_BAN.SO_BAN</x:v>
      </x:c>
      <x:c r="C29" t="str">
        <x:v>ND30.X.SOAN.SO_BAN</x:v>
      </x:c>
      <x:c r="D29" t="str">
        <x:v>X</x:v>
      </x:c>
      <x:c r="E29" t="str">
        <x:v>Số lượng bản phát hành</x:v>
      </x:c>
      <x:c r="F29" t="str">
        <x:v>SO_BAN</x:v>
      </x:c>
      <x:c r="G29"/>
      <x:c r="H29"/>
      <x:c r="I29" t="str">
        <x:v>UNVERIFIED_ATTRIBUTE</x:v>
      </x:c>
      <x:c r="J29" t="str">
        <x:v>BLOCKED_DOCUMENT_OR_AUTHORITY</x:v>
      </x:c>
      <x:c r="K29" t="str">
        <x:v>Chỉ khi được phép và có thông tin thật cho loại thành phần này; không tự sinh nội dung</x:v>
      </x:c>
      <x:c r="L29" t="str">
        <x:v>Mặc định ẩn khi không có điều kiện/căn cứ cho xuất hiện; không chèn tài liệu mật/dấu khẩn.</x:v>
      </x:c>
      <x:c r="M29"/>
      <x:c r="N29" t="str">
        <x:v>NĐ30, Phụ lục I, Phần I, III (Thể thức bổ sung)</x:v>
      </x:c>
      <x:c r="O29" t="str">
        <x:v>https://congbao.chinhphu.vn/van-ban/nghi-dinh-so-30-2020-nd-cp-30858/30246.htm</x:v>
      </x:c>
      <x:c r="P29" t="str">
        <x:v>PLUGIN:hoa-tieu-mien-bac-administrative-v1 | user_approved_visual_reference</x:v>
      </x:c>
      <x:c r="Q29" t="str">
        <x:v>CHECK_ONLY</x:v>
      </x:c>
      <x:c r="R29" t="str">
        <x:v>Kiểm tra từng thuộc tính có mặt; so sánh nguồn/role; không suy đoán từ kết quả render chưa có</x:v>
      </x:c>
      <x:c r="S29" t="str">
        <x:v>RULE_INFERENCE_NOT_MEASURED</x:v>
      </x:c>
      <x:c r="T29" t="str">
        <x:v>Xác minh căn cứ theo loại văn bản / tài liệu phát hành hoặc phê duyệt</x:v>
      </x:c>
      <x:c r="U29" t="str">
        <x:v>Metadata + vùng trình bày có điều kiện; đánh giá thủ công trước sửa</x:v>
      </x:c>
    </x:row>
    <x:row r="30">
      <x:c r="A30" t="n">
        <x:v>29</x:v>
      </x:c>
      <x:c r="B30" t="str">
        <x:v>ND30.X.SOAN.SO_BAN.CO_CHU</x:v>
      </x:c>
      <x:c r="C30" t="str">
        <x:v>ND30.X.SOAN.SO_BAN</x:v>
      </x:c>
      <x:c r="D30" t="str">
        <x:v>X</x:v>
      </x:c>
      <x:c r="E30" t="str">
        <x:v>Số lượng bản phát hành</x:v>
      </x:c>
      <x:c r="F30" t="str">
        <x:v>CO_CHU</x:v>
      </x:c>
      <x:c r="G30" t="n">
        <x:v>11</x:v>
      </x:c>
      <x:c r="H30"/>
      <x:c r="I30" t="str">
        <x:v>UNVERIFIED_ATTRIBUTE</x:v>
      </x:c>
      <x:c r="J30" t="str">
        <x:v>PROFILE_PRESET_UNAPPROVED</x:v>
      </x:c>
      <x:c r="K30" t="str">
        <x:v>Chỉ khi được phép và có thông tin thật cho loại thành phần này; không tự sinh nội dung</x:v>
      </x:c>
      <x:c r="L30" t="str">
        <x:v>Mặc định ẩn khi không có điều kiện/căn cứ cho xuất hiện; không chèn tài liệu mật/dấu khẩn.</x:v>
      </x:c>
      <x:c r="M30" t="str">
        <x:v>pt</x:v>
      </x:c>
      <x:c r="N30" t="str">
        <x:v>NĐ30, Phụ lục I, Phần I, III (Thể thức bổ sung)</x:v>
      </x:c>
      <x:c r="O30" t="str">
        <x:v>https://congbao.chinhphu.vn/van-ban/nghi-dinh-so-30-2020-nd-cp-30858/30246.htm</x:v>
      </x:c>
      <x:c r="P30" t="str">
        <x:v>PLUGIN:hoa-tieu-mien-bac-administrative-v1 | user_approved_visual_reference</x:v>
      </x:c>
      <x:c r="Q30" t="str">
        <x:v>CHECK_ONLY</x:v>
      </x:c>
      <x:c r="R30" t="str">
        <x:v>Kiểm tra từng thuộc tính có mặt; so sánh nguồn/role; không suy đoán từ kết quả render chưa có</x:v>
      </x:c>
      <x:c r="S30" t="str">
        <x:v>STRUCTURE_READ_EXISTING_WORKBOOK</x:v>
      </x:c>
      <x:c r="T30"/>
      <x:c r="U30" t="str">
        <x:v>Metadata + vùng trình bày có điều kiện; đánh giá thủ công trước sửa</x:v>
      </x:c>
    </x:row>
    <x:row r="31">
      <x:c r="A31" t="n">
        <x:v>30</x:v>
      </x:c>
      <x:c r="B31" t="str">
        <x:v>ND30.X.SOAN.SO_BAN.VI_TRI</x:v>
      </x:c>
      <x:c r="C31" t="str">
        <x:v>ND30.X.SOAN.SO_BAN</x:v>
      </x:c>
      <x:c r="D31" t="str">
        <x:v>X</x:v>
      </x:c>
      <x:c r="E31" t="str">
        <x:v>Số lượng bản phát hành</x:v>
      </x:c>
      <x:c r="F31" t="str">
        <x:v>VI_TRI</x:v>
      </x:c>
      <x:c r="G31"/>
      <x:c r="H31"/>
      <x:c r="I31" t="str">
        <x:v>UNVERIFIED_ATTRIBUTE</x:v>
      </x:c>
      <x:c r="J31" t="str">
        <x:v>BLOCKED_NO_ATTRIBUTE_VALUE</x:v>
      </x:c>
      <x:c r="K31" t="str">
        <x:v>Chỉ khi được phép và có thông tin thật cho loại thành phần này; không tự sinh nội dung</x:v>
      </x:c>
      <x:c r="L31" t="str">
        <x:v>Mặc định ẩn khi không có điều kiện/căn cứ cho xuất hiện; không chèn tài liệu mật/dấu khẩn.</x:v>
      </x:c>
      <x:c r="M31"/>
      <x:c r="N31" t="str">
        <x:v>NĐ30, Phụ lục I, Phần I, III (Thể thức bổ sung)</x:v>
      </x:c>
      <x:c r="O31" t="str">
        <x:v>https://congbao.chinhphu.vn/van-ban/nghi-dinh-so-30-2020-nd-cp-30858/30246.htm</x:v>
      </x:c>
      <x:c r="P31" t="str">
        <x:v>PLUGIN:hoa-tieu-mien-bac-administrative-v1 | user_approved_visual_reference</x:v>
      </x:c>
      <x:c r="Q31" t="str">
        <x:v>CHECK_ONLY</x:v>
      </x:c>
      <x:c r="R31" t="str">
        <x:v>Kiểm tra từng thuộc tính có mặt; so sánh nguồn/role; không suy đoán từ kết quả render chưa có</x:v>
      </x:c>
      <x:c r="S31" t="str">
        <x:v>RULE_INFERENCE_NOT_MEASURED</x:v>
      </x:c>
      <x:c r="T31" t="str">
        <x:v>Xác minh căn cứ theo loại văn bản / tài liệu phát hành hoặc phê duyệt</x:v>
      </x:c>
      <x:c r="U31" t="str">
        <x:v>Metadata + vùng trình bày có điều kiện; đánh giá thủ công trước sửa</x:v>
      </x:c>
    </x:row>
    <x:row r="32">
      <x:c r="A32" t="n">
        <x:v>31</x:v>
      </x:c>
      <x:c r="B32" t="str">
        <x:v>ND30.X.LIEN_HE.DIA_CHI.HIEN_DIEN</x:v>
      </x:c>
      <x:c r="C32" t="str">
        <x:v>ND30.X.LIEN_HE.DIA_CHI</x:v>
      </x:c>
      <x:c r="D32" t="str">
        <x:v>X</x:v>
      </x:c>
      <x:c r="E32" t="str">
        <x:v>Địa chỉ liên hệ</x:v>
      </x:c>
      <x:c r="F32" t="str">
        <x:v>HIEN_DIEN</x:v>
      </x:c>
      <x:c r="G32" t="str">
        <x:v>Chỉ khi đủ chứng cứ/được phép hiện diện; không tự chèn giá trị</x:v>
      </x:c>
      <x:c r="H32"/>
      <x:c r="I32" t="str">
        <x:v>UNVERIFIED_ATTRIBUTE</x:v>
      </x:c>
      <x:c r="J32" t="str">
        <x:v>BLOCKED_CURRENT_CONTACT_OR_DISPLAY_AUTHORIZATION</x:v>
      </x:c>
      <x:c r="K32" t="str">
        <x:v>Mặc định không hiển thị; chỉ khi có chỉ dẫn cụ thể của văn bản đối ngoại và đã xác minh thông tin hiện hành</x:v>
      </x:c>
      <x:c r="L32" t="str">
        <x:v>Mặc định ẩn khi không có điều kiện/căn cứ cho xuất hiện; không chèn tài liệu mật/dấu khẩn.</x:v>
      </x:c>
      <x:c r="M32"/>
      <x:c r="N32" t="str">
        <x:v>NĐ30, Phụ lục I, Phần I, III (Thể thức bổ sung)</x:v>
      </x:c>
      <x:c r="O32" t="str">
        <x:v>https://congbao.chinhphu.vn/van-ban/nghi-dinh-so-30-2020-nd-cp-30858/30246.htm</x:v>
      </x:c>
      <x:c r="P32" t="str">
        <x:v>https://www.pilotconorth.com/lien-he | Người dùng chốt trong trao đổi 29/10/2026; PROFILE NỘI BỘ; chưa có văn bản phê duyệt doanh nghiệp</x:v>
      </x:c>
      <x:c r="Q32" t="str">
        <x:v>CHECK_ONLY</x:v>
      </x:c>
      <x:c r="R32" t="str">
        <x:v>Kiểm tra từng thuộc tính có mặt; so sánh nguồn/role; không suy đoán từ kết quả render chưa có</x:v>
      </x:c>
      <x:c r="S32" t="str">
        <x:v>STRUCTURE_READ_EXISTING_WORKBOOK</x:v>
      </x:c>
      <x:c r="T32" t="str">
        <x:v>Xác minh căn cứ theo loại văn bản / tài liệu phát hành hoặc phê duyệt</x:v>
      </x:c>
      <x:c r="U32" t="str">
        <x:v>Paragraph/contact block; preserve hyperlink and text</x:v>
      </x:c>
    </x:row>
    <x:row r="33">
      <x:c r="A33" t="n">
        <x:v>32</x:v>
      </x:c>
      <x:c r="B33" t="str">
        <x:v>ND30.X.LIEN_HE.DIA_CHI.THONG_TIN</x:v>
      </x:c>
      <x:c r="C33" t="str">
        <x:v>ND30.X.LIEN_HE.DIA_CHI</x:v>
      </x:c>
      <x:c r="D33" t="str">
        <x:v>X</x:v>
      </x:c>
      <x:c r="E33" t="str">
        <x:v>Địa chỉ liên hệ</x:v>
      </x:c>
      <x:c r="F33" t="str">
        <x:v>THONG_TIN</x:v>
      </x:c>
      <x:c r="G33" t="str">
        <x:v>Tầng 12 và 14, Tòa nhà CATBI PLAZA, số 1A Lê Hồng Phong, TP. Hải Phòng</x:v>
      </x:c>
      <x:c r="H33"/>
      <x:c r="I33" t="str">
        <x:v>UNVERIFIED_ATTRIBUTE</x:v>
      </x:c>
      <x:c r="J33" t="str">
        <x:v>BLOCKED_CURRENT_CONTACT_OR_DISPLAY_AUTHORIZATION</x:v>
      </x:c>
      <x:c r="K33" t="str">
        <x:v>Mặc định không hiển thị; chỉ khi có chỉ dẫn cụ thể của văn bản đối ngoại và đã xác minh thông tin hiện hành</x:v>
      </x:c>
      <x:c r="L33" t="str">
        <x:v>Mặc định ẩn khi không có điều kiện/căn cứ cho xuất hiện; không chèn tài liệu mật/dấu khẩn.</x:v>
      </x:c>
      <x:c r="M33"/>
      <x:c r="N33" t="str">
        <x:v>NĐ30, Phụ lục I, Phần I, III (Thể thức bổ sung)</x:v>
      </x:c>
      <x:c r="O33" t="str">
        <x:v>https://congbao.chinhphu.vn/van-ban/nghi-dinh-so-30-2020-nd-cp-30858/30246.htm</x:v>
      </x:c>
      <x:c r="P33" t="str">
        <x:v>https://www.pilotconorth.com/lien-he | Người dùng chốt trong trao đổi 29/10/2026; PROFILE NỘI BỘ; chưa có văn bản phê duyệt doanh nghiệp</x:v>
      </x:c>
      <x:c r="Q33" t="str">
        <x:v>CHECK_ONLY</x:v>
      </x:c>
      <x:c r="R33" t="str">
        <x:v>Kiểm tra từng thuộc tính có mặt; so sánh nguồn/role; không suy đoán từ kết quả render chưa có</x:v>
      </x:c>
      <x:c r="S33" t="str">
        <x:v>STRUCTURE_READ_EXISTING_WORKBOOK</x:v>
      </x:c>
      <x:c r="T33" t="str">
        <x:v>Xác minh căn cứ theo loại văn bản / tài liệu phát hành hoặc phê duyệt</x:v>
      </x:c>
      <x:c r="U33" t="str">
        <x:v>Paragraph/contact block; preserve hyperlink and text</x:v>
      </x:c>
    </x:row>
    <x:row r="34">
      <x:c r="A34" t="n">
        <x:v>33</x:v>
      </x:c>
      <x:c r="B34" t="str">
        <x:v>ND30.X.LIEN_HE.DIA_CHI.TRANG_THAI_HIEN_THI</x:v>
      </x:c>
      <x:c r="C34" t="str">
        <x:v>ND30.X.LIEN_HE.DIA_CHI</x:v>
      </x:c>
      <x:c r="D34" t="str">
        <x:v>X</x:v>
      </x:c>
      <x:c r="E34" t="str">
        <x:v>Địa chỉ liên hệ</x:v>
      </x:c>
      <x:c r="F34" t="str">
        <x:v>TRANG_THAI_HIEN_THI</x:v>
      </x:c>
      <x:c r="G34"/>
      <x:c r="H34"/>
      <x:c r="I34" t="str">
        <x:v>UNVERIFIED_ATTRIBUTE</x:v>
      </x:c>
      <x:c r="J34" t="str">
        <x:v>BLOCKED_CURRENT_CONTACT_OR_DISPLAY_AUTHORIZATION</x:v>
      </x:c>
      <x:c r="K34" t="str">
        <x:v>Mặc định không hiển thị; chỉ khi có chỉ dẫn cụ thể của văn bản đối ngoại và đã xác minh thông tin hiện hành</x:v>
      </x:c>
      <x:c r="L34" t="str">
        <x:v>Mặc định ẩn khi không có điều kiện/căn cứ cho xuất hiện; không chèn tài liệu mật/dấu khẩn.</x:v>
      </x:c>
      <x:c r="M34"/>
      <x:c r="N34" t="str">
        <x:v>NĐ30, Phụ lục I, Phần I, III (Thể thức bổ sung)</x:v>
      </x:c>
      <x:c r="O34" t="str">
        <x:v>https://congbao.chinhphu.vn/van-ban/nghi-dinh-so-30-2020-nd-cp-30858/30246.htm</x:v>
      </x:c>
      <x:c r="P34" t="str">
        <x:v>https://www.pilotconorth.com/lien-he | Người dùng chốt trong trao đổi 29/10/2026; PROFILE NỘI BỘ; chưa có văn bản phê duyệt doanh nghiệp</x:v>
      </x:c>
      <x:c r="Q34" t="str">
        <x:v>CHECK_ONLY</x:v>
      </x:c>
      <x:c r="R34" t="str">
        <x:v>Kiểm tra từng thuộc tính có mặt; so sánh nguồn/role; không suy đoán từ kết quả render chưa có</x:v>
      </x:c>
      <x:c r="S34" t="str">
        <x:v>RULE_INFERENCE_NOT_MEASURED</x:v>
      </x:c>
      <x:c r="T34" t="str">
        <x:v>Xác minh căn cứ theo loại văn bản / tài liệu phát hành hoặc phê duyệt</x:v>
      </x:c>
      <x:c r="U34" t="str">
        <x:v>Paragraph/contact block; preserve hyperlink and text</x:v>
      </x:c>
    </x:row>
    <x:row r="35">
      <x:c r="A35" t="n">
        <x:v>34</x:v>
      </x:c>
      <x:c r="B35" t="str">
        <x:v>ND30.X.LIEN_HE.DIA_CHI.VI_TRI</x:v>
      </x:c>
      <x:c r="C35" t="str">
        <x:v>ND30.X.LIEN_HE.DIA_CHI</x:v>
      </x:c>
      <x:c r="D35" t="str">
        <x:v>X</x:v>
      </x:c>
      <x:c r="E35" t="str">
        <x:v>Địa chỉ liên hệ</x:v>
      </x:c>
      <x:c r="F35" t="str">
        <x:v>VI_TRI</x:v>
      </x:c>
      <x:c r="G35"/>
      <x:c r="H35"/>
      <x:c r="I35" t="str">
        <x:v>UNVERIFIED_ATTRIBUTE</x:v>
      </x:c>
      <x:c r="J35" t="str">
        <x:v>BLOCKED_CURRENT_CONTACT_OR_DISPLAY_AUTHORIZATION</x:v>
      </x:c>
      <x:c r="K35" t="str">
        <x:v>Mặc định không hiển thị; chỉ khi có chỉ dẫn cụ thể của văn bản đối ngoại và đã xác minh thông tin hiện hành</x:v>
      </x:c>
      <x:c r="L35" t="str">
        <x:v>Mặc định ẩn khi không có điều kiện/căn cứ cho xuất hiện; không chèn tài liệu mật/dấu khẩn.</x:v>
      </x:c>
      <x:c r="M35"/>
      <x:c r="N35" t="str">
        <x:v>NĐ30, Phụ lục I, Phần I, III (Thể thức bổ sung)</x:v>
      </x:c>
      <x:c r="O35" t="str">
        <x:v>https://congbao.chinhphu.vn/van-ban/nghi-dinh-so-30-2020-nd-cp-30858/30246.htm</x:v>
      </x:c>
      <x:c r="P35" t="str">
        <x:v>https://www.pilotconorth.com/lien-he | Người dùng chốt trong trao đổi 29/10/2026; PROFILE NỘI BỘ; chưa có văn bản phê duyệt doanh nghiệp</x:v>
      </x:c>
      <x:c r="Q35" t="str">
        <x:v>CHECK_ONLY</x:v>
      </x:c>
      <x:c r="R35" t="str">
        <x:v>Kiểm tra từng thuộc tính có mặt; so sánh nguồn/role; không suy đoán từ kết quả render chưa có</x:v>
      </x:c>
      <x:c r="S35" t="str">
        <x:v>RULE_INFERENCE_NOT_MEASURED</x:v>
      </x:c>
      <x:c r="T35" t="str">
        <x:v>Xác minh căn cứ theo loại văn bản / tài liệu phát hành hoặc phê duyệt</x:v>
      </x:c>
      <x:c r="U35" t="str">
        <x:v>Paragraph/contact block; preserve hyperlink and text</x:v>
      </x:c>
    </x:row>
    <x:row r="36">
      <x:c r="A36" t="n">
        <x:v>35</x:v>
      </x:c>
      <x:c r="B36" t="str">
        <x:v>ND30.X.LIEN_HE.EMAIL.HIEN_DIEN</x:v>
      </x:c>
      <x:c r="C36" t="str">
        <x:v>ND30.X.LIEN_HE.EMAIL</x:v>
      </x:c>
      <x:c r="D36" t="str">
        <x:v>X</x:v>
      </x:c>
      <x:c r="E36" t="str">
        <x:v>Email</x:v>
      </x:c>
      <x:c r="F36" t="str">
        <x:v>HIEN_DIEN</x:v>
      </x:c>
      <x:c r="G36" t="str">
        <x:v>Chỉ khi đủ chứng cứ/được phép hiện diện; không tự chèn giá trị</x:v>
      </x:c>
      <x:c r="H36"/>
      <x:c r="I36" t="str">
        <x:v>UNVERIFIED_ATTRIBUTE</x:v>
      </x:c>
      <x:c r="J36" t="str">
        <x:v>BLOCKED_CURRENT_CONTACT_OR_DISPLAY_AUTHORIZATION</x:v>
      </x:c>
      <x:c r="K36" t="str">
        <x:v>Mặc định không hiển thị; chỉ khi có chỉ dẫn cụ thể của văn bản đối ngoại và đã xác minh thông tin hiện hành</x:v>
      </x:c>
      <x:c r="L36" t="str">
        <x:v>Mặc định ẩn khi không có điều kiện/căn cứ cho xuất hiện; không chèn tài liệu mật/dấu khẩn.</x:v>
      </x:c>
      <x:c r="M36"/>
      <x:c r="N36" t="str">
        <x:v>NĐ30, Phụ lục I, Phần I, III (Thể thức bổ sung)</x:v>
      </x:c>
      <x:c r="O36" t="str">
        <x:v>https://congbao.chinhphu.vn/van-ban/nghi-dinh-so-30-2020-nd-cp-30858/30246.htm</x:v>
      </x:c>
      <x:c r="P36" t="str">
        <x:v>https://www.pilotconorth.com/lien-he | Người dùng chốt trong trao đổi 29/10/2026; PROFILE NỘI BỘ; chưa có văn bản phê duyệt doanh nghiệp</x:v>
      </x:c>
      <x:c r="Q36" t="str">
        <x:v>CHECK_ONLY</x:v>
      </x:c>
      <x:c r="R36" t="str">
        <x:v>Kiểm tra từng thuộc tính có mặt; so sánh nguồn/role; không suy đoán từ kết quả render chưa có</x:v>
      </x:c>
      <x:c r="S36" t="str">
        <x:v>STRUCTURE_READ_EXISTING_WORKBOOK</x:v>
      </x:c>
      <x:c r="T36" t="str">
        <x:v>Xác minh căn cứ theo loại văn bản / tài liệu phát hành hoặc phê duyệt</x:v>
      </x:c>
      <x:c r="U36" t="str">
        <x:v>Paragraph/contact block; preserve hyperlink and text</x:v>
      </x:c>
    </x:row>
    <x:row r="37">
      <x:c r="A37" t="n">
        <x:v>36</x:v>
      </x:c>
      <x:c r="B37" t="str">
        <x:v>ND30.X.LIEN_HE.EMAIL.THONG_TIN</x:v>
      </x:c>
      <x:c r="C37" t="str">
        <x:v>ND30.X.LIEN_HE.EMAIL</x:v>
      </x:c>
      <x:c r="D37" t="str">
        <x:v>X</x:v>
      </x:c>
      <x:c r="E37" t="str">
        <x:v>Email</x:v>
      </x:c>
      <x:c r="F37" t="str">
        <x:v>THONG_TIN</x:v>
      </x:c>
      <x:c r="G37" t="str">
        <x:v>congtyhoatieumienbac@vnn.vn</x:v>
      </x:c>
      <x:c r="H37"/>
      <x:c r="I37" t="str">
        <x:v>UNVERIFIED_ATTRIBUTE</x:v>
      </x:c>
      <x:c r="J37" t="str">
        <x:v>BLOCKED_CURRENT_CONTACT_OR_DISPLAY_AUTHORIZATION</x:v>
      </x:c>
      <x:c r="K37" t="str">
        <x:v>Mặc định không hiển thị; chỉ khi có chỉ dẫn cụ thể của văn bản đối ngoại và đã xác minh thông tin hiện hành</x:v>
      </x:c>
      <x:c r="L37" t="str">
        <x:v>Mặc định ẩn khi không có điều kiện/căn cứ cho xuất hiện; không chèn tài liệu mật/dấu khẩn.</x:v>
      </x:c>
      <x:c r="M37"/>
      <x:c r="N37" t="str">
        <x:v>NĐ30, Phụ lục I, Phần I, III (Thể thức bổ sung)</x:v>
      </x:c>
      <x:c r="O37" t="str">
        <x:v>https://congbao.chinhphu.vn/van-ban/nghi-dinh-so-30-2020-nd-cp-30858/30246.htm</x:v>
      </x:c>
      <x:c r="P37" t="str">
        <x:v>https://www.pilotconorth.com/lien-he | Người dùng chốt trong trao đổi 29/10/2026; PROFILE NỘI BỘ; chưa có văn bản phê duyệt doanh nghiệp</x:v>
      </x:c>
      <x:c r="Q37" t="str">
        <x:v>CHECK_ONLY</x:v>
      </x:c>
      <x:c r="R37" t="str">
        <x:v>Kiểm tra từng thuộc tính có mặt; so sánh nguồn/role; không suy đoán từ kết quả render chưa có</x:v>
      </x:c>
      <x:c r="S37" t="str">
        <x:v>STRUCTURE_READ_EXISTING_WORKBOOK</x:v>
      </x:c>
      <x:c r="T37" t="str">
        <x:v>Xác minh căn cứ theo loại văn bản / tài liệu phát hành hoặc phê duyệt</x:v>
      </x:c>
      <x:c r="U37" t="str">
        <x:v>Paragraph/contact block; preserve hyperlink and text</x:v>
      </x:c>
    </x:row>
    <x:row r="38">
      <x:c r="A38" t="n">
        <x:v>37</x:v>
      </x:c>
      <x:c r="B38" t="str">
        <x:v>ND30.X.LIEN_HE.EMAIL.TRANG_THAI_HIEN_THI</x:v>
      </x:c>
      <x:c r="C38" t="str">
        <x:v>ND30.X.LIEN_HE.EMAIL</x:v>
      </x:c>
      <x:c r="D38" t="str">
        <x:v>X</x:v>
      </x:c>
      <x:c r="E38" t="str">
        <x:v>Email</x:v>
      </x:c>
      <x:c r="F38" t="str">
        <x:v>TRANG_THAI_HIEN_THI</x:v>
      </x:c>
      <x:c r="G38"/>
      <x:c r="H38"/>
      <x:c r="I38" t="str">
        <x:v>UNVERIFIED_ATTRIBUTE</x:v>
      </x:c>
      <x:c r="J38" t="str">
        <x:v>BLOCKED_CURRENT_CONTACT_OR_DISPLAY_AUTHORIZATION</x:v>
      </x:c>
      <x:c r="K38" t="str">
        <x:v>Mặc định không hiển thị; chỉ khi có chỉ dẫn cụ thể của văn bản đối ngoại và đã xác minh thông tin hiện hành</x:v>
      </x:c>
      <x:c r="L38" t="str">
        <x:v>Mặc định ẩn khi không có điều kiện/căn cứ cho xuất hiện; không chèn tài liệu mật/dấu khẩn.</x:v>
      </x:c>
      <x:c r="M38"/>
      <x:c r="N38" t="str">
        <x:v>NĐ30, Phụ lục I, Phần I, III (Thể thức bổ sung)</x:v>
      </x:c>
      <x:c r="O38" t="str">
        <x:v>https://congbao.chinhphu.vn/van-ban/nghi-dinh-so-30-2020-nd-cp-30858/30246.htm</x:v>
      </x:c>
      <x:c r="P38" t="str">
        <x:v>https://www.pilotconorth.com/lien-he | Người dùng chốt trong trao đổi 29/10/2026; PROFILE NỘI BỘ; chưa có văn bản phê duyệt doanh nghiệp</x:v>
      </x:c>
      <x:c r="Q38" t="str">
        <x:v>CHECK_ONLY</x:v>
      </x:c>
      <x:c r="R38" t="str">
        <x:v>Kiểm tra từng thuộc tính có mặt; so sánh nguồn/role; không suy đoán từ kết quả render chưa có</x:v>
      </x:c>
      <x:c r="S38" t="str">
        <x:v>RULE_INFERENCE_NOT_MEASURED</x:v>
      </x:c>
      <x:c r="T38" t="str">
        <x:v>Xác minh căn cứ theo loại văn bản / tài liệu phát hành hoặc phê duyệt</x:v>
      </x:c>
      <x:c r="U38" t="str">
        <x:v>Paragraph/contact block; preserve hyperlink and text</x:v>
      </x:c>
    </x:row>
    <x:row r="39">
      <x:c r="A39" t="n">
        <x:v>38</x:v>
      </x:c>
      <x:c r="B39" t="str">
        <x:v>ND30.X.LIEN_HE.EMAIL.VI_TRI</x:v>
      </x:c>
      <x:c r="C39" t="str">
        <x:v>ND30.X.LIEN_HE.EMAIL</x:v>
      </x:c>
      <x:c r="D39" t="str">
        <x:v>X</x:v>
      </x:c>
      <x:c r="E39" t="str">
        <x:v>Email</x:v>
      </x:c>
      <x:c r="F39" t="str">
        <x:v>VI_TRI</x:v>
      </x:c>
      <x:c r="G39"/>
      <x:c r="H39"/>
      <x:c r="I39" t="str">
        <x:v>UNVERIFIED_ATTRIBUTE</x:v>
      </x:c>
      <x:c r="J39" t="str">
        <x:v>BLOCKED_CURRENT_CONTACT_OR_DISPLAY_AUTHORIZATION</x:v>
      </x:c>
      <x:c r="K39" t="str">
        <x:v>Mặc định không hiển thị; chỉ khi có chỉ dẫn cụ thể của văn bản đối ngoại và đã xác minh thông tin hiện hành</x:v>
      </x:c>
      <x:c r="L39" t="str">
        <x:v>Mặc định ẩn khi không có điều kiện/căn cứ cho xuất hiện; không chèn tài liệu mật/dấu khẩn.</x:v>
      </x:c>
      <x:c r="M39"/>
      <x:c r="N39" t="str">
        <x:v>NĐ30, Phụ lục I, Phần I, III (Thể thức bổ sung)</x:v>
      </x:c>
      <x:c r="O39" t="str">
        <x:v>https://congbao.chinhphu.vn/van-ban/nghi-dinh-so-30-2020-nd-cp-30858/30246.htm</x:v>
      </x:c>
      <x:c r="P39" t="str">
        <x:v>https://www.pilotconorth.com/lien-he | Người dùng chốt trong trao đổi 29/10/2026; PROFILE NỘI BỘ; chưa có văn bản phê duyệt doanh nghiệp</x:v>
      </x:c>
      <x:c r="Q39" t="str">
        <x:v>CHECK_ONLY</x:v>
      </x:c>
      <x:c r="R39" t="str">
        <x:v>Kiểm tra từng thuộc tính có mặt; so sánh nguồn/role; không suy đoán từ kết quả render chưa có</x:v>
      </x:c>
      <x:c r="S39" t="str">
        <x:v>RULE_INFERENCE_NOT_MEASURED</x:v>
      </x:c>
      <x:c r="T39" t="str">
        <x:v>Xác minh căn cứ theo loại văn bản / tài liệu phát hành hoặc phê duyệt</x:v>
      </x:c>
      <x:c r="U39" t="str">
        <x:v>Paragraph/contact block; preserve hyperlink and text</x:v>
      </x:c>
    </x:row>
    <x:row r="40">
      <x:c r="A40" t="n">
        <x:v>39</x:v>
      </x:c>
      <x:c r="B40" t="str">
        <x:v>ND30.X.LIEN_HE.DIEN_THOAI.HIEN_DIEN</x:v>
      </x:c>
      <x:c r="C40" t="str">
        <x:v>ND30.X.LIEN_HE.DIEN_THOAI</x:v>
      </x:c>
      <x:c r="D40" t="str">
        <x:v>X</x:v>
      </x:c>
      <x:c r="E40" t="str">
        <x:v>Điện thoại</x:v>
      </x:c>
      <x:c r="F40" t="str">
        <x:v>HIEN_DIEN</x:v>
      </x:c>
      <x:c r="G40" t="str">
        <x:v>Chỉ khi đủ chứng cứ/được phép hiện diện; không tự chèn giá trị</x:v>
      </x:c>
      <x:c r="H40"/>
      <x:c r="I40" t="str">
        <x:v>UNVERIFIED_ATTRIBUTE</x:v>
      </x:c>
      <x:c r="J40" t="str">
        <x:v>BLOCKED_CURRENT_CONTACT_OR_DISPLAY_AUTHORIZATION</x:v>
      </x:c>
      <x:c r="K40" t="str">
        <x:v>Mặc định không hiển thị; chỉ khi có chỉ dẫn cụ thể của văn bản đối ngoại và đã xác minh thông tin hiện hành</x:v>
      </x:c>
      <x:c r="L40" t="str">
        <x:v>Mặc định ẩn khi không có điều kiện/căn cứ cho xuất hiện; không chèn tài liệu mật/dấu khẩn.</x:v>
      </x:c>
      <x:c r="M40"/>
      <x:c r="N40" t="str">
        <x:v>NĐ30, Phụ lục I, Phần I, III (Thể thức bổ sung)</x:v>
      </x:c>
      <x:c r="O40" t="str">
        <x:v>https://congbao.chinhphu.vn/van-ban/nghi-dinh-so-30-2020-nd-cp-30858/30246.htm</x:v>
      </x:c>
      <x:c r="P40" t="str">
        <x:v>https://www.pilotconorth.com/lien-he | Người dùng chốt trong trao đổi 29/10/2026; PROFILE NỘI BỘ; chưa có văn bản phê duyệt doanh nghiệp</x:v>
      </x:c>
      <x:c r="Q40" t="str">
        <x:v>CHECK_ONLY</x:v>
      </x:c>
      <x:c r="R40" t="str">
        <x:v>Kiểm tra từng thuộc tính có mặt; so sánh nguồn/role; không suy đoán từ kết quả render chưa có</x:v>
      </x:c>
      <x:c r="S40" t="str">
        <x:v>STRUCTURE_READ_EXISTING_WORKBOOK</x:v>
      </x:c>
      <x:c r="T40" t="str">
        <x:v>Xác minh căn cứ theo loại văn bản / tài liệu phát hành hoặc phê duyệt</x:v>
      </x:c>
      <x:c r="U40" t="str">
        <x:v>Paragraph/contact block; preserve hyperlink and text</x:v>
      </x:c>
    </x:row>
    <x:row r="41">
      <x:c r="A41" t="n">
        <x:v>40</x:v>
      </x:c>
      <x:c r="B41" t="str">
        <x:v>ND30.X.LIEN_HE.DIEN_THOAI.THONG_TIN</x:v>
      </x:c>
      <x:c r="C41" t="str">
        <x:v>ND30.X.LIEN_HE.DIEN_THOAI</x:v>
      </x:c>
      <x:c r="D41" t="str">
        <x:v>X</x:v>
      </x:c>
      <x:c r="E41" t="str">
        <x:v>Điện thoại</x:v>
      </x:c>
      <x:c r="F41" t="str">
        <x:v>THONG_TIN</x:v>
      </x:c>
      <x:c r="G41" t="str">
        <x:v>0225 3859133</x:v>
      </x:c>
      <x:c r="H41"/>
      <x:c r="I41" t="str">
        <x:v>UNVERIFIED_ATTRIBUTE</x:v>
      </x:c>
      <x:c r="J41" t="str">
        <x:v>BLOCKED_CURRENT_CONTACT_OR_DISPLAY_AUTHORIZATION</x:v>
      </x:c>
      <x:c r="K41" t="str">
        <x:v>Mặc định không hiển thị; chỉ khi có chỉ dẫn cụ thể của văn bản đối ngoại và đã xác minh thông tin hiện hành</x:v>
      </x:c>
      <x:c r="L41" t="str">
        <x:v>Mặc định ẩn khi không có điều kiện/căn cứ cho xuất hiện; không chèn tài liệu mật/dấu khẩn.</x:v>
      </x:c>
      <x:c r="M41"/>
      <x:c r="N41" t="str">
        <x:v>NĐ30, Phụ lục I, Phần I, III (Thể thức bổ sung)</x:v>
      </x:c>
      <x:c r="O41" t="str">
        <x:v>https://congbao.chinhphu.vn/van-ban/nghi-dinh-so-30-2020-nd-cp-30858/30246.htm</x:v>
      </x:c>
      <x:c r="P41" t="str">
        <x:v>https://www.pilotconorth.com/lien-he | Người dùng chốt trong trao đổi 29/10/2026; PROFILE NỘI BỘ; chưa có văn bản phê duyệt doanh nghiệp</x:v>
      </x:c>
      <x:c r="Q41" t="str">
        <x:v>CHECK_ONLY</x:v>
      </x:c>
      <x:c r="R41" t="str">
        <x:v>Kiểm tra từng thuộc tính có mặt; so sánh nguồn/role; không suy đoán từ kết quả render chưa có</x:v>
      </x:c>
      <x:c r="S41" t="str">
        <x:v>STRUCTURE_READ_EXISTING_WORKBOOK</x:v>
      </x:c>
      <x:c r="T41" t="str">
        <x:v>Xác minh căn cứ theo loại văn bản / tài liệu phát hành hoặc phê duyệt</x:v>
      </x:c>
      <x:c r="U41" t="str">
        <x:v>Paragraph/contact block; preserve hyperlink and text</x:v>
      </x:c>
    </x:row>
    <x:row r="42">
      <x:c r="A42" t="n">
        <x:v>41</x:v>
      </x:c>
      <x:c r="B42" t="str">
        <x:v>ND30.X.LIEN_HE.DIEN_THOAI.TRANG_THAI_HIEN_THI</x:v>
      </x:c>
      <x:c r="C42" t="str">
        <x:v>ND30.X.LIEN_HE.DIEN_THOAI</x:v>
      </x:c>
      <x:c r="D42" t="str">
        <x:v>X</x:v>
      </x:c>
      <x:c r="E42" t="str">
        <x:v>Điện thoại</x:v>
      </x:c>
      <x:c r="F42" t="str">
        <x:v>TRANG_THAI_HIEN_THI</x:v>
      </x:c>
      <x:c r="G42"/>
      <x:c r="H42"/>
      <x:c r="I42" t="str">
        <x:v>UNVERIFIED_ATTRIBUTE</x:v>
      </x:c>
      <x:c r="J42" t="str">
        <x:v>BLOCKED_CURRENT_CONTACT_OR_DISPLAY_AUTHORIZATION</x:v>
      </x:c>
      <x:c r="K42" t="str">
        <x:v>Mặc định không hiển thị; chỉ khi có chỉ dẫn cụ thể của văn bản đối ngoại và đã xác minh thông tin hiện hành</x:v>
      </x:c>
      <x:c r="L42" t="str">
        <x:v>Mặc định ẩn khi không có điều kiện/căn cứ cho xuất hiện; không chèn tài liệu mật/dấu khẩn.</x:v>
      </x:c>
      <x:c r="M42"/>
      <x:c r="N42" t="str">
        <x:v>NĐ30, Phụ lục I, Phần I, III (Thể thức bổ sung)</x:v>
      </x:c>
      <x:c r="O42" t="str">
        <x:v>https://congbao.chinhphu.vn/van-ban/nghi-dinh-so-30-2020-nd-cp-30858/30246.htm</x:v>
      </x:c>
      <x:c r="P42" t="str">
        <x:v>https://www.pilotconorth.com/lien-he | Người dùng chốt trong trao đổi 29/10/2026; PROFILE NỘI BỘ; chưa có văn bản phê duyệt doanh nghiệp</x:v>
      </x:c>
      <x:c r="Q42" t="str">
        <x:v>CHECK_ONLY</x:v>
      </x:c>
      <x:c r="R42" t="str">
        <x:v>Kiểm tra từng thuộc tính có mặt; so sánh nguồn/role; không suy đoán từ kết quả render chưa có</x:v>
      </x:c>
      <x:c r="S42" t="str">
        <x:v>RULE_INFERENCE_NOT_MEASURED</x:v>
      </x:c>
      <x:c r="T42" t="str">
        <x:v>Xác minh căn cứ theo loại văn bản / tài liệu phát hành hoặc phê duyệt</x:v>
      </x:c>
      <x:c r="U42" t="str">
        <x:v>Paragraph/contact block; preserve hyperlink and text</x:v>
      </x:c>
    </x:row>
    <x:row r="43">
      <x:c r="A43" t="n">
        <x:v>42</x:v>
      </x:c>
      <x:c r="B43" t="str">
        <x:v>ND30.X.LIEN_HE.DIEN_THOAI.VI_TRI</x:v>
      </x:c>
      <x:c r="C43" t="str">
        <x:v>ND30.X.LIEN_HE.DIEN_THOAI</x:v>
      </x:c>
      <x:c r="D43" t="str">
        <x:v>X</x:v>
      </x:c>
      <x:c r="E43" t="str">
        <x:v>Điện thoại</x:v>
      </x:c>
      <x:c r="F43" t="str">
        <x:v>VI_TRI</x:v>
      </x:c>
      <x:c r="G43"/>
      <x:c r="H43"/>
      <x:c r="I43" t="str">
        <x:v>UNVERIFIED_ATTRIBUTE</x:v>
      </x:c>
      <x:c r="J43" t="str">
        <x:v>BLOCKED_CURRENT_CONTACT_OR_DISPLAY_AUTHORIZATION</x:v>
      </x:c>
      <x:c r="K43" t="str">
        <x:v>Mặc định không hiển thị; chỉ khi có chỉ dẫn cụ thể của văn bản đối ngoại và đã xác minh thông tin hiện hành</x:v>
      </x:c>
      <x:c r="L43" t="str">
        <x:v>Mặc định ẩn khi không có điều kiện/căn cứ cho xuất hiện; không chèn tài liệu mật/dấu khẩn.</x:v>
      </x:c>
      <x:c r="M43"/>
      <x:c r="N43" t="str">
        <x:v>NĐ30, Phụ lục I, Phần I, III (Thể thức bổ sung)</x:v>
      </x:c>
      <x:c r="O43" t="str">
        <x:v>https://congbao.chinhphu.vn/van-ban/nghi-dinh-so-30-2020-nd-cp-30858/30246.htm</x:v>
      </x:c>
      <x:c r="P43" t="str">
        <x:v>https://www.pilotconorth.com/lien-he | Người dùng chốt trong trao đổi 29/10/2026; PROFILE NỘI BỘ; chưa có văn bản phê duyệt doanh nghiệp</x:v>
      </x:c>
      <x:c r="Q43" t="str">
        <x:v>CHECK_ONLY</x:v>
      </x:c>
      <x:c r="R43" t="str">
        <x:v>Kiểm tra từng thuộc tính có mặt; so sánh nguồn/role; không suy đoán từ kết quả render chưa có</x:v>
      </x:c>
      <x:c r="S43" t="str">
        <x:v>RULE_INFERENCE_NOT_MEASURED</x:v>
      </x:c>
      <x:c r="T43" t="str">
        <x:v>Xác minh căn cứ theo loại văn bản / tài liệu phát hành hoặc phê duyệt</x:v>
      </x:c>
      <x:c r="U43" t="str">
        <x:v>Paragraph/contact block; preserve hyperlink and text</x:v>
      </x:c>
    </x:row>
    <x:row r="44">
      <x:c r="A44" t="n">
        <x:v>43</x:v>
      </x:c>
      <x:c r="B44" t="str">
        <x:v>ND30.X.LIEN_HE.WEB.HIEN_DIEN</x:v>
      </x:c>
      <x:c r="C44" t="str">
        <x:v>ND30.X.LIEN_HE.WEB</x:v>
      </x:c>
      <x:c r="D44" t="str">
        <x:v>X</x:v>
      </x:c>
      <x:c r="E44" t="str">
        <x:v>Website</x:v>
      </x:c>
      <x:c r="F44" t="str">
        <x:v>HIEN_DIEN</x:v>
      </x:c>
      <x:c r="G44" t="str">
        <x:v>Chỉ khi đủ chứng cứ/được phép hiện diện; không tự chèn giá trị</x:v>
      </x:c>
      <x:c r="H44"/>
      <x:c r="I44" t="str">
        <x:v>UNVERIFIED_ATTRIBUTE</x:v>
      </x:c>
      <x:c r="J44" t="str">
        <x:v>BLOCKED_CURRENT_CONTACT_OR_DISPLAY_AUTHORIZATION</x:v>
      </x:c>
      <x:c r="K44" t="str">
        <x:v>Mặc định không hiển thị; chỉ khi có chỉ dẫn cụ thể của văn bản đối ngoại và đã xác minh thông tin hiện hành</x:v>
      </x:c>
      <x:c r="L44" t="str">
        <x:v>Mặc định ẩn khi không có điều kiện/căn cứ cho xuất hiện; không chèn tài liệu mật/dấu khẩn.</x:v>
      </x:c>
      <x:c r="M44"/>
      <x:c r="N44" t="str">
        <x:v>NĐ30, Phụ lục I, Phần I, III (Thể thức bổ sung)</x:v>
      </x:c>
      <x:c r="O44" t="str">
        <x:v>https://congbao.chinhphu.vn/van-ban/nghi-dinh-so-30-2020-nd-cp-30858/30246.htm</x:v>
      </x:c>
      <x:c r="P44" t="str">
        <x:v>https://www.pilotconorth.com/lien-he | Người dùng chốt trong trao đổi 29/10/2026; PROFILE NỘI BỘ; chưa có văn bản phê duyệt doanh nghiệp</x:v>
      </x:c>
      <x:c r="Q44" t="str">
        <x:v>CHECK_ONLY</x:v>
      </x:c>
      <x:c r="R44" t="str">
        <x:v>Kiểm tra từng thuộc tính có mặt; so sánh nguồn/role; không suy đoán từ kết quả render chưa có</x:v>
      </x:c>
      <x:c r="S44" t="str">
        <x:v>STRUCTURE_READ_EXISTING_WORKBOOK</x:v>
      </x:c>
      <x:c r="T44" t="str">
        <x:v>Xác minh căn cứ theo loại văn bản / tài liệu phát hành hoặc phê duyệt</x:v>
      </x:c>
      <x:c r="U44" t="str">
        <x:v>Paragraph/contact block; preserve hyperlink and text</x:v>
      </x:c>
    </x:row>
    <x:row r="45">
      <x:c r="A45" t="n">
        <x:v>44</x:v>
      </x:c>
      <x:c r="B45" t="str">
        <x:v>ND30.X.LIEN_HE.WEB.THONG_TIN</x:v>
      </x:c>
      <x:c r="C45" t="str">
        <x:v>ND30.X.LIEN_HE.WEB</x:v>
      </x:c>
      <x:c r="D45" t="str">
        <x:v>X</x:v>
      </x:c>
      <x:c r="E45" t="str">
        <x:v>Website</x:v>
      </x:c>
      <x:c r="F45" t="str">
        <x:v>THONG_TIN</x:v>
      </x:c>
      <x:c r="G45" t="str">
        <x:v>https://www.pilotconorth.com</x:v>
      </x:c>
      <x:c r="H45"/>
      <x:c r="I45" t="str">
        <x:v>UNVERIFIED_ATTRIBUTE</x:v>
      </x:c>
      <x:c r="J45" t="str">
        <x:v>BLOCKED_CURRENT_CONTACT_OR_DISPLAY_AUTHORIZATION</x:v>
      </x:c>
      <x:c r="K45" t="str">
        <x:v>Mặc định không hiển thị; chỉ khi có chỉ dẫn cụ thể của văn bản đối ngoại và đã xác minh thông tin hiện hành</x:v>
      </x:c>
      <x:c r="L45" t="str">
        <x:v>Mặc định ẩn khi không có điều kiện/căn cứ cho xuất hiện; không chèn tài liệu mật/dấu khẩn.</x:v>
      </x:c>
      <x:c r="M45"/>
      <x:c r="N45" t="str">
        <x:v>NĐ30, Phụ lục I, Phần I, III (Thể thức bổ sung)</x:v>
      </x:c>
      <x:c r="O45" t="str">
        <x:v>https://congbao.chinhphu.vn/van-ban/nghi-dinh-so-30-2020-nd-cp-30858/30246.htm</x:v>
      </x:c>
      <x:c r="P45" t="str">
        <x:v>https://www.pilotconorth.com/lien-he | Người dùng chốt trong trao đổi 29/10/2026; PROFILE NỘI BỘ; chưa có văn bản phê duyệt doanh nghiệp</x:v>
      </x:c>
      <x:c r="Q45" t="str">
        <x:v>CHECK_ONLY</x:v>
      </x:c>
      <x:c r="R45" t="str">
        <x:v>Kiểm tra từng thuộc tính có mặt; so sánh nguồn/role; không suy đoán từ kết quả render chưa có</x:v>
      </x:c>
      <x:c r="S45" t="str">
        <x:v>STRUCTURE_READ_EXISTING_WORKBOOK</x:v>
      </x:c>
      <x:c r="T45" t="str">
        <x:v>Xác minh căn cứ theo loại văn bản / tài liệu phát hành hoặc phê duyệt</x:v>
      </x:c>
      <x:c r="U45" t="str">
        <x:v>Paragraph/contact block; preserve hyperlink and text</x:v>
      </x:c>
    </x:row>
    <x:row r="46">
      <x:c r="A46" t="n">
        <x:v>45</x:v>
      </x:c>
      <x:c r="B46" t="str">
        <x:v>ND30.X.LIEN_HE.WEB.TRANG_THAI_HIEN_THI</x:v>
      </x:c>
      <x:c r="C46" t="str">
        <x:v>ND30.X.LIEN_HE.WEB</x:v>
      </x:c>
      <x:c r="D46" t="str">
        <x:v>X</x:v>
      </x:c>
      <x:c r="E46" t="str">
        <x:v>Website</x:v>
      </x:c>
      <x:c r="F46" t="str">
        <x:v>TRANG_THAI_HIEN_THI</x:v>
      </x:c>
      <x:c r="G46"/>
      <x:c r="H46"/>
      <x:c r="I46" t="str">
        <x:v>UNVERIFIED_ATTRIBUTE</x:v>
      </x:c>
      <x:c r="J46" t="str">
        <x:v>BLOCKED_CURRENT_CONTACT_OR_DISPLAY_AUTHORIZATION</x:v>
      </x:c>
      <x:c r="K46" t="str">
        <x:v>Mặc định không hiển thị; chỉ khi có chỉ dẫn cụ thể của văn bản đối ngoại và đã xác minh thông tin hiện hành</x:v>
      </x:c>
      <x:c r="L46" t="str">
        <x:v>Mặc định ẩn khi không có điều kiện/căn cứ cho xuất hiện; không chèn tài liệu mật/dấu khẩn.</x:v>
      </x:c>
      <x:c r="M46"/>
      <x:c r="N46" t="str">
        <x:v>NĐ30, Phụ lục I, Phần I, III (Thể thức bổ sung)</x:v>
      </x:c>
      <x:c r="O46" t="str">
        <x:v>https://congbao.chinhphu.vn/van-ban/nghi-dinh-so-30-2020-nd-cp-30858/30246.htm</x:v>
      </x:c>
      <x:c r="P46" t="str">
        <x:v>https://www.pilotconorth.com/lien-he | Người dùng chốt trong trao đổi 29/10/2026; PROFILE NỘI BỘ; chưa có văn bản phê duyệt doanh nghiệp</x:v>
      </x:c>
      <x:c r="Q46" t="str">
        <x:v>CHECK_ONLY</x:v>
      </x:c>
      <x:c r="R46" t="str">
        <x:v>Kiểm tra từng thuộc tính có mặt; so sánh nguồn/role; không suy đoán từ kết quả render chưa có</x:v>
      </x:c>
      <x:c r="S46" t="str">
        <x:v>RULE_INFERENCE_NOT_MEASURED</x:v>
      </x:c>
      <x:c r="T46" t="str">
        <x:v>Xác minh căn cứ theo loại văn bản / tài liệu phát hành hoặc phê duyệt</x:v>
      </x:c>
      <x:c r="U46" t="str">
        <x:v>Paragraph/contact block; preserve hyperlink and text</x:v>
      </x:c>
    </x:row>
    <x:row r="47">
      <x:c r="A47" t="n">
        <x:v>46</x:v>
      </x:c>
      <x:c r="B47" t="str">
        <x:v>ND30.X.LIEN_HE.WEB.VI_TRI</x:v>
      </x:c>
      <x:c r="C47" t="str">
        <x:v>ND30.X.LIEN_HE.WEB</x:v>
      </x:c>
      <x:c r="D47" t="str">
        <x:v>X</x:v>
      </x:c>
      <x:c r="E47" t="str">
        <x:v>Website</x:v>
      </x:c>
      <x:c r="F47" t="str">
        <x:v>VI_TRI</x:v>
      </x:c>
      <x:c r="G47"/>
      <x:c r="H47"/>
      <x:c r="I47" t="str">
        <x:v>UNVERIFIED_ATTRIBUTE</x:v>
      </x:c>
      <x:c r="J47" t="str">
        <x:v>BLOCKED_CURRENT_CONTACT_OR_DISPLAY_AUTHORIZATION</x:v>
      </x:c>
      <x:c r="K47" t="str">
        <x:v>Mặc định không hiển thị; chỉ khi có chỉ dẫn cụ thể của văn bản đối ngoại và đã xác minh thông tin hiện hành</x:v>
      </x:c>
      <x:c r="L47" t="str">
        <x:v>Mặc định ẩn khi không có điều kiện/căn cứ cho xuất hiện; không chèn tài liệu mật/dấu khẩn.</x:v>
      </x:c>
      <x:c r="M47"/>
      <x:c r="N47" t="str">
        <x:v>NĐ30, Phụ lục I, Phần I, III (Thể thức bổ sung)</x:v>
      </x:c>
      <x:c r="O47" t="str">
        <x:v>https://congbao.chinhphu.vn/van-ban/nghi-dinh-so-30-2020-nd-cp-30858/30246.htm</x:v>
      </x:c>
      <x:c r="P47" t="str">
        <x:v>https://www.pilotconorth.com/lien-he | Người dùng chốt trong trao đổi 29/10/2026; PROFILE NỘI BỘ; chưa có văn bản phê duyệt doanh nghiệp</x:v>
      </x:c>
      <x:c r="Q47" t="str">
        <x:v>CHECK_ONLY</x:v>
      </x:c>
      <x:c r="R47" t="str">
        <x:v>Kiểm tra từng thuộc tính có mặt; so sánh nguồn/role; không suy đoán từ kết quả render chưa có</x:v>
      </x:c>
      <x:c r="S47" t="str">
        <x:v>RULE_INFERENCE_NOT_MEASURED</x:v>
      </x:c>
      <x:c r="T47" t="str">
        <x:v>Xác minh căn cứ theo loại văn bản / tài liệu phát hành hoặc phê duyệt</x:v>
      </x:c>
      <x:c r="U47" t="str">
        <x:v>Paragraph/contact block; preserve hyperlink and text</x:v>
      </x:c>
    </x:row>
    <x:row r="48">
      <x:c r="A48" t="n">
        <x:v>47</x:v>
      </x:c>
      <x:c r="B48" t="str">
        <x:v>ND30.X.LIEN_HE.FAX.HIEN_DIEN</x:v>
      </x:c>
      <x:c r="C48" t="str">
        <x:v>ND30.X.LIEN_HE.FAX</x:v>
      </x:c>
      <x:c r="D48" t="str">
        <x:v>X</x:v>
      </x:c>
      <x:c r="E48" t="str">
        <x:v>Số fax</x:v>
      </x:c>
      <x:c r="F48" t="str">
        <x:v>HIEN_DIEN</x:v>
      </x:c>
      <x:c r="G48" t="str">
        <x:v>Chỉ khi đủ chứng cứ/được phép hiện diện; không tự chèn giá trị</x:v>
      </x:c>
      <x:c r="H48"/>
      <x:c r="I48" t="str">
        <x:v>UNVERIFIED_ATTRIBUTE</x:v>
      </x:c>
      <x:c r="J48" t="str">
        <x:v>BLOCKED_CURRENT_CONTACT_OR_DISPLAY_AUTHORIZATION</x:v>
      </x:c>
      <x:c r="K48" t="str">
        <x:v>Mặc định không hiển thị; chỉ khi có chỉ dẫn cụ thể của văn bản đối ngoại và đã xác minh thông tin hiện hành</x:v>
      </x:c>
      <x:c r="L48" t="str">
        <x:v>Mặc định ẩn khi không có điều kiện/căn cứ cho xuất hiện; không chèn tài liệu mật/dấu khẩn.</x:v>
      </x:c>
      <x:c r="M48"/>
      <x:c r="N48" t="str">
        <x:v>NĐ30, Phụ lục I, Phần I, III (Thể thức bổ sung)</x:v>
      </x:c>
      <x:c r="O48" t="str">
        <x:v>https://congbao.chinhphu.vn/van-ban/nghi-dinh-so-30-2020-nd-cp-30858/30246.htm</x:v>
      </x:c>
      <x:c r="P48" t="str">
        <x:v>https://www.pilotconorth.com/lien-he | Người dùng chốt trong trao đổi 29/10/2026; PROFILE NỘI BỘ; chưa có văn bản phê duyệt doanh nghiệp</x:v>
      </x:c>
      <x:c r="Q48" t="str">
        <x:v>CHECK_ONLY</x:v>
      </x:c>
      <x:c r="R48" t="str">
        <x:v>Kiểm tra từng thuộc tính có mặt; so sánh nguồn/role; không suy đoán từ kết quả render chưa có</x:v>
      </x:c>
      <x:c r="S48" t="str">
        <x:v>STRUCTURE_READ_EXISTING_WORKBOOK</x:v>
      </x:c>
      <x:c r="T48" t="str">
        <x:v>Xác minh căn cứ theo loại văn bản / tài liệu phát hành hoặc phê duyệt</x:v>
      </x:c>
      <x:c r="U48" t="str">
        <x:v>Paragraph/contact block; preserve hyperlink and text</x:v>
      </x:c>
    </x:row>
    <x:row r="49">
      <x:c r="A49" t="n">
        <x:v>48</x:v>
      </x:c>
      <x:c r="B49" t="str">
        <x:v>ND30.X.LIEN_HE.FAX.THONG_TIN</x:v>
      </x:c>
      <x:c r="C49" t="str">
        <x:v>ND30.X.LIEN_HE.FAX</x:v>
      </x:c>
      <x:c r="D49" t="str">
        <x:v>X</x:v>
      </x:c>
      <x:c r="E49" t="str">
        <x:v>Số fax</x:v>
      </x:c>
      <x:c r="F49" t="str">
        <x:v>THONG_TIN</x:v>
      </x:c>
      <x:c r="G49" t="str">
        <x:v>0225 3796666</x:v>
      </x:c>
      <x:c r="H49"/>
      <x:c r="I49" t="str">
        <x:v>UNVERIFIED_ATTRIBUTE</x:v>
      </x:c>
      <x:c r="J49" t="str">
        <x:v>BLOCKED_CURRENT_CONTACT_OR_DISPLAY_AUTHORIZATION</x:v>
      </x:c>
      <x:c r="K49" t="str">
        <x:v>Mặc định không hiển thị; chỉ khi có chỉ dẫn cụ thể của văn bản đối ngoại và đã xác minh thông tin hiện hành</x:v>
      </x:c>
      <x:c r="L49" t="str">
        <x:v>Mặc định ẩn khi không có điều kiện/căn cứ cho xuất hiện; không chèn tài liệu mật/dấu khẩn.</x:v>
      </x:c>
      <x:c r="M49"/>
      <x:c r="N49" t="str">
        <x:v>NĐ30, Phụ lục I, Phần I, III (Thể thức bổ sung)</x:v>
      </x:c>
      <x:c r="O49" t="str">
        <x:v>https://congbao.chinhphu.vn/van-ban/nghi-dinh-so-30-2020-nd-cp-30858/30246.htm</x:v>
      </x:c>
      <x:c r="P49" t="str">
        <x:v>https://www.pilotconorth.com/lien-he | Người dùng chốt trong trao đổi 29/10/2026; PROFILE NỘI BỘ; chưa có văn bản phê duyệt doanh nghiệp</x:v>
      </x:c>
      <x:c r="Q49" t="str">
        <x:v>CHECK_ONLY</x:v>
      </x:c>
      <x:c r="R49" t="str">
        <x:v>Kiểm tra từng thuộc tính có mặt; so sánh nguồn/role; không suy đoán từ kết quả render chưa có</x:v>
      </x:c>
      <x:c r="S49" t="str">
        <x:v>STRUCTURE_READ_EXISTING_WORKBOOK</x:v>
      </x:c>
      <x:c r="T49" t="str">
        <x:v>Xác minh căn cứ theo loại văn bản / tài liệu phát hành hoặc phê duyệt</x:v>
      </x:c>
      <x:c r="U49" t="str">
        <x:v>Paragraph/contact block; preserve hyperlink and text</x:v>
      </x:c>
    </x:row>
    <x:row r="50">
      <x:c r="A50" t="n">
        <x:v>49</x:v>
      </x:c>
      <x:c r="B50" t="str">
        <x:v>ND30.X.LIEN_HE.FAX.TRANG_THAI_HIEN_THI</x:v>
      </x:c>
      <x:c r="C50" t="str">
        <x:v>ND30.X.LIEN_HE.FAX</x:v>
      </x:c>
      <x:c r="D50" t="str">
        <x:v>X</x:v>
      </x:c>
      <x:c r="E50" t="str">
        <x:v>Số fax</x:v>
      </x:c>
      <x:c r="F50" t="str">
        <x:v>TRANG_THAI_HIEN_THI</x:v>
      </x:c>
      <x:c r="G50"/>
      <x:c r="H50"/>
      <x:c r="I50" t="str">
        <x:v>UNVERIFIED_ATTRIBUTE</x:v>
      </x:c>
      <x:c r="J50" t="str">
        <x:v>BLOCKED_CURRENT_CONTACT_OR_DISPLAY_AUTHORIZATION</x:v>
      </x:c>
      <x:c r="K50" t="str">
        <x:v>Mặc định không hiển thị; chỉ khi có chỉ dẫn cụ thể của văn bản đối ngoại và đã xác minh thông tin hiện hành</x:v>
      </x:c>
      <x:c r="L50" t="str">
        <x:v>Mặc định ẩn khi không có điều kiện/căn cứ cho xuất hiện; không chèn tài liệu mật/dấu khẩn.</x:v>
      </x:c>
      <x:c r="M50"/>
      <x:c r="N50" t="str">
        <x:v>NĐ30, Phụ lục I, Phần I, III (Thể thức bổ sung)</x:v>
      </x:c>
      <x:c r="O50" t="str">
        <x:v>https://congbao.chinhphu.vn/van-ban/nghi-dinh-so-30-2020-nd-cp-30858/30246.htm</x:v>
      </x:c>
      <x:c r="P50" t="str">
        <x:v>https://www.pilotconorth.com/lien-he | Người dùng chốt trong trao đổi 29/10/2026; PROFILE NỘI BỘ; chưa có văn bản phê duyệt doanh nghiệp</x:v>
      </x:c>
      <x:c r="Q50" t="str">
        <x:v>CHECK_ONLY</x:v>
      </x:c>
      <x:c r="R50" t="str">
        <x:v>Kiểm tra từng thuộc tính có mặt; so sánh nguồn/role; không suy đoán từ kết quả render chưa có</x:v>
      </x:c>
      <x:c r="S50" t="str">
        <x:v>RULE_INFERENCE_NOT_MEASURED</x:v>
      </x:c>
      <x:c r="T50" t="str">
        <x:v>Xác minh căn cứ theo loại văn bản / tài liệu phát hành hoặc phê duyệt</x:v>
      </x:c>
      <x:c r="U50" t="str">
        <x:v>Paragraph/contact block; preserve hyperlink and text</x:v>
      </x:c>
    </x:row>
    <x:row r="51">
      <x:c r="A51" t="n">
        <x:v>50</x:v>
      </x:c>
      <x:c r="B51" t="str">
        <x:v>ND30.X.LIEN_HE.FAX.VI_TRI</x:v>
      </x:c>
      <x:c r="C51" t="str">
        <x:v>ND30.X.LIEN_HE.FAX</x:v>
      </x:c>
      <x:c r="D51" t="str">
        <x:v>X</x:v>
      </x:c>
      <x:c r="E51" t="str">
        <x:v>Số fax</x:v>
      </x:c>
      <x:c r="F51" t="str">
        <x:v>VI_TRI</x:v>
      </x:c>
      <x:c r="G51"/>
      <x:c r="H51"/>
      <x:c r="I51" t="str">
        <x:v>UNVERIFIED_ATTRIBUTE</x:v>
      </x:c>
      <x:c r="J51" t="str">
        <x:v>BLOCKED_CURRENT_CONTACT_OR_DISPLAY_AUTHORIZATION</x:v>
      </x:c>
      <x:c r="K51" t="str">
        <x:v>Mặc định không hiển thị; chỉ khi có chỉ dẫn cụ thể của văn bản đối ngoại và đã xác minh thông tin hiện hành</x:v>
      </x:c>
      <x:c r="L51" t="str">
        <x:v>Mặc định ẩn khi không có điều kiện/căn cứ cho xuất hiện; không chèn tài liệu mật/dấu khẩn.</x:v>
      </x:c>
      <x:c r="M51"/>
      <x:c r="N51" t="str">
        <x:v>NĐ30, Phụ lục I, Phần I, III (Thể thức bổ sung)</x:v>
      </x:c>
      <x:c r="O51" t="str">
        <x:v>https://congbao.chinhphu.vn/van-ban/nghi-dinh-so-30-2020-nd-cp-30858/30246.htm</x:v>
      </x:c>
      <x:c r="P51" t="str">
        <x:v>https://www.pilotconorth.com/lien-he | Người dùng chốt trong trao đổi 29/10/2026; PROFILE NỘI BỘ; chưa có văn bản phê duyệt doanh nghiệp</x:v>
      </x:c>
      <x:c r="Q51" t="str">
        <x:v>CHECK_ONLY</x:v>
      </x:c>
      <x:c r="R51" t="str">
        <x:v>Kiểm tra từng thuộc tính có mặt; so sánh nguồn/role; không suy đoán từ kết quả render chưa có</x:v>
      </x:c>
      <x:c r="S51" t="str">
        <x:v>RULE_INFERENCE_NOT_MEASURED</x:v>
      </x:c>
      <x:c r="T51" t="str">
        <x:v>Xác minh căn cứ theo loại văn bản / tài liệu phát hành hoặc phê duyệt</x:v>
      </x:c>
      <x:c r="U51" t="str">
        <x:v>Paragraph/contact block; preserve hyperlink and text</x:v>
      </x:c>
    </x:row>
  </x:sheetData>
  <x:pageMargins left="0.7" right="0.7" top="0.75" bottom="0.75" header="0.3" footer="0.3"/>
</x:worksheet>
</file>

<file path=xl/worksheets/sheet3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 hidden="0" customWidth="1"/>
    <x:col min="2" max="2" width="37" hidden="0" customWidth="1"/>
    <x:col min="3" max="3" width="32" hidden="0" customWidth="1"/>
    <x:col min="4" max="4" width="12" hidden="0" customWidth="1"/>
    <x:col min="5" max="5" width="26" hidden="0" customWidth="1"/>
    <x:col min="6" max="6" width="17" hidden="0" customWidth="1"/>
    <x:col min="7" max="7" width="25" hidden="0" customWidth="1"/>
    <x:col min="8" max="8" width="20" hidden="0" customWidth="1"/>
    <x:col min="9" max="9" width="22" hidden="0" customWidth="1"/>
    <x:col min="10" max="10" width="25" hidden="0" customWidth="1"/>
    <x:col min="11" max="11" width="38" hidden="0" customWidth="1"/>
    <x:col min="12" max="12" width="44" hidden="0" customWidth="1"/>
    <x:col min="13" max="13" width="10" hidden="0" customWidth="1"/>
    <x:col min="14" max="14" width="27" hidden="0" customWidth="1"/>
    <x:col min="15" max="15" width="25" hidden="0" customWidth="1"/>
    <x:col min="16" max="16" width="28" hidden="0" customWidth="1"/>
    <x:col min="17" max="17" width="14" hidden="0" customWidth="1"/>
    <x:col min="18" max="18" width="38" hidden="0" customWidth="1"/>
    <x:col min="19" max="19" width="22" hidden="0" customWidth="1"/>
    <x:col min="20" max="20" width="30" hidden="0" customWidth="1"/>
    <x:col min="21" max="21" width="24" hidden="0" customWidth="1"/>
  </x:cols>
  <x:sheetData>
    <x:row r="1" ht="28" customHeight="1">
      <x:c r="A1" s="305" t="str">
        <x:v>STT</x:v>
      </x:c>
      <x:c r="B1" s="305" t="str">
        <x:v>Mã rule con</x:v>
      </x:c>
      <x:c r="C1" s="305" t="str">
        <x:v>Mã cha gốc</x:v>
      </x:c>
      <x:c r="D1" s="305" t="str">
        <x:v>Nhóm</x:v>
      </x:c>
      <x:c r="E1" s="305" t="str">
        <x:v>Tên thành phần</x:v>
      </x:c>
      <x:c r="F1" s="305" t="str">
        <x:v>Thuộc tính</x:v>
      </x:c>
      <x:c r="G1" s="305" t="str">
        <x:v>Giá trị profile đang có</x:v>
      </x:c>
      <x:c r="H1" s="305" t="str">
        <x:v>Giá trị pháp lý kiểm chứng</x:v>
      </x:c>
      <x:c r="I1" s="305" t="str">
        <x:v>Trạng thái pháp lý thuộc tính</x:v>
      </x:c>
      <x:c r="J1" s="305" t="str">
        <x:v>Trạng thái quyết định profile</x:v>
      </x:c>
      <x:c r="K1" s="305" t="str">
        <x:v>Điều kiện áp dụng</x:v>
      </x:c>
      <x:c r="L1" s="305" t="str">
        <x:v>Ngoại lệ/phân nhánh</x:v>
      </x:c>
      <x:c r="M1" s="305" t="str">
        <x:v>Đơn vị</x:v>
      </x:c>
      <x:c r="N1" s="305" t="str">
        <x:v>Nguồn/định vị</x:v>
      </x:c>
      <x:c r="O1" s="305" t="str">
        <x:v>URL nguồn</x:v>
      </x:c>
      <x:c r="P1" s="305" t="str">
        <x:v>Nguồn profile/ghi chú</x:v>
      </x:c>
      <x:c r="Q1" s="305" t="str">
        <x:v>Quyền xử lý</x:v>
      </x:c>
      <x:c r="R1" s="305" t="str">
        <x:v>Cách kiểm tra offline</x:v>
      </x:c>
      <x:c r="S1" s="305" t="str">
        <x:v>Phân loại bằng chứng TQA-NR</x:v>
      </x:c>
      <x:c r="T1" s="305" t="str">
        <x:v>Giá trị cần bổ sung</x:v>
      </x:c>
      <x:c r="U1" s="305" t="str">
        <x:v>Đối tượng</x:v>
      </x:c>
    </x:row>
    <x:row r="2">
      <x:c r="A2" t="n">
        <x:v>1</x:v>
      </x:c>
      <x:c r="B2" t="str">
        <x:v>HD05.N.MD.MO_DAU.HIEN_DIEN</x:v>
      </x:c>
      <x:c r="C2" t="str">
        <x:v>HD05.N.MD.MO_DAU</x:v>
      </x:c>
      <x:c r="D2" t="str">
        <x:v>N</x:v>
      </x:c>
      <x:c r="E2" t="str">
        <x:v>Đoạn dẫn nhập</x:v>
      </x:c>
      <x:c r="F2" t="str">
        <x:v>HIEN_DIEN</x:v>
      </x:c>
      <x:c r="G2" t="str">
        <x:v>Theo loại văn bản và sự hiện diện thực tế; không áp dụng đồng loạt</x:v>
      </x:c>
      <x:c r="H2"/>
      <x:c r="I2" t="str">
        <x:v>UNVERIFIED_ATTRIBUTE</x:v>
      </x:c>
      <x:c r="J2" t="str">
        <x:v>SOURCE_DESCRIPTION_NOT_APPROVAL</x:v>
      </x:c>
      <x:c r="K2" t="str">
        <x:v>Chỉ đoạn nội dung thực; loại trừ bảng, chú thích, chữ ký và các thành phần phần đầu</x:v>
      </x:c>
      <x:c r="L2" t="str">
        <x:v>Bảo toàn cấu trúc/nội dung; nếu khác loại văn bản, ưu tiên đúng mẫu của loại đó; không sửa khi thiếu căn cứ.</x:v>
      </x:c>
      <x:c r="M2"/>
      <x:c r="N2" t="str">
        <x:v>HD05, Phần II, I.6 và IV; Phụ lục 2 mục 6</x:v>
      </x:c>
      <x:c r="O2" t="str">
        <x:v>https://tulieuvankien.dangcongsan.vn/upload/2006988/20260529/HD_05_VPTW_e1550.pdf</x:v>
      </x:c>
      <x:c r="P2" t="str">
        <x:v>PLUGIN:HOA-TIEU-MIEN-BAC-PARTY-HD05-HEADER-2026 | NEEDS_REVIEW</x:v>
      </x:c>
      <x:c r="Q2" t="str">
        <x:v>CHECK_ONLY</x:v>
      </x:c>
      <x:c r="R2" t="str">
        <x:v>Kiểm tra từng thuộc tính có mặt; so sánh nguồn/role; không suy đoán từ kết quả render chưa có</x:v>
      </x:c>
      <x:c r="S2" t="str">
        <x:v>STRUCTURE_READ_EXISTING_WORKBOOK</x:v>
      </x:c>
      <x:c r="T2"/>
      <x:c r="U2" t="str">
        <x:v>Paragraph/Run theo kiểu khối MD; preserve list numbering/table/drawing nếu có</x:v>
      </x:c>
    </x:row>
    <x:row r="3">
      <x:c r="A3" t="n">
        <x:v>2</x:v>
      </x:c>
      <x:c r="B3" t="str">
        <x:v>HD05.N.MD.MO_DAU.NOI_DUNG</x:v>
      </x:c>
      <x:c r="C3" t="str">
        <x:v>HD05.N.MD.MO_DAU</x:v>
      </x:c>
      <x:c r="D3" t="str">
        <x:v>N</x:v>
      </x:c>
      <x:c r="E3" t="str">
        <x:v>Đoạn dẫn nhập</x:v>
      </x:c>
      <x:c r="F3" t="str">
        <x:v>NOI_DUNG</x:v>
      </x:c>
      <x:c r="G3" t="str">
        <x:v>Dẫn nhập/câu mở đầu theo loại văn bản và nghĩa vụ nội dung</x:v>
      </x:c>
      <x:c r="H3"/>
      <x:c r="I3" t="str">
        <x:v>UNVERIFIED_ATTRIBUTE</x:v>
      </x:c>
      <x:c r="J3" t="str">
        <x:v>SOURCE_DESCRIPTION_NOT_APPROVAL</x:v>
      </x:c>
      <x:c r="K3" t="str">
        <x:v>Chỉ đoạn nội dung thực; loại trừ bảng, chú thích, chữ ký và các thành phần phần đầu</x:v>
      </x:c>
      <x:c r="L3" t="str">
        <x:v>Bảo toàn cấu trúc/nội dung; nếu khác loại văn bản, ưu tiên đúng mẫu của loại đó; không sửa khi thiếu căn cứ.</x:v>
      </x:c>
      <x:c r="M3"/>
      <x:c r="N3" t="str">
        <x:v>HD05, Phần II, I.6 và IV; Phụ lục 2 mục 6</x:v>
      </x:c>
      <x:c r="O3" t="str">
        <x:v>https://tulieuvankien.dangcongsan.vn/upload/2006988/20260529/HD_05_VPTW_e1550.pdf</x:v>
      </x:c>
      <x:c r="P3" t="str">
        <x:v>PLUGIN:HOA-TIEU-MIEN-BAC-PARTY-HD05-HEADER-2026 | NEEDS_REVIEW</x:v>
      </x:c>
      <x:c r="Q3" t="str">
        <x:v>CHECK_ONLY</x:v>
      </x:c>
      <x:c r="R3" t="str">
        <x:v>Kiểm tra từng thuộc tính có mặt; so sánh nguồn/role; không suy đoán từ kết quả render chưa có</x:v>
      </x:c>
      <x:c r="S3" t="str">
        <x:v>STRUCTURE_READ_EXISTING_WORKBOOK</x:v>
      </x:c>
      <x:c r="T3"/>
      <x:c r="U3" t="str">
        <x:v>Paragraph/Run theo kiểu khối MD; preserve list numbering/table/drawing nếu có</x:v>
      </x:c>
    </x:row>
    <x:row r="4">
      <x:c r="A4" t="n">
        <x:v>3</x:v>
      </x:c>
      <x:c r="B4" t="str">
        <x:v>HD05.N.MD.MO_DAU.PHONG_CHU</x:v>
      </x:c>
      <x:c r="C4" t="str">
        <x:v>HD05.N.MD.MO_DAU</x:v>
      </x:c>
      <x:c r="D4" t="str">
        <x:v>N</x:v>
      </x:c>
      <x:c r="E4" t="str">
        <x:v>Đoạn dẫn nhập</x:v>
      </x:c>
      <x:c r="F4" t="str">
        <x:v>PHONG_CHU</x:v>
      </x:c>
      <x:c r="G4" t="str">
        <x:v>Times New Roman</x:v>
      </x:c>
      <x:c r="H4"/>
      <x:c r="I4" t="str">
        <x:v>UNVERIFIED_ATTRIBUTE</x:v>
      </x:c>
      <x:c r="J4" t="str">
        <x:v>PROFILE_PRESET_UNAPPROVED</x:v>
      </x:c>
      <x:c r="K4" t="str">
        <x:v>Chỉ đoạn nội dung thực; loại trừ bảng, chú thích, chữ ký và các thành phần phần đầu</x:v>
      </x:c>
      <x:c r="L4" t="str">
        <x:v>Bảo toàn cấu trúc/nội dung; nếu khác loại văn bản, ưu tiên đúng mẫu của loại đó; không sửa khi thiếu căn cứ.</x:v>
      </x:c>
      <x:c r="M4"/>
      <x:c r="N4" t="str">
        <x:v>HD05, Phần II, I.6 và IV; Phụ lục 2 mục 6</x:v>
      </x:c>
      <x:c r="O4" t="str">
        <x:v>https://tulieuvankien.dangcongsan.vn/upload/2006988/20260529/HD_05_VPTW_e1550.pdf</x:v>
      </x:c>
      <x:c r="P4" t="str">
        <x:v>PLUGIN:HOA-TIEU-MIEN-BAC-PARTY-HD05-HEADER-2026 | NEEDS_REVIEW</x:v>
      </x:c>
      <x:c r="Q4" t="str">
        <x:v>CHECK_ONLY</x:v>
      </x:c>
      <x:c r="R4" t="str">
        <x:v>Kiểm tra từng thuộc tính có mặt; so sánh nguồn/role; không suy đoán từ kết quả render chưa có</x:v>
      </x:c>
      <x:c r="S4" t="str">
        <x:v>STRUCTURE_READ_EXISTING_WORKBOOK</x:v>
      </x:c>
      <x:c r="T4"/>
      <x:c r="U4" t="str">
        <x:v>Paragraph/Run theo kiểu khối MD; preserve list numbering/table/drawing nếu có</x:v>
      </x:c>
    </x:row>
    <x:row r="5">
      <x:c r="A5" t="n">
        <x:v>4</x:v>
      </x:c>
      <x:c r="B5" t="str">
        <x:v>HD05.N.MD.MO_DAU.CO_CHU</x:v>
      </x:c>
      <x:c r="C5" t="str">
        <x:v>HD05.N.MD.MO_DAU</x:v>
      </x:c>
      <x:c r="D5" t="str">
        <x:v>N</x:v>
      </x:c>
      <x:c r="E5" t="str">
        <x:v>Đoạn dẫn nhập</x:v>
      </x:c>
      <x:c r="F5" t="str">
        <x:v>CO_CHU</x:v>
      </x:c>
      <x:c r="G5" t="n">
        <x:v>14</x:v>
      </x:c>
      <x:c r="H5"/>
      <x:c r="I5" t="str">
        <x:v>UNVERIFIED_ATTRIBUTE</x:v>
      </x:c>
      <x:c r="J5" t="str">
        <x:v>PROFILE_PRESET_UNAPPROVED</x:v>
      </x:c>
      <x:c r="K5" t="str">
        <x:v>Chỉ đoạn nội dung thực; loại trừ bảng, chú thích, chữ ký và các thành phần phần đầu</x:v>
      </x:c>
      <x:c r="L5" t="str">
        <x:v>Bảo toàn cấu trúc/nội dung; nếu khác loại văn bản, ưu tiên đúng mẫu của loại đó; không sửa khi thiếu căn cứ.</x:v>
      </x:c>
      <x:c r="M5" t="str">
        <x:v>pt</x:v>
      </x:c>
      <x:c r="N5" t="str">
        <x:v>HD05, Phần II, I.6 và IV; Phụ lục 2 mục 6</x:v>
      </x:c>
      <x:c r="O5" t="str">
        <x:v>https://tulieuvankien.dangcongsan.vn/upload/2006988/20260529/HD_05_VPTW_e1550.pdf</x:v>
      </x:c>
      <x:c r="P5" t="str">
        <x:v>PLUGIN:HOA-TIEU-MIEN-BAC-PARTY-HD05-HEADER-2026 | NEEDS_REVIEW</x:v>
      </x:c>
      <x:c r="Q5" t="str">
        <x:v>CHECK_ONLY</x:v>
      </x:c>
      <x:c r="R5" t="str">
        <x:v>Kiểm tra từng thuộc tính có mặt; so sánh nguồn/role; không suy đoán từ kết quả render chưa có</x:v>
      </x:c>
      <x:c r="S5" t="str">
        <x:v>STRUCTURE_READ_EXISTING_WORKBOOK</x:v>
      </x:c>
      <x:c r="T5"/>
      <x:c r="U5" t="str">
        <x:v>Paragraph/Run theo kiểu khối MD; preserve list numbering/table/drawing nếu có</x:v>
      </x:c>
    </x:row>
    <x:row r="6">
      <x:c r="A6" t="n">
        <x:v>5</x:v>
      </x:c>
      <x:c r="B6" t="str">
        <x:v>HD05.N.MD.MO_DAU.DAM</x:v>
      </x:c>
      <x:c r="C6" t="str">
        <x:v>HD05.N.MD.MO_DAU</x:v>
      </x:c>
      <x:c r="D6" t="str">
        <x:v>N</x:v>
      </x:c>
      <x:c r="E6" t="str">
        <x:v>Đoạn dẫn nhập</x:v>
      </x:c>
      <x:c r="F6" t="str">
        <x:v>DAM</x:v>
      </x:c>
      <x:c r="G6" t="str">
        <x:v>KHÔNG</x:v>
      </x:c>
      <x:c r="H6"/>
      <x:c r="I6" t="str">
        <x:v>UNVERIFIED_ATTRIBUTE</x:v>
      </x:c>
      <x:c r="J6" t="str">
        <x:v>PROFILE_PRESET_UNAPPROVED</x:v>
      </x:c>
      <x:c r="K6" t="str">
        <x:v>Chỉ đoạn nội dung thực; loại trừ bảng, chú thích, chữ ký và các thành phần phần đầu</x:v>
      </x:c>
      <x:c r="L6" t="str">
        <x:v>Bảo toàn cấu trúc/nội dung; nếu khác loại văn bản, ưu tiên đúng mẫu của loại đó; không sửa khi thiếu căn cứ.</x:v>
      </x:c>
      <x:c r="M6"/>
      <x:c r="N6" t="str">
        <x:v>HD05, Phần II, I.6 và IV; Phụ lục 2 mục 6</x:v>
      </x:c>
      <x:c r="O6" t="str">
        <x:v>https://tulieuvankien.dangcongsan.vn/upload/2006988/20260529/HD_05_VPTW_e1550.pdf</x:v>
      </x:c>
      <x:c r="P6" t="str">
        <x:v>PLUGIN:HOA-TIEU-MIEN-BAC-PARTY-HD05-HEADER-2026 | NEEDS_REVIEW</x:v>
      </x:c>
      <x:c r="Q6" t="str">
        <x:v>CHECK_ONLY</x:v>
      </x:c>
      <x:c r="R6" t="str">
        <x:v>Kiểm tra từng thuộc tính có mặt; so sánh nguồn/role; không suy đoán từ kết quả render chưa có</x:v>
      </x:c>
      <x:c r="S6" t="str">
        <x:v>STRUCTURE_READ_EXISTING_WORKBOOK</x:v>
      </x:c>
      <x:c r="T6"/>
      <x:c r="U6" t="str">
        <x:v>Paragraph/Run theo kiểu khối MD; preserve list numbering/table/drawing nếu có</x:v>
      </x:c>
    </x:row>
    <x:row r="7">
      <x:c r="A7" t="n">
        <x:v>6</x:v>
      </x:c>
      <x:c r="B7" t="str">
        <x:v>HD05.N.MD.MO_DAU.NGHIENG</x:v>
      </x:c>
      <x:c r="C7" t="str">
        <x:v>HD05.N.MD.MO_DAU</x:v>
      </x:c>
      <x:c r="D7" t="str">
        <x:v>N</x:v>
      </x:c>
      <x:c r="E7" t="str">
        <x:v>Đoạn dẫn nhập</x:v>
      </x:c>
      <x:c r="F7" t="str">
        <x:v>NGHIENG</x:v>
      </x:c>
      <x:c r="G7"/>
      <x:c r="H7"/>
      <x:c r="I7" t="str">
        <x:v>UNVERIFIED_ATTRIBUTE</x:v>
      </x:c>
      <x:c r="J7" t="str">
        <x:v>BLOCKED_NO_ATTRIBUTE_VALUE</x:v>
      </x:c>
      <x:c r="K7" t="str">
        <x:v>Chỉ đoạn nội dung thực; loại trừ bảng, chú thích, chữ ký và các thành phần phần đầu</x:v>
      </x:c>
      <x:c r="L7" t="str">
        <x:v>Bảo toàn cấu trúc/nội dung; nếu khác loại văn bản, ưu tiên đúng mẫu của loại đó; không sửa khi thiếu căn cứ.</x:v>
      </x:c>
      <x:c r="M7"/>
      <x:c r="N7" t="str">
        <x:v>HD05, Phần II, I.6 và IV; Phụ lục 2 mục 6</x:v>
      </x:c>
      <x:c r="O7" t="str">
        <x:v>https://tulieuvankien.dangcongsan.vn/upload/2006988/20260529/HD_05_VPTW_e1550.pdf</x:v>
      </x:c>
      <x:c r="P7" t="str">
        <x:v>PLUGIN:HOA-TIEU-MIEN-BAC-PARTY-HD05-HEADER-2026 | NEEDS_REVIEW</x:v>
      </x:c>
      <x:c r="Q7" t="str">
        <x:v>CHECK_ONLY</x:v>
      </x:c>
      <x:c r="R7" t="str">
        <x:v>Kiểm tra từng thuộc tính có mặt; so sánh nguồn/role; không suy đoán từ kết quả render chưa có</x:v>
      </x:c>
      <x:c r="S7" t="str">
        <x:v>RULE_INFERENCE_NOT_MEASURED</x:v>
      </x:c>
      <x:c r="T7" t="str">
        <x:v>Xác minh căn cứ theo loại văn bản / tài liệu phát hành hoặc phê duyệt</x:v>
      </x:c>
      <x:c r="U7" t="str">
        <x:v>Paragraph/Run theo kiểu khối MD; preserve list numbering/table/drawing nếu có</x:v>
      </x:c>
    </x:row>
    <x:row r="8">
      <x:c r="A8" t="n">
        <x:v>7</x:v>
      </x:c>
      <x:c r="B8" t="str">
        <x:v>HD05.N.MD.MO_DAU.KIEU_CHU</x:v>
      </x:c>
      <x:c r="C8" t="str">
        <x:v>HD05.N.MD.MO_DAU</x:v>
      </x:c>
      <x:c r="D8" t="str">
        <x:v>N</x:v>
      </x:c>
      <x:c r="E8" t="str">
        <x:v>Đoạn dẫn nhập</x:v>
      </x:c>
      <x:c r="F8" t="str">
        <x:v>KIEU_CHU</x:v>
      </x:c>
      <x:c r="G8" t="str">
        <x:v>In thường (trừ tiêu đề)</x:v>
      </x:c>
      <x:c r="H8"/>
      <x:c r="I8" t="str">
        <x:v>UNVERIFIED_ATTRIBUTE</x:v>
      </x:c>
      <x:c r="J8" t="str">
        <x:v>PROFILE_PRESET_UNAPPROVED</x:v>
      </x:c>
      <x:c r="K8" t="str">
        <x:v>Chỉ đoạn nội dung thực; loại trừ bảng, chú thích, chữ ký và các thành phần phần đầu</x:v>
      </x:c>
      <x:c r="L8" t="str">
        <x:v>Bảo toàn cấu trúc/nội dung; nếu khác loại văn bản, ưu tiên đúng mẫu của loại đó; không sửa khi thiếu căn cứ.</x:v>
      </x:c>
      <x:c r="M8"/>
      <x:c r="N8" t="str">
        <x:v>HD05, Phần II, I.6 và IV; Phụ lục 2 mục 6</x:v>
      </x:c>
      <x:c r="O8" t="str">
        <x:v>https://tulieuvankien.dangcongsan.vn/upload/2006988/20260529/HD_05_VPTW_e1550.pdf</x:v>
      </x:c>
      <x:c r="P8" t="str">
        <x:v>PLUGIN:HOA-TIEU-MIEN-BAC-PARTY-HD05-HEADER-2026 | NEEDS_REVIEW</x:v>
      </x:c>
      <x:c r="Q8" t="str">
        <x:v>CHECK_ONLY</x:v>
      </x:c>
      <x:c r="R8" t="str">
        <x:v>Kiểm tra từng thuộc tính có mặt; so sánh nguồn/role; không suy đoán từ kết quả render chưa có</x:v>
      </x:c>
      <x:c r="S8" t="str">
        <x:v>STRUCTURE_READ_EXISTING_WORKBOOK</x:v>
      </x:c>
      <x:c r="T8"/>
      <x:c r="U8" t="str">
        <x:v>Paragraph/Run theo kiểu khối MD; preserve list numbering/table/drawing nếu có</x:v>
      </x:c>
    </x:row>
    <x:row r="9">
      <x:c r="A9" t="n">
        <x:v>8</x:v>
      </x:c>
      <x:c r="B9" t="str">
        <x:v>HD05.N.MD.MO_DAU.CAN_NGANG</x:v>
      </x:c>
      <x:c r="C9" t="str">
        <x:v>HD05.N.MD.MO_DAU</x:v>
      </x:c>
      <x:c r="D9" t="str">
        <x:v>N</x:v>
      </x:c>
      <x:c r="E9" t="str">
        <x:v>Đoạn dẫn nhập</x:v>
      </x:c>
      <x:c r="F9" t="str">
        <x:v>CAN_NGANG</x:v>
      </x:c>
      <x:c r="G9" t="str">
        <x:v>JUSTIFY</x:v>
      </x:c>
      <x:c r="H9"/>
      <x:c r="I9" t="str">
        <x:v>UNVERIFIED_ATTRIBUTE</x:v>
      </x:c>
      <x:c r="J9" t="str">
        <x:v>PROFILE_PRESET_UNAPPROVED</x:v>
      </x:c>
      <x:c r="K9" t="str">
        <x:v>Chỉ đoạn nội dung thực; loại trừ bảng, chú thích, chữ ký và các thành phần phần đầu</x:v>
      </x:c>
      <x:c r="L9" t="str">
        <x:v>Bảo toàn cấu trúc/nội dung; nếu khác loại văn bản, ưu tiên đúng mẫu của loại đó; không sửa khi thiếu căn cứ.</x:v>
      </x:c>
      <x:c r="M9"/>
      <x:c r="N9" t="str">
        <x:v>HD05, Phần II, I.6 và IV; Phụ lục 2 mục 6</x:v>
      </x:c>
      <x:c r="O9" t="str">
        <x:v>https://tulieuvankien.dangcongsan.vn/upload/2006988/20260529/HD_05_VPTW_e1550.pdf</x:v>
      </x:c>
      <x:c r="P9" t="str">
        <x:v>PLUGIN:HOA-TIEU-MIEN-BAC-PARTY-HD05-HEADER-2026 | NEEDS_REVIEW</x:v>
      </x:c>
      <x:c r="Q9" t="str">
        <x:v>CHECK_ONLY</x:v>
      </x:c>
      <x:c r="R9" t="str">
        <x:v>Kiểm tra từng thuộc tính có mặt; so sánh nguồn/role; không suy đoán từ kết quả render chưa có</x:v>
      </x:c>
      <x:c r="S9" t="str">
        <x:v>STRUCTURE_READ_EXISTING_WORKBOOK</x:v>
      </x:c>
      <x:c r="T9"/>
      <x:c r="U9" t="str">
        <x:v>Paragraph/Run theo kiểu khối MD; preserve list numbering/table/drawing nếu có</x:v>
      </x:c>
    </x:row>
    <x:row r="10">
      <x:c r="A10" t="n">
        <x:v>9</x:v>
      </x:c>
      <x:c r="B10" t="str">
        <x:v>HD05.N.MD.MO_DAU.GIAN_DONG</x:v>
      </x:c>
      <x:c r="C10" t="str">
        <x:v>HD05.N.MD.MO_DAU</x:v>
      </x:c>
      <x:c r="D10" t="str">
        <x:v>N</x:v>
      </x:c>
      <x:c r="E10" t="str">
        <x:v>Đoạn dẫn nhập</x:v>
      </x:c>
      <x:c r="F10" t="str">
        <x:v>GIAN_DONG</x:v>
      </x:c>
      <x:c r="G10" t="n">
        <x:v>19</x:v>
      </x:c>
      <x:c r="H10"/>
      <x:c r="I10" t="str">
        <x:v>UNVERIFIED_ATTRIBUTE</x:v>
      </x:c>
      <x:c r="J10" t="str">
        <x:v>PROFILE_PRESET_UNAPPROVED</x:v>
      </x:c>
      <x:c r="K10" t="str">
        <x:v>Chỉ đoạn nội dung thực; loại trừ bảng, chú thích, chữ ký và các thành phần phần đầu</x:v>
      </x:c>
      <x:c r="L10" t="str">
        <x:v>Bảo toàn cấu trúc/nội dung; nếu khác loại văn bản, ưu tiên đúng mẫu của loại đó; không sửa khi thiếu căn cứ. HD05 phần thân: Exactly 18–22 pt theo HD05; nếu giá trị profile khác phải đánh cờ xung đột.</x:v>
      </x:c>
      <x:c r="M10" t="str">
        <x:v>pt</x:v>
      </x:c>
      <x:c r="N10" t="str">
        <x:v>HD05, Phần II, I.6 và IV; Phụ lục 2 mục 6</x:v>
      </x:c>
      <x:c r="O10" t="str">
        <x:v>https://tulieuvankien.dangcongsan.vn/upload/2006988/20260529/HD_05_VPTW_e1550.pdf</x:v>
      </x:c>
      <x:c r="P10" t="str">
        <x:v>PLUGIN:HOA-TIEU-MIEN-BAC-PARTY-HD05-HEADER-2026 | NEEDS_REVIEW</x:v>
      </x:c>
      <x:c r="Q10" t="str">
        <x:v>CHECK_ONLY</x:v>
      </x:c>
      <x:c r="R10" t="str">
        <x:v>Kiểm tra từng thuộc tính có mặt; so sánh nguồn/role; không suy đoán từ kết quả render chưa có</x:v>
      </x:c>
      <x:c r="S10" t="str">
        <x:v>STRUCTURE_READ_EXISTING_WORKBOOK</x:v>
      </x:c>
      <x:c r="T10"/>
      <x:c r="U10" t="str">
        <x:v>Paragraph/Run theo kiểu khối MD; preserve list numbering/table/drawing nếu có</x:v>
      </x:c>
    </x:row>
    <x:row r="11">
      <x:c r="A11" t="n">
        <x:v>10</x:v>
      </x:c>
      <x:c r="B11" t="str">
        <x:v>HD05.N.MD.MO_DAU.CACH_TRUOC</x:v>
      </x:c>
      <x:c r="C11" t="str">
        <x:v>HD05.N.MD.MO_DAU</x:v>
      </x:c>
      <x:c r="D11" t="str">
        <x:v>N</x:v>
      </x:c>
      <x:c r="E11" t="str">
        <x:v>Đoạn dẫn nhập</x:v>
      </x:c>
      <x:c r="F11" t="str">
        <x:v>CACH_TRUOC</x:v>
      </x:c>
      <x:c r="G11" t="n">
        <x:v>0</x:v>
      </x:c>
      <x:c r="H11"/>
      <x:c r="I11" t="str">
        <x:v>UNVERIFIED_ATTRIBUTE</x:v>
      </x:c>
      <x:c r="J11" t="str">
        <x:v>PROFILE_PRESET_UNAPPROVED</x:v>
      </x:c>
      <x:c r="K11" t="str">
        <x:v>Chỉ đoạn nội dung thực; loại trừ bảng, chú thích, chữ ký và các thành phần phần đầu</x:v>
      </x:c>
      <x:c r="L11" t="str">
        <x:v>Bảo toàn cấu trúc/nội dung; nếu khác loại văn bản, ưu tiên đúng mẫu của loại đó; không sửa khi thiếu căn cứ.</x:v>
      </x:c>
      <x:c r="M11" t="str">
        <x:v>pt</x:v>
      </x:c>
      <x:c r="N11" t="str">
        <x:v>HD05, Phần II, I.6 và IV; Phụ lục 2 mục 6</x:v>
      </x:c>
      <x:c r="O11" t="str">
        <x:v>https://tulieuvankien.dangcongsan.vn/upload/2006988/20260529/HD_05_VPTW_e1550.pdf</x:v>
      </x:c>
      <x:c r="P11" t="str">
        <x:v>PLUGIN:HOA-TIEU-MIEN-BAC-PARTY-HD05-HEADER-2026 | NEEDS_REVIEW</x:v>
      </x:c>
      <x:c r="Q11" t="str">
        <x:v>CHECK_ONLY</x:v>
      </x:c>
      <x:c r="R11" t="str">
        <x:v>Kiểm tra từng thuộc tính có mặt; so sánh nguồn/role; không suy đoán từ kết quả render chưa có</x:v>
      </x:c>
      <x:c r="S11" t="str">
        <x:v>STRUCTURE_READ_EXISTING_WORKBOOK</x:v>
      </x:c>
      <x:c r="T11"/>
      <x:c r="U11" t="str">
        <x:v>Paragraph/Run theo kiểu khối MD; preserve list numbering/table/drawing nếu có</x:v>
      </x:c>
    </x:row>
    <x:row r="12">
      <x:c r="A12" t="n">
        <x:v>11</x:v>
      </x:c>
      <x:c r="B12" t="str">
        <x:v>HD05.N.MD.MO_DAU.CACH_SAU</x:v>
      </x:c>
      <x:c r="C12" t="str">
        <x:v>HD05.N.MD.MO_DAU</x:v>
      </x:c>
      <x:c r="D12" t="str">
        <x:v>N</x:v>
      </x:c>
      <x:c r="E12" t="str">
        <x:v>Đoạn dẫn nhập</x:v>
      </x:c>
      <x:c r="F12" t="str">
        <x:v>CACH_SAU</x:v>
      </x:c>
      <x:c r="G12" t="n">
        <x:v>6</x:v>
      </x:c>
      <x:c r="H12"/>
      <x:c r="I12" t="str">
        <x:v>UNVERIFIED_ATTRIBUTE</x:v>
      </x:c>
      <x:c r="J12" t="str">
        <x:v>PROFILE_PRESET_UNAPPROVED</x:v>
      </x:c>
      <x:c r="K12" t="str">
        <x:v>Chỉ đoạn nội dung thực; loại trừ bảng, chú thích, chữ ký và các thành phần phần đầu</x:v>
      </x:c>
      <x:c r="L12" t="str">
        <x:v>Bảo toàn cấu trúc/nội dung; nếu khác loại văn bản, ưu tiên đúng mẫu của loại đó; không sửa khi thiếu căn cứ.</x:v>
      </x:c>
      <x:c r="M12" t="str">
        <x:v>pt</x:v>
      </x:c>
      <x:c r="N12" t="str">
        <x:v>HD05, Phần II, I.6 và IV; Phụ lục 2 mục 6</x:v>
      </x:c>
      <x:c r="O12" t="str">
        <x:v>https://tulieuvankien.dangcongsan.vn/upload/2006988/20260529/HD_05_VPTW_e1550.pdf</x:v>
      </x:c>
      <x:c r="P12" t="str">
        <x:v>PLUGIN:HOA-TIEU-MIEN-BAC-PARTY-HD05-HEADER-2026 | NEEDS_REVIEW</x:v>
      </x:c>
      <x:c r="Q12" t="str">
        <x:v>CHECK_ONLY</x:v>
      </x:c>
      <x:c r="R12" t="str">
        <x:v>Kiểm tra từng thuộc tính có mặt; so sánh nguồn/role; không suy đoán từ kết quả render chưa có</x:v>
      </x:c>
      <x:c r="S12" t="str">
        <x:v>STRUCTURE_READ_EXISTING_WORKBOOK</x:v>
      </x:c>
      <x:c r="T12"/>
      <x:c r="U12" t="str">
        <x:v>Paragraph/Run theo kiểu khối MD; preserve list numbering/table/drawing nếu có</x:v>
      </x:c>
    </x:row>
    <x:row r="13">
      <x:c r="A13" t="n">
        <x:v>12</x:v>
      </x:c>
      <x:c r="B13" t="str">
        <x:v>HD05.N.MD.MO_DAU.THUT_DONG_DAU</x:v>
      </x:c>
      <x:c r="C13" t="str">
        <x:v>HD05.N.MD.MO_DAU</x:v>
      </x:c>
      <x:c r="D13" t="str">
        <x:v>N</x:v>
      </x:c>
      <x:c r="E13" t="str">
        <x:v>Đoạn dẫn nhập</x:v>
      </x:c>
      <x:c r="F13" t="str">
        <x:v>THUT_DONG_DAU</x:v>
      </x:c>
      <x:c r="G13" t="n">
        <x:v>10</x:v>
      </x:c>
      <x:c r="H13"/>
      <x:c r="I13" t="str">
        <x:v>UNVERIFIED_ATTRIBUTE</x:v>
      </x:c>
      <x:c r="J13" t="str">
        <x:v>PROFILE_PRESET_UNAPPROVED</x:v>
      </x:c>
      <x:c r="K13" t="str">
        <x:v>Chỉ đoạn nội dung thực; loại trừ bảng, chú thích, chữ ký và các thành phần phần đầu</x:v>
      </x:c>
      <x:c r="L13" t="str">
        <x:v>Bảo toàn cấu trúc/nội dung; nếu khác loại văn bản, ưu tiên đúng mẫu của loại đó; không sửa khi thiếu căn cứ.</x:v>
      </x:c>
      <x:c r="M13" t="str">
        <x:v>mm</x:v>
      </x:c>
      <x:c r="N13" t="str">
        <x:v>HD05, Phần II, I.6 và IV; Phụ lục 2 mục 6</x:v>
      </x:c>
      <x:c r="O13" t="str">
        <x:v>https://tulieuvankien.dangcongsan.vn/upload/2006988/20260529/HD_05_VPTW_e1550.pdf</x:v>
      </x:c>
      <x:c r="P13" t="str">
        <x:v>PLUGIN:HOA-TIEU-MIEN-BAC-PARTY-HD05-HEADER-2026 | NEEDS_REVIEW</x:v>
      </x:c>
      <x:c r="Q13" t="str">
        <x:v>CHECK_ONLY</x:v>
      </x:c>
      <x:c r="R13" t="str">
        <x:v>Kiểm tra từng thuộc tính có mặt; so sánh nguồn/role; không suy đoán từ kết quả render chưa có</x:v>
      </x:c>
      <x:c r="S13" t="str">
        <x:v>STRUCTURE_READ_EXISTING_WORKBOOK</x:v>
      </x:c>
      <x:c r="T13"/>
      <x:c r="U13" t="str">
        <x:v>Paragraph/Run theo kiểu khối MD; preserve list numbering/table/drawing nếu có</x:v>
      </x:c>
    </x:row>
    <x:row r="14">
      <x:c r="A14" t="n">
        <x:v>13</x:v>
      </x:c>
      <x:c r="B14" t="str">
        <x:v>HD05.N.MD.MO_DAU.DAU_CAU</x:v>
      </x:c>
      <x:c r="C14" t="str">
        <x:v>HD05.N.MD.MO_DAU</x:v>
      </x:c>
      <x:c r="D14" t="str">
        <x:v>N</x:v>
      </x:c>
      <x:c r="E14" t="str">
        <x:v>Đoạn dẫn nhập</x:v>
      </x:c>
      <x:c r="F14" t="str">
        <x:v>DAU_CAU</x:v>
      </x:c>
      <x:c r="G14"/>
      <x:c r="H14"/>
      <x:c r="I14" t="str">
        <x:v>UNVERIFIED_ATTRIBUTE</x:v>
      </x:c>
      <x:c r="J14" t="str">
        <x:v>BLOCKED_NO_ATTRIBUTE_VALUE</x:v>
      </x:c>
      <x:c r="K14" t="str">
        <x:v>Chỉ đoạn nội dung thực; loại trừ bảng, chú thích, chữ ký và các thành phần phần đầu</x:v>
      </x:c>
      <x:c r="L14" t="str">
        <x:v>Bảo toàn cấu trúc/nội dung; nếu khác loại văn bản, ưu tiên đúng mẫu của loại đó; không sửa khi thiếu căn cứ.</x:v>
      </x:c>
      <x:c r="M14"/>
      <x:c r="N14" t="str">
        <x:v>HD05, Phần II, I.6 và IV; Phụ lục 2 mục 6</x:v>
      </x:c>
      <x:c r="O14" t="str">
        <x:v>https://tulieuvankien.dangcongsan.vn/upload/2006988/20260529/HD_05_VPTW_e1550.pdf</x:v>
      </x:c>
      <x:c r="P14" t="str">
        <x:v>PLUGIN:HOA-TIEU-MIEN-BAC-PARTY-HD05-HEADER-2026 | NEEDS_REVIEW</x:v>
      </x:c>
      <x:c r="Q14" t="str">
        <x:v>CHECK_ONLY</x:v>
      </x:c>
      <x:c r="R14" t="str">
        <x:v>Kiểm tra từng thuộc tính có mặt; so sánh nguồn/role; không suy đoán từ kết quả render chưa có</x:v>
      </x:c>
      <x:c r="S14" t="str">
        <x:v>RULE_INFERENCE_NOT_MEASURED</x:v>
      </x:c>
      <x:c r="T14" t="str">
        <x:v>Xác minh căn cứ theo loại văn bản / tài liệu phát hành hoặc phê duyệt</x:v>
      </x:c>
      <x:c r="U14" t="str">
        <x:v>Paragraph/Run theo kiểu khối MD; preserve list numbering/table/drawing nếu có</x:v>
      </x:c>
    </x:row>
    <x:row r="15">
      <x:c r="A15" t="n">
        <x:v>14</x:v>
      </x:c>
      <x:c r="B15" t="str">
        <x:v>HD05.N.MD.CAN_CU.HIEN_DIEN</x:v>
      </x:c>
      <x:c r="C15" t="str">
        <x:v>HD05.N.MD.CAN_CU</x:v>
      </x:c>
      <x:c r="D15" t="str">
        <x:v>N</x:v>
      </x:c>
      <x:c r="E15" t="str">
        <x:v>Căn cứ ban hành</x:v>
      </x:c>
      <x:c r="F15" t="str">
        <x:v>HIEN_DIEN</x:v>
      </x:c>
      <x:c r="G15" t="str">
        <x:v>Theo loại văn bản và sự hiện diện thực tế; không áp dụng đồng loạt</x:v>
      </x:c>
      <x:c r="H15"/>
      <x:c r="I15" t="str">
        <x:v>UNVERIFIED_ATTRIBUTE</x:v>
      </x:c>
      <x:c r="J15" t="str">
        <x:v>SOURCE_DESCRIPTION_NOT_APPROVAL</x:v>
      </x:c>
      <x:c r="K15" t="str">
        <x:v>Chỉ khi loại văn bản có phần căn cứ; kiểm tra mẫu theo tên loại; không tự thêm/cắt nguồn viện dẫn</x:v>
      </x:c>
      <x:c r="L15" t="str">
        <x:v>Dùng style căn cứ theo loại văn bản, KHÔNG mặc định in nghiêng mọi căn cứ; không tự thay dấu câu.</x:v>
      </x:c>
      <x:c r="M15"/>
      <x:c r="N15" t="str">
        <x:v>HD05, Phần II mục 6.2.3</x:v>
      </x:c>
      <x:c r="O15" t="str">
        <x:v>https://tulieuvankien.dangcongsan.vn/upload/2006988/20260529/HD_05_VPTW_e1550.pdf</x:v>
      </x:c>
      <x:c r="P15" t="str">
        <x:v>PLUGIN:HOA-TIEU-MIEN-BAC-PARTY-HD05-HEADER-2026 | NEEDS_REVIEW</x:v>
      </x:c>
      <x:c r="Q15" t="str">
        <x:v>CHECK_ONLY</x:v>
      </x:c>
      <x:c r="R15" t="str">
        <x:v>Kiểm tra từng thuộc tính có mặt; so sánh nguồn/role; không suy đoán từ kết quả render chưa có</x:v>
      </x:c>
      <x:c r="S15" t="str">
        <x:v>STRUCTURE_READ_EXISTING_WORKBOOK</x:v>
      </x:c>
      <x:c r="T15"/>
      <x:c r="U15" t="str">
        <x:v>Paragraph/Run theo kiểu khối MD; preserve list numbering/table/drawing nếu có</x:v>
      </x:c>
    </x:row>
    <x:row r="16">
      <x:c r="A16" t="n">
        <x:v>15</x:v>
      </x:c>
      <x:c r="B16" t="str">
        <x:v>HD05.N.MD.CAN_CU.NOI_DUNG</x:v>
      </x:c>
      <x:c r="C16" t="str">
        <x:v>HD05.N.MD.CAN_CU</x:v>
      </x:c>
      <x:c r="D16" t="str">
        <x:v>N</x:v>
      </x:c>
      <x:c r="E16" t="str">
        <x:v>Căn cứ ban hành</x:v>
      </x:c>
      <x:c r="F16" t="str">
        <x:v>NOI_DUNG</x:v>
      </x:c>
      <x:c r="G16" t="str">
        <x:v>Căn cứ theo loại văn bản; không áp dụng một style cho mọi loại</x:v>
      </x:c>
      <x:c r="H16"/>
      <x:c r="I16" t="str">
        <x:v>UNVERIFIED_ATTRIBUTE</x:v>
      </x:c>
      <x:c r="J16" t="str">
        <x:v>SOURCE_DESCRIPTION_NOT_APPROVAL</x:v>
      </x:c>
      <x:c r="K16" t="str">
        <x:v>Chỉ khi loại văn bản có phần căn cứ; kiểm tra mẫu theo tên loại; không tự thêm/cắt nguồn viện dẫn</x:v>
      </x:c>
      <x:c r="L16" t="str">
        <x:v>Dùng style căn cứ theo loại văn bản, KHÔNG mặc định in nghiêng mọi căn cứ; không tự thay dấu câu.</x:v>
      </x:c>
      <x:c r="M16"/>
      <x:c r="N16" t="str">
        <x:v>HD05, Phần II mục 6.2.3</x:v>
      </x:c>
      <x:c r="O16" t="str">
        <x:v>https://tulieuvankien.dangcongsan.vn/upload/2006988/20260529/HD_05_VPTW_e1550.pdf</x:v>
      </x:c>
      <x:c r="P16" t="str">
        <x:v>PLUGIN:HOA-TIEU-MIEN-BAC-PARTY-HD05-HEADER-2026 | NEEDS_REVIEW</x:v>
      </x:c>
      <x:c r="Q16" t="str">
        <x:v>CHECK_ONLY</x:v>
      </x:c>
      <x:c r="R16" t="str">
        <x:v>Kiểm tra từng thuộc tính có mặt; so sánh nguồn/role; không suy đoán từ kết quả render chưa có</x:v>
      </x:c>
      <x:c r="S16" t="str">
        <x:v>STRUCTURE_READ_EXISTING_WORKBOOK</x:v>
      </x:c>
      <x:c r="T16"/>
      <x:c r="U16" t="str">
        <x:v>Paragraph/Run theo kiểu khối MD; preserve list numbering/table/drawing nếu có</x:v>
      </x:c>
    </x:row>
    <x:row r="17">
      <x:c r="A17" t="n">
        <x:v>16</x:v>
      </x:c>
      <x:c r="B17" t="str">
        <x:v>HD05.N.MD.CAN_CU.PHONG_CHU</x:v>
      </x:c>
      <x:c r="C17" t="str">
        <x:v>HD05.N.MD.CAN_CU</x:v>
      </x:c>
      <x:c r="D17" t="str">
        <x:v>N</x:v>
      </x:c>
      <x:c r="E17" t="str">
        <x:v>Căn cứ ban hành</x:v>
      </x:c>
      <x:c r="F17" t="str">
        <x:v>PHONG_CHU</x:v>
      </x:c>
      <x:c r="G17" t="str">
        <x:v>Times New Roman</x:v>
      </x:c>
      <x:c r="H17"/>
      <x:c r="I17" t="str">
        <x:v>UNVERIFIED_ATTRIBUTE</x:v>
      </x:c>
      <x:c r="J17" t="str">
        <x:v>PROFILE_PRESET_UNAPPROVED</x:v>
      </x:c>
      <x:c r="K17" t="str">
        <x:v>Chỉ khi loại văn bản có phần căn cứ; kiểm tra mẫu theo tên loại; không tự thêm/cắt nguồn viện dẫn</x:v>
      </x:c>
      <x:c r="L17" t="str">
        <x:v>Dùng style căn cứ theo loại văn bản, KHÔNG mặc định in nghiêng mọi căn cứ; không tự thay dấu câu.</x:v>
      </x:c>
      <x:c r="M17"/>
      <x:c r="N17" t="str">
        <x:v>HD05, Phần II mục 6.2.3</x:v>
      </x:c>
      <x:c r="O17" t="str">
        <x:v>https://tulieuvankien.dangcongsan.vn/upload/2006988/20260529/HD_05_VPTW_e1550.pdf</x:v>
      </x:c>
      <x:c r="P17" t="str">
        <x:v>PLUGIN:HOA-TIEU-MIEN-BAC-PARTY-HD05-HEADER-2026 | NEEDS_REVIEW</x:v>
      </x:c>
      <x:c r="Q17" t="str">
        <x:v>CHECK_ONLY</x:v>
      </x:c>
      <x:c r="R17" t="str">
        <x:v>Kiểm tra từng thuộc tính có mặt; so sánh nguồn/role; không suy đoán từ kết quả render chưa có</x:v>
      </x:c>
      <x:c r="S17" t="str">
        <x:v>STRUCTURE_READ_EXISTING_WORKBOOK</x:v>
      </x:c>
      <x:c r="T17"/>
      <x:c r="U17" t="str">
        <x:v>Paragraph/Run theo kiểu khối MD; preserve list numbering/table/drawing nếu có</x:v>
      </x:c>
    </x:row>
    <x:row r="18">
      <x:c r="A18" t="n">
        <x:v>17</x:v>
      </x:c>
      <x:c r="B18" t="str">
        <x:v>HD05.N.MD.CAN_CU.CO_CHU</x:v>
      </x:c>
      <x:c r="C18" t="str">
        <x:v>HD05.N.MD.CAN_CU</x:v>
      </x:c>
      <x:c r="D18" t="str">
        <x:v>N</x:v>
      </x:c>
      <x:c r="E18" t="str">
        <x:v>Căn cứ ban hành</x:v>
      </x:c>
      <x:c r="F18" t="str">
        <x:v>CO_CHU</x:v>
      </x:c>
      <x:c r="G18" t="n">
        <x:v>14</x:v>
      </x:c>
      <x:c r="H18"/>
      <x:c r="I18" t="str">
        <x:v>UNVERIFIED_ATTRIBUTE</x:v>
      </x:c>
      <x:c r="J18" t="str">
        <x:v>PROFILE_PRESET_UNAPPROVED</x:v>
      </x:c>
      <x:c r="K18" t="str">
        <x:v>Chỉ khi loại văn bản có phần căn cứ; kiểm tra mẫu theo tên loại; không tự thêm/cắt nguồn viện dẫn</x:v>
      </x:c>
      <x:c r="L18" t="str">
        <x:v>Dùng style căn cứ theo loại văn bản, KHÔNG mặc định in nghiêng mọi căn cứ; không tự thay dấu câu.</x:v>
      </x:c>
      <x:c r="M18" t="str">
        <x:v>pt</x:v>
      </x:c>
      <x:c r="N18" t="str">
        <x:v>HD05, Phần II mục 6.2.3</x:v>
      </x:c>
      <x:c r="O18" t="str">
        <x:v>https://tulieuvankien.dangcongsan.vn/upload/2006988/20260529/HD_05_VPTW_e1550.pdf</x:v>
      </x:c>
      <x:c r="P18" t="str">
        <x:v>PLUGIN:HOA-TIEU-MIEN-BAC-PARTY-HD05-HEADER-2026 | NEEDS_REVIEW</x:v>
      </x:c>
      <x:c r="Q18" t="str">
        <x:v>CHECK_ONLY</x:v>
      </x:c>
      <x:c r="R18" t="str">
        <x:v>Kiểm tra từng thuộc tính có mặt; so sánh nguồn/role; không suy đoán từ kết quả render chưa có</x:v>
      </x:c>
      <x:c r="S18" t="str">
        <x:v>STRUCTURE_READ_EXISTING_WORKBOOK</x:v>
      </x:c>
      <x:c r="T18"/>
      <x:c r="U18" t="str">
        <x:v>Paragraph/Run theo kiểu khối MD; preserve list numbering/table/drawing nếu có</x:v>
      </x:c>
    </x:row>
    <x:row r="19">
      <x:c r="A19" t="n">
        <x:v>18</x:v>
      </x:c>
      <x:c r="B19" t="str">
        <x:v>HD05.N.MD.CAN_CU.DAM</x:v>
      </x:c>
      <x:c r="C19" t="str">
        <x:v>HD05.N.MD.CAN_CU</x:v>
      </x:c>
      <x:c r="D19" t="str">
        <x:v>N</x:v>
      </x:c>
      <x:c r="E19" t="str">
        <x:v>Căn cứ ban hành</x:v>
      </x:c>
      <x:c r="F19" t="str">
        <x:v>DAM</x:v>
      </x:c>
      <x:c r="G19"/>
      <x:c r="H19"/>
      <x:c r="I19" t="str">
        <x:v>UNVERIFIED_ATTRIBUTE</x:v>
      </x:c>
      <x:c r="J19" t="str">
        <x:v>BLOCKED_NO_ATTRIBUTE_VALUE</x:v>
      </x:c>
      <x:c r="K19" t="str">
        <x:v>Chỉ khi loại văn bản có phần căn cứ; kiểm tra mẫu theo tên loại; không tự thêm/cắt nguồn viện dẫn</x:v>
      </x:c>
      <x:c r="L19" t="str">
        <x:v>Dùng style căn cứ theo loại văn bản, KHÔNG mặc định in nghiêng mọi căn cứ; không tự thay dấu câu.</x:v>
      </x:c>
      <x:c r="M19"/>
      <x:c r="N19" t="str">
        <x:v>HD05, Phần II mục 6.2.3</x:v>
      </x:c>
      <x:c r="O19" t="str">
        <x:v>https://tulieuvankien.dangcongsan.vn/upload/2006988/20260529/HD_05_VPTW_e1550.pdf</x:v>
      </x:c>
      <x:c r="P19" t="str">
        <x:v>PLUGIN:HOA-TIEU-MIEN-BAC-PARTY-HD05-HEADER-2026 | NEEDS_REVIEW</x:v>
      </x:c>
      <x:c r="Q19" t="str">
        <x:v>CHECK_ONLY</x:v>
      </x:c>
      <x:c r="R19" t="str">
        <x:v>Kiểm tra từng thuộc tính có mặt; so sánh nguồn/role; không suy đoán từ kết quả render chưa có</x:v>
      </x:c>
      <x:c r="S19" t="str">
        <x:v>RULE_INFERENCE_NOT_MEASURED</x:v>
      </x:c>
      <x:c r="T19" t="str">
        <x:v>Xác minh căn cứ theo loại văn bản / tài liệu phát hành hoặc phê duyệt</x:v>
      </x:c>
      <x:c r="U19" t="str">
        <x:v>Paragraph/Run theo kiểu khối MD; preserve list numbering/table/drawing nếu có</x:v>
      </x:c>
    </x:row>
    <x:row r="20">
      <x:c r="A20" t="n">
        <x:v>19</x:v>
      </x:c>
      <x:c r="B20" t="str">
        <x:v>HD05.N.MD.CAN_CU.NGHIENG</x:v>
      </x:c>
      <x:c r="C20" t="str">
        <x:v>HD05.N.MD.CAN_CU</x:v>
      </x:c>
      <x:c r="D20" t="str">
        <x:v>N</x:v>
      </x:c>
      <x:c r="E20" t="str">
        <x:v>Căn cứ ban hành</x:v>
      </x:c>
      <x:c r="F20" t="str">
        <x:v>NGHIENG</x:v>
      </x:c>
      <x:c r="G20"/>
      <x:c r="H20"/>
      <x:c r="I20" t="str">
        <x:v>UNVERIFIED_ATTRIBUTE</x:v>
      </x:c>
      <x:c r="J20" t="str">
        <x:v>BLOCKED_NO_ATTRIBUTE_VALUE</x:v>
      </x:c>
      <x:c r="K20" t="str">
        <x:v>Chỉ khi loại văn bản có phần căn cứ; kiểm tra mẫu theo tên loại; không tự thêm/cắt nguồn viện dẫn</x:v>
      </x:c>
      <x:c r="L20" t="str">
        <x:v>Dùng style căn cứ theo loại văn bản, KHÔNG mặc định in nghiêng mọi căn cứ; không tự thay dấu câu.</x:v>
      </x:c>
      <x:c r="M20"/>
      <x:c r="N20" t="str">
        <x:v>HD05, Phần II mục 6.2.3</x:v>
      </x:c>
      <x:c r="O20" t="str">
        <x:v>https://tulieuvankien.dangcongsan.vn/upload/2006988/20260529/HD_05_VPTW_e1550.pdf</x:v>
      </x:c>
      <x:c r="P20" t="str">
        <x:v>PLUGIN:HOA-TIEU-MIEN-BAC-PARTY-HD05-HEADER-2026 | NEEDS_REVIEW</x:v>
      </x:c>
      <x:c r="Q20" t="str">
        <x:v>CHECK_ONLY</x:v>
      </x:c>
      <x:c r="R20" t="str">
        <x:v>Kiểm tra từng thuộc tính có mặt; so sánh nguồn/role; không suy đoán từ kết quả render chưa có</x:v>
      </x:c>
      <x:c r="S20" t="str">
        <x:v>RULE_INFERENCE_NOT_MEASURED</x:v>
      </x:c>
      <x:c r="T20" t="str">
        <x:v>Xác minh căn cứ theo loại văn bản / tài liệu phát hành hoặc phê duyệt</x:v>
      </x:c>
      <x:c r="U20" t="str">
        <x:v>Paragraph/Run theo kiểu khối MD; preserve list numbering/table/drawing nếu có</x:v>
      </x:c>
    </x:row>
    <x:row r="21">
      <x:c r="A21" t="n">
        <x:v>20</x:v>
      </x:c>
      <x:c r="B21" t="str">
        <x:v>HD05.N.MD.CAN_CU.KIEU_CHU</x:v>
      </x:c>
      <x:c r="C21" t="str">
        <x:v>HD05.N.MD.CAN_CU</x:v>
      </x:c>
      <x:c r="D21" t="str">
        <x:v>N</x:v>
      </x:c>
      <x:c r="E21" t="str">
        <x:v>Căn cứ ban hành</x:v>
      </x:c>
      <x:c r="F21" t="str">
        <x:v>KIEU_CHU</x:v>
      </x:c>
      <x:c r="G21" t="str">
        <x:v>In thường (trừ tiêu đề)</x:v>
      </x:c>
      <x:c r="H21"/>
      <x:c r="I21" t="str">
        <x:v>UNVERIFIED_ATTRIBUTE</x:v>
      </x:c>
      <x:c r="J21" t="str">
        <x:v>PROFILE_PRESET_UNAPPROVED</x:v>
      </x:c>
      <x:c r="K21" t="str">
        <x:v>Chỉ khi loại văn bản có phần căn cứ; kiểm tra mẫu theo tên loại; không tự thêm/cắt nguồn viện dẫn</x:v>
      </x:c>
      <x:c r="L21" t="str">
        <x:v>Dùng style căn cứ theo loại văn bản, KHÔNG mặc định in nghiêng mọi căn cứ; không tự thay dấu câu.</x:v>
      </x:c>
      <x:c r="M21"/>
      <x:c r="N21" t="str">
        <x:v>HD05, Phần II mục 6.2.3</x:v>
      </x:c>
      <x:c r="O21" t="str">
        <x:v>https://tulieuvankien.dangcongsan.vn/upload/2006988/20260529/HD_05_VPTW_e1550.pdf</x:v>
      </x:c>
      <x:c r="P21" t="str">
        <x:v>PLUGIN:HOA-TIEU-MIEN-BAC-PARTY-HD05-HEADER-2026 | NEEDS_REVIEW</x:v>
      </x:c>
      <x:c r="Q21" t="str">
        <x:v>CHECK_ONLY</x:v>
      </x:c>
      <x:c r="R21" t="str">
        <x:v>Kiểm tra từng thuộc tính có mặt; so sánh nguồn/role; không suy đoán từ kết quả render chưa có</x:v>
      </x:c>
      <x:c r="S21" t="str">
        <x:v>STRUCTURE_READ_EXISTING_WORKBOOK</x:v>
      </x:c>
      <x:c r="T21"/>
      <x:c r="U21" t="str">
        <x:v>Paragraph/Run theo kiểu khối MD; preserve list numbering/table/drawing nếu có</x:v>
      </x:c>
    </x:row>
    <x:row r="22">
      <x:c r="A22" t="n">
        <x:v>21</x:v>
      </x:c>
      <x:c r="B22" t="str">
        <x:v>HD05.N.MD.CAN_CU.CAN_NGANG</x:v>
      </x:c>
      <x:c r="C22" t="str">
        <x:v>HD05.N.MD.CAN_CU</x:v>
      </x:c>
      <x:c r="D22" t="str">
        <x:v>N</x:v>
      </x:c>
      <x:c r="E22" t="str">
        <x:v>Căn cứ ban hành</x:v>
      </x:c>
      <x:c r="F22" t="str">
        <x:v>CAN_NGANG</x:v>
      </x:c>
      <x:c r="G22" t="str">
        <x:v>JUSTIFY</x:v>
      </x:c>
      <x:c r="H22"/>
      <x:c r="I22" t="str">
        <x:v>UNVERIFIED_ATTRIBUTE</x:v>
      </x:c>
      <x:c r="J22" t="str">
        <x:v>PROFILE_PRESET_UNAPPROVED</x:v>
      </x:c>
      <x:c r="K22" t="str">
        <x:v>Chỉ khi loại văn bản có phần căn cứ; kiểm tra mẫu theo tên loại; không tự thêm/cắt nguồn viện dẫn</x:v>
      </x:c>
      <x:c r="L22" t="str">
        <x:v>Dùng style căn cứ theo loại văn bản, KHÔNG mặc định in nghiêng mọi căn cứ; không tự thay dấu câu.</x:v>
      </x:c>
      <x:c r="M22"/>
      <x:c r="N22" t="str">
        <x:v>HD05, Phần II mục 6.2.3</x:v>
      </x:c>
      <x:c r="O22" t="str">
        <x:v>https://tulieuvankien.dangcongsan.vn/upload/2006988/20260529/HD_05_VPTW_e1550.pdf</x:v>
      </x:c>
      <x:c r="P22" t="str">
        <x:v>PLUGIN:HOA-TIEU-MIEN-BAC-PARTY-HD05-HEADER-2026 | NEEDS_REVIEW</x:v>
      </x:c>
      <x:c r="Q22" t="str">
        <x:v>CHECK_ONLY</x:v>
      </x:c>
      <x:c r="R22" t="str">
        <x:v>Kiểm tra từng thuộc tính có mặt; so sánh nguồn/role; không suy đoán từ kết quả render chưa có</x:v>
      </x:c>
      <x:c r="S22" t="str">
        <x:v>STRUCTURE_READ_EXISTING_WORKBOOK</x:v>
      </x:c>
      <x:c r="T22"/>
      <x:c r="U22" t="str">
        <x:v>Paragraph/Run theo kiểu khối MD; preserve list numbering/table/drawing nếu có</x:v>
      </x:c>
    </x:row>
    <x:row r="23">
      <x:c r="A23" t="n">
        <x:v>22</x:v>
      </x:c>
      <x:c r="B23" t="str">
        <x:v>HD05.N.MD.CAN_CU.GIAN_DONG</x:v>
      </x:c>
      <x:c r="C23" t="str">
        <x:v>HD05.N.MD.CAN_CU</x:v>
      </x:c>
      <x:c r="D23" t="str">
        <x:v>N</x:v>
      </x:c>
      <x:c r="E23" t="str">
        <x:v>Căn cứ ban hành</x:v>
      </x:c>
      <x:c r="F23" t="str">
        <x:v>GIAN_DONG</x:v>
      </x:c>
      <x:c r="G23" t="n">
        <x:v>19</x:v>
      </x:c>
      <x:c r="H23"/>
      <x:c r="I23" t="str">
        <x:v>UNVERIFIED_ATTRIBUTE</x:v>
      </x:c>
      <x:c r="J23" t="str">
        <x:v>PROFILE_PRESET_UNAPPROVED</x:v>
      </x:c>
      <x:c r="K23" t="str">
        <x:v>Chỉ khi loại văn bản có phần căn cứ; kiểm tra mẫu theo tên loại; không tự thêm/cắt nguồn viện dẫn</x:v>
      </x:c>
      <x:c r="L23" t="str">
        <x:v>Dùng style căn cứ theo loại văn bản, KHÔNG mặc định in nghiêng mọi căn cứ; không tự thay dấu câu. HD05 phần thân: Exactly 18–22 pt theo HD05; nếu giá trị profile khác phải đánh cờ xung đột.</x:v>
      </x:c>
      <x:c r="M23" t="str">
        <x:v>pt</x:v>
      </x:c>
      <x:c r="N23" t="str">
        <x:v>HD05, Phần II mục 6.2.3</x:v>
      </x:c>
      <x:c r="O23" t="str">
        <x:v>https://tulieuvankien.dangcongsan.vn/upload/2006988/20260529/HD_05_VPTW_e1550.pdf</x:v>
      </x:c>
      <x:c r="P23" t="str">
        <x:v>PLUGIN:HOA-TIEU-MIEN-BAC-PARTY-HD05-HEADER-2026 | NEEDS_REVIEW</x:v>
      </x:c>
      <x:c r="Q23" t="str">
        <x:v>CHECK_ONLY</x:v>
      </x:c>
      <x:c r="R23" t="str">
        <x:v>Kiểm tra từng thuộc tính có mặt; so sánh nguồn/role; không suy đoán từ kết quả render chưa có</x:v>
      </x:c>
      <x:c r="S23" t="str">
        <x:v>STRUCTURE_READ_EXISTING_WORKBOOK</x:v>
      </x:c>
      <x:c r="T23"/>
      <x:c r="U23" t="str">
        <x:v>Paragraph/Run theo kiểu khối MD; preserve list numbering/table/drawing nếu có</x:v>
      </x:c>
    </x:row>
    <x:row r="24">
      <x:c r="A24" t="n">
        <x:v>23</x:v>
      </x:c>
      <x:c r="B24" t="str">
        <x:v>HD05.N.MD.CAN_CU.CACH_TRUOC</x:v>
      </x:c>
      <x:c r="C24" t="str">
        <x:v>HD05.N.MD.CAN_CU</x:v>
      </x:c>
      <x:c r="D24" t="str">
        <x:v>N</x:v>
      </x:c>
      <x:c r="E24" t="str">
        <x:v>Căn cứ ban hành</x:v>
      </x:c>
      <x:c r="F24" t="str">
        <x:v>CACH_TRUOC</x:v>
      </x:c>
      <x:c r="G24" t="n">
        <x:v>0</x:v>
      </x:c>
      <x:c r="H24"/>
      <x:c r="I24" t="str">
        <x:v>UNVERIFIED_ATTRIBUTE</x:v>
      </x:c>
      <x:c r="J24" t="str">
        <x:v>PROFILE_PRESET_UNAPPROVED</x:v>
      </x:c>
      <x:c r="K24" t="str">
        <x:v>Chỉ khi loại văn bản có phần căn cứ; kiểm tra mẫu theo tên loại; không tự thêm/cắt nguồn viện dẫn</x:v>
      </x:c>
      <x:c r="L24" t="str">
        <x:v>Dùng style căn cứ theo loại văn bản, KHÔNG mặc định in nghiêng mọi căn cứ; không tự thay dấu câu.</x:v>
      </x:c>
      <x:c r="M24" t="str">
        <x:v>pt</x:v>
      </x:c>
      <x:c r="N24" t="str">
        <x:v>HD05, Phần II mục 6.2.3</x:v>
      </x:c>
      <x:c r="O24" t="str">
        <x:v>https://tulieuvankien.dangcongsan.vn/upload/2006988/20260529/HD_05_VPTW_e1550.pdf</x:v>
      </x:c>
      <x:c r="P24" t="str">
        <x:v>PLUGIN:HOA-TIEU-MIEN-BAC-PARTY-HD05-HEADER-2026 | NEEDS_REVIEW</x:v>
      </x:c>
      <x:c r="Q24" t="str">
        <x:v>CHECK_ONLY</x:v>
      </x:c>
      <x:c r="R24" t="str">
        <x:v>Kiểm tra từng thuộc tính có mặt; so sánh nguồn/role; không suy đoán từ kết quả render chưa có</x:v>
      </x:c>
      <x:c r="S24" t="str">
        <x:v>STRUCTURE_READ_EXISTING_WORKBOOK</x:v>
      </x:c>
      <x:c r="T24"/>
      <x:c r="U24" t="str">
        <x:v>Paragraph/Run theo kiểu khối MD; preserve list numbering/table/drawing nếu có</x:v>
      </x:c>
    </x:row>
    <x:row r="25">
      <x:c r="A25" t="n">
        <x:v>24</x:v>
      </x:c>
      <x:c r="B25" t="str">
        <x:v>HD05.N.MD.CAN_CU.CACH_SAU</x:v>
      </x:c>
      <x:c r="C25" t="str">
        <x:v>HD05.N.MD.CAN_CU</x:v>
      </x:c>
      <x:c r="D25" t="str">
        <x:v>N</x:v>
      </x:c>
      <x:c r="E25" t="str">
        <x:v>Căn cứ ban hành</x:v>
      </x:c>
      <x:c r="F25" t="str">
        <x:v>CACH_SAU</x:v>
      </x:c>
      <x:c r="G25" t="n">
        <x:v>6</x:v>
      </x:c>
      <x:c r="H25"/>
      <x:c r="I25" t="str">
        <x:v>UNVERIFIED_ATTRIBUTE</x:v>
      </x:c>
      <x:c r="J25" t="str">
        <x:v>PROFILE_PRESET_UNAPPROVED</x:v>
      </x:c>
      <x:c r="K25" t="str">
        <x:v>Chỉ khi loại văn bản có phần căn cứ; kiểm tra mẫu theo tên loại; không tự thêm/cắt nguồn viện dẫn</x:v>
      </x:c>
      <x:c r="L25" t="str">
        <x:v>Dùng style căn cứ theo loại văn bản, KHÔNG mặc định in nghiêng mọi căn cứ; không tự thay dấu câu.</x:v>
      </x:c>
      <x:c r="M25" t="str">
        <x:v>pt</x:v>
      </x:c>
      <x:c r="N25" t="str">
        <x:v>HD05, Phần II mục 6.2.3</x:v>
      </x:c>
      <x:c r="O25" t="str">
        <x:v>https://tulieuvankien.dangcongsan.vn/upload/2006988/20260529/HD_05_VPTW_e1550.pdf</x:v>
      </x:c>
      <x:c r="P25" t="str">
        <x:v>PLUGIN:HOA-TIEU-MIEN-BAC-PARTY-HD05-HEADER-2026 | NEEDS_REVIEW</x:v>
      </x:c>
      <x:c r="Q25" t="str">
        <x:v>CHECK_ONLY</x:v>
      </x:c>
      <x:c r="R25" t="str">
        <x:v>Kiểm tra từng thuộc tính có mặt; so sánh nguồn/role; không suy đoán từ kết quả render chưa có</x:v>
      </x:c>
      <x:c r="S25" t="str">
        <x:v>STRUCTURE_READ_EXISTING_WORKBOOK</x:v>
      </x:c>
      <x:c r="T25"/>
      <x:c r="U25" t="str">
        <x:v>Paragraph/Run theo kiểu khối MD; preserve list numbering/table/drawing nếu có</x:v>
      </x:c>
    </x:row>
    <x:row r="26">
      <x:c r="A26" t="n">
        <x:v>25</x:v>
      </x:c>
      <x:c r="B26" t="str">
        <x:v>HD05.N.MD.CAN_CU.THUT_DONG_DAU</x:v>
      </x:c>
      <x:c r="C26" t="str">
        <x:v>HD05.N.MD.CAN_CU</x:v>
      </x:c>
      <x:c r="D26" t="str">
        <x:v>N</x:v>
      </x:c>
      <x:c r="E26" t="str">
        <x:v>Căn cứ ban hành</x:v>
      </x:c>
      <x:c r="F26" t="str">
        <x:v>THUT_DONG_DAU</x:v>
      </x:c>
      <x:c r="G26" t="n">
        <x:v>10</x:v>
      </x:c>
      <x:c r="H26"/>
      <x:c r="I26" t="str">
        <x:v>UNVERIFIED_ATTRIBUTE</x:v>
      </x:c>
      <x:c r="J26" t="str">
        <x:v>PROFILE_PRESET_UNAPPROVED</x:v>
      </x:c>
      <x:c r="K26" t="str">
        <x:v>Chỉ khi loại văn bản có phần căn cứ; kiểm tra mẫu theo tên loại; không tự thêm/cắt nguồn viện dẫn</x:v>
      </x:c>
      <x:c r="L26" t="str">
        <x:v>Dùng style căn cứ theo loại văn bản, KHÔNG mặc định in nghiêng mọi căn cứ; không tự thay dấu câu.</x:v>
      </x:c>
      <x:c r="M26" t="str">
        <x:v>mm</x:v>
      </x:c>
      <x:c r="N26" t="str">
        <x:v>HD05, Phần II mục 6.2.3</x:v>
      </x:c>
      <x:c r="O26" t="str">
        <x:v>https://tulieuvankien.dangcongsan.vn/upload/2006988/20260529/HD_05_VPTW_e1550.pdf</x:v>
      </x:c>
      <x:c r="P26" t="str">
        <x:v>PLUGIN:HOA-TIEU-MIEN-BAC-PARTY-HD05-HEADER-2026 | NEEDS_REVIEW</x:v>
      </x:c>
      <x:c r="Q26" t="str">
        <x:v>CHECK_ONLY</x:v>
      </x:c>
      <x:c r="R26" t="str">
        <x:v>Kiểm tra từng thuộc tính có mặt; so sánh nguồn/role; không suy đoán từ kết quả render chưa có</x:v>
      </x:c>
      <x:c r="S26" t="str">
        <x:v>STRUCTURE_READ_EXISTING_WORKBOOK</x:v>
      </x:c>
      <x:c r="T26"/>
      <x:c r="U26" t="str">
        <x:v>Paragraph/Run theo kiểu khối MD; preserve list numbering/table/drawing nếu có</x:v>
      </x:c>
    </x:row>
    <x:row r="27">
      <x:c r="A27" t="n">
        <x:v>26</x:v>
      </x:c>
      <x:c r="B27" t="str">
        <x:v>HD05.N.MD.CAN_CU.DAU_CAU</x:v>
      </x:c>
      <x:c r="C27" t="str">
        <x:v>HD05.N.MD.CAN_CU</x:v>
      </x:c>
      <x:c r="D27" t="str">
        <x:v>N</x:v>
      </x:c>
      <x:c r="E27" t="str">
        <x:v>Căn cứ ban hành</x:v>
      </x:c>
      <x:c r="F27" t="str">
        <x:v>DAU_CAU</x:v>
      </x:c>
      <x:c r="G27"/>
      <x:c r="H27"/>
      <x:c r="I27" t="str">
        <x:v>UNVERIFIED_ATTRIBUTE</x:v>
      </x:c>
      <x:c r="J27" t="str">
        <x:v>BLOCKED_NO_ATTRIBUTE_VALUE</x:v>
      </x:c>
      <x:c r="K27" t="str">
        <x:v>Chỉ khi loại văn bản có phần căn cứ; kiểm tra mẫu theo tên loại; không tự thêm/cắt nguồn viện dẫn</x:v>
      </x:c>
      <x:c r="L27" t="str">
        <x:v>Dùng style căn cứ theo loại văn bản, KHÔNG mặc định in nghiêng mọi căn cứ; không tự thay dấu câu.</x:v>
      </x:c>
      <x:c r="M27"/>
      <x:c r="N27" t="str">
        <x:v>HD05, Phần II mục 6.2.3</x:v>
      </x:c>
      <x:c r="O27" t="str">
        <x:v>https://tulieuvankien.dangcongsan.vn/upload/2006988/20260529/HD_05_VPTW_e1550.pdf</x:v>
      </x:c>
      <x:c r="P27" t="str">
        <x:v>PLUGIN:HOA-TIEU-MIEN-BAC-PARTY-HD05-HEADER-2026 | NEEDS_REVIEW</x:v>
      </x:c>
      <x:c r="Q27" t="str">
        <x:v>CHECK_ONLY</x:v>
      </x:c>
      <x:c r="R27" t="str">
        <x:v>Kiểm tra từng thuộc tính có mặt; so sánh nguồn/role; không suy đoán từ kết quả render chưa có</x:v>
      </x:c>
      <x:c r="S27" t="str">
        <x:v>RULE_INFERENCE_NOT_MEASURED</x:v>
      </x:c>
      <x:c r="T27" t="str">
        <x:v>Xác minh căn cứ theo loại văn bản / tài liệu phát hành hoặc phê duyệt</x:v>
      </x:c>
      <x:c r="U27" t="str">
        <x:v>Paragraph/Run theo kiểu khối MD; preserve list numbering/table/drawing nếu có</x:v>
      </x:c>
    </x:row>
    <x:row r="28">
      <x:c r="A28" t="n">
        <x:v>27</x:v>
      </x:c>
      <x:c r="B28" t="str">
        <x:v>HD05.N.MD.CAN_CU.DAU_MUC</x:v>
      </x:c>
      <x:c r="C28" t="str">
        <x:v>HD05.N.MD.CAN_CU</x:v>
      </x:c>
      <x:c r="D28" t="str">
        <x:v>N</x:v>
      </x:c>
      <x:c r="E28" t="str">
        <x:v>Căn cứ ban hành</x:v>
      </x:c>
      <x:c r="F28" t="str">
        <x:v>DAU_MUC</x:v>
      </x:c>
      <x:c r="G28" t="str">
        <x:v>Dấu - trước mỗi căn cứ</x:v>
      </x:c>
      <x:c r="H28" t="str">
        <x:v>Dấu gạch ngang (-) trước mỗi căn cứ</x:v>
      </x:c>
      <x:c r="I28" t="str">
        <x:v>LEGAL_EXPLICIT_CHECKED</x:v>
      </x:c>
      <x:c r="J28" t="str">
        <x:v>PROFILE_PRESET_UNAPPROVED</x:v>
      </x:c>
      <x:c r="K28" t="str">
        <x:v>Chỉ khi loại văn bản có phần căn cứ; kiểm tra mẫu theo tên loại; không tự thêm/cắt nguồn viện dẫn</x:v>
      </x:c>
      <x:c r="L28" t="str">
        <x:v>Dùng style căn cứ theo loại văn bản, KHÔNG mặc định in nghiêng mọi căn cứ; không tự thay dấu câu.</x:v>
      </x:c>
      <x:c r="M28"/>
      <x:c r="N28" t="str">
        <x:v>Phần II.I.6.2.3</x:v>
      </x:c>
      <x:c r="O28" t="str">
        <x:v>https://tulieuvankien.dangcongsan.vn/upload/2006988/20260529/HD_05_VPTW_e1550.pdf</x:v>
      </x:c>
      <x:c r="P28" t="str">
        <x:v>PLUGIN:HOA-TIEU-MIEN-BAC-PARTY-HD05-HEADER-2026 | NEEDS_REVIEW</x:v>
      </x:c>
      <x:c r="Q28" t="str">
        <x:v>CHECK_ONLY</x:v>
      </x:c>
      <x:c r="R28" t="str">
        <x:v>Kiểm tra từng thuộc tính có mặt; so sánh nguồn/role; không suy đoán từ kết quả render chưa có</x:v>
      </x:c>
      <x:c r="S28" t="str">
        <x:v>OFFICIAL_TEXT_VERIFIED</x:v>
      </x:c>
      <x:c r="T28"/>
      <x:c r="U28" t="str">
        <x:v>Paragraph/Run theo kiểu khối MD; preserve list numbering/table/drawing nếu có</x:v>
      </x:c>
    </x:row>
    <x:row r="29">
      <x:c r="A29" t="n">
        <x:v>28</x:v>
      </x:c>
      <x:c r="B29" t="str">
        <x:v>HD05.N.DM.PHAN.HIEN_DIEN</x:v>
      </x:c>
      <x:c r="C29" t="str">
        <x:v>HD05.N.DM.PHAN</x:v>
      </x:c>
      <x:c r="D29" t="str">
        <x:v>N</x:v>
      </x:c>
      <x:c r="E29" t="str">
        <x:v>Phần</x:v>
      </x:c>
      <x:c r="F29" t="str">
        <x:v>HIEN_DIEN</x:v>
      </x:c>
      <x:c r="G29" t="str">
        <x:v>Theo loại văn bản và sự hiện diện thực tế; không áp dụng đồng loạt</x:v>
      </x:c>
      <x:c r="H29"/>
      <x:c r="I29" t="str">
        <x:v>UNVERIFIED_ATTRIBUTE</x:v>
      </x:c>
      <x:c r="J29" t="str">
        <x:v>SOURCE_DESCRIPTION_NOT_APPROVAL</x:v>
      </x:c>
      <x:c r="K29" t="str">
        <x:v>Chỉ khi văn bản có phân cấp này; giữ số, tên và thứ bậc thực tế; không tự đánh lại số</x:v>
      </x:c>
      <x:c r="L29" t="str">
        <x:v>Bảo toàn cấu trúc/nội dung; nếu khác loại văn bản, ưu tiên đúng mẫu của loại đó; không sửa khi thiếu căn cứ.</x:v>
      </x:c>
      <x:c r="M29"/>
      <x:c r="N29" t="str">
        <x:v>HD05, Phần II, I.6 và IV; Phụ lục 2 mục 6</x:v>
      </x:c>
      <x:c r="O29" t="str">
        <x:v>https://tulieuvankien.dangcongsan.vn/upload/2006988/20260529/HD_05_VPTW_e1550.pdf</x:v>
      </x:c>
      <x:c r="P29" t="str">
        <x:v>PLUGIN:HOA-TIEU-MIEN-BAC-PARTY-HD05-HEADER-2026 | NEEDS_REVIEW</x:v>
      </x:c>
      <x:c r="Q29" t="str">
        <x:v>CHECK_ONLY</x:v>
      </x:c>
      <x:c r="R29" t="str">
        <x:v>Kiểm tra từng thuộc tính có mặt; so sánh nguồn/role; không suy đoán từ kết quả render chưa có</x:v>
      </x:c>
      <x:c r="S29" t="str">
        <x:v>STRUCTURE_READ_EXISTING_WORKBOOK</x:v>
      </x:c>
      <x:c r="T29"/>
      <x:c r="U29" t="str">
        <x:v>Paragraph/Run theo kiểu khối DM; preserve list numbering/table/drawing nếu có</x:v>
      </x:c>
    </x:row>
    <x:row r="30">
      <x:c r="A30" t="n">
        <x:v>29</x:v>
      </x:c>
      <x:c r="B30" t="str">
        <x:v>HD05.N.DM.PHAN.NOI_DUNG</x:v>
      </x:c>
      <x:c r="C30" t="str">
        <x:v>HD05.N.DM.PHAN</x:v>
      </x:c>
      <x:c r="D30" t="str">
        <x:v>N</x:v>
      </x:c>
      <x:c r="E30" t="str">
        <x:v>Phần</x:v>
      </x:c>
      <x:c r="F30" t="str">
        <x:v>NOI_DUNG</x:v>
      </x:c>
      <x:c r="G30" t="str">
        <x:v>Nhận diện số thứ tự và tiêu đề; tiêu đề phần/chương in hoa, đậm</x:v>
      </x:c>
      <x:c r="H30"/>
      <x:c r="I30" t="str">
        <x:v>UNVERIFIED_ATTRIBUTE</x:v>
      </x:c>
      <x:c r="J30" t="str">
        <x:v>SOURCE_DESCRIPTION_NOT_APPROVAL</x:v>
      </x:c>
      <x:c r="K30" t="str">
        <x:v>Chỉ khi văn bản có phân cấp này; giữ số, tên và thứ bậc thực tế; không tự đánh lại số</x:v>
      </x:c>
      <x:c r="L30" t="str">
        <x:v>Bảo toàn cấu trúc/nội dung; nếu khác loại văn bản, ưu tiên đúng mẫu của loại đó; không sửa khi thiếu căn cứ.</x:v>
      </x:c>
      <x:c r="M30"/>
      <x:c r="N30" t="str">
        <x:v>HD05, Phần II, I.6 và IV; Phụ lục 2 mục 6</x:v>
      </x:c>
      <x:c r="O30" t="str">
        <x:v>https://tulieuvankien.dangcongsan.vn/upload/2006988/20260529/HD_05_VPTW_e1550.pdf</x:v>
      </x:c>
      <x:c r="P30" t="str">
        <x:v>PLUGIN:HOA-TIEU-MIEN-BAC-PARTY-HD05-HEADER-2026 | NEEDS_REVIEW</x:v>
      </x:c>
      <x:c r="Q30" t="str">
        <x:v>CHECK_ONLY</x:v>
      </x:c>
      <x:c r="R30" t="str">
        <x:v>Kiểm tra từng thuộc tính có mặt; so sánh nguồn/role; không suy đoán từ kết quả render chưa có</x:v>
      </x:c>
      <x:c r="S30" t="str">
        <x:v>STRUCTURE_READ_EXISTING_WORKBOOK</x:v>
      </x:c>
      <x:c r="T30"/>
      <x:c r="U30" t="str">
        <x:v>Paragraph/Run theo kiểu khối DM; preserve list numbering/table/drawing nếu có</x:v>
      </x:c>
    </x:row>
    <x:row r="31">
      <x:c r="A31" t="n">
        <x:v>30</x:v>
      </x:c>
      <x:c r="B31" t="str">
        <x:v>HD05.N.DM.PHAN.PHONG_CHU</x:v>
      </x:c>
      <x:c r="C31" t="str">
        <x:v>HD05.N.DM.PHAN</x:v>
      </x:c>
      <x:c r="D31" t="str">
        <x:v>N</x:v>
      </x:c>
      <x:c r="E31" t="str">
        <x:v>Phần</x:v>
      </x:c>
      <x:c r="F31" t="str">
        <x:v>PHONG_CHU</x:v>
      </x:c>
      <x:c r="G31" t="str">
        <x:v>Times New Roman</x:v>
      </x:c>
      <x:c r="H31"/>
      <x:c r="I31" t="str">
        <x:v>UNVERIFIED_ATTRIBUTE</x:v>
      </x:c>
      <x:c r="J31" t="str">
        <x:v>PROFILE_PRESET_UNAPPROVED</x:v>
      </x:c>
      <x:c r="K31" t="str">
        <x:v>Chỉ khi văn bản có phân cấp này; giữ số, tên và thứ bậc thực tế; không tự đánh lại số</x:v>
      </x:c>
      <x:c r="L31" t="str">
        <x:v>Bảo toàn cấu trúc/nội dung; nếu khác loại văn bản, ưu tiên đúng mẫu của loại đó; không sửa khi thiếu căn cứ.</x:v>
      </x:c>
      <x:c r="M31"/>
      <x:c r="N31" t="str">
        <x:v>HD05, Phần II, I.6 và IV; Phụ lục 2 mục 6</x:v>
      </x:c>
      <x:c r="O31" t="str">
        <x:v>https://tulieuvankien.dangcongsan.vn/upload/2006988/20260529/HD_05_VPTW_e1550.pdf</x:v>
      </x:c>
      <x:c r="P31" t="str">
        <x:v>PLUGIN:HOA-TIEU-MIEN-BAC-PARTY-HD05-HEADER-2026 | NEEDS_REVIEW</x:v>
      </x:c>
      <x:c r="Q31" t="str">
        <x:v>CHECK_ONLY</x:v>
      </x:c>
      <x:c r="R31" t="str">
        <x:v>Kiểm tra từng thuộc tính có mặt; so sánh nguồn/role; không suy đoán từ kết quả render chưa có</x:v>
      </x:c>
      <x:c r="S31" t="str">
        <x:v>STRUCTURE_READ_EXISTING_WORKBOOK</x:v>
      </x:c>
      <x:c r="T31"/>
      <x:c r="U31" t="str">
        <x:v>Paragraph/Run theo kiểu khối DM; preserve list numbering/table/drawing nếu có</x:v>
      </x:c>
    </x:row>
    <x:row r="32">
      <x:c r="A32" t="n">
        <x:v>31</x:v>
      </x:c>
      <x:c r="B32" t="str">
        <x:v>HD05.N.DM.PHAN.CO_CHU</x:v>
      </x:c>
      <x:c r="C32" t="str">
        <x:v>HD05.N.DM.PHAN</x:v>
      </x:c>
      <x:c r="D32" t="str">
        <x:v>N</x:v>
      </x:c>
      <x:c r="E32" t="str">
        <x:v>Phần</x:v>
      </x:c>
      <x:c r="F32" t="str">
        <x:v>CO_CHU</x:v>
      </x:c>
      <x:c r="G32" t="n">
        <x:v>14</x:v>
      </x:c>
      <x:c r="H32"/>
      <x:c r="I32" t="str">
        <x:v>UNVERIFIED_ATTRIBUTE</x:v>
      </x:c>
      <x:c r="J32" t="str">
        <x:v>PROFILE_PRESET_UNAPPROVED</x:v>
      </x:c>
      <x:c r="K32" t="str">
        <x:v>Chỉ khi văn bản có phân cấp này; giữ số, tên và thứ bậc thực tế; không tự đánh lại số</x:v>
      </x:c>
      <x:c r="L32" t="str">
        <x:v>Bảo toàn cấu trúc/nội dung; nếu khác loại văn bản, ưu tiên đúng mẫu của loại đó; không sửa khi thiếu căn cứ.</x:v>
      </x:c>
      <x:c r="M32" t="str">
        <x:v>pt</x:v>
      </x:c>
      <x:c r="N32" t="str">
        <x:v>HD05, Phần II, I.6 và IV; Phụ lục 2 mục 6</x:v>
      </x:c>
      <x:c r="O32" t="str">
        <x:v>https://tulieuvankien.dangcongsan.vn/upload/2006988/20260529/HD_05_VPTW_e1550.pdf</x:v>
      </x:c>
      <x:c r="P32" t="str">
        <x:v>PLUGIN:HOA-TIEU-MIEN-BAC-PARTY-HD05-HEADER-2026 | NEEDS_REVIEW</x:v>
      </x:c>
      <x:c r="Q32" t="str">
        <x:v>CHECK_ONLY</x:v>
      </x:c>
      <x:c r="R32" t="str">
        <x:v>Kiểm tra từng thuộc tính có mặt; so sánh nguồn/role; không suy đoán từ kết quả render chưa có</x:v>
      </x:c>
      <x:c r="S32" t="str">
        <x:v>STRUCTURE_READ_EXISTING_WORKBOOK</x:v>
      </x:c>
      <x:c r="T32"/>
      <x:c r="U32" t="str">
        <x:v>Paragraph/Run theo kiểu khối DM; preserve list numbering/table/drawing nếu có</x:v>
      </x:c>
    </x:row>
    <x:row r="33">
      <x:c r="A33" t="n">
        <x:v>32</x:v>
      </x:c>
      <x:c r="B33" t="str">
        <x:v>HD05.N.DM.PHAN.DAM</x:v>
      </x:c>
      <x:c r="C33" t="str">
        <x:v>HD05.N.DM.PHAN</x:v>
      </x:c>
      <x:c r="D33" t="str">
        <x:v>N</x:v>
      </x:c>
      <x:c r="E33" t="str">
        <x:v>Phần</x:v>
      </x:c>
      <x:c r="F33" t="str">
        <x:v>DAM</x:v>
      </x:c>
      <x:c r="G33" t="str">
        <x:v>CÓ</x:v>
      </x:c>
      <x:c r="H33"/>
      <x:c r="I33" t="str">
        <x:v>UNVERIFIED_ATTRIBUTE</x:v>
      </x:c>
      <x:c r="J33" t="str">
        <x:v>PROFILE_PRESET_UNAPPROVED</x:v>
      </x:c>
      <x:c r="K33" t="str">
        <x:v>Chỉ khi văn bản có phân cấp này; giữ số, tên và thứ bậc thực tế; không tự đánh lại số</x:v>
      </x:c>
      <x:c r="L33" t="str">
        <x:v>Bảo toàn cấu trúc/nội dung; nếu khác loại văn bản, ưu tiên đúng mẫu của loại đó; không sửa khi thiếu căn cứ.</x:v>
      </x:c>
      <x:c r="M33"/>
      <x:c r="N33" t="str">
        <x:v>HD05, Phần II, I.6 và IV; Phụ lục 2 mục 6</x:v>
      </x:c>
      <x:c r="O33" t="str">
        <x:v>https://tulieuvankien.dangcongsan.vn/upload/2006988/20260529/HD_05_VPTW_e1550.pdf</x:v>
      </x:c>
      <x:c r="P33" t="str">
        <x:v>PLUGIN:HOA-TIEU-MIEN-BAC-PARTY-HD05-HEADER-2026 | NEEDS_REVIEW</x:v>
      </x:c>
      <x:c r="Q33" t="str">
        <x:v>CHECK_ONLY</x:v>
      </x:c>
      <x:c r="R33" t="str">
        <x:v>Kiểm tra từng thuộc tính có mặt; so sánh nguồn/role; không suy đoán từ kết quả render chưa có</x:v>
      </x:c>
      <x:c r="S33" t="str">
        <x:v>STRUCTURE_READ_EXISTING_WORKBOOK</x:v>
      </x:c>
      <x:c r="T33"/>
      <x:c r="U33" t="str">
        <x:v>Paragraph/Run theo kiểu khối DM; preserve list numbering/table/drawing nếu có</x:v>
      </x:c>
    </x:row>
    <x:row r="34">
      <x:c r="A34" t="n">
        <x:v>33</x:v>
      </x:c>
      <x:c r="B34" t="str">
        <x:v>HD05.N.DM.PHAN.NGHIENG</x:v>
      </x:c>
      <x:c r="C34" t="str">
        <x:v>HD05.N.DM.PHAN</x:v>
      </x:c>
      <x:c r="D34" t="str">
        <x:v>N</x:v>
      </x:c>
      <x:c r="E34" t="str">
        <x:v>Phần</x:v>
      </x:c>
      <x:c r="F34" t="str">
        <x:v>NGHIENG</x:v>
      </x:c>
      <x:c r="G34"/>
      <x:c r="H34"/>
      <x:c r="I34" t="str">
        <x:v>UNVERIFIED_ATTRIBUTE</x:v>
      </x:c>
      <x:c r="J34" t="str">
        <x:v>BLOCKED_NO_ATTRIBUTE_VALUE</x:v>
      </x:c>
      <x:c r="K34" t="str">
        <x:v>Chỉ khi văn bản có phân cấp này; giữ số, tên và thứ bậc thực tế; không tự đánh lại số</x:v>
      </x:c>
      <x:c r="L34" t="str">
        <x:v>Bảo toàn cấu trúc/nội dung; nếu khác loại văn bản, ưu tiên đúng mẫu của loại đó; không sửa khi thiếu căn cứ.</x:v>
      </x:c>
      <x:c r="M34"/>
      <x:c r="N34" t="str">
        <x:v>HD05, Phần II, I.6 và IV; Phụ lục 2 mục 6</x:v>
      </x:c>
      <x:c r="O34" t="str">
        <x:v>https://tulieuvankien.dangcongsan.vn/upload/2006988/20260529/HD_05_VPTW_e1550.pdf</x:v>
      </x:c>
      <x:c r="P34" t="str">
        <x:v>PLUGIN:HOA-TIEU-MIEN-BAC-PARTY-HD05-HEADER-2026 | NEEDS_REVIEW</x:v>
      </x:c>
      <x:c r="Q34" t="str">
        <x:v>CHECK_ONLY</x:v>
      </x:c>
      <x:c r="R34" t="str">
        <x:v>Kiểm tra từng thuộc tính có mặt; so sánh nguồn/role; không suy đoán từ kết quả render chưa có</x:v>
      </x:c>
      <x:c r="S34" t="str">
        <x:v>RULE_INFERENCE_NOT_MEASURED</x:v>
      </x:c>
      <x:c r="T34" t="str">
        <x:v>Xác minh căn cứ theo loại văn bản / tài liệu phát hành hoặc phê duyệt</x:v>
      </x:c>
      <x:c r="U34" t="str">
        <x:v>Paragraph/Run theo kiểu khối DM; preserve list numbering/table/drawing nếu có</x:v>
      </x:c>
    </x:row>
    <x:row r="35">
      <x:c r="A35" t="n">
        <x:v>34</x:v>
      </x:c>
      <x:c r="B35" t="str">
        <x:v>HD05.N.DM.PHAN.KIEU_CHU</x:v>
      </x:c>
      <x:c r="C35" t="str">
        <x:v>HD05.N.DM.PHAN</x:v>
      </x:c>
      <x:c r="D35" t="str">
        <x:v>N</x:v>
      </x:c>
      <x:c r="E35" t="str">
        <x:v>Phần</x:v>
      </x:c>
      <x:c r="F35" t="str">
        <x:v>KIEU_CHU</x:v>
      </x:c>
      <x:c r="G35" t="str">
        <x:v>Nhãn thường; tiêu đề IN HOA</x:v>
      </x:c>
      <x:c r="H35"/>
      <x:c r="I35" t="str">
        <x:v>UNVERIFIED_ATTRIBUTE</x:v>
      </x:c>
      <x:c r="J35" t="str">
        <x:v>PROFILE_PRESET_UNAPPROVED</x:v>
      </x:c>
      <x:c r="K35" t="str">
        <x:v>Chỉ khi văn bản có phân cấp này; giữ số, tên và thứ bậc thực tế; không tự đánh lại số</x:v>
      </x:c>
      <x:c r="L35" t="str">
        <x:v>Bảo toàn cấu trúc/nội dung; nếu khác loại văn bản, ưu tiên đúng mẫu của loại đó; không sửa khi thiếu căn cứ.</x:v>
      </x:c>
      <x:c r="M35"/>
      <x:c r="N35" t="str">
        <x:v>HD05, Phần II, I.6 và IV; Phụ lục 2 mục 6</x:v>
      </x:c>
      <x:c r="O35" t="str">
        <x:v>https://tulieuvankien.dangcongsan.vn/upload/2006988/20260529/HD_05_VPTW_e1550.pdf</x:v>
      </x:c>
      <x:c r="P35" t="str">
        <x:v>PLUGIN:HOA-TIEU-MIEN-BAC-PARTY-HD05-HEADER-2026 | NEEDS_REVIEW</x:v>
      </x:c>
      <x:c r="Q35" t="str">
        <x:v>CHECK_ONLY</x:v>
      </x:c>
      <x:c r="R35" t="str">
        <x:v>Kiểm tra từng thuộc tính có mặt; so sánh nguồn/role; không suy đoán từ kết quả render chưa có</x:v>
      </x:c>
      <x:c r="S35" t="str">
        <x:v>STRUCTURE_READ_EXISTING_WORKBOOK</x:v>
      </x:c>
      <x:c r="T35"/>
      <x:c r="U35" t="str">
        <x:v>Paragraph/Run theo kiểu khối DM; preserve list numbering/table/drawing nếu có</x:v>
      </x:c>
    </x:row>
    <x:row r="36">
      <x:c r="A36" t="n">
        <x:v>35</x:v>
      </x:c>
      <x:c r="B36" t="str">
        <x:v>HD05.N.DM.PHAN.CAN_NGANG</x:v>
      </x:c>
      <x:c r="C36" t="str">
        <x:v>HD05.N.DM.PHAN</x:v>
      </x:c>
      <x:c r="D36" t="str">
        <x:v>N</x:v>
      </x:c>
      <x:c r="E36" t="str">
        <x:v>Phần</x:v>
      </x:c>
      <x:c r="F36" t="str">
        <x:v>CAN_NGANG</x:v>
      </x:c>
      <x:c r="G36" t="str">
        <x:v>CENTER</x:v>
      </x:c>
      <x:c r="H36"/>
      <x:c r="I36" t="str">
        <x:v>UNVERIFIED_ATTRIBUTE</x:v>
      </x:c>
      <x:c r="J36" t="str">
        <x:v>PROFILE_PRESET_UNAPPROVED</x:v>
      </x:c>
      <x:c r="K36" t="str">
        <x:v>Chỉ khi văn bản có phân cấp này; giữ số, tên và thứ bậc thực tế; không tự đánh lại số</x:v>
      </x:c>
      <x:c r="L36" t="str">
        <x:v>Bảo toàn cấu trúc/nội dung; nếu khác loại văn bản, ưu tiên đúng mẫu của loại đó; không sửa khi thiếu căn cứ.</x:v>
      </x:c>
      <x:c r="M36"/>
      <x:c r="N36" t="str">
        <x:v>HD05, Phần II, I.6 và IV; Phụ lục 2 mục 6</x:v>
      </x:c>
      <x:c r="O36" t="str">
        <x:v>https://tulieuvankien.dangcongsan.vn/upload/2006988/20260529/HD_05_VPTW_e1550.pdf</x:v>
      </x:c>
      <x:c r="P36" t="str">
        <x:v>PLUGIN:HOA-TIEU-MIEN-BAC-PARTY-HD05-HEADER-2026 | NEEDS_REVIEW</x:v>
      </x:c>
      <x:c r="Q36" t="str">
        <x:v>CHECK_ONLY</x:v>
      </x:c>
      <x:c r="R36" t="str">
        <x:v>Kiểm tra từng thuộc tính có mặt; so sánh nguồn/role; không suy đoán từ kết quả render chưa có</x:v>
      </x:c>
      <x:c r="S36" t="str">
        <x:v>STRUCTURE_READ_EXISTING_WORKBOOK</x:v>
      </x:c>
      <x:c r="T36"/>
      <x:c r="U36" t="str">
        <x:v>Paragraph/Run theo kiểu khối DM; preserve list numbering/table/drawing nếu có</x:v>
      </x:c>
    </x:row>
    <x:row r="37">
      <x:c r="A37" t="n">
        <x:v>36</x:v>
      </x:c>
      <x:c r="B37" t="str">
        <x:v>HD05.N.DM.PHAN.GIAN_DONG</x:v>
      </x:c>
      <x:c r="C37" t="str">
        <x:v>HD05.N.DM.PHAN</x:v>
      </x:c>
      <x:c r="D37" t="str">
        <x:v>N</x:v>
      </x:c>
      <x:c r="E37" t="str">
        <x:v>Phần</x:v>
      </x:c>
      <x:c r="F37" t="str">
        <x:v>GIAN_DONG</x:v>
      </x:c>
      <x:c r="G37" t="n">
        <x:v>19</x:v>
      </x:c>
      <x:c r="H37"/>
      <x:c r="I37" t="str">
        <x:v>UNVERIFIED_ATTRIBUTE</x:v>
      </x:c>
      <x:c r="J37" t="str">
        <x:v>PROFILE_PRESET_UNAPPROVED</x:v>
      </x:c>
      <x:c r="K37" t="str">
        <x:v>Chỉ khi văn bản có phân cấp này; giữ số, tên và thứ bậc thực tế; không tự đánh lại số</x:v>
      </x:c>
      <x:c r="L37" t="str">
        <x:v>Bảo toàn cấu trúc/nội dung; nếu khác loại văn bản, ưu tiên đúng mẫu của loại đó; không sửa khi thiếu căn cứ. HD05 phần thân: Exactly 18–22 pt theo HD05; nếu giá trị profile khác phải đánh cờ xung đột.</x:v>
      </x:c>
      <x:c r="M37" t="str">
        <x:v>pt</x:v>
      </x:c>
      <x:c r="N37" t="str">
        <x:v>HD05, Phần II, I.6 và IV; Phụ lục 2 mục 6</x:v>
      </x:c>
      <x:c r="O37" t="str">
        <x:v>https://tulieuvankien.dangcongsan.vn/upload/2006988/20260529/HD_05_VPTW_e1550.pdf</x:v>
      </x:c>
      <x:c r="P37" t="str">
        <x:v>PLUGIN:HOA-TIEU-MIEN-BAC-PARTY-HD05-HEADER-2026 | NEEDS_REVIEW</x:v>
      </x:c>
      <x:c r="Q37" t="str">
        <x:v>CHECK_ONLY</x:v>
      </x:c>
      <x:c r="R37" t="str">
        <x:v>Kiểm tra từng thuộc tính có mặt; so sánh nguồn/role; không suy đoán từ kết quả render chưa có</x:v>
      </x:c>
      <x:c r="S37" t="str">
        <x:v>STRUCTURE_READ_EXISTING_WORKBOOK</x:v>
      </x:c>
      <x:c r="T37"/>
      <x:c r="U37" t="str">
        <x:v>Paragraph/Run theo kiểu khối DM; preserve list numbering/table/drawing nếu có</x:v>
      </x:c>
    </x:row>
    <x:row r="38">
      <x:c r="A38" t="n">
        <x:v>37</x:v>
      </x:c>
      <x:c r="B38" t="str">
        <x:v>HD05.N.DM.PHAN.CACH_TRUOC</x:v>
      </x:c>
      <x:c r="C38" t="str">
        <x:v>HD05.N.DM.PHAN</x:v>
      </x:c>
      <x:c r="D38" t="str">
        <x:v>N</x:v>
      </x:c>
      <x:c r="E38" t="str">
        <x:v>Phần</x:v>
      </x:c>
      <x:c r="F38" t="str">
        <x:v>CACH_TRUOC</x:v>
      </x:c>
      <x:c r="G38" t="n">
        <x:v>6</x:v>
      </x:c>
      <x:c r="H38"/>
      <x:c r="I38" t="str">
        <x:v>UNVERIFIED_ATTRIBUTE</x:v>
      </x:c>
      <x:c r="J38" t="str">
        <x:v>PROFILE_PRESET_UNAPPROVED</x:v>
      </x:c>
      <x:c r="K38" t="str">
        <x:v>Chỉ khi văn bản có phân cấp này; giữ số, tên và thứ bậc thực tế; không tự đánh lại số</x:v>
      </x:c>
      <x:c r="L38" t="str">
        <x:v>Bảo toàn cấu trúc/nội dung; nếu khác loại văn bản, ưu tiên đúng mẫu của loại đó; không sửa khi thiếu căn cứ.</x:v>
      </x:c>
      <x:c r="M38" t="str">
        <x:v>pt</x:v>
      </x:c>
      <x:c r="N38" t="str">
        <x:v>HD05, Phần II, I.6 và IV; Phụ lục 2 mục 6</x:v>
      </x:c>
      <x:c r="O38" t="str">
        <x:v>https://tulieuvankien.dangcongsan.vn/upload/2006988/20260529/HD_05_VPTW_e1550.pdf</x:v>
      </x:c>
      <x:c r="P38" t="str">
        <x:v>PLUGIN:HOA-TIEU-MIEN-BAC-PARTY-HD05-HEADER-2026 | NEEDS_REVIEW</x:v>
      </x:c>
      <x:c r="Q38" t="str">
        <x:v>CHECK_ONLY</x:v>
      </x:c>
      <x:c r="R38" t="str">
        <x:v>Kiểm tra từng thuộc tính có mặt; so sánh nguồn/role; không suy đoán từ kết quả render chưa có</x:v>
      </x:c>
      <x:c r="S38" t="str">
        <x:v>STRUCTURE_READ_EXISTING_WORKBOOK</x:v>
      </x:c>
      <x:c r="T38"/>
      <x:c r="U38" t="str">
        <x:v>Paragraph/Run theo kiểu khối DM; preserve list numbering/table/drawing nếu có</x:v>
      </x:c>
    </x:row>
    <x:row r="39">
      <x:c r="A39" t="n">
        <x:v>38</x:v>
      </x:c>
      <x:c r="B39" t="str">
        <x:v>HD05.N.DM.PHAN.CACH_SAU</x:v>
      </x:c>
      <x:c r="C39" t="str">
        <x:v>HD05.N.DM.PHAN</x:v>
      </x:c>
      <x:c r="D39" t="str">
        <x:v>N</x:v>
      </x:c>
      <x:c r="E39" t="str">
        <x:v>Phần</x:v>
      </x:c>
      <x:c r="F39" t="str">
        <x:v>CACH_SAU</x:v>
      </x:c>
      <x:c r="G39" t="n">
        <x:v>6</x:v>
      </x:c>
      <x:c r="H39"/>
      <x:c r="I39" t="str">
        <x:v>UNVERIFIED_ATTRIBUTE</x:v>
      </x:c>
      <x:c r="J39" t="str">
        <x:v>PROFILE_PRESET_UNAPPROVED</x:v>
      </x:c>
      <x:c r="K39" t="str">
        <x:v>Chỉ khi văn bản có phân cấp này; giữ số, tên và thứ bậc thực tế; không tự đánh lại số</x:v>
      </x:c>
      <x:c r="L39" t="str">
        <x:v>Bảo toàn cấu trúc/nội dung; nếu khác loại văn bản, ưu tiên đúng mẫu của loại đó; không sửa khi thiếu căn cứ.</x:v>
      </x:c>
      <x:c r="M39" t="str">
        <x:v>pt</x:v>
      </x:c>
      <x:c r="N39" t="str">
        <x:v>HD05, Phần II, I.6 và IV; Phụ lục 2 mục 6</x:v>
      </x:c>
      <x:c r="O39" t="str">
        <x:v>https://tulieuvankien.dangcongsan.vn/upload/2006988/20260529/HD_05_VPTW_e1550.pdf</x:v>
      </x:c>
      <x:c r="P39" t="str">
        <x:v>PLUGIN:HOA-TIEU-MIEN-BAC-PARTY-HD05-HEADER-2026 | NEEDS_REVIEW</x:v>
      </x:c>
      <x:c r="Q39" t="str">
        <x:v>CHECK_ONLY</x:v>
      </x:c>
      <x:c r="R39" t="str">
        <x:v>Kiểm tra từng thuộc tính có mặt; so sánh nguồn/role; không suy đoán từ kết quả render chưa có</x:v>
      </x:c>
      <x:c r="S39" t="str">
        <x:v>STRUCTURE_READ_EXISTING_WORKBOOK</x:v>
      </x:c>
      <x:c r="T39"/>
      <x:c r="U39" t="str">
        <x:v>Paragraph/Run theo kiểu khối DM; preserve list numbering/table/drawing nếu có</x:v>
      </x:c>
    </x:row>
    <x:row r="40">
      <x:c r="A40" t="n">
        <x:v>39</x:v>
      </x:c>
      <x:c r="B40" t="str">
        <x:v>HD05.N.DM.PHAN.THUT_DONG_DAU</x:v>
      </x:c>
      <x:c r="C40" t="str">
        <x:v>HD05.N.DM.PHAN</x:v>
      </x:c>
      <x:c r="D40" t="str">
        <x:v>N</x:v>
      </x:c>
      <x:c r="E40" t="str">
        <x:v>Phần</x:v>
      </x:c>
      <x:c r="F40" t="str">
        <x:v>THUT_DONG_DAU</x:v>
      </x:c>
      <x:c r="G40" t="n">
        <x:v>0</x:v>
      </x:c>
      <x:c r="H40"/>
      <x:c r="I40" t="str">
        <x:v>UNVERIFIED_ATTRIBUTE</x:v>
      </x:c>
      <x:c r="J40" t="str">
        <x:v>PROFILE_PRESET_UNAPPROVED</x:v>
      </x:c>
      <x:c r="K40" t="str">
        <x:v>Chỉ khi văn bản có phân cấp này; giữ số, tên và thứ bậc thực tế; không tự đánh lại số</x:v>
      </x:c>
      <x:c r="L40" t="str">
        <x:v>Bảo toàn cấu trúc/nội dung; nếu khác loại văn bản, ưu tiên đúng mẫu của loại đó; không sửa khi thiếu căn cứ.</x:v>
      </x:c>
      <x:c r="M40" t="str">
        <x:v>mm</x:v>
      </x:c>
      <x:c r="N40" t="str">
        <x:v>HD05, Phần II, I.6 và IV; Phụ lục 2 mục 6</x:v>
      </x:c>
      <x:c r="O40" t="str">
        <x:v>https://tulieuvankien.dangcongsan.vn/upload/2006988/20260529/HD_05_VPTW_e1550.pdf</x:v>
      </x:c>
      <x:c r="P40" t="str">
        <x:v>PLUGIN:HOA-TIEU-MIEN-BAC-PARTY-HD05-HEADER-2026 | NEEDS_REVIEW</x:v>
      </x:c>
      <x:c r="Q40" t="str">
        <x:v>CHECK_ONLY</x:v>
      </x:c>
      <x:c r="R40" t="str">
        <x:v>Kiểm tra từng thuộc tính có mặt; so sánh nguồn/role; không suy đoán từ kết quả render chưa có</x:v>
      </x:c>
      <x:c r="S40" t="str">
        <x:v>STRUCTURE_READ_EXISTING_WORKBOOK</x:v>
      </x:c>
      <x:c r="T40"/>
      <x:c r="U40" t="str">
        <x:v>Paragraph/Run theo kiểu khối DM; preserve list numbering/table/drawing nếu có</x:v>
      </x:c>
    </x:row>
    <x:row r="41">
      <x:c r="A41" t="n">
        <x:v>40</x:v>
      </x:c>
      <x:c r="B41" t="str">
        <x:v>HD05.N.DM.PHAN.KEEP_NEXT</x:v>
      </x:c>
      <x:c r="C41" t="str">
        <x:v>HD05.N.DM.PHAN</x:v>
      </x:c>
      <x:c r="D41" t="str">
        <x:v>N</x:v>
      </x:c>
      <x:c r="E41" t="str">
        <x:v>Phần</x:v>
      </x:c>
      <x:c r="F41" t="str">
        <x:v>KEEP_NEXT</x:v>
      </x:c>
      <x:c r="G41" t="str">
        <x:v>CÓ</x:v>
      </x:c>
      <x:c r="H41"/>
      <x:c r="I41" t="str">
        <x:v>UNVERIFIED_ATTRIBUTE</x:v>
      </x:c>
      <x:c r="J41" t="str">
        <x:v>PROFILE_PRESET_UNAPPROVED</x:v>
      </x:c>
      <x:c r="K41" t="str">
        <x:v>Chỉ khi văn bản có phân cấp này; giữ số, tên và thứ bậc thực tế; không tự đánh lại số</x:v>
      </x:c>
      <x:c r="L41" t="str">
        <x:v>Bảo toàn cấu trúc/nội dung; nếu khác loại văn bản, ưu tiên đúng mẫu của loại đó; không sửa khi thiếu căn cứ.</x:v>
      </x:c>
      <x:c r="M41"/>
      <x:c r="N41" t="str">
        <x:v>HD05, Phần II, I.6 và IV; Phụ lục 2 mục 6</x:v>
      </x:c>
      <x:c r="O41" t="str">
        <x:v>https://tulieuvankien.dangcongsan.vn/upload/2006988/20260529/HD_05_VPTW_e1550.pdf</x:v>
      </x:c>
      <x:c r="P41" t="str">
        <x:v>PLUGIN:HOA-TIEU-MIEN-BAC-PARTY-HD05-HEADER-2026 | NEEDS_REVIEW</x:v>
      </x:c>
      <x:c r="Q41" t="str">
        <x:v>CHECK_ONLY</x:v>
      </x:c>
      <x:c r="R41" t="str">
        <x:v>Kiểm tra từng thuộc tính có mặt; so sánh nguồn/role; không suy đoán từ kết quả render chưa có</x:v>
      </x:c>
      <x:c r="S41" t="str">
        <x:v>STRUCTURE_READ_EXISTING_WORKBOOK</x:v>
      </x:c>
      <x:c r="T41"/>
      <x:c r="U41" t="str">
        <x:v>Paragraph/Run theo kiểu khối DM; preserve list numbering/table/drawing nếu có</x:v>
      </x:c>
    </x:row>
    <x:row r="42">
      <x:c r="A42" t="n">
        <x:v>41</x:v>
      </x:c>
      <x:c r="B42" t="str">
        <x:v>HD05.N.DM.PHAN.SO_THU_TU</x:v>
      </x:c>
      <x:c r="C42" t="str">
        <x:v>HD05.N.DM.PHAN</x:v>
      </x:c>
      <x:c r="D42" t="str">
        <x:v>N</x:v>
      </x:c>
      <x:c r="E42" t="str">
        <x:v>Phần</x:v>
      </x:c>
      <x:c r="F42" t="str">
        <x:v>SO_THU_TU</x:v>
      </x:c>
      <x:c r="G42"/>
      <x:c r="H42"/>
      <x:c r="I42" t="str">
        <x:v>UNVERIFIED_ATTRIBUTE</x:v>
      </x:c>
      <x:c r="J42" t="str">
        <x:v>BLOCKED_NO_ATTRIBUTE_VALUE</x:v>
      </x:c>
      <x:c r="K42" t="str">
        <x:v>Chỉ khi văn bản có phân cấp này; giữ số, tên và thứ bậc thực tế; không tự đánh lại số</x:v>
      </x:c>
      <x:c r="L42" t="str">
        <x:v>Bảo toàn cấu trúc/nội dung; nếu khác loại văn bản, ưu tiên đúng mẫu của loại đó; không sửa khi thiếu căn cứ.</x:v>
      </x:c>
      <x:c r="M42"/>
      <x:c r="N42" t="str">
        <x:v>HD05, Phần II, I.6 và IV; Phụ lục 2 mục 6</x:v>
      </x:c>
      <x:c r="O42" t="str">
        <x:v>https://tulieuvankien.dangcongsan.vn/upload/2006988/20260529/HD_05_VPTW_e1550.pdf</x:v>
      </x:c>
      <x:c r="P42" t="str">
        <x:v>PLUGIN:HOA-TIEU-MIEN-BAC-PARTY-HD05-HEADER-2026 | NEEDS_REVIEW</x:v>
      </x:c>
      <x:c r="Q42" t="str">
        <x:v>CHECK_ONLY</x:v>
      </x:c>
      <x:c r="R42" t="str">
        <x:v>Kiểm tra từng thuộc tính có mặt; so sánh nguồn/role; không suy đoán từ kết quả render chưa có</x:v>
      </x:c>
      <x:c r="S42" t="str">
        <x:v>RULE_INFERENCE_NOT_MEASURED</x:v>
      </x:c>
      <x:c r="T42" t="str">
        <x:v>Xác minh căn cứ theo loại văn bản / tài liệu phát hành hoặc phê duyệt</x:v>
      </x:c>
      <x:c r="U42" t="str">
        <x:v>Paragraph/Run theo kiểu khối DM; preserve list numbering/table/drawing nếu có</x:v>
      </x:c>
    </x:row>
    <x:row r="43">
      <x:c r="A43" t="n">
        <x:v>42</x:v>
      </x:c>
      <x:c r="B43" t="str">
        <x:v>HD05.N.DM.PHAN.CAU_TRUC</x:v>
      </x:c>
      <x:c r="C43" t="str">
        <x:v>HD05.N.DM.PHAN</x:v>
      </x:c>
      <x:c r="D43" t="str">
        <x:v>N</x:v>
      </x:c>
      <x:c r="E43" t="str">
        <x:v>Phần</x:v>
      </x:c>
      <x:c r="F43" t="str">
        <x:v>CAU_TRUC</x:v>
      </x:c>
      <x:c r="G43"/>
      <x:c r="H43"/>
      <x:c r="I43" t="str">
        <x:v>UNVERIFIED_ATTRIBUTE</x:v>
      </x:c>
      <x:c r="J43" t="str">
        <x:v>BLOCKED_NO_ATTRIBUTE_VALUE</x:v>
      </x:c>
      <x:c r="K43" t="str">
        <x:v>Chỉ khi văn bản có phân cấp này; giữ số, tên và thứ bậc thực tế; không tự đánh lại số</x:v>
      </x:c>
      <x:c r="L43" t="str">
        <x:v>Bảo toàn cấu trúc/nội dung; nếu khác loại văn bản, ưu tiên đúng mẫu của loại đó; không sửa khi thiếu căn cứ.</x:v>
      </x:c>
      <x:c r="M43"/>
      <x:c r="N43" t="str">
        <x:v>HD05, Phần II, I.6 và IV; Phụ lục 2 mục 6</x:v>
      </x:c>
      <x:c r="O43" t="str">
        <x:v>https://tulieuvankien.dangcongsan.vn/upload/2006988/20260529/HD_05_VPTW_e1550.pdf</x:v>
      </x:c>
      <x:c r="P43" t="str">
        <x:v>PLUGIN:HOA-TIEU-MIEN-BAC-PARTY-HD05-HEADER-2026 | NEEDS_REVIEW</x:v>
      </x:c>
      <x:c r="Q43" t="str">
        <x:v>CHECK_ONLY</x:v>
      </x:c>
      <x:c r="R43" t="str">
        <x:v>Kiểm tra từng thuộc tính có mặt; so sánh nguồn/role; không suy đoán từ kết quả render chưa có</x:v>
      </x:c>
      <x:c r="S43" t="str">
        <x:v>RULE_INFERENCE_NOT_MEASURED</x:v>
      </x:c>
      <x:c r="T43" t="str">
        <x:v>Xác minh căn cứ theo loại văn bản / tài liệu phát hành hoặc phê duyệt</x:v>
      </x:c>
      <x:c r="U43" t="str">
        <x:v>Paragraph/Run theo kiểu khối DM; preserve list numbering/table/drawing nếu có</x:v>
      </x:c>
    </x:row>
    <x:row r="44">
      <x:c r="A44" t="n">
        <x:v>43</x:v>
      </x:c>
      <x:c r="B44" t="str">
        <x:v>HD05.N.DM.PHAN.DAU_CAU</x:v>
      </x:c>
      <x:c r="C44" t="str">
        <x:v>HD05.N.DM.PHAN</x:v>
      </x:c>
      <x:c r="D44" t="str">
        <x:v>N</x:v>
      </x:c>
      <x:c r="E44" t="str">
        <x:v>Phần</x:v>
      </x:c>
      <x:c r="F44" t="str">
        <x:v>DAU_CAU</x:v>
      </x:c>
      <x:c r="G44"/>
      <x:c r="H44"/>
      <x:c r="I44" t="str">
        <x:v>UNVERIFIED_ATTRIBUTE</x:v>
      </x:c>
      <x:c r="J44" t="str">
        <x:v>BLOCKED_NO_ATTRIBUTE_VALUE</x:v>
      </x:c>
      <x:c r="K44" t="str">
        <x:v>Chỉ khi văn bản có phân cấp này; giữ số, tên và thứ bậc thực tế; không tự đánh lại số</x:v>
      </x:c>
      <x:c r="L44" t="str">
        <x:v>Bảo toàn cấu trúc/nội dung; nếu khác loại văn bản, ưu tiên đúng mẫu của loại đó; không sửa khi thiếu căn cứ.</x:v>
      </x:c>
      <x:c r="M44"/>
      <x:c r="N44" t="str">
        <x:v>HD05, Phần II, I.6 và IV; Phụ lục 2 mục 6</x:v>
      </x:c>
      <x:c r="O44" t="str">
        <x:v>https://tulieuvankien.dangcongsan.vn/upload/2006988/20260529/HD_05_VPTW_e1550.pdf</x:v>
      </x:c>
      <x:c r="P44" t="str">
        <x:v>PLUGIN:HOA-TIEU-MIEN-BAC-PARTY-HD05-HEADER-2026 | NEEDS_REVIEW</x:v>
      </x:c>
      <x:c r="Q44" t="str">
        <x:v>CHECK_ONLY</x:v>
      </x:c>
      <x:c r="R44" t="str">
        <x:v>Kiểm tra từng thuộc tính có mặt; so sánh nguồn/role; không suy đoán từ kết quả render chưa có</x:v>
      </x:c>
      <x:c r="S44" t="str">
        <x:v>RULE_INFERENCE_NOT_MEASURED</x:v>
      </x:c>
      <x:c r="T44" t="str">
        <x:v>Xác minh căn cứ theo loại văn bản / tài liệu phát hành hoặc phê duyệt</x:v>
      </x:c>
      <x:c r="U44" t="str">
        <x:v>Paragraph/Run theo kiểu khối DM; preserve list numbering/table/drawing nếu có</x:v>
      </x:c>
    </x:row>
    <x:row r="45">
      <x:c r="A45" t="n">
        <x:v>44</x:v>
      </x:c>
      <x:c r="B45" t="str">
        <x:v>HD05.N.DM.CHUONG.HIEN_DIEN</x:v>
      </x:c>
      <x:c r="C45" t="str">
        <x:v>HD05.N.DM.CHUONG</x:v>
      </x:c>
      <x:c r="D45" t="str">
        <x:v>N</x:v>
      </x:c>
      <x:c r="E45" t="str">
        <x:v>Chương</x:v>
      </x:c>
      <x:c r="F45" t="str">
        <x:v>HIEN_DIEN</x:v>
      </x:c>
      <x:c r="G45" t="str">
        <x:v>Theo loại văn bản và sự hiện diện thực tế; không áp dụng đồng loạt</x:v>
      </x:c>
      <x:c r="H45"/>
      <x:c r="I45" t="str">
        <x:v>UNVERIFIED_ATTRIBUTE</x:v>
      </x:c>
      <x:c r="J45" t="str">
        <x:v>SOURCE_DESCRIPTION_NOT_APPROVAL</x:v>
      </x:c>
      <x:c r="K45" t="str">
        <x:v>Chỉ khi văn bản có phân cấp này; giữ số, tên và thứ bậc thực tế; không tự đánh lại số</x:v>
      </x:c>
      <x:c r="L45" t="str">
        <x:v>Bảo toàn cấu trúc/nội dung; nếu khác loại văn bản, ưu tiên đúng mẫu của loại đó; không sửa khi thiếu căn cứ.</x:v>
      </x:c>
      <x:c r="M45"/>
      <x:c r="N45" t="str">
        <x:v>HD05, Phần II, I.6 và IV; Phụ lục 2 mục 6</x:v>
      </x:c>
      <x:c r="O45" t="str">
        <x:v>https://tulieuvankien.dangcongsan.vn/upload/2006988/20260529/HD_05_VPTW_e1550.pdf</x:v>
      </x:c>
      <x:c r="P45" t="str">
        <x:v>PLUGIN:HOA-TIEU-MIEN-BAC-PARTY-HD05-HEADER-2026 | NEEDS_REVIEW</x:v>
      </x:c>
      <x:c r="Q45" t="str">
        <x:v>CHECK_ONLY</x:v>
      </x:c>
      <x:c r="R45" t="str">
        <x:v>Kiểm tra từng thuộc tính có mặt; so sánh nguồn/role; không suy đoán từ kết quả render chưa có</x:v>
      </x:c>
      <x:c r="S45" t="str">
        <x:v>STRUCTURE_READ_EXISTING_WORKBOOK</x:v>
      </x:c>
      <x:c r="T45"/>
      <x:c r="U45" t="str">
        <x:v>Paragraph/Run theo kiểu khối DM; preserve list numbering/table/drawing nếu có</x:v>
      </x:c>
    </x:row>
    <x:row r="46">
      <x:c r="A46" t="n">
        <x:v>45</x:v>
      </x:c>
      <x:c r="B46" t="str">
        <x:v>HD05.N.DM.CHUONG.NOI_DUNG</x:v>
      </x:c>
      <x:c r="C46" t="str">
        <x:v>HD05.N.DM.CHUONG</x:v>
      </x:c>
      <x:c r="D46" t="str">
        <x:v>N</x:v>
      </x:c>
      <x:c r="E46" t="str">
        <x:v>Chương</x:v>
      </x:c>
      <x:c r="F46" t="str">
        <x:v>NOI_DUNG</x:v>
      </x:c>
      <x:c r="G46" t="str">
        <x:v>Nhận diện số thứ tự và tiêu đề; tiêu đề phần/chương in hoa, đậm</x:v>
      </x:c>
      <x:c r="H46"/>
      <x:c r="I46" t="str">
        <x:v>UNVERIFIED_ATTRIBUTE</x:v>
      </x:c>
      <x:c r="J46" t="str">
        <x:v>SOURCE_DESCRIPTION_NOT_APPROVAL</x:v>
      </x:c>
      <x:c r="K46" t="str">
        <x:v>Chỉ khi văn bản có phân cấp này; giữ số, tên và thứ bậc thực tế; không tự đánh lại số</x:v>
      </x:c>
      <x:c r="L46" t="str">
        <x:v>Bảo toàn cấu trúc/nội dung; nếu khác loại văn bản, ưu tiên đúng mẫu của loại đó; không sửa khi thiếu căn cứ.</x:v>
      </x:c>
      <x:c r="M46"/>
      <x:c r="N46" t="str">
        <x:v>HD05, Phần II, I.6 và IV; Phụ lục 2 mục 6</x:v>
      </x:c>
      <x:c r="O46" t="str">
        <x:v>https://tulieuvankien.dangcongsan.vn/upload/2006988/20260529/HD_05_VPTW_e1550.pdf</x:v>
      </x:c>
      <x:c r="P46" t="str">
        <x:v>PLUGIN:HOA-TIEU-MIEN-BAC-PARTY-HD05-HEADER-2026 | NEEDS_REVIEW</x:v>
      </x:c>
      <x:c r="Q46" t="str">
        <x:v>CHECK_ONLY</x:v>
      </x:c>
      <x:c r="R46" t="str">
        <x:v>Kiểm tra từng thuộc tính có mặt; so sánh nguồn/role; không suy đoán từ kết quả render chưa có</x:v>
      </x:c>
      <x:c r="S46" t="str">
        <x:v>STRUCTURE_READ_EXISTING_WORKBOOK</x:v>
      </x:c>
      <x:c r="T46"/>
      <x:c r="U46" t="str">
        <x:v>Paragraph/Run theo kiểu khối DM; preserve list numbering/table/drawing nếu có</x:v>
      </x:c>
    </x:row>
    <x:row r="47">
      <x:c r="A47" t="n">
        <x:v>46</x:v>
      </x:c>
      <x:c r="B47" t="str">
        <x:v>HD05.N.DM.CHUONG.PHONG_CHU</x:v>
      </x:c>
      <x:c r="C47" t="str">
        <x:v>HD05.N.DM.CHUONG</x:v>
      </x:c>
      <x:c r="D47" t="str">
        <x:v>N</x:v>
      </x:c>
      <x:c r="E47" t="str">
        <x:v>Chương</x:v>
      </x:c>
      <x:c r="F47" t="str">
        <x:v>PHONG_CHU</x:v>
      </x:c>
      <x:c r="G47" t="str">
        <x:v>Times New Roman</x:v>
      </x:c>
      <x:c r="H47"/>
      <x:c r="I47" t="str">
        <x:v>UNVERIFIED_ATTRIBUTE</x:v>
      </x:c>
      <x:c r="J47" t="str">
        <x:v>PROFILE_PRESET_UNAPPROVED</x:v>
      </x:c>
      <x:c r="K47" t="str">
        <x:v>Chỉ khi văn bản có phân cấp này; giữ số, tên và thứ bậc thực tế; không tự đánh lại số</x:v>
      </x:c>
      <x:c r="L47" t="str">
        <x:v>Bảo toàn cấu trúc/nội dung; nếu khác loại văn bản, ưu tiên đúng mẫu của loại đó; không sửa khi thiếu căn cứ.</x:v>
      </x:c>
      <x:c r="M47"/>
      <x:c r="N47" t="str">
        <x:v>HD05, Phần II, I.6 và IV; Phụ lục 2 mục 6</x:v>
      </x:c>
      <x:c r="O47" t="str">
        <x:v>https://tulieuvankien.dangcongsan.vn/upload/2006988/20260529/HD_05_VPTW_e1550.pdf</x:v>
      </x:c>
      <x:c r="P47" t="str">
        <x:v>PLUGIN:HOA-TIEU-MIEN-BAC-PARTY-HD05-HEADER-2026 | NEEDS_REVIEW</x:v>
      </x:c>
      <x:c r="Q47" t="str">
        <x:v>CHECK_ONLY</x:v>
      </x:c>
      <x:c r="R47" t="str">
        <x:v>Kiểm tra từng thuộc tính có mặt; so sánh nguồn/role; không suy đoán từ kết quả render chưa có</x:v>
      </x:c>
      <x:c r="S47" t="str">
        <x:v>STRUCTURE_READ_EXISTING_WORKBOOK</x:v>
      </x:c>
      <x:c r="T47"/>
      <x:c r="U47" t="str">
        <x:v>Paragraph/Run theo kiểu khối DM; preserve list numbering/table/drawing nếu có</x:v>
      </x:c>
    </x:row>
    <x:row r="48">
      <x:c r="A48" t="n">
        <x:v>47</x:v>
      </x:c>
      <x:c r="B48" t="str">
        <x:v>HD05.N.DM.CHUONG.CO_CHU</x:v>
      </x:c>
      <x:c r="C48" t="str">
        <x:v>HD05.N.DM.CHUONG</x:v>
      </x:c>
      <x:c r="D48" t="str">
        <x:v>N</x:v>
      </x:c>
      <x:c r="E48" t="str">
        <x:v>Chương</x:v>
      </x:c>
      <x:c r="F48" t="str">
        <x:v>CO_CHU</x:v>
      </x:c>
      <x:c r="G48" t="n">
        <x:v>14</x:v>
      </x:c>
      <x:c r="H48"/>
      <x:c r="I48" t="str">
        <x:v>UNVERIFIED_ATTRIBUTE</x:v>
      </x:c>
      <x:c r="J48" t="str">
        <x:v>PROFILE_PRESET_UNAPPROVED</x:v>
      </x:c>
      <x:c r="K48" t="str">
        <x:v>Chỉ khi văn bản có phân cấp này; giữ số, tên và thứ bậc thực tế; không tự đánh lại số</x:v>
      </x:c>
      <x:c r="L48" t="str">
        <x:v>Bảo toàn cấu trúc/nội dung; nếu khác loại văn bản, ưu tiên đúng mẫu của loại đó; không sửa khi thiếu căn cứ.</x:v>
      </x:c>
      <x:c r="M48" t="str">
        <x:v>pt</x:v>
      </x:c>
      <x:c r="N48" t="str">
        <x:v>HD05, Phần II, I.6 và IV; Phụ lục 2 mục 6</x:v>
      </x:c>
      <x:c r="O48" t="str">
        <x:v>https://tulieuvankien.dangcongsan.vn/upload/2006988/20260529/HD_05_VPTW_e1550.pdf</x:v>
      </x:c>
      <x:c r="P48" t="str">
        <x:v>PLUGIN:HOA-TIEU-MIEN-BAC-PARTY-HD05-HEADER-2026 | NEEDS_REVIEW</x:v>
      </x:c>
      <x:c r="Q48" t="str">
        <x:v>CHECK_ONLY</x:v>
      </x:c>
      <x:c r="R48" t="str">
        <x:v>Kiểm tra từng thuộc tính có mặt; so sánh nguồn/role; không suy đoán từ kết quả render chưa có</x:v>
      </x:c>
      <x:c r="S48" t="str">
        <x:v>STRUCTURE_READ_EXISTING_WORKBOOK</x:v>
      </x:c>
      <x:c r="T48"/>
      <x:c r="U48" t="str">
        <x:v>Paragraph/Run theo kiểu khối DM; preserve list numbering/table/drawing nếu có</x:v>
      </x:c>
    </x:row>
    <x:row r="49">
      <x:c r="A49" t="n">
        <x:v>48</x:v>
      </x:c>
      <x:c r="B49" t="str">
        <x:v>HD05.N.DM.CHUONG.DAM</x:v>
      </x:c>
      <x:c r="C49" t="str">
        <x:v>HD05.N.DM.CHUONG</x:v>
      </x:c>
      <x:c r="D49" t="str">
        <x:v>N</x:v>
      </x:c>
      <x:c r="E49" t="str">
        <x:v>Chương</x:v>
      </x:c>
      <x:c r="F49" t="str">
        <x:v>DAM</x:v>
      </x:c>
      <x:c r="G49" t="str">
        <x:v>CÓ</x:v>
      </x:c>
      <x:c r="H49"/>
      <x:c r="I49" t="str">
        <x:v>UNVERIFIED_ATTRIBUTE</x:v>
      </x:c>
      <x:c r="J49" t="str">
        <x:v>PROFILE_PRESET_UNAPPROVED</x:v>
      </x:c>
      <x:c r="K49" t="str">
        <x:v>Chỉ khi văn bản có phân cấp này; giữ số, tên và thứ bậc thực tế; không tự đánh lại số</x:v>
      </x:c>
      <x:c r="L49" t="str">
        <x:v>Bảo toàn cấu trúc/nội dung; nếu khác loại văn bản, ưu tiên đúng mẫu của loại đó; không sửa khi thiếu căn cứ.</x:v>
      </x:c>
      <x:c r="M49"/>
      <x:c r="N49" t="str">
        <x:v>HD05, Phần II, I.6 và IV; Phụ lục 2 mục 6</x:v>
      </x:c>
      <x:c r="O49" t="str">
        <x:v>https://tulieuvankien.dangcongsan.vn/upload/2006988/20260529/HD_05_VPTW_e1550.pdf</x:v>
      </x:c>
      <x:c r="P49" t="str">
        <x:v>PLUGIN:HOA-TIEU-MIEN-BAC-PARTY-HD05-HEADER-2026 | NEEDS_REVIEW</x:v>
      </x:c>
      <x:c r="Q49" t="str">
        <x:v>CHECK_ONLY</x:v>
      </x:c>
      <x:c r="R49" t="str">
        <x:v>Kiểm tra từng thuộc tính có mặt; so sánh nguồn/role; không suy đoán từ kết quả render chưa có</x:v>
      </x:c>
      <x:c r="S49" t="str">
        <x:v>STRUCTURE_READ_EXISTING_WORKBOOK</x:v>
      </x:c>
      <x:c r="T49"/>
      <x:c r="U49" t="str">
        <x:v>Paragraph/Run theo kiểu khối DM; preserve list numbering/table/drawing nếu có</x:v>
      </x:c>
    </x:row>
    <x:row r="50">
      <x:c r="A50" t="n">
        <x:v>49</x:v>
      </x:c>
      <x:c r="B50" t="str">
        <x:v>HD05.N.DM.CHUONG.NGHIENG</x:v>
      </x:c>
      <x:c r="C50" t="str">
        <x:v>HD05.N.DM.CHUONG</x:v>
      </x:c>
      <x:c r="D50" t="str">
        <x:v>N</x:v>
      </x:c>
      <x:c r="E50" t="str">
        <x:v>Chương</x:v>
      </x:c>
      <x:c r="F50" t="str">
        <x:v>NGHIENG</x:v>
      </x:c>
      <x:c r="G50"/>
      <x:c r="H50"/>
      <x:c r="I50" t="str">
        <x:v>UNVERIFIED_ATTRIBUTE</x:v>
      </x:c>
      <x:c r="J50" t="str">
        <x:v>BLOCKED_NO_ATTRIBUTE_VALUE</x:v>
      </x:c>
      <x:c r="K50" t="str">
        <x:v>Chỉ khi văn bản có phân cấp này; giữ số, tên và thứ bậc thực tế; không tự đánh lại số</x:v>
      </x:c>
      <x:c r="L50" t="str">
        <x:v>Bảo toàn cấu trúc/nội dung; nếu khác loại văn bản, ưu tiên đúng mẫu của loại đó; không sửa khi thiếu căn cứ.</x:v>
      </x:c>
      <x:c r="M50"/>
      <x:c r="N50" t="str">
        <x:v>HD05, Phần II, I.6 và IV; Phụ lục 2 mục 6</x:v>
      </x:c>
      <x:c r="O50" t="str">
        <x:v>https://tulieuvankien.dangcongsan.vn/upload/2006988/20260529/HD_05_VPTW_e1550.pdf</x:v>
      </x:c>
      <x:c r="P50" t="str">
        <x:v>PLUGIN:HOA-TIEU-MIEN-BAC-PARTY-HD05-HEADER-2026 | NEEDS_REVIEW</x:v>
      </x:c>
      <x:c r="Q50" t="str">
        <x:v>CHECK_ONLY</x:v>
      </x:c>
      <x:c r="R50" t="str">
        <x:v>Kiểm tra từng thuộc tính có mặt; so sánh nguồn/role; không suy đoán từ kết quả render chưa có</x:v>
      </x:c>
      <x:c r="S50" t="str">
        <x:v>RULE_INFERENCE_NOT_MEASURED</x:v>
      </x:c>
      <x:c r="T50" t="str">
        <x:v>Xác minh căn cứ theo loại văn bản / tài liệu phát hành hoặc phê duyệt</x:v>
      </x:c>
      <x:c r="U50" t="str">
        <x:v>Paragraph/Run theo kiểu khối DM; preserve list numbering/table/drawing nếu có</x:v>
      </x:c>
    </x:row>
    <x:row r="51">
      <x:c r="A51" t="n">
        <x:v>50</x:v>
      </x:c>
      <x:c r="B51" t="str">
        <x:v>HD05.N.DM.CHUONG.KIEU_CHU</x:v>
      </x:c>
      <x:c r="C51" t="str">
        <x:v>HD05.N.DM.CHUONG</x:v>
      </x:c>
      <x:c r="D51" t="str">
        <x:v>N</x:v>
      </x:c>
      <x:c r="E51" t="str">
        <x:v>Chương</x:v>
      </x:c>
      <x:c r="F51" t="str">
        <x:v>KIEU_CHU</x:v>
      </x:c>
      <x:c r="G51" t="str">
        <x:v>Nhãn thường; tiêu đề IN HOA</x:v>
      </x:c>
      <x:c r="H51"/>
      <x:c r="I51" t="str">
        <x:v>UNVERIFIED_ATTRIBUTE</x:v>
      </x:c>
      <x:c r="J51" t="str">
        <x:v>PROFILE_PRESET_UNAPPROVED</x:v>
      </x:c>
      <x:c r="K51" t="str">
        <x:v>Chỉ khi văn bản có phân cấp này; giữ số, tên và thứ bậc thực tế; không tự đánh lại số</x:v>
      </x:c>
      <x:c r="L51" t="str">
        <x:v>Bảo toàn cấu trúc/nội dung; nếu khác loại văn bản, ưu tiên đúng mẫu của loại đó; không sửa khi thiếu căn cứ.</x:v>
      </x:c>
      <x:c r="M51"/>
      <x:c r="N51" t="str">
        <x:v>HD05, Phần II, I.6 và IV; Phụ lục 2 mục 6</x:v>
      </x:c>
      <x:c r="O51" t="str">
        <x:v>https://tulieuvankien.dangcongsan.vn/upload/2006988/20260529/HD_05_VPTW_e1550.pdf</x:v>
      </x:c>
      <x:c r="P51" t="str">
        <x:v>PLUGIN:HOA-TIEU-MIEN-BAC-PARTY-HD05-HEADER-2026 | NEEDS_REVIEW</x:v>
      </x:c>
      <x:c r="Q51" t="str">
        <x:v>CHECK_ONLY</x:v>
      </x:c>
      <x:c r="R51" t="str">
        <x:v>Kiểm tra từng thuộc tính có mặt; so sánh nguồn/role; không suy đoán từ kết quả render chưa có</x:v>
      </x:c>
      <x:c r="S51" t="str">
        <x:v>STRUCTURE_READ_EXISTING_WORKBOOK</x:v>
      </x:c>
      <x:c r="T51"/>
      <x:c r="U51" t="str">
        <x:v>Paragraph/Run theo kiểu khối DM; preserve list numbering/table/drawing nếu có</x:v>
      </x:c>
    </x:row>
    <x:row r="52">
      <x:c r="A52" t="n">
        <x:v>51</x:v>
      </x:c>
      <x:c r="B52" t="str">
        <x:v>HD05.N.DM.CHUONG.CAN_NGANG</x:v>
      </x:c>
      <x:c r="C52" t="str">
        <x:v>HD05.N.DM.CHUONG</x:v>
      </x:c>
      <x:c r="D52" t="str">
        <x:v>N</x:v>
      </x:c>
      <x:c r="E52" t="str">
        <x:v>Chương</x:v>
      </x:c>
      <x:c r="F52" t="str">
        <x:v>CAN_NGANG</x:v>
      </x:c>
      <x:c r="G52" t="str">
        <x:v>CENTER</x:v>
      </x:c>
      <x:c r="H52"/>
      <x:c r="I52" t="str">
        <x:v>UNVERIFIED_ATTRIBUTE</x:v>
      </x:c>
      <x:c r="J52" t="str">
        <x:v>PROFILE_PRESET_UNAPPROVED</x:v>
      </x:c>
      <x:c r="K52" t="str">
        <x:v>Chỉ khi văn bản có phân cấp này; giữ số, tên và thứ bậc thực tế; không tự đánh lại số</x:v>
      </x:c>
      <x:c r="L52" t="str">
        <x:v>Bảo toàn cấu trúc/nội dung; nếu khác loại văn bản, ưu tiên đúng mẫu của loại đó; không sửa khi thiếu căn cứ.</x:v>
      </x:c>
      <x:c r="M52"/>
      <x:c r="N52" t="str">
        <x:v>HD05, Phần II, I.6 và IV; Phụ lục 2 mục 6</x:v>
      </x:c>
      <x:c r="O52" t="str">
        <x:v>https://tulieuvankien.dangcongsan.vn/upload/2006988/20260529/HD_05_VPTW_e1550.pdf</x:v>
      </x:c>
      <x:c r="P52" t="str">
        <x:v>PLUGIN:HOA-TIEU-MIEN-BAC-PARTY-HD05-HEADER-2026 | NEEDS_REVIEW</x:v>
      </x:c>
      <x:c r="Q52" t="str">
        <x:v>CHECK_ONLY</x:v>
      </x:c>
      <x:c r="R52" t="str">
        <x:v>Kiểm tra từng thuộc tính có mặt; so sánh nguồn/role; không suy đoán từ kết quả render chưa có</x:v>
      </x:c>
      <x:c r="S52" t="str">
        <x:v>STRUCTURE_READ_EXISTING_WORKBOOK</x:v>
      </x:c>
      <x:c r="T52"/>
      <x:c r="U52" t="str">
        <x:v>Paragraph/Run theo kiểu khối DM; preserve list numbering/table/drawing nếu có</x:v>
      </x:c>
    </x:row>
    <x:row r="53">
      <x:c r="A53" t="n">
        <x:v>52</x:v>
      </x:c>
      <x:c r="B53" t="str">
        <x:v>HD05.N.DM.CHUONG.GIAN_DONG</x:v>
      </x:c>
      <x:c r="C53" t="str">
        <x:v>HD05.N.DM.CHUONG</x:v>
      </x:c>
      <x:c r="D53" t="str">
        <x:v>N</x:v>
      </x:c>
      <x:c r="E53" t="str">
        <x:v>Chương</x:v>
      </x:c>
      <x:c r="F53" t="str">
        <x:v>GIAN_DONG</x:v>
      </x:c>
      <x:c r="G53" t="n">
        <x:v>19</x:v>
      </x:c>
      <x:c r="H53"/>
      <x:c r="I53" t="str">
        <x:v>UNVERIFIED_ATTRIBUTE</x:v>
      </x:c>
      <x:c r="J53" t="str">
        <x:v>PROFILE_PRESET_UNAPPROVED</x:v>
      </x:c>
      <x:c r="K53" t="str">
        <x:v>Chỉ khi văn bản có phân cấp này; giữ số, tên và thứ bậc thực tế; không tự đánh lại số</x:v>
      </x:c>
      <x:c r="L53" t="str">
        <x:v>Bảo toàn cấu trúc/nội dung; nếu khác loại văn bản, ưu tiên đúng mẫu của loại đó; không sửa khi thiếu căn cứ. HD05 phần thân: Exactly 18–22 pt theo HD05; nếu giá trị profile khác phải đánh cờ xung đột.</x:v>
      </x:c>
      <x:c r="M53" t="str">
        <x:v>pt</x:v>
      </x:c>
      <x:c r="N53" t="str">
        <x:v>HD05, Phần II, I.6 và IV; Phụ lục 2 mục 6</x:v>
      </x:c>
      <x:c r="O53" t="str">
        <x:v>https://tulieuvankien.dangcongsan.vn/upload/2006988/20260529/HD_05_VPTW_e1550.pdf</x:v>
      </x:c>
      <x:c r="P53" t="str">
        <x:v>PLUGIN:HOA-TIEU-MIEN-BAC-PARTY-HD05-HEADER-2026 | NEEDS_REVIEW</x:v>
      </x:c>
      <x:c r="Q53" t="str">
        <x:v>CHECK_ONLY</x:v>
      </x:c>
      <x:c r="R53" t="str">
        <x:v>Kiểm tra từng thuộc tính có mặt; so sánh nguồn/role; không suy đoán từ kết quả render chưa có</x:v>
      </x:c>
      <x:c r="S53" t="str">
        <x:v>STRUCTURE_READ_EXISTING_WORKBOOK</x:v>
      </x:c>
      <x:c r="T53"/>
      <x:c r="U53" t="str">
        <x:v>Paragraph/Run theo kiểu khối DM; preserve list numbering/table/drawing nếu có</x:v>
      </x:c>
    </x:row>
    <x:row r="54">
      <x:c r="A54" t="n">
        <x:v>53</x:v>
      </x:c>
      <x:c r="B54" t="str">
        <x:v>HD05.N.DM.CHUONG.CACH_TRUOC</x:v>
      </x:c>
      <x:c r="C54" t="str">
        <x:v>HD05.N.DM.CHUONG</x:v>
      </x:c>
      <x:c r="D54" t="str">
        <x:v>N</x:v>
      </x:c>
      <x:c r="E54" t="str">
        <x:v>Chương</x:v>
      </x:c>
      <x:c r="F54" t="str">
        <x:v>CACH_TRUOC</x:v>
      </x:c>
      <x:c r="G54" t="n">
        <x:v>6</x:v>
      </x:c>
      <x:c r="H54"/>
      <x:c r="I54" t="str">
        <x:v>UNVERIFIED_ATTRIBUTE</x:v>
      </x:c>
      <x:c r="J54" t="str">
        <x:v>PROFILE_PRESET_UNAPPROVED</x:v>
      </x:c>
      <x:c r="K54" t="str">
        <x:v>Chỉ khi văn bản có phân cấp này; giữ số, tên và thứ bậc thực tế; không tự đánh lại số</x:v>
      </x:c>
      <x:c r="L54" t="str">
        <x:v>Bảo toàn cấu trúc/nội dung; nếu khác loại văn bản, ưu tiên đúng mẫu của loại đó; không sửa khi thiếu căn cứ.</x:v>
      </x:c>
      <x:c r="M54" t="str">
        <x:v>pt</x:v>
      </x:c>
      <x:c r="N54" t="str">
        <x:v>HD05, Phần II, I.6 và IV; Phụ lục 2 mục 6</x:v>
      </x:c>
      <x:c r="O54" t="str">
        <x:v>https://tulieuvankien.dangcongsan.vn/upload/2006988/20260529/HD_05_VPTW_e1550.pdf</x:v>
      </x:c>
      <x:c r="P54" t="str">
        <x:v>PLUGIN:HOA-TIEU-MIEN-BAC-PARTY-HD05-HEADER-2026 | NEEDS_REVIEW</x:v>
      </x:c>
      <x:c r="Q54" t="str">
        <x:v>CHECK_ONLY</x:v>
      </x:c>
      <x:c r="R54" t="str">
        <x:v>Kiểm tra từng thuộc tính có mặt; so sánh nguồn/role; không suy đoán từ kết quả render chưa có</x:v>
      </x:c>
      <x:c r="S54" t="str">
        <x:v>STRUCTURE_READ_EXISTING_WORKBOOK</x:v>
      </x:c>
      <x:c r="T54"/>
      <x:c r="U54" t="str">
        <x:v>Paragraph/Run theo kiểu khối DM; preserve list numbering/table/drawing nếu có</x:v>
      </x:c>
    </x:row>
    <x:row r="55">
      <x:c r="A55" t="n">
        <x:v>54</x:v>
      </x:c>
      <x:c r="B55" t="str">
        <x:v>HD05.N.DM.CHUONG.CACH_SAU</x:v>
      </x:c>
      <x:c r="C55" t="str">
        <x:v>HD05.N.DM.CHUONG</x:v>
      </x:c>
      <x:c r="D55" t="str">
        <x:v>N</x:v>
      </x:c>
      <x:c r="E55" t="str">
        <x:v>Chương</x:v>
      </x:c>
      <x:c r="F55" t="str">
        <x:v>CACH_SAU</x:v>
      </x:c>
      <x:c r="G55" t="n">
        <x:v>6</x:v>
      </x:c>
      <x:c r="H55"/>
      <x:c r="I55" t="str">
        <x:v>UNVERIFIED_ATTRIBUTE</x:v>
      </x:c>
      <x:c r="J55" t="str">
        <x:v>PROFILE_PRESET_UNAPPROVED</x:v>
      </x:c>
      <x:c r="K55" t="str">
        <x:v>Chỉ khi văn bản có phân cấp này; giữ số, tên và thứ bậc thực tế; không tự đánh lại số</x:v>
      </x:c>
      <x:c r="L55" t="str">
        <x:v>Bảo toàn cấu trúc/nội dung; nếu khác loại văn bản, ưu tiên đúng mẫu của loại đó; không sửa khi thiếu căn cứ.</x:v>
      </x:c>
      <x:c r="M55" t="str">
        <x:v>pt</x:v>
      </x:c>
      <x:c r="N55" t="str">
        <x:v>HD05, Phần II, I.6 và IV; Phụ lục 2 mục 6</x:v>
      </x:c>
      <x:c r="O55" t="str">
        <x:v>https://tulieuvankien.dangcongsan.vn/upload/2006988/20260529/HD_05_VPTW_e1550.pdf</x:v>
      </x:c>
      <x:c r="P55" t="str">
        <x:v>PLUGIN:HOA-TIEU-MIEN-BAC-PARTY-HD05-HEADER-2026 | NEEDS_REVIEW</x:v>
      </x:c>
      <x:c r="Q55" t="str">
        <x:v>CHECK_ONLY</x:v>
      </x:c>
      <x:c r="R55" t="str">
        <x:v>Kiểm tra từng thuộc tính có mặt; so sánh nguồn/role; không suy đoán từ kết quả render chưa có</x:v>
      </x:c>
      <x:c r="S55" t="str">
        <x:v>STRUCTURE_READ_EXISTING_WORKBOOK</x:v>
      </x:c>
      <x:c r="T55"/>
      <x:c r="U55" t="str">
        <x:v>Paragraph/Run theo kiểu khối DM; preserve list numbering/table/drawing nếu có</x:v>
      </x:c>
    </x:row>
    <x:row r="56">
      <x:c r="A56" t="n">
        <x:v>55</x:v>
      </x:c>
      <x:c r="B56" t="str">
        <x:v>HD05.N.DM.CHUONG.THUT_DONG_DAU</x:v>
      </x:c>
      <x:c r="C56" t="str">
        <x:v>HD05.N.DM.CHUONG</x:v>
      </x:c>
      <x:c r="D56" t="str">
        <x:v>N</x:v>
      </x:c>
      <x:c r="E56" t="str">
        <x:v>Chương</x:v>
      </x:c>
      <x:c r="F56" t="str">
        <x:v>THUT_DONG_DAU</x:v>
      </x:c>
      <x:c r="G56" t="n">
        <x:v>0</x:v>
      </x:c>
      <x:c r="H56"/>
      <x:c r="I56" t="str">
        <x:v>UNVERIFIED_ATTRIBUTE</x:v>
      </x:c>
      <x:c r="J56" t="str">
        <x:v>PROFILE_PRESET_UNAPPROVED</x:v>
      </x:c>
      <x:c r="K56" t="str">
        <x:v>Chỉ khi văn bản có phân cấp này; giữ số, tên và thứ bậc thực tế; không tự đánh lại số</x:v>
      </x:c>
      <x:c r="L56" t="str">
        <x:v>Bảo toàn cấu trúc/nội dung; nếu khác loại văn bản, ưu tiên đúng mẫu của loại đó; không sửa khi thiếu căn cứ.</x:v>
      </x:c>
      <x:c r="M56" t="str">
        <x:v>mm</x:v>
      </x:c>
      <x:c r="N56" t="str">
        <x:v>HD05, Phần II, I.6 và IV; Phụ lục 2 mục 6</x:v>
      </x:c>
      <x:c r="O56" t="str">
        <x:v>https://tulieuvankien.dangcongsan.vn/upload/2006988/20260529/HD_05_VPTW_e1550.pdf</x:v>
      </x:c>
      <x:c r="P56" t="str">
        <x:v>PLUGIN:HOA-TIEU-MIEN-BAC-PARTY-HD05-HEADER-2026 | NEEDS_REVIEW</x:v>
      </x:c>
      <x:c r="Q56" t="str">
        <x:v>CHECK_ONLY</x:v>
      </x:c>
      <x:c r="R56" t="str">
        <x:v>Kiểm tra từng thuộc tính có mặt; so sánh nguồn/role; không suy đoán từ kết quả render chưa có</x:v>
      </x:c>
      <x:c r="S56" t="str">
        <x:v>STRUCTURE_READ_EXISTING_WORKBOOK</x:v>
      </x:c>
      <x:c r="T56"/>
      <x:c r="U56" t="str">
        <x:v>Paragraph/Run theo kiểu khối DM; preserve list numbering/table/drawing nếu có</x:v>
      </x:c>
    </x:row>
    <x:row r="57">
      <x:c r="A57" t="n">
        <x:v>56</x:v>
      </x:c>
      <x:c r="B57" t="str">
        <x:v>HD05.N.DM.CHUONG.KEEP_NEXT</x:v>
      </x:c>
      <x:c r="C57" t="str">
        <x:v>HD05.N.DM.CHUONG</x:v>
      </x:c>
      <x:c r="D57" t="str">
        <x:v>N</x:v>
      </x:c>
      <x:c r="E57" t="str">
        <x:v>Chương</x:v>
      </x:c>
      <x:c r="F57" t="str">
        <x:v>KEEP_NEXT</x:v>
      </x:c>
      <x:c r="G57" t="str">
        <x:v>CÓ</x:v>
      </x:c>
      <x:c r="H57"/>
      <x:c r="I57" t="str">
        <x:v>UNVERIFIED_ATTRIBUTE</x:v>
      </x:c>
      <x:c r="J57" t="str">
        <x:v>PROFILE_PRESET_UNAPPROVED</x:v>
      </x:c>
      <x:c r="K57" t="str">
        <x:v>Chỉ khi văn bản có phân cấp này; giữ số, tên và thứ bậc thực tế; không tự đánh lại số</x:v>
      </x:c>
      <x:c r="L57" t="str">
        <x:v>Bảo toàn cấu trúc/nội dung; nếu khác loại văn bản, ưu tiên đúng mẫu của loại đó; không sửa khi thiếu căn cứ.</x:v>
      </x:c>
      <x:c r="M57"/>
      <x:c r="N57" t="str">
        <x:v>HD05, Phần II, I.6 và IV; Phụ lục 2 mục 6</x:v>
      </x:c>
      <x:c r="O57" t="str">
        <x:v>https://tulieuvankien.dangcongsan.vn/upload/2006988/20260529/HD_05_VPTW_e1550.pdf</x:v>
      </x:c>
      <x:c r="P57" t="str">
        <x:v>PLUGIN:HOA-TIEU-MIEN-BAC-PARTY-HD05-HEADER-2026 | NEEDS_REVIEW</x:v>
      </x:c>
      <x:c r="Q57" t="str">
        <x:v>CHECK_ONLY</x:v>
      </x:c>
      <x:c r="R57" t="str">
        <x:v>Kiểm tra từng thuộc tính có mặt; so sánh nguồn/role; không suy đoán từ kết quả render chưa có</x:v>
      </x:c>
      <x:c r="S57" t="str">
        <x:v>STRUCTURE_READ_EXISTING_WORKBOOK</x:v>
      </x:c>
      <x:c r="T57"/>
      <x:c r="U57" t="str">
        <x:v>Paragraph/Run theo kiểu khối DM; preserve list numbering/table/drawing nếu có</x:v>
      </x:c>
    </x:row>
    <x:row r="58">
      <x:c r="A58" t="n">
        <x:v>57</x:v>
      </x:c>
      <x:c r="B58" t="str">
        <x:v>HD05.N.DM.CHUONG.SO_THU_TU</x:v>
      </x:c>
      <x:c r="C58" t="str">
        <x:v>HD05.N.DM.CHUONG</x:v>
      </x:c>
      <x:c r="D58" t="str">
        <x:v>N</x:v>
      </x:c>
      <x:c r="E58" t="str">
        <x:v>Chương</x:v>
      </x:c>
      <x:c r="F58" t="str">
        <x:v>SO_THU_TU</x:v>
      </x:c>
      <x:c r="G58"/>
      <x:c r="H58"/>
      <x:c r="I58" t="str">
        <x:v>UNVERIFIED_ATTRIBUTE</x:v>
      </x:c>
      <x:c r="J58" t="str">
        <x:v>BLOCKED_NO_ATTRIBUTE_VALUE</x:v>
      </x:c>
      <x:c r="K58" t="str">
        <x:v>Chỉ khi văn bản có phân cấp này; giữ số, tên và thứ bậc thực tế; không tự đánh lại số</x:v>
      </x:c>
      <x:c r="L58" t="str">
        <x:v>Bảo toàn cấu trúc/nội dung; nếu khác loại văn bản, ưu tiên đúng mẫu của loại đó; không sửa khi thiếu căn cứ.</x:v>
      </x:c>
      <x:c r="M58"/>
      <x:c r="N58" t="str">
        <x:v>HD05, Phần II, I.6 và IV; Phụ lục 2 mục 6</x:v>
      </x:c>
      <x:c r="O58" t="str">
        <x:v>https://tulieuvankien.dangcongsan.vn/upload/2006988/20260529/HD_05_VPTW_e1550.pdf</x:v>
      </x:c>
      <x:c r="P58" t="str">
        <x:v>PLUGIN:HOA-TIEU-MIEN-BAC-PARTY-HD05-HEADER-2026 | NEEDS_REVIEW</x:v>
      </x:c>
      <x:c r="Q58" t="str">
        <x:v>CHECK_ONLY</x:v>
      </x:c>
      <x:c r="R58" t="str">
        <x:v>Kiểm tra từng thuộc tính có mặt; so sánh nguồn/role; không suy đoán từ kết quả render chưa có</x:v>
      </x:c>
      <x:c r="S58" t="str">
        <x:v>RULE_INFERENCE_NOT_MEASURED</x:v>
      </x:c>
      <x:c r="T58" t="str">
        <x:v>Xác minh căn cứ theo loại văn bản / tài liệu phát hành hoặc phê duyệt</x:v>
      </x:c>
      <x:c r="U58" t="str">
        <x:v>Paragraph/Run theo kiểu khối DM; preserve list numbering/table/drawing nếu có</x:v>
      </x:c>
    </x:row>
    <x:row r="59">
      <x:c r="A59" t="n">
        <x:v>58</x:v>
      </x:c>
      <x:c r="B59" t="str">
        <x:v>HD05.N.DM.CHUONG.CAU_TRUC</x:v>
      </x:c>
      <x:c r="C59" t="str">
        <x:v>HD05.N.DM.CHUONG</x:v>
      </x:c>
      <x:c r="D59" t="str">
        <x:v>N</x:v>
      </x:c>
      <x:c r="E59" t="str">
        <x:v>Chương</x:v>
      </x:c>
      <x:c r="F59" t="str">
        <x:v>CAU_TRUC</x:v>
      </x:c>
      <x:c r="G59"/>
      <x:c r="H59"/>
      <x:c r="I59" t="str">
        <x:v>UNVERIFIED_ATTRIBUTE</x:v>
      </x:c>
      <x:c r="J59" t="str">
        <x:v>BLOCKED_NO_ATTRIBUTE_VALUE</x:v>
      </x:c>
      <x:c r="K59" t="str">
        <x:v>Chỉ khi văn bản có phân cấp này; giữ số, tên và thứ bậc thực tế; không tự đánh lại số</x:v>
      </x:c>
      <x:c r="L59" t="str">
        <x:v>Bảo toàn cấu trúc/nội dung; nếu khác loại văn bản, ưu tiên đúng mẫu của loại đó; không sửa khi thiếu căn cứ.</x:v>
      </x:c>
      <x:c r="M59"/>
      <x:c r="N59" t="str">
        <x:v>HD05, Phần II, I.6 và IV; Phụ lục 2 mục 6</x:v>
      </x:c>
      <x:c r="O59" t="str">
        <x:v>https://tulieuvankien.dangcongsan.vn/upload/2006988/20260529/HD_05_VPTW_e1550.pdf</x:v>
      </x:c>
      <x:c r="P59" t="str">
        <x:v>PLUGIN:HOA-TIEU-MIEN-BAC-PARTY-HD05-HEADER-2026 | NEEDS_REVIEW</x:v>
      </x:c>
      <x:c r="Q59" t="str">
        <x:v>CHECK_ONLY</x:v>
      </x:c>
      <x:c r="R59" t="str">
        <x:v>Kiểm tra từng thuộc tính có mặt; so sánh nguồn/role; không suy đoán từ kết quả render chưa có</x:v>
      </x:c>
      <x:c r="S59" t="str">
        <x:v>RULE_INFERENCE_NOT_MEASURED</x:v>
      </x:c>
      <x:c r="T59" t="str">
        <x:v>Xác minh căn cứ theo loại văn bản / tài liệu phát hành hoặc phê duyệt</x:v>
      </x:c>
      <x:c r="U59" t="str">
        <x:v>Paragraph/Run theo kiểu khối DM; preserve list numbering/table/drawing nếu có</x:v>
      </x:c>
    </x:row>
    <x:row r="60">
      <x:c r="A60" t="n">
        <x:v>59</x:v>
      </x:c>
      <x:c r="B60" t="str">
        <x:v>HD05.N.DM.CHUONG.DAU_CAU</x:v>
      </x:c>
      <x:c r="C60" t="str">
        <x:v>HD05.N.DM.CHUONG</x:v>
      </x:c>
      <x:c r="D60" t="str">
        <x:v>N</x:v>
      </x:c>
      <x:c r="E60" t="str">
        <x:v>Chương</x:v>
      </x:c>
      <x:c r="F60" t="str">
        <x:v>DAU_CAU</x:v>
      </x:c>
      <x:c r="G60"/>
      <x:c r="H60"/>
      <x:c r="I60" t="str">
        <x:v>UNVERIFIED_ATTRIBUTE</x:v>
      </x:c>
      <x:c r="J60" t="str">
        <x:v>BLOCKED_NO_ATTRIBUTE_VALUE</x:v>
      </x:c>
      <x:c r="K60" t="str">
        <x:v>Chỉ khi văn bản có phân cấp này; giữ số, tên và thứ bậc thực tế; không tự đánh lại số</x:v>
      </x:c>
      <x:c r="L60" t="str">
        <x:v>Bảo toàn cấu trúc/nội dung; nếu khác loại văn bản, ưu tiên đúng mẫu của loại đó; không sửa khi thiếu căn cứ.</x:v>
      </x:c>
      <x:c r="M60"/>
      <x:c r="N60" t="str">
        <x:v>HD05, Phần II, I.6 và IV; Phụ lục 2 mục 6</x:v>
      </x:c>
      <x:c r="O60" t="str">
        <x:v>https://tulieuvankien.dangcongsan.vn/upload/2006988/20260529/HD_05_VPTW_e1550.pdf</x:v>
      </x:c>
      <x:c r="P60" t="str">
        <x:v>PLUGIN:HOA-TIEU-MIEN-BAC-PARTY-HD05-HEADER-2026 | NEEDS_REVIEW</x:v>
      </x:c>
      <x:c r="Q60" t="str">
        <x:v>CHECK_ONLY</x:v>
      </x:c>
      <x:c r="R60" t="str">
        <x:v>Kiểm tra từng thuộc tính có mặt; so sánh nguồn/role; không suy đoán từ kết quả render chưa có</x:v>
      </x:c>
      <x:c r="S60" t="str">
        <x:v>RULE_INFERENCE_NOT_MEASURED</x:v>
      </x:c>
      <x:c r="T60" t="str">
        <x:v>Xác minh căn cứ theo loại văn bản / tài liệu phát hành hoặc phê duyệt</x:v>
      </x:c>
      <x:c r="U60" t="str">
        <x:v>Paragraph/Run theo kiểu khối DM; preserve list numbering/table/drawing nếu có</x:v>
      </x:c>
    </x:row>
    <x:row r="61">
      <x:c r="A61" t="n">
        <x:v>60</x:v>
      </x:c>
      <x:c r="B61" t="str">
        <x:v>HD05.N.DM.MUC.HIEN_DIEN</x:v>
      </x:c>
      <x:c r="C61" t="str">
        <x:v>HD05.N.DM.MUC</x:v>
      </x:c>
      <x:c r="D61" t="str">
        <x:v>N</x:v>
      </x:c>
      <x:c r="E61" t="str">
        <x:v>Mục</x:v>
      </x:c>
      <x:c r="F61" t="str">
        <x:v>HIEN_DIEN</x:v>
      </x:c>
      <x:c r="G61" t="str">
        <x:v>Theo loại văn bản và sự hiện diện thực tế; không áp dụng đồng loạt</x:v>
      </x:c>
      <x:c r="H61"/>
      <x:c r="I61" t="str">
        <x:v>UNVERIFIED_ATTRIBUTE</x:v>
      </x:c>
      <x:c r="J61" t="str">
        <x:v>SOURCE_DESCRIPTION_NOT_APPROVAL</x:v>
      </x:c>
      <x:c r="K61" t="str">
        <x:v>Chỉ khi văn bản có phân cấp này; giữ số, tên và thứ bậc thực tế; không tự đánh lại số</x:v>
      </x:c>
      <x:c r="L61" t="str">
        <x:v>Bảo toàn cấu trúc/nội dung; nếu khác loại văn bản, ưu tiên đúng mẫu của loại đó; không sửa khi thiếu căn cứ.</x:v>
      </x:c>
      <x:c r="M61"/>
      <x:c r="N61" t="str">
        <x:v>HD05, Phần II, I.6 và IV; Phụ lục 2 mục 6</x:v>
      </x:c>
      <x:c r="O61" t="str">
        <x:v>https://tulieuvankien.dangcongsan.vn/upload/2006988/20260529/HD_05_VPTW_e1550.pdf</x:v>
      </x:c>
      <x:c r="P61" t="str">
        <x:v>PLUGIN:HOA-TIEU-MIEN-BAC-PARTY-HD05-HEADER-2026 | NEEDS_REVIEW</x:v>
      </x:c>
      <x:c r="Q61" t="str">
        <x:v>CHECK_ONLY</x:v>
      </x:c>
      <x:c r="R61" t="str">
        <x:v>Kiểm tra từng thuộc tính có mặt; so sánh nguồn/role; không suy đoán từ kết quả render chưa có</x:v>
      </x:c>
      <x:c r="S61" t="str">
        <x:v>STRUCTURE_READ_EXISTING_WORKBOOK</x:v>
      </x:c>
      <x:c r="T61"/>
      <x:c r="U61" t="str">
        <x:v>Paragraph/Run theo kiểu khối DM; preserve list numbering/table/drawing nếu có</x:v>
      </x:c>
    </x:row>
    <x:row r="62">
      <x:c r="A62" t="n">
        <x:v>61</x:v>
      </x:c>
      <x:c r="B62" t="str">
        <x:v>HD05.N.DM.MUC.NOI_DUNG</x:v>
      </x:c>
      <x:c r="C62" t="str">
        <x:v>HD05.N.DM.MUC</x:v>
      </x:c>
      <x:c r="D62" t="str">
        <x:v>N</x:v>
      </x:c>
      <x:c r="E62" t="str">
        <x:v>Mục</x:v>
      </x:c>
      <x:c r="F62" t="str">
        <x:v>NOI_DUNG</x:v>
      </x:c>
      <x:c r="G62" t="str">
        <x:v>Nhận diện số/tên Mục, Tiểu mục; xác minh biến thể</x:v>
      </x:c>
      <x:c r="H62"/>
      <x:c r="I62" t="str">
        <x:v>UNVERIFIED_ATTRIBUTE</x:v>
      </x:c>
      <x:c r="J62" t="str">
        <x:v>SOURCE_DESCRIPTION_NOT_APPROVAL</x:v>
      </x:c>
      <x:c r="K62" t="str">
        <x:v>Chỉ khi văn bản có phân cấp này; giữ số, tên và thứ bậc thực tế; không tự đánh lại số</x:v>
      </x:c>
      <x:c r="L62" t="str">
        <x:v>Bảo toàn cấu trúc/nội dung; nếu khác loại văn bản, ưu tiên đúng mẫu của loại đó; không sửa khi thiếu căn cứ.</x:v>
      </x:c>
      <x:c r="M62"/>
      <x:c r="N62" t="str">
        <x:v>HD05, Phần II, I.6 và IV; Phụ lục 2 mục 6</x:v>
      </x:c>
      <x:c r="O62" t="str">
        <x:v>https://tulieuvankien.dangcongsan.vn/upload/2006988/20260529/HD_05_VPTW_e1550.pdf</x:v>
      </x:c>
      <x:c r="P62" t="str">
        <x:v>PLUGIN:HOA-TIEU-MIEN-BAC-PARTY-HD05-HEADER-2026 | NEEDS_REVIEW</x:v>
      </x:c>
      <x:c r="Q62" t="str">
        <x:v>CHECK_ONLY</x:v>
      </x:c>
      <x:c r="R62" t="str">
        <x:v>Kiểm tra từng thuộc tính có mặt; so sánh nguồn/role; không suy đoán từ kết quả render chưa có</x:v>
      </x:c>
      <x:c r="S62" t="str">
        <x:v>STRUCTURE_READ_EXISTING_WORKBOOK</x:v>
      </x:c>
      <x:c r="T62"/>
      <x:c r="U62" t="str">
        <x:v>Paragraph/Run theo kiểu khối DM; preserve list numbering/table/drawing nếu có</x:v>
      </x:c>
    </x:row>
    <x:row r="63">
      <x:c r="A63" t="n">
        <x:v>62</x:v>
      </x:c>
      <x:c r="B63" t="str">
        <x:v>HD05.N.DM.MUC.PHONG_CHU</x:v>
      </x:c>
      <x:c r="C63" t="str">
        <x:v>HD05.N.DM.MUC</x:v>
      </x:c>
      <x:c r="D63" t="str">
        <x:v>N</x:v>
      </x:c>
      <x:c r="E63" t="str">
        <x:v>Mục</x:v>
      </x:c>
      <x:c r="F63" t="str">
        <x:v>PHONG_CHU</x:v>
      </x:c>
      <x:c r="G63" t="str">
        <x:v>Times New Roman</x:v>
      </x:c>
      <x:c r="H63"/>
      <x:c r="I63" t="str">
        <x:v>UNVERIFIED_ATTRIBUTE</x:v>
      </x:c>
      <x:c r="J63" t="str">
        <x:v>PROFILE_PRESET_UNAPPROVED</x:v>
      </x:c>
      <x:c r="K63" t="str">
        <x:v>Chỉ khi văn bản có phân cấp này; giữ số, tên và thứ bậc thực tế; không tự đánh lại số</x:v>
      </x:c>
      <x:c r="L63" t="str">
        <x:v>Bảo toàn cấu trúc/nội dung; nếu khác loại văn bản, ưu tiên đúng mẫu của loại đó; không sửa khi thiếu căn cứ.</x:v>
      </x:c>
      <x:c r="M63"/>
      <x:c r="N63" t="str">
        <x:v>HD05, Phần II, I.6 và IV; Phụ lục 2 mục 6</x:v>
      </x:c>
      <x:c r="O63" t="str">
        <x:v>https://tulieuvankien.dangcongsan.vn/upload/2006988/20260529/HD_05_VPTW_e1550.pdf</x:v>
      </x:c>
      <x:c r="P63" t="str">
        <x:v>PLUGIN:HOA-TIEU-MIEN-BAC-PARTY-HD05-HEADER-2026 | NEEDS_REVIEW</x:v>
      </x:c>
      <x:c r="Q63" t="str">
        <x:v>CHECK_ONLY</x:v>
      </x:c>
      <x:c r="R63" t="str">
        <x:v>Kiểm tra từng thuộc tính có mặt; so sánh nguồn/role; không suy đoán từ kết quả render chưa có</x:v>
      </x:c>
      <x:c r="S63" t="str">
        <x:v>STRUCTURE_READ_EXISTING_WORKBOOK</x:v>
      </x:c>
      <x:c r="T63"/>
      <x:c r="U63" t="str">
        <x:v>Paragraph/Run theo kiểu khối DM; preserve list numbering/table/drawing nếu có</x:v>
      </x:c>
    </x:row>
    <x:row r="64">
      <x:c r="A64" t="n">
        <x:v>63</x:v>
      </x:c>
      <x:c r="B64" t="str">
        <x:v>HD05.N.DM.MUC.CO_CHU</x:v>
      </x:c>
      <x:c r="C64" t="str">
        <x:v>HD05.N.DM.MUC</x:v>
      </x:c>
      <x:c r="D64" t="str">
        <x:v>N</x:v>
      </x:c>
      <x:c r="E64" t="str">
        <x:v>Mục</x:v>
      </x:c>
      <x:c r="F64" t="str">
        <x:v>CO_CHU</x:v>
      </x:c>
      <x:c r="G64" t="n">
        <x:v>14</x:v>
      </x:c>
      <x:c r="H64"/>
      <x:c r="I64" t="str">
        <x:v>UNVERIFIED_ATTRIBUTE</x:v>
      </x:c>
      <x:c r="J64" t="str">
        <x:v>PROFILE_PRESET_UNAPPROVED</x:v>
      </x:c>
      <x:c r="K64" t="str">
        <x:v>Chỉ khi văn bản có phân cấp này; giữ số, tên và thứ bậc thực tế; không tự đánh lại số</x:v>
      </x:c>
      <x:c r="L64" t="str">
        <x:v>Bảo toàn cấu trúc/nội dung; nếu khác loại văn bản, ưu tiên đúng mẫu của loại đó; không sửa khi thiếu căn cứ.</x:v>
      </x:c>
      <x:c r="M64" t="str">
        <x:v>pt</x:v>
      </x:c>
      <x:c r="N64" t="str">
        <x:v>HD05, Phần II, I.6 và IV; Phụ lục 2 mục 6</x:v>
      </x:c>
      <x:c r="O64" t="str">
        <x:v>https://tulieuvankien.dangcongsan.vn/upload/2006988/20260529/HD_05_VPTW_e1550.pdf</x:v>
      </x:c>
      <x:c r="P64" t="str">
        <x:v>PLUGIN:HOA-TIEU-MIEN-BAC-PARTY-HD05-HEADER-2026 | NEEDS_REVIEW</x:v>
      </x:c>
      <x:c r="Q64" t="str">
        <x:v>CHECK_ONLY</x:v>
      </x:c>
      <x:c r="R64" t="str">
        <x:v>Kiểm tra từng thuộc tính có mặt; so sánh nguồn/role; không suy đoán từ kết quả render chưa có</x:v>
      </x:c>
      <x:c r="S64" t="str">
        <x:v>STRUCTURE_READ_EXISTING_WORKBOOK</x:v>
      </x:c>
      <x:c r="T64"/>
      <x:c r="U64" t="str">
        <x:v>Paragraph/Run theo kiểu khối DM; preserve list numbering/table/drawing nếu có</x:v>
      </x:c>
    </x:row>
    <x:row r="65">
      <x:c r="A65" t="n">
        <x:v>64</x:v>
      </x:c>
      <x:c r="B65" t="str">
        <x:v>HD05.N.DM.MUC.DAM</x:v>
      </x:c>
      <x:c r="C65" t="str">
        <x:v>HD05.N.DM.MUC</x:v>
      </x:c>
      <x:c r="D65" t="str">
        <x:v>N</x:v>
      </x:c>
      <x:c r="E65" t="str">
        <x:v>Mục</x:v>
      </x:c>
      <x:c r="F65" t="str">
        <x:v>DAM</x:v>
      </x:c>
      <x:c r="G65" t="str">
        <x:v>CÓ</x:v>
      </x:c>
      <x:c r="H65"/>
      <x:c r="I65" t="str">
        <x:v>UNVERIFIED_ATTRIBUTE</x:v>
      </x:c>
      <x:c r="J65" t="str">
        <x:v>PROFILE_PRESET_UNAPPROVED</x:v>
      </x:c>
      <x:c r="K65" t="str">
        <x:v>Chỉ khi văn bản có phân cấp này; giữ số, tên và thứ bậc thực tế; không tự đánh lại số</x:v>
      </x:c>
      <x:c r="L65" t="str">
        <x:v>Bảo toàn cấu trúc/nội dung; nếu khác loại văn bản, ưu tiên đúng mẫu của loại đó; không sửa khi thiếu căn cứ.</x:v>
      </x:c>
      <x:c r="M65"/>
      <x:c r="N65" t="str">
        <x:v>HD05, Phần II, I.6 và IV; Phụ lục 2 mục 6</x:v>
      </x:c>
      <x:c r="O65" t="str">
        <x:v>https://tulieuvankien.dangcongsan.vn/upload/2006988/20260529/HD_05_VPTW_e1550.pdf</x:v>
      </x:c>
      <x:c r="P65" t="str">
        <x:v>PLUGIN:HOA-TIEU-MIEN-BAC-PARTY-HD05-HEADER-2026 | NEEDS_REVIEW</x:v>
      </x:c>
      <x:c r="Q65" t="str">
        <x:v>CHECK_ONLY</x:v>
      </x:c>
      <x:c r="R65" t="str">
        <x:v>Kiểm tra từng thuộc tính có mặt; so sánh nguồn/role; không suy đoán từ kết quả render chưa có</x:v>
      </x:c>
      <x:c r="S65" t="str">
        <x:v>STRUCTURE_READ_EXISTING_WORKBOOK</x:v>
      </x:c>
      <x:c r="T65"/>
      <x:c r="U65" t="str">
        <x:v>Paragraph/Run theo kiểu khối DM; preserve list numbering/table/drawing nếu có</x:v>
      </x:c>
    </x:row>
    <x:row r="66">
      <x:c r="A66" t="n">
        <x:v>65</x:v>
      </x:c>
      <x:c r="B66" t="str">
        <x:v>HD05.N.DM.MUC.NGHIENG</x:v>
      </x:c>
      <x:c r="C66" t="str">
        <x:v>HD05.N.DM.MUC</x:v>
      </x:c>
      <x:c r="D66" t="str">
        <x:v>N</x:v>
      </x:c>
      <x:c r="E66" t="str">
        <x:v>Mục</x:v>
      </x:c>
      <x:c r="F66" t="str">
        <x:v>NGHIENG</x:v>
      </x:c>
      <x:c r="G66"/>
      <x:c r="H66"/>
      <x:c r="I66" t="str">
        <x:v>UNVERIFIED_ATTRIBUTE</x:v>
      </x:c>
      <x:c r="J66" t="str">
        <x:v>BLOCKED_NO_ATTRIBUTE_VALUE</x:v>
      </x:c>
      <x:c r="K66" t="str">
        <x:v>Chỉ khi văn bản có phân cấp này; giữ số, tên và thứ bậc thực tế; không tự đánh lại số</x:v>
      </x:c>
      <x:c r="L66" t="str">
        <x:v>Bảo toàn cấu trúc/nội dung; nếu khác loại văn bản, ưu tiên đúng mẫu của loại đó; không sửa khi thiếu căn cứ.</x:v>
      </x:c>
      <x:c r="M66"/>
      <x:c r="N66" t="str">
        <x:v>HD05, Phần II, I.6 và IV; Phụ lục 2 mục 6</x:v>
      </x:c>
      <x:c r="O66" t="str">
        <x:v>https://tulieuvankien.dangcongsan.vn/upload/2006988/20260529/HD_05_VPTW_e1550.pdf</x:v>
      </x:c>
      <x:c r="P66" t="str">
        <x:v>PLUGIN:HOA-TIEU-MIEN-BAC-PARTY-HD05-HEADER-2026 | NEEDS_REVIEW</x:v>
      </x:c>
      <x:c r="Q66" t="str">
        <x:v>CHECK_ONLY</x:v>
      </x:c>
      <x:c r="R66" t="str">
        <x:v>Kiểm tra từng thuộc tính có mặt; so sánh nguồn/role; không suy đoán từ kết quả render chưa có</x:v>
      </x:c>
      <x:c r="S66" t="str">
        <x:v>RULE_INFERENCE_NOT_MEASURED</x:v>
      </x:c>
      <x:c r="T66" t="str">
        <x:v>Xác minh căn cứ theo loại văn bản / tài liệu phát hành hoặc phê duyệt</x:v>
      </x:c>
      <x:c r="U66" t="str">
        <x:v>Paragraph/Run theo kiểu khối DM; preserve list numbering/table/drawing nếu có</x:v>
      </x:c>
    </x:row>
    <x:row r="67">
      <x:c r="A67" t="n">
        <x:v>66</x:v>
      </x:c>
      <x:c r="B67" t="str">
        <x:v>HD05.N.DM.MUC.KIEU_CHU</x:v>
      </x:c>
      <x:c r="C67" t="str">
        <x:v>HD05.N.DM.MUC</x:v>
      </x:c>
      <x:c r="D67" t="str">
        <x:v>N</x:v>
      </x:c>
      <x:c r="E67" t="str">
        <x:v>Mục</x:v>
      </x:c>
      <x:c r="F67" t="str">
        <x:v>KIEU_CHU</x:v>
      </x:c>
      <x:c r="G67" t="str">
        <x:v>Nhãn thường; tiêu đề IN HOA</x:v>
      </x:c>
      <x:c r="H67"/>
      <x:c r="I67" t="str">
        <x:v>UNVERIFIED_ATTRIBUTE</x:v>
      </x:c>
      <x:c r="J67" t="str">
        <x:v>PROFILE_PRESET_UNAPPROVED</x:v>
      </x:c>
      <x:c r="K67" t="str">
        <x:v>Chỉ khi văn bản có phân cấp này; giữ số, tên và thứ bậc thực tế; không tự đánh lại số</x:v>
      </x:c>
      <x:c r="L67" t="str">
        <x:v>Bảo toàn cấu trúc/nội dung; nếu khác loại văn bản, ưu tiên đúng mẫu của loại đó; không sửa khi thiếu căn cứ.</x:v>
      </x:c>
      <x:c r="M67"/>
      <x:c r="N67" t="str">
        <x:v>HD05, Phần II, I.6 và IV; Phụ lục 2 mục 6</x:v>
      </x:c>
      <x:c r="O67" t="str">
        <x:v>https://tulieuvankien.dangcongsan.vn/upload/2006988/20260529/HD_05_VPTW_e1550.pdf</x:v>
      </x:c>
      <x:c r="P67" t="str">
        <x:v>PLUGIN:HOA-TIEU-MIEN-BAC-PARTY-HD05-HEADER-2026 | NEEDS_REVIEW</x:v>
      </x:c>
      <x:c r="Q67" t="str">
        <x:v>CHECK_ONLY</x:v>
      </x:c>
      <x:c r="R67" t="str">
        <x:v>Kiểm tra từng thuộc tính có mặt; so sánh nguồn/role; không suy đoán từ kết quả render chưa có</x:v>
      </x:c>
      <x:c r="S67" t="str">
        <x:v>STRUCTURE_READ_EXISTING_WORKBOOK</x:v>
      </x:c>
      <x:c r="T67"/>
      <x:c r="U67" t="str">
        <x:v>Paragraph/Run theo kiểu khối DM; preserve list numbering/table/drawing nếu có</x:v>
      </x:c>
    </x:row>
    <x:row r="68">
      <x:c r="A68" t="n">
        <x:v>67</x:v>
      </x:c>
      <x:c r="B68" t="str">
        <x:v>HD05.N.DM.MUC.CAN_NGANG</x:v>
      </x:c>
      <x:c r="C68" t="str">
        <x:v>HD05.N.DM.MUC</x:v>
      </x:c>
      <x:c r="D68" t="str">
        <x:v>N</x:v>
      </x:c>
      <x:c r="E68" t="str">
        <x:v>Mục</x:v>
      </x:c>
      <x:c r="F68" t="str">
        <x:v>CAN_NGANG</x:v>
      </x:c>
      <x:c r="G68" t="str">
        <x:v>CENTER</x:v>
      </x:c>
      <x:c r="H68"/>
      <x:c r="I68" t="str">
        <x:v>UNVERIFIED_ATTRIBUTE</x:v>
      </x:c>
      <x:c r="J68" t="str">
        <x:v>PROFILE_PRESET_UNAPPROVED</x:v>
      </x:c>
      <x:c r="K68" t="str">
        <x:v>Chỉ khi văn bản có phân cấp này; giữ số, tên và thứ bậc thực tế; không tự đánh lại số</x:v>
      </x:c>
      <x:c r="L68" t="str">
        <x:v>Bảo toàn cấu trúc/nội dung; nếu khác loại văn bản, ưu tiên đúng mẫu của loại đó; không sửa khi thiếu căn cứ.</x:v>
      </x:c>
      <x:c r="M68"/>
      <x:c r="N68" t="str">
        <x:v>HD05, Phần II, I.6 và IV; Phụ lục 2 mục 6</x:v>
      </x:c>
      <x:c r="O68" t="str">
        <x:v>https://tulieuvankien.dangcongsan.vn/upload/2006988/20260529/HD_05_VPTW_e1550.pdf</x:v>
      </x:c>
      <x:c r="P68" t="str">
        <x:v>PLUGIN:HOA-TIEU-MIEN-BAC-PARTY-HD05-HEADER-2026 | NEEDS_REVIEW</x:v>
      </x:c>
      <x:c r="Q68" t="str">
        <x:v>CHECK_ONLY</x:v>
      </x:c>
      <x:c r="R68" t="str">
        <x:v>Kiểm tra từng thuộc tính có mặt; so sánh nguồn/role; không suy đoán từ kết quả render chưa có</x:v>
      </x:c>
      <x:c r="S68" t="str">
        <x:v>STRUCTURE_READ_EXISTING_WORKBOOK</x:v>
      </x:c>
      <x:c r="T68"/>
      <x:c r="U68" t="str">
        <x:v>Paragraph/Run theo kiểu khối DM; preserve list numbering/table/drawing nếu có</x:v>
      </x:c>
    </x:row>
    <x:row r="69">
      <x:c r="A69" t="n">
        <x:v>68</x:v>
      </x:c>
      <x:c r="B69" t="str">
        <x:v>HD05.N.DM.MUC.GIAN_DONG</x:v>
      </x:c>
      <x:c r="C69" t="str">
        <x:v>HD05.N.DM.MUC</x:v>
      </x:c>
      <x:c r="D69" t="str">
        <x:v>N</x:v>
      </x:c>
      <x:c r="E69" t="str">
        <x:v>Mục</x:v>
      </x:c>
      <x:c r="F69" t="str">
        <x:v>GIAN_DONG</x:v>
      </x:c>
      <x:c r="G69" t="n">
        <x:v>19</x:v>
      </x:c>
      <x:c r="H69"/>
      <x:c r="I69" t="str">
        <x:v>UNVERIFIED_ATTRIBUTE</x:v>
      </x:c>
      <x:c r="J69" t="str">
        <x:v>PROFILE_PRESET_UNAPPROVED</x:v>
      </x:c>
      <x:c r="K69" t="str">
        <x:v>Chỉ khi văn bản có phân cấp này; giữ số, tên và thứ bậc thực tế; không tự đánh lại số</x:v>
      </x:c>
      <x:c r="L69" t="str">
        <x:v>Bảo toàn cấu trúc/nội dung; nếu khác loại văn bản, ưu tiên đúng mẫu của loại đó; không sửa khi thiếu căn cứ. HD05 phần thân: Exactly 18–22 pt theo HD05; nếu giá trị profile khác phải đánh cờ xung đột.</x:v>
      </x:c>
      <x:c r="M69" t="str">
        <x:v>pt</x:v>
      </x:c>
      <x:c r="N69" t="str">
        <x:v>HD05, Phần II, I.6 và IV; Phụ lục 2 mục 6</x:v>
      </x:c>
      <x:c r="O69" t="str">
        <x:v>https://tulieuvankien.dangcongsan.vn/upload/2006988/20260529/HD_05_VPTW_e1550.pdf</x:v>
      </x:c>
      <x:c r="P69" t="str">
        <x:v>PLUGIN:HOA-TIEU-MIEN-BAC-PARTY-HD05-HEADER-2026 | NEEDS_REVIEW</x:v>
      </x:c>
      <x:c r="Q69" t="str">
        <x:v>CHECK_ONLY</x:v>
      </x:c>
      <x:c r="R69" t="str">
        <x:v>Kiểm tra từng thuộc tính có mặt; so sánh nguồn/role; không suy đoán từ kết quả render chưa có</x:v>
      </x:c>
      <x:c r="S69" t="str">
        <x:v>STRUCTURE_READ_EXISTING_WORKBOOK</x:v>
      </x:c>
      <x:c r="T69"/>
      <x:c r="U69" t="str">
        <x:v>Paragraph/Run theo kiểu khối DM; preserve list numbering/table/drawing nếu có</x:v>
      </x:c>
    </x:row>
    <x:row r="70">
      <x:c r="A70" t="n">
        <x:v>69</x:v>
      </x:c>
      <x:c r="B70" t="str">
        <x:v>HD05.N.DM.MUC.CACH_TRUOC</x:v>
      </x:c>
      <x:c r="C70" t="str">
        <x:v>HD05.N.DM.MUC</x:v>
      </x:c>
      <x:c r="D70" t="str">
        <x:v>N</x:v>
      </x:c>
      <x:c r="E70" t="str">
        <x:v>Mục</x:v>
      </x:c>
      <x:c r="F70" t="str">
        <x:v>CACH_TRUOC</x:v>
      </x:c>
      <x:c r="G70" t="n">
        <x:v>6</x:v>
      </x:c>
      <x:c r="H70"/>
      <x:c r="I70" t="str">
        <x:v>UNVERIFIED_ATTRIBUTE</x:v>
      </x:c>
      <x:c r="J70" t="str">
        <x:v>PROFILE_PRESET_UNAPPROVED</x:v>
      </x:c>
      <x:c r="K70" t="str">
        <x:v>Chỉ khi văn bản có phân cấp này; giữ số, tên và thứ bậc thực tế; không tự đánh lại số</x:v>
      </x:c>
      <x:c r="L70" t="str">
        <x:v>Bảo toàn cấu trúc/nội dung; nếu khác loại văn bản, ưu tiên đúng mẫu của loại đó; không sửa khi thiếu căn cứ.</x:v>
      </x:c>
      <x:c r="M70" t="str">
        <x:v>pt</x:v>
      </x:c>
      <x:c r="N70" t="str">
        <x:v>HD05, Phần II, I.6 và IV; Phụ lục 2 mục 6</x:v>
      </x:c>
      <x:c r="O70" t="str">
        <x:v>https://tulieuvankien.dangcongsan.vn/upload/2006988/20260529/HD_05_VPTW_e1550.pdf</x:v>
      </x:c>
      <x:c r="P70" t="str">
        <x:v>PLUGIN:HOA-TIEU-MIEN-BAC-PARTY-HD05-HEADER-2026 | NEEDS_REVIEW</x:v>
      </x:c>
      <x:c r="Q70" t="str">
        <x:v>CHECK_ONLY</x:v>
      </x:c>
      <x:c r="R70" t="str">
        <x:v>Kiểm tra từng thuộc tính có mặt; so sánh nguồn/role; không suy đoán từ kết quả render chưa có</x:v>
      </x:c>
      <x:c r="S70" t="str">
        <x:v>STRUCTURE_READ_EXISTING_WORKBOOK</x:v>
      </x:c>
      <x:c r="T70"/>
      <x:c r="U70" t="str">
        <x:v>Paragraph/Run theo kiểu khối DM; preserve list numbering/table/drawing nếu có</x:v>
      </x:c>
    </x:row>
    <x:row r="71">
      <x:c r="A71" t="n">
        <x:v>70</x:v>
      </x:c>
      <x:c r="B71" t="str">
        <x:v>HD05.N.DM.MUC.CACH_SAU</x:v>
      </x:c>
      <x:c r="C71" t="str">
        <x:v>HD05.N.DM.MUC</x:v>
      </x:c>
      <x:c r="D71" t="str">
        <x:v>N</x:v>
      </x:c>
      <x:c r="E71" t="str">
        <x:v>Mục</x:v>
      </x:c>
      <x:c r="F71" t="str">
        <x:v>CACH_SAU</x:v>
      </x:c>
      <x:c r="G71" t="n">
        <x:v>6</x:v>
      </x:c>
      <x:c r="H71"/>
      <x:c r="I71" t="str">
        <x:v>UNVERIFIED_ATTRIBUTE</x:v>
      </x:c>
      <x:c r="J71" t="str">
        <x:v>PROFILE_PRESET_UNAPPROVED</x:v>
      </x:c>
      <x:c r="K71" t="str">
        <x:v>Chỉ khi văn bản có phân cấp này; giữ số, tên và thứ bậc thực tế; không tự đánh lại số</x:v>
      </x:c>
      <x:c r="L71" t="str">
        <x:v>Bảo toàn cấu trúc/nội dung; nếu khác loại văn bản, ưu tiên đúng mẫu của loại đó; không sửa khi thiếu căn cứ.</x:v>
      </x:c>
      <x:c r="M71" t="str">
        <x:v>pt</x:v>
      </x:c>
      <x:c r="N71" t="str">
        <x:v>HD05, Phần II, I.6 và IV; Phụ lục 2 mục 6</x:v>
      </x:c>
      <x:c r="O71" t="str">
        <x:v>https://tulieuvankien.dangcongsan.vn/upload/2006988/20260529/HD_05_VPTW_e1550.pdf</x:v>
      </x:c>
      <x:c r="P71" t="str">
        <x:v>PLUGIN:HOA-TIEU-MIEN-BAC-PARTY-HD05-HEADER-2026 | NEEDS_REVIEW</x:v>
      </x:c>
      <x:c r="Q71" t="str">
        <x:v>CHECK_ONLY</x:v>
      </x:c>
      <x:c r="R71" t="str">
        <x:v>Kiểm tra từng thuộc tính có mặt; so sánh nguồn/role; không suy đoán từ kết quả render chưa có</x:v>
      </x:c>
      <x:c r="S71" t="str">
        <x:v>STRUCTURE_READ_EXISTING_WORKBOOK</x:v>
      </x:c>
      <x:c r="T71"/>
      <x:c r="U71" t="str">
        <x:v>Paragraph/Run theo kiểu khối DM; preserve list numbering/table/drawing nếu có</x:v>
      </x:c>
    </x:row>
    <x:row r="72">
      <x:c r="A72" t="n">
        <x:v>71</x:v>
      </x:c>
      <x:c r="B72" t="str">
        <x:v>HD05.N.DM.MUC.THUT_DONG_DAU</x:v>
      </x:c>
      <x:c r="C72" t="str">
        <x:v>HD05.N.DM.MUC</x:v>
      </x:c>
      <x:c r="D72" t="str">
        <x:v>N</x:v>
      </x:c>
      <x:c r="E72" t="str">
        <x:v>Mục</x:v>
      </x:c>
      <x:c r="F72" t="str">
        <x:v>THUT_DONG_DAU</x:v>
      </x:c>
      <x:c r="G72" t="n">
        <x:v>0</x:v>
      </x:c>
      <x:c r="H72"/>
      <x:c r="I72" t="str">
        <x:v>UNVERIFIED_ATTRIBUTE</x:v>
      </x:c>
      <x:c r="J72" t="str">
        <x:v>PROFILE_PRESET_UNAPPROVED</x:v>
      </x:c>
      <x:c r="K72" t="str">
        <x:v>Chỉ khi văn bản có phân cấp này; giữ số, tên và thứ bậc thực tế; không tự đánh lại số</x:v>
      </x:c>
      <x:c r="L72" t="str">
        <x:v>Bảo toàn cấu trúc/nội dung; nếu khác loại văn bản, ưu tiên đúng mẫu của loại đó; không sửa khi thiếu căn cứ.</x:v>
      </x:c>
      <x:c r="M72" t="str">
        <x:v>mm</x:v>
      </x:c>
      <x:c r="N72" t="str">
        <x:v>HD05, Phần II, I.6 và IV; Phụ lục 2 mục 6</x:v>
      </x:c>
      <x:c r="O72" t="str">
        <x:v>https://tulieuvankien.dangcongsan.vn/upload/2006988/20260529/HD_05_VPTW_e1550.pdf</x:v>
      </x:c>
      <x:c r="P72" t="str">
        <x:v>PLUGIN:HOA-TIEU-MIEN-BAC-PARTY-HD05-HEADER-2026 | NEEDS_REVIEW</x:v>
      </x:c>
      <x:c r="Q72" t="str">
        <x:v>CHECK_ONLY</x:v>
      </x:c>
      <x:c r="R72" t="str">
        <x:v>Kiểm tra từng thuộc tính có mặt; so sánh nguồn/role; không suy đoán từ kết quả render chưa có</x:v>
      </x:c>
      <x:c r="S72" t="str">
        <x:v>STRUCTURE_READ_EXISTING_WORKBOOK</x:v>
      </x:c>
      <x:c r="T72"/>
      <x:c r="U72" t="str">
        <x:v>Paragraph/Run theo kiểu khối DM; preserve list numbering/table/drawing nếu có</x:v>
      </x:c>
    </x:row>
    <x:row r="73">
      <x:c r="A73" t="n">
        <x:v>72</x:v>
      </x:c>
      <x:c r="B73" t="str">
        <x:v>HD05.N.DM.MUC.KEEP_NEXT</x:v>
      </x:c>
      <x:c r="C73" t="str">
        <x:v>HD05.N.DM.MUC</x:v>
      </x:c>
      <x:c r="D73" t="str">
        <x:v>N</x:v>
      </x:c>
      <x:c r="E73" t="str">
        <x:v>Mục</x:v>
      </x:c>
      <x:c r="F73" t="str">
        <x:v>KEEP_NEXT</x:v>
      </x:c>
      <x:c r="G73" t="str">
        <x:v>CÓ</x:v>
      </x:c>
      <x:c r="H73"/>
      <x:c r="I73" t="str">
        <x:v>UNVERIFIED_ATTRIBUTE</x:v>
      </x:c>
      <x:c r="J73" t="str">
        <x:v>PROFILE_PRESET_UNAPPROVED</x:v>
      </x:c>
      <x:c r="K73" t="str">
        <x:v>Chỉ khi văn bản có phân cấp này; giữ số, tên và thứ bậc thực tế; không tự đánh lại số</x:v>
      </x:c>
      <x:c r="L73" t="str">
        <x:v>Bảo toàn cấu trúc/nội dung; nếu khác loại văn bản, ưu tiên đúng mẫu của loại đó; không sửa khi thiếu căn cứ.</x:v>
      </x:c>
      <x:c r="M73"/>
      <x:c r="N73" t="str">
        <x:v>HD05, Phần II, I.6 và IV; Phụ lục 2 mục 6</x:v>
      </x:c>
      <x:c r="O73" t="str">
        <x:v>https://tulieuvankien.dangcongsan.vn/upload/2006988/20260529/HD_05_VPTW_e1550.pdf</x:v>
      </x:c>
      <x:c r="P73" t="str">
        <x:v>PLUGIN:HOA-TIEU-MIEN-BAC-PARTY-HD05-HEADER-2026 | NEEDS_REVIEW</x:v>
      </x:c>
      <x:c r="Q73" t="str">
        <x:v>CHECK_ONLY</x:v>
      </x:c>
      <x:c r="R73" t="str">
        <x:v>Kiểm tra từng thuộc tính có mặt; so sánh nguồn/role; không suy đoán từ kết quả render chưa có</x:v>
      </x:c>
      <x:c r="S73" t="str">
        <x:v>STRUCTURE_READ_EXISTING_WORKBOOK</x:v>
      </x:c>
      <x:c r="T73"/>
      <x:c r="U73" t="str">
        <x:v>Paragraph/Run theo kiểu khối DM; preserve list numbering/table/drawing nếu có</x:v>
      </x:c>
    </x:row>
    <x:row r="74">
      <x:c r="A74" t="n">
        <x:v>73</x:v>
      </x:c>
      <x:c r="B74" t="str">
        <x:v>HD05.N.DM.MUC.SO_THU_TU</x:v>
      </x:c>
      <x:c r="C74" t="str">
        <x:v>HD05.N.DM.MUC</x:v>
      </x:c>
      <x:c r="D74" t="str">
        <x:v>N</x:v>
      </x:c>
      <x:c r="E74" t="str">
        <x:v>Mục</x:v>
      </x:c>
      <x:c r="F74" t="str">
        <x:v>SO_THU_TU</x:v>
      </x:c>
      <x:c r="G74"/>
      <x:c r="H74"/>
      <x:c r="I74" t="str">
        <x:v>UNVERIFIED_ATTRIBUTE</x:v>
      </x:c>
      <x:c r="J74" t="str">
        <x:v>BLOCKED_NO_ATTRIBUTE_VALUE</x:v>
      </x:c>
      <x:c r="K74" t="str">
        <x:v>Chỉ khi văn bản có phân cấp này; giữ số, tên và thứ bậc thực tế; không tự đánh lại số</x:v>
      </x:c>
      <x:c r="L74" t="str">
        <x:v>Bảo toàn cấu trúc/nội dung; nếu khác loại văn bản, ưu tiên đúng mẫu của loại đó; không sửa khi thiếu căn cứ.</x:v>
      </x:c>
      <x:c r="M74"/>
      <x:c r="N74" t="str">
        <x:v>HD05, Phần II, I.6 và IV; Phụ lục 2 mục 6</x:v>
      </x:c>
      <x:c r="O74" t="str">
        <x:v>https://tulieuvankien.dangcongsan.vn/upload/2006988/20260529/HD_05_VPTW_e1550.pdf</x:v>
      </x:c>
      <x:c r="P74" t="str">
        <x:v>PLUGIN:HOA-TIEU-MIEN-BAC-PARTY-HD05-HEADER-2026 | NEEDS_REVIEW</x:v>
      </x:c>
      <x:c r="Q74" t="str">
        <x:v>CHECK_ONLY</x:v>
      </x:c>
      <x:c r="R74" t="str">
        <x:v>Kiểm tra từng thuộc tính có mặt; so sánh nguồn/role; không suy đoán từ kết quả render chưa có</x:v>
      </x:c>
      <x:c r="S74" t="str">
        <x:v>RULE_INFERENCE_NOT_MEASURED</x:v>
      </x:c>
      <x:c r="T74" t="str">
        <x:v>Xác minh căn cứ theo loại văn bản / tài liệu phát hành hoặc phê duyệt</x:v>
      </x:c>
      <x:c r="U74" t="str">
        <x:v>Paragraph/Run theo kiểu khối DM; preserve list numbering/table/drawing nếu có</x:v>
      </x:c>
    </x:row>
    <x:row r="75">
      <x:c r="A75" t="n">
        <x:v>74</x:v>
      </x:c>
      <x:c r="B75" t="str">
        <x:v>HD05.N.DM.MUC.CAU_TRUC</x:v>
      </x:c>
      <x:c r="C75" t="str">
        <x:v>HD05.N.DM.MUC</x:v>
      </x:c>
      <x:c r="D75" t="str">
        <x:v>N</x:v>
      </x:c>
      <x:c r="E75" t="str">
        <x:v>Mục</x:v>
      </x:c>
      <x:c r="F75" t="str">
        <x:v>CAU_TRUC</x:v>
      </x:c>
      <x:c r="G75"/>
      <x:c r="H75"/>
      <x:c r="I75" t="str">
        <x:v>UNVERIFIED_ATTRIBUTE</x:v>
      </x:c>
      <x:c r="J75" t="str">
        <x:v>BLOCKED_NO_ATTRIBUTE_VALUE</x:v>
      </x:c>
      <x:c r="K75" t="str">
        <x:v>Chỉ khi văn bản có phân cấp này; giữ số, tên và thứ bậc thực tế; không tự đánh lại số</x:v>
      </x:c>
      <x:c r="L75" t="str">
        <x:v>Bảo toàn cấu trúc/nội dung; nếu khác loại văn bản, ưu tiên đúng mẫu của loại đó; không sửa khi thiếu căn cứ.</x:v>
      </x:c>
      <x:c r="M75"/>
      <x:c r="N75" t="str">
        <x:v>HD05, Phần II, I.6 và IV; Phụ lục 2 mục 6</x:v>
      </x:c>
      <x:c r="O75" t="str">
        <x:v>https://tulieuvankien.dangcongsan.vn/upload/2006988/20260529/HD_05_VPTW_e1550.pdf</x:v>
      </x:c>
      <x:c r="P75" t="str">
        <x:v>PLUGIN:HOA-TIEU-MIEN-BAC-PARTY-HD05-HEADER-2026 | NEEDS_REVIEW</x:v>
      </x:c>
      <x:c r="Q75" t="str">
        <x:v>CHECK_ONLY</x:v>
      </x:c>
      <x:c r="R75" t="str">
        <x:v>Kiểm tra từng thuộc tính có mặt; so sánh nguồn/role; không suy đoán từ kết quả render chưa có</x:v>
      </x:c>
      <x:c r="S75" t="str">
        <x:v>RULE_INFERENCE_NOT_MEASURED</x:v>
      </x:c>
      <x:c r="T75" t="str">
        <x:v>Xác minh căn cứ theo loại văn bản / tài liệu phát hành hoặc phê duyệt</x:v>
      </x:c>
      <x:c r="U75" t="str">
        <x:v>Paragraph/Run theo kiểu khối DM; preserve list numbering/table/drawing nếu có</x:v>
      </x:c>
    </x:row>
    <x:row r="76">
      <x:c r="A76" t="n">
        <x:v>75</x:v>
      </x:c>
      <x:c r="B76" t="str">
        <x:v>HD05.N.DM.MUC.DAU_CAU</x:v>
      </x:c>
      <x:c r="C76" t="str">
        <x:v>HD05.N.DM.MUC</x:v>
      </x:c>
      <x:c r="D76" t="str">
        <x:v>N</x:v>
      </x:c>
      <x:c r="E76" t="str">
        <x:v>Mục</x:v>
      </x:c>
      <x:c r="F76" t="str">
        <x:v>DAU_CAU</x:v>
      </x:c>
      <x:c r="G76"/>
      <x:c r="H76"/>
      <x:c r="I76" t="str">
        <x:v>UNVERIFIED_ATTRIBUTE</x:v>
      </x:c>
      <x:c r="J76" t="str">
        <x:v>BLOCKED_NO_ATTRIBUTE_VALUE</x:v>
      </x:c>
      <x:c r="K76" t="str">
        <x:v>Chỉ khi văn bản có phân cấp này; giữ số, tên và thứ bậc thực tế; không tự đánh lại số</x:v>
      </x:c>
      <x:c r="L76" t="str">
        <x:v>Bảo toàn cấu trúc/nội dung; nếu khác loại văn bản, ưu tiên đúng mẫu của loại đó; không sửa khi thiếu căn cứ.</x:v>
      </x:c>
      <x:c r="M76"/>
      <x:c r="N76" t="str">
        <x:v>HD05, Phần II, I.6 và IV; Phụ lục 2 mục 6</x:v>
      </x:c>
      <x:c r="O76" t="str">
        <x:v>https://tulieuvankien.dangcongsan.vn/upload/2006988/20260529/HD_05_VPTW_e1550.pdf</x:v>
      </x:c>
      <x:c r="P76" t="str">
        <x:v>PLUGIN:HOA-TIEU-MIEN-BAC-PARTY-HD05-HEADER-2026 | NEEDS_REVIEW</x:v>
      </x:c>
      <x:c r="Q76" t="str">
        <x:v>CHECK_ONLY</x:v>
      </x:c>
      <x:c r="R76" t="str">
        <x:v>Kiểm tra từng thuộc tính có mặt; so sánh nguồn/role; không suy đoán từ kết quả render chưa có</x:v>
      </x:c>
      <x:c r="S76" t="str">
        <x:v>RULE_INFERENCE_NOT_MEASURED</x:v>
      </x:c>
      <x:c r="T76" t="str">
        <x:v>Xác minh căn cứ theo loại văn bản / tài liệu phát hành hoặc phê duyệt</x:v>
      </x:c>
      <x:c r="U76" t="str">
        <x:v>Paragraph/Run theo kiểu khối DM; preserve list numbering/table/drawing nếu có</x:v>
      </x:c>
    </x:row>
    <x:row r="77">
      <x:c r="A77" t="n">
        <x:v>76</x:v>
      </x:c>
      <x:c r="B77" t="str">
        <x:v>HD05.N.DM.TIEU_MUC.HIEN_DIEN</x:v>
      </x:c>
      <x:c r="C77" t="str">
        <x:v>HD05.N.DM.TIEU_MUC</x:v>
      </x:c>
      <x:c r="D77" t="str">
        <x:v>N</x:v>
      </x:c>
      <x:c r="E77" t="str">
        <x:v>Tiểu mục</x:v>
      </x:c>
      <x:c r="F77" t="str">
        <x:v>HIEN_DIEN</x:v>
      </x:c>
      <x:c r="G77" t="str">
        <x:v>Theo loại văn bản và sự hiện diện thực tế; không áp dụng đồng loạt</x:v>
      </x:c>
      <x:c r="H77"/>
      <x:c r="I77" t="str">
        <x:v>UNVERIFIED_ATTRIBUTE</x:v>
      </x:c>
      <x:c r="J77" t="str">
        <x:v>SOURCE_DESCRIPTION_NOT_APPROVAL</x:v>
      </x:c>
      <x:c r="K77" t="str">
        <x:v>Chỉ khi văn bản có phân cấp này; giữ số, tên và thứ bậc thực tế; không tự đánh lại số</x:v>
      </x:c>
      <x:c r="L77" t="str">
        <x:v>Bảo toàn cấu trúc/nội dung; nếu khác loại văn bản, ưu tiên đúng mẫu của loại đó; không sửa khi thiếu căn cứ.</x:v>
      </x:c>
      <x:c r="M77"/>
      <x:c r="N77" t="str">
        <x:v>HD05, Phần II, I.6 và IV; Phụ lục 2 mục 6</x:v>
      </x:c>
      <x:c r="O77" t="str">
        <x:v>https://tulieuvankien.dangcongsan.vn/upload/2006988/20260529/HD_05_VPTW_e1550.pdf</x:v>
      </x:c>
      <x:c r="P77" t="str">
        <x:v>PLUGIN:HOA-TIEU-MIEN-BAC-PARTY-HD05-HEADER-2026 | NEEDS_REVIEW</x:v>
      </x:c>
      <x:c r="Q77" t="str">
        <x:v>CHECK_ONLY</x:v>
      </x:c>
      <x:c r="R77" t="str">
        <x:v>Kiểm tra từng thuộc tính có mặt; so sánh nguồn/role; không suy đoán từ kết quả render chưa có</x:v>
      </x:c>
      <x:c r="S77" t="str">
        <x:v>STRUCTURE_READ_EXISTING_WORKBOOK</x:v>
      </x:c>
      <x:c r="T77"/>
      <x:c r="U77" t="str">
        <x:v>Paragraph/Run theo kiểu khối DM; preserve list numbering/table/drawing nếu có</x:v>
      </x:c>
    </x:row>
    <x:row r="78">
      <x:c r="A78" t="n">
        <x:v>77</x:v>
      </x:c>
      <x:c r="B78" t="str">
        <x:v>HD05.N.DM.TIEU_MUC.NOI_DUNG</x:v>
      </x:c>
      <x:c r="C78" t="str">
        <x:v>HD05.N.DM.TIEU_MUC</x:v>
      </x:c>
      <x:c r="D78" t="str">
        <x:v>N</x:v>
      </x:c>
      <x:c r="E78" t="str">
        <x:v>Tiểu mục</x:v>
      </x:c>
      <x:c r="F78" t="str">
        <x:v>NOI_DUNG</x:v>
      </x:c>
      <x:c r="G78" t="str">
        <x:v>Nhận diện số/tên Mục, Tiểu mục; xác minh biến thể</x:v>
      </x:c>
      <x:c r="H78"/>
      <x:c r="I78" t="str">
        <x:v>UNVERIFIED_ATTRIBUTE</x:v>
      </x:c>
      <x:c r="J78" t="str">
        <x:v>SOURCE_DESCRIPTION_NOT_APPROVAL</x:v>
      </x:c>
      <x:c r="K78" t="str">
        <x:v>Chỉ khi văn bản có phân cấp này; giữ số, tên và thứ bậc thực tế; không tự đánh lại số</x:v>
      </x:c>
      <x:c r="L78" t="str">
        <x:v>Bảo toàn cấu trúc/nội dung; nếu khác loại văn bản, ưu tiên đúng mẫu của loại đó; không sửa khi thiếu căn cứ.</x:v>
      </x:c>
      <x:c r="M78"/>
      <x:c r="N78" t="str">
        <x:v>HD05, Phần II, I.6 và IV; Phụ lục 2 mục 6</x:v>
      </x:c>
      <x:c r="O78" t="str">
        <x:v>https://tulieuvankien.dangcongsan.vn/upload/2006988/20260529/HD_05_VPTW_e1550.pdf</x:v>
      </x:c>
      <x:c r="P78" t="str">
        <x:v>PLUGIN:HOA-TIEU-MIEN-BAC-PARTY-HD05-HEADER-2026 | NEEDS_REVIEW</x:v>
      </x:c>
      <x:c r="Q78" t="str">
        <x:v>CHECK_ONLY</x:v>
      </x:c>
      <x:c r="R78" t="str">
        <x:v>Kiểm tra từng thuộc tính có mặt; so sánh nguồn/role; không suy đoán từ kết quả render chưa có</x:v>
      </x:c>
      <x:c r="S78" t="str">
        <x:v>STRUCTURE_READ_EXISTING_WORKBOOK</x:v>
      </x:c>
      <x:c r="T78"/>
      <x:c r="U78" t="str">
        <x:v>Paragraph/Run theo kiểu khối DM; preserve list numbering/table/drawing nếu có</x:v>
      </x:c>
    </x:row>
    <x:row r="79">
      <x:c r="A79" t="n">
        <x:v>78</x:v>
      </x:c>
      <x:c r="B79" t="str">
        <x:v>HD05.N.DM.TIEU_MUC.PHONG_CHU</x:v>
      </x:c>
      <x:c r="C79" t="str">
        <x:v>HD05.N.DM.TIEU_MUC</x:v>
      </x:c>
      <x:c r="D79" t="str">
        <x:v>N</x:v>
      </x:c>
      <x:c r="E79" t="str">
        <x:v>Tiểu mục</x:v>
      </x:c>
      <x:c r="F79" t="str">
        <x:v>PHONG_CHU</x:v>
      </x:c>
      <x:c r="G79" t="str">
        <x:v>Times New Roman</x:v>
      </x:c>
      <x:c r="H79"/>
      <x:c r="I79" t="str">
        <x:v>UNVERIFIED_ATTRIBUTE</x:v>
      </x:c>
      <x:c r="J79" t="str">
        <x:v>PROFILE_PRESET_UNAPPROVED</x:v>
      </x:c>
      <x:c r="K79" t="str">
        <x:v>Chỉ khi văn bản có phân cấp này; giữ số, tên và thứ bậc thực tế; không tự đánh lại số</x:v>
      </x:c>
      <x:c r="L79" t="str">
        <x:v>Bảo toàn cấu trúc/nội dung; nếu khác loại văn bản, ưu tiên đúng mẫu của loại đó; không sửa khi thiếu căn cứ.</x:v>
      </x:c>
      <x:c r="M79"/>
      <x:c r="N79" t="str">
        <x:v>HD05, Phần II, I.6 và IV; Phụ lục 2 mục 6</x:v>
      </x:c>
      <x:c r="O79" t="str">
        <x:v>https://tulieuvankien.dangcongsan.vn/upload/2006988/20260529/HD_05_VPTW_e1550.pdf</x:v>
      </x:c>
      <x:c r="P79" t="str">
        <x:v>PLUGIN:HOA-TIEU-MIEN-BAC-PARTY-HD05-HEADER-2026 | NEEDS_REVIEW</x:v>
      </x:c>
      <x:c r="Q79" t="str">
        <x:v>CHECK_ONLY</x:v>
      </x:c>
      <x:c r="R79" t="str">
        <x:v>Kiểm tra từng thuộc tính có mặt; so sánh nguồn/role; không suy đoán từ kết quả render chưa có</x:v>
      </x:c>
      <x:c r="S79" t="str">
        <x:v>STRUCTURE_READ_EXISTING_WORKBOOK</x:v>
      </x:c>
      <x:c r="T79"/>
      <x:c r="U79" t="str">
        <x:v>Paragraph/Run theo kiểu khối DM; preserve list numbering/table/drawing nếu có</x:v>
      </x:c>
    </x:row>
    <x:row r="80">
      <x:c r="A80" t="n">
        <x:v>79</x:v>
      </x:c>
      <x:c r="B80" t="str">
        <x:v>HD05.N.DM.TIEU_MUC.CO_CHU</x:v>
      </x:c>
      <x:c r="C80" t="str">
        <x:v>HD05.N.DM.TIEU_MUC</x:v>
      </x:c>
      <x:c r="D80" t="str">
        <x:v>N</x:v>
      </x:c>
      <x:c r="E80" t="str">
        <x:v>Tiểu mục</x:v>
      </x:c>
      <x:c r="F80" t="str">
        <x:v>CO_CHU</x:v>
      </x:c>
      <x:c r="G80" t="n">
        <x:v>14</x:v>
      </x:c>
      <x:c r="H80"/>
      <x:c r="I80" t="str">
        <x:v>UNVERIFIED_ATTRIBUTE</x:v>
      </x:c>
      <x:c r="J80" t="str">
        <x:v>PROFILE_PRESET_UNAPPROVED</x:v>
      </x:c>
      <x:c r="K80" t="str">
        <x:v>Chỉ khi văn bản có phân cấp này; giữ số, tên và thứ bậc thực tế; không tự đánh lại số</x:v>
      </x:c>
      <x:c r="L80" t="str">
        <x:v>Bảo toàn cấu trúc/nội dung; nếu khác loại văn bản, ưu tiên đúng mẫu của loại đó; không sửa khi thiếu căn cứ.</x:v>
      </x:c>
      <x:c r="M80" t="str">
        <x:v>pt</x:v>
      </x:c>
      <x:c r="N80" t="str">
        <x:v>HD05, Phần II, I.6 và IV; Phụ lục 2 mục 6</x:v>
      </x:c>
      <x:c r="O80" t="str">
        <x:v>https://tulieuvankien.dangcongsan.vn/upload/2006988/20260529/HD_05_VPTW_e1550.pdf</x:v>
      </x:c>
      <x:c r="P80" t="str">
        <x:v>PLUGIN:HOA-TIEU-MIEN-BAC-PARTY-HD05-HEADER-2026 | NEEDS_REVIEW</x:v>
      </x:c>
      <x:c r="Q80" t="str">
        <x:v>CHECK_ONLY</x:v>
      </x:c>
      <x:c r="R80" t="str">
        <x:v>Kiểm tra từng thuộc tính có mặt; so sánh nguồn/role; không suy đoán từ kết quả render chưa có</x:v>
      </x:c>
      <x:c r="S80" t="str">
        <x:v>STRUCTURE_READ_EXISTING_WORKBOOK</x:v>
      </x:c>
      <x:c r="T80"/>
      <x:c r="U80" t="str">
        <x:v>Paragraph/Run theo kiểu khối DM; preserve list numbering/table/drawing nếu có</x:v>
      </x:c>
    </x:row>
    <x:row r="81">
      <x:c r="A81" t="n">
        <x:v>80</x:v>
      </x:c>
      <x:c r="B81" t="str">
        <x:v>HD05.N.DM.TIEU_MUC.DAM</x:v>
      </x:c>
      <x:c r="C81" t="str">
        <x:v>HD05.N.DM.TIEU_MUC</x:v>
      </x:c>
      <x:c r="D81" t="str">
        <x:v>N</x:v>
      </x:c>
      <x:c r="E81" t="str">
        <x:v>Tiểu mục</x:v>
      </x:c>
      <x:c r="F81" t="str">
        <x:v>DAM</x:v>
      </x:c>
      <x:c r="G81" t="str">
        <x:v>CÓ</x:v>
      </x:c>
      <x:c r="H81"/>
      <x:c r="I81" t="str">
        <x:v>UNVERIFIED_ATTRIBUTE</x:v>
      </x:c>
      <x:c r="J81" t="str">
        <x:v>PROFILE_PRESET_UNAPPROVED</x:v>
      </x:c>
      <x:c r="K81" t="str">
        <x:v>Chỉ khi văn bản có phân cấp này; giữ số, tên và thứ bậc thực tế; không tự đánh lại số</x:v>
      </x:c>
      <x:c r="L81" t="str">
        <x:v>Bảo toàn cấu trúc/nội dung; nếu khác loại văn bản, ưu tiên đúng mẫu của loại đó; không sửa khi thiếu căn cứ.</x:v>
      </x:c>
      <x:c r="M81"/>
      <x:c r="N81" t="str">
        <x:v>HD05, Phần II, I.6 và IV; Phụ lục 2 mục 6</x:v>
      </x:c>
      <x:c r="O81" t="str">
        <x:v>https://tulieuvankien.dangcongsan.vn/upload/2006988/20260529/HD_05_VPTW_e1550.pdf</x:v>
      </x:c>
      <x:c r="P81" t="str">
        <x:v>PLUGIN:HOA-TIEU-MIEN-BAC-PARTY-HD05-HEADER-2026 | NEEDS_REVIEW</x:v>
      </x:c>
      <x:c r="Q81" t="str">
        <x:v>CHECK_ONLY</x:v>
      </x:c>
      <x:c r="R81" t="str">
        <x:v>Kiểm tra từng thuộc tính có mặt; so sánh nguồn/role; không suy đoán từ kết quả render chưa có</x:v>
      </x:c>
      <x:c r="S81" t="str">
        <x:v>STRUCTURE_READ_EXISTING_WORKBOOK</x:v>
      </x:c>
      <x:c r="T81"/>
      <x:c r="U81" t="str">
        <x:v>Paragraph/Run theo kiểu khối DM; preserve list numbering/table/drawing nếu có</x:v>
      </x:c>
    </x:row>
    <x:row r="82">
      <x:c r="A82" t="n">
        <x:v>81</x:v>
      </x:c>
      <x:c r="B82" t="str">
        <x:v>HD05.N.DM.TIEU_MUC.NGHIENG</x:v>
      </x:c>
      <x:c r="C82" t="str">
        <x:v>HD05.N.DM.TIEU_MUC</x:v>
      </x:c>
      <x:c r="D82" t="str">
        <x:v>N</x:v>
      </x:c>
      <x:c r="E82" t="str">
        <x:v>Tiểu mục</x:v>
      </x:c>
      <x:c r="F82" t="str">
        <x:v>NGHIENG</x:v>
      </x:c>
      <x:c r="G82"/>
      <x:c r="H82"/>
      <x:c r="I82" t="str">
        <x:v>UNVERIFIED_ATTRIBUTE</x:v>
      </x:c>
      <x:c r="J82" t="str">
        <x:v>BLOCKED_NO_ATTRIBUTE_VALUE</x:v>
      </x:c>
      <x:c r="K82" t="str">
        <x:v>Chỉ khi văn bản có phân cấp này; giữ số, tên và thứ bậc thực tế; không tự đánh lại số</x:v>
      </x:c>
      <x:c r="L82" t="str">
        <x:v>Bảo toàn cấu trúc/nội dung; nếu khác loại văn bản, ưu tiên đúng mẫu của loại đó; không sửa khi thiếu căn cứ.</x:v>
      </x:c>
      <x:c r="M82"/>
      <x:c r="N82" t="str">
        <x:v>HD05, Phần II, I.6 và IV; Phụ lục 2 mục 6</x:v>
      </x:c>
      <x:c r="O82" t="str">
        <x:v>https://tulieuvankien.dangcongsan.vn/upload/2006988/20260529/HD_05_VPTW_e1550.pdf</x:v>
      </x:c>
      <x:c r="P82" t="str">
        <x:v>PLUGIN:HOA-TIEU-MIEN-BAC-PARTY-HD05-HEADER-2026 | NEEDS_REVIEW</x:v>
      </x:c>
      <x:c r="Q82" t="str">
        <x:v>CHECK_ONLY</x:v>
      </x:c>
      <x:c r="R82" t="str">
        <x:v>Kiểm tra từng thuộc tính có mặt; so sánh nguồn/role; không suy đoán từ kết quả render chưa có</x:v>
      </x:c>
      <x:c r="S82" t="str">
        <x:v>RULE_INFERENCE_NOT_MEASURED</x:v>
      </x:c>
      <x:c r="T82" t="str">
        <x:v>Xác minh căn cứ theo loại văn bản / tài liệu phát hành hoặc phê duyệt</x:v>
      </x:c>
      <x:c r="U82" t="str">
        <x:v>Paragraph/Run theo kiểu khối DM; preserve list numbering/table/drawing nếu có</x:v>
      </x:c>
    </x:row>
    <x:row r="83">
      <x:c r="A83" t="n">
        <x:v>82</x:v>
      </x:c>
      <x:c r="B83" t="str">
        <x:v>HD05.N.DM.TIEU_MUC.KIEU_CHU</x:v>
      </x:c>
      <x:c r="C83" t="str">
        <x:v>HD05.N.DM.TIEU_MUC</x:v>
      </x:c>
      <x:c r="D83" t="str">
        <x:v>N</x:v>
      </x:c>
      <x:c r="E83" t="str">
        <x:v>Tiểu mục</x:v>
      </x:c>
      <x:c r="F83" t="str">
        <x:v>KIEU_CHU</x:v>
      </x:c>
      <x:c r="G83" t="str">
        <x:v>Nhãn thường; tiêu đề IN HOA</x:v>
      </x:c>
      <x:c r="H83"/>
      <x:c r="I83" t="str">
        <x:v>UNVERIFIED_ATTRIBUTE</x:v>
      </x:c>
      <x:c r="J83" t="str">
        <x:v>PROFILE_PRESET_UNAPPROVED</x:v>
      </x:c>
      <x:c r="K83" t="str">
        <x:v>Chỉ khi văn bản có phân cấp này; giữ số, tên và thứ bậc thực tế; không tự đánh lại số</x:v>
      </x:c>
      <x:c r="L83" t="str">
        <x:v>Bảo toàn cấu trúc/nội dung; nếu khác loại văn bản, ưu tiên đúng mẫu của loại đó; không sửa khi thiếu căn cứ.</x:v>
      </x:c>
      <x:c r="M83"/>
      <x:c r="N83" t="str">
        <x:v>HD05, Phần II, I.6 và IV; Phụ lục 2 mục 6</x:v>
      </x:c>
      <x:c r="O83" t="str">
        <x:v>https://tulieuvankien.dangcongsan.vn/upload/2006988/20260529/HD_05_VPTW_e1550.pdf</x:v>
      </x:c>
      <x:c r="P83" t="str">
        <x:v>PLUGIN:HOA-TIEU-MIEN-BAC-PARTY-HD05-HEADER-2026 | NEEDS_REVIEW</x:v>
      </x:c>
      <x:c r="Q83" t="str">
        <x:v>CHECK_ONLY</x:v>
      </x:c>
      <x:c r="R83" t="str">
        <x:v>Kiểm tra từng thuộc tính có mặt; so sánh nguồn/role; không suy đoán từ kết quả render chưa có</x:v>
      </x:c>
      <x:c r="S83" t="str">
        <x:v>STRUCTURE_READ_EXISTING_WORKBOOK</x:v>
      </x:c>
      <x:c r="T83"/>
      <x:c r="U83" t="str">
        <x:v>Paragraph/Run theo kiểu khối DM; preserve list numbering/table/drawing nếu có</x:v>
      </x:c>
    </x:row>
    <x:row r="84">
      <x:c r="A84" t="n">
        <x:v>83</x:v>
      </x:c>
      <x:c r="B84" t="str">
        <x:v>HD05.N.DM.TIEU_MUC.CAN_NGANG</x:v>
      </x:c>
      <x:c r="C84" t="str">
        <x:v>HD05.N.DM.TIEU_MUC</x:v>
      </x:c>
      <x:c r="D84" t="str">
        <x:v>N</x:v>
      </x:c>
      <x:c r="E84" t="str">
        <x:v>Tiểu mục</x:v>
      </x:c>
      <x:c r="F84" t="str">
        <x:v>CAN_NGANG</x:v>
      </x:c>
      <x:c r="G84" t="str">
        <x:v>CENTER</x:v>
      </x:c>
      <x:c r="H84"/>
      <x:c r="I84" t="str">
        <x:v>UNVERIFIED_ATTRIBUTE</x:v>
      </x:c>
      <x:c r="J84" t="str">
        <x:v>PROFILE_PRESET_UNAPPROVED</x:v>
      </x:c>
      <x:c r="K84" t="str">
        <x:v>Chỉ khi văn bản có phân cấp này; giữ số, tên và thứ bậc thực tế; không tự đánh lại số</x:v>
      </x:c>
      <x:c r="L84" t="str">
        <x:v>Bảo toàn cấu trúc/nội dung; nếu khác loại văn bản, ưu tiên đúng mẫu của loại đó; không sửa khi thiếu căn cứ.</x:v>
      </x:c>
      <x:c r="M84"/>
      <x:c r="N84" t="str">
        <x:v>HD05, Phần II, I.6 và IV; Phụ lục 2 mục 6</x:v>
      </x:c>
      <x:c r="O84" t="str">
        <x:v>https://tulieuvankien.dangcongsan.vn/upload/2006988/20260529/HD_05_VPTW_e1550.pdf</x:v>
      </x:c>
      <x:c r="P84" t="str">
        <x:v>PLUGIN:HOA-TIEU-MIEN-BAC-PARTY-HD05-HEADER-2026 | NEEDS_REVIEW</x:v>
      </x:c>
      <x:c r="Q84" t="str">
        <x:v>CHECK_ONLY</x:v>
      </x:c>
      <x:c r="R84" t="str">
        <x:v>Kiểm tra từng thuộc tính có mặt; so sánh nguồn/role; không suy đoán từ kết quả render chưa có</x:v>
      </x:c>
      <x:c r="S84" t="str">
        <x:v>STRUCTURE_READ_EXISTING_WORKBOOK</x:v>
      </x:c>
      <x:c r="T84"/>
      <x:c r="U84" t="str">
        <x:v>Paragraph/Run theo kiểu khối DM; preserve list numbering/table/drawing nếu có</x:v>
      </x:c>
    </x:row>
    <x:row r="85">
      <x:c r="A85" t="n">
        <x:v>84</x:v>
      </x:c>
      <x:c r="B85" t="str">
        <x:v>HD05.N.DM.TIEU_MUC.GIAN_DONG</x:v>
      </x:c>
      <x:c r="C85" t="str">
        <x:v>HD05.N.DM.TIEU_MUC</x:v>
      </x:c>
      <x:c r="D85" t="str">
        <x:v>N</x:v>
      </x:c>
      <x:c r="E85" t="str">
        <x:v>Tiểu mục</x:v>
      </x:c>
      <x:c r="F85" t="str">
        <x:v>GIAN_DONG</x:v>
      </x:c>
      <x:c r="G85" t="n">
        <x:v>19</x:v>
      </x:c>
      <x:c r="H85"/>
      <x:c r="I85" t="str">
        <x:v>UNVERIFIED_ATTRIBUTE</x:v>
      </x:c>
      <x:c r="J85" t="str">
        <x:v>PROFILE_PRESET_UNAPPROVED</x:v>
      </x:c>
      <x:c r="K85" t="str">
        <x:v>Chỉ khi văn bản có phân cấp này; giữ số, tên và thứ bậc thực tế; không tự đánh lại số</x:v>
      </x:c>
      <x:c r="L85" t="str">
        <x:v>Bảo toàn cấu trúc/nội dung; nếu khác loại văn bản, ưu tiên đúng mẫu của loại đó; không sửa khi thiếu căn cứ. HD05 phần thân: Exactly 18–22 pt theo HD05; nếu giá trị profile khác phải đánh cờ xung đột.</x:v>
      </x:c>
      <x:c r="M85" t="str">
        <x:v>pt</x:v>
      </x:c>
      <x:c r="N85" t="str">
        <x:v>HD05, Phần II, I.6 và IV; Phụ lục 2 mục 6</x:v>
      </x:c>
      <x:c r="O85" t="str">
        <x:v>https://tulieuvankien.dangcongsan.vn/upload/2006988/20260529/HD_05_VPTW_e1550.pdf</x:v>
      </x:c>
      <x:c r="P85" t="str">
        <x:v>PLUGIN:HOA-TIEU-MIEN-BAC-PARTY-HD05-HEADER-2026 | NEEDS_REVIEW</x:v>
      </x:c>
      <x:c r="Q85" t="str">
        <x:v>CHECK_ONLY</x:v>
      </x:c>
      <x:c r="R85" t="str">
        <x:v>Kiểm tra từng thuộc tính có mặt; so sánh nguồn/role; không suy đoán từ kết quả render chưa có</x:v>
      </x:c>
      <x:c r="S85" t="str">
        <x:v>STRUCTURE_READ_EXISTING_WORKBOOK</x:v>
      </x:c>
      <x:c r="T85"/>
      <x:c r="U85" t="str">
        <x:v>Paragraph/Run theo kiểu khối DM; preserve list numbering/table/drawing nếu có</x:v>
      </x:c>
    </x:row>
    <x:row r="86">
      <x:c r="A86" t="n">
        <x:v>85</x:v>
      </x:c>
      <x:c r="B86" t="str">
        <x:v>HD05.N.DM.TIEU_MUC.CACH_TRUOC</x:v>
      </x:c>
      <x:c r="C86" t="str">
        <x:v>HD05.N.DM.TIEU_MUC</x:v>
      </x:c>
      <x:c r="D86" t="str">
        <x:v>N</x:v>
      </x:c>
      <x:c r="E86" t="str">
        <x:v>Tiểu mục</x:v>
      </x:c>
      <x:c r="F86" t="str">
        <x:v>CACH_TRUOC</x:v>
      </x:c>
      <x:c r="G86" t="n">
        <x:v>6</x:v>
      </x:c>
      <x:c r="H86"/>
      <x:c r="I86" t="str">
        <x:v>UNVERIFIED_ATTRIBUTE</x:v>
      </x:c>
      <x:c r="J86" t="str">
        <x:v>PROFILE_PRESET_UNAPPROVED</x:v>
      </x:c>
      <x:c r="K86" t="str">
        <x:v>Chỉ khi văn bản có phân cấp này; giữ số, tên và thứ bậc thực tế; không tự đánh lại số</x:v>
      </x:c>
      <x:c r="L86" t="str">
        <x:v>Bảo toàn cấu trúc/nội dung; nếu khác loại văn bản, ưu tiên đúng mẫu của loại đó; không sửa khi thiếu căn cứ.</x:v>
      </x:c>
      <x:c r="M86" t="str">
        <x:v>pt</x:v>
      </x:c>
      <x:c r="N86" t="str">
        <x:v>HD05, Phần II, I.6 và IV; Phụ lục 2 mục 6</x:v>
      </x:c>
      <x:c r="O86" t="str">
        <x:v>https://tulieuvankien.dangcongsan.vn/upload/2006988/20260529/HD_05_VPTW_e1550.pdf</x:v>
      </x:c>
      <x:c r="P86" t="str">
        <x:v>PLUGIN:HOA-TIEU-MIEN-BAC-PARTY-HD05-HEADER-2026 | NEEDS_REVIEW</x:v>
      </x:c>
      <x:c r="Q86" t="str">
        <x:v>CHECK_ONLY</x:v>
      </x:c>
      <x:c r="R86" t="str">
        <x:v>Kiểm tra từng thuộc tính có mặt; so sánh nguồn/role; không suy đoán từ kết quả render chưa có</x:v>
      </x:c>
      <x:c r="S86" t="str">
        <x:v>STRUCTURE_READ_EXISTING_WORKBOOK</x:v>
      </x:c>
      <x:c r="T86"/>
      <x:c r="U86" t="str">
        <x:v>Paragraph/Run theo kiểu khối DM; preserve list numbering/table/drawing nếu có</x:v>
      </x:c>
    </x:row>
    <x:row r="87">
      <x:c r="A87" t="n">
        <x:v>86</x:v>
      </x:c>
      <x:c r="B87" t="str">
        <x:v>HD05.N.DM.TIEU_MUC.CACH_SAU</x:v>
      </x:c>
      <x:c r="C87" t="str">
        <x:v>HD05.N.DM.TIEU_MUC</x:v>
      </x:c>
      <x:c r="D87" t="str">
        <x:v>N</x:v>
      </x:c>
      <x:c r="E87" t="str">
        <x:v>Tiểu mục</x:v>
      </x:c>
      <x:c r="F87" t="str">
        <x:v>CACH_SAU</x:v>
      </x:c>
      <x:c r="G87" t="n">
        <x:v>6</x:v>
      </x:c>
      <x:c r="H87"/>
      <x:c r="I87" t="str">
        <x:v>UNVERIFIED_ATTRIBUTE</x:v>
      </x:c>
      <x:c r="J87" t="str">
        <x:v>PROFILE_PRESET_UNAPPROVED</x:v>
      </x:c>
      <x:c r="K87" t="str">
        <x:v>Chỉ khi văn bản có phân cấp này; giữ số, tên và thứ bậc thực tế; không tự đánh lại số</x:v>
      </x:c>
      <x:c r="L87" t="str">
        <x:v>Bảo toàn cấu trúc/nội dung; nếu khác loại văn bản, ưu tiên đúng mẫu của loại đó; không sửa khi thiếu căn cứ.</x:v>
      </x:c>
      <x:c r="M87" t="str">
        <x:v>pt</x:v>
      </x:c>
      <x:c r="N87" t="str">
        <x:v>HD05, Phần II, I.6 và IV; Phụ lục 2 mục 6</x:v>
      </x:c>
      <x:c r="O87" t="str">
        <x:v>https://tulieuvankien.dangcongsan.vn/upload/2006988/20260529/HD_05_VPTW_e1550.pdf</x:v>
      </x:c>
      <x:c r="P87" t="str">
        <x:v>PLUGIN:HOA-TIEU-MIEN-BAC-PARTY-HD05-HEADER-2026 | NEEDS_REVIEW</x:v>
      </x:c>
      <x:c r="Q87" t="str">
        <x:v>CHECK_ONLY</x:v>
      </x:c>
      <x:c r="R87" t="str">
        <x:v>Kiểm tra từng thuộc tính có mặt; so sánh nguồn/role; không suy đoán từ kết quả render chưa có</x:v>
      </x:c>
      <x:c r="S87" t="str">
        <x:v>STRUCTURE_READ_EXISTING_WORKBOOK</x:v>
      </x:c>
      <x:c r="T87"/>
      <x:c r="U87" t="str">
        <x:v>Paragraph/Run theo kiểu khối DM; preserve list numbering/table/drawing nếu có</x:v>
      </x:c>
    </x:row>
    <x:row r="88">
      <x:c r="A88" t="n">
        <x:v>87</x:v>
      </x:c>
      <x:c r="B88" t="str">
        <x:v>HD05.N.DM.TIEU_MUC.THUT_DONG_DAU</x:v>
      </x:c>
      <x:c r="C88" t="str">
        <x:v>HD05.N.DM.TIEU_MUC</x:v>
      </x:c>
      <x:c r="D88" t="str">
        <x:v>N</x:v>
      </x:c>
      <x:c r="E88" t="str">
        <x:v>Tiểu mục</x:v>
      </x:c>
      <x:c r="F88" t="str">
        <x:v>THUT_DONG_DAU</x:v>
      </x:c>
      <x:c r="G88" t="n">
        <x:v>0</x:v>
      </x:c>
      <x:c r="H88"/>
      <x:c r="I88" t="str">
        <x:v>UNVERIFIED_ATTRIBUTE</x:v>
      </x:c>
      <x:c r="J88" t="str">
        <x:v>PROFILE_PRESET_UNAPPROVED</x:v>
      </x:c>
      <x:c r="K88" t="str">
        <x:v>Chỉ khi văn bản có phân cấp này; giữ số, tên và thứ bậc thực tế; không tự đánh lại số</x:v>
      </x:c>
      <x:c r="L88" t="str">
        <x:v>Bảo toàn cấu trúc/nội dung; nếu khác loại văn bản, ưu tiên đúng mẫu của loại đó; không sửa khi thiếu căn cứ.</x:v>
      </x:c>
      <x:c r="M88" t="str">
        <x:v>mm</x:v>
      </x:c>
      <x:c r="N88" t="str">
        <x:v>HD05, Phần II, I.6 và IV; Phụ lục 2 mục 6</x:v>
      </x:c>
      <x:c r="O88" t="str">
        <x:v>https://tulieuvankien.dangcongsan.vn/upload/2006988/20260529/HD_05_VPTW_e1550.pdf</x:v>
      </x:c>
      <x:c r="P88" t="str">
        <x:v>PLUGIN:HOA-TIEU-MIEN-BAC-PARTY-HD05-HEADER-2026 | NEEDS_REVIEW</x:v>
      </x:c>
      <x:c r="Q88" t="str">
        <x:v>CHECK_ONLY</x:v>
      </x:c>
      <x:c r="R88" t="str">
        <x:v>Kiểm tra từng thuộc tính có mặt; so sánh nguồn/role; không suy đoán từ kết quả render chưa có</x:v>
      </x:c>
      <x:c r="S88" t="str">
        <x:v>STRUCTURE_READ_EXISTING_WORKBOOK</x:v>
      </x:c>
      <x:c r="T88"/>
      <x:c r="U88" t="str">
        <x:v>Paragraph/Run theo kiểu khối DM; preserve list numbering/table/drawing nếu có</x:v>
      </x:c>
    </x:row>
    <x:row r="89">
      <x:c r="A89" t="n">
        <x:v>88</x:v>
      </x:c>
      <x:c r="B89" t="str">
        <x:v>HD05.N.DM.TIEU_MUC.KEEP_NEXT</x:v>
      </x:c>
      <x:c r="C89" t="str">
        <x:v>HD05.N.DM.TIEU_MUC</x:v>
      </x:c>
      <x:c r="D89" t="str">
        <x:v>N</x:v>
      </x:c>
      <x:c r="E89" t="str">
        <x:v>Tiểu mục</x:v>
      </x:c>
      <x:c r="F89" t="str">
        <x:v>KEEP_NEXT</x:v>
      </x:c>
      <x:c r="G89" t="str">
        <x:v>CÓ</x:v>
      </x:c>
      <x:c r="H89"/>
      <x:c r="I89" t="str">
        <x:v>UNVERIFIED_ATTRIBUTE</x:v>
      </x:c>
      <x:c r="J89" t="str">
        <x:v>PROFILE_PRESET_UNAPPROVED</x:v>
      </x:c>
      <x:c r="K89" t="str">
        <x:v>Chỉ khi văn bản có phân cấp này; giữ số, tên và thứ bậc thực tế; không tự đánh lại số</x:v>
      </x:c>
      <x:c r="L89" t="str">
        <x:v>Bảo toàn cấu trúc/nội dung; nếu khác loại văn bản, ưu tiên đúng mẫu của loại đó; không sửa khi thiếu căn cứ.</x:v>
      </x:c>
      <x:c r="M89"/>
      <x:c r="N89" t="str">
        <x:v>HD05, Phần II, I.6 và IV; Phụ lục 2 mục 6</x:v>
      </x:c>
      <x:c r="O89" t="str">
        <x:v>https://tulieuvankien.dangcongsan.vn/upload/2006988/20260529/HD_05_VPTW_e1550.pdf</x:v>
      </x:c>
      <x:c r="P89" t="str">
        <x:v>PLUGIN:HOA-TIEU-MIEN-BAC-PARTY-HD05-HEADER-2026 | NEEDS_REVIEW</x:v>
      </x:c>
      <x:c r="Q89" t="str">
        <x:v>CHECK_ONLY</x:v>
      </x:c>
      <x:c r="R89" t="str">
        <x:v>Kiểm tra từng thuộc tính có mặt; so sánh nguồn/role; không suy đoán từ kết quả render chưa có</x:v>
      </x:c>
      <x:c r="S89" t="str">
        <x:v>STRUCTURE_READ_EXISTING_WORKBOOK</x:v>
      </x:c>
      <x:c r="T89"/>
      <x:c r="U89" t="str">
        <x:v>Paragraph/Run theo kiểu khối DM; preserve list numbering/table/drawing nếu có</x:v>
      </x:c>
    </x:row>
    <x:row r="90">
      <x:c r="A90" t="n">
        <x:v>89</x:v>
      </x:c>
      <x:c r="B90" t="str">
        <x:v>HD05.N.DM.TIEU_MUC.SO_THU_TU</x:v>
      </x:c>
      <x:c r="C90" t="str">
        <x:v>HD05.N.DM.TIEU_MUC</x:v>
      </x:c>
      <x:c r="D90" t="str">
        <x:v>N</x:v>
      </x:c>
      <x:c r="E90" t="str">
        <x:v>Tiểu mục</x:v>
      </x:c>
      <x:c r="F90" t="str">
        <x:v>SO_THU_TU</x:v>
      </x:c>
      <x:c r="G90"/>
      <x:c r="H90"/>
      <x:c r="I90" t="str">
        <x:v>UNVERIFIED_ATTRIBUTE</x:v>
      </x:c>
      <x:c r="J90" t="str">
        <x:v>BLOCKED_NO_ATTRIBUTE_VALUE</x:v>
      </x:c>
      <x:c r="K90" t="str">
        <x:v>Chỉ khi văn bản có phân cấp này; giữ số, tên và thứ bậc thực tế; không tự đánh lại số</x:v>
      </x:c>
      <x:c r="L90" t="str">
        <x:v>Bảo toàn cấu trúc/nội dung; nếu khác loại văn bản, ưu tiên đúng mẫu của loại đó; không sửa khi thiếu căn cứ.</x:v>
      </x:c>
      <x:c r="M90"/>
      <x:c r="N90" t="str">
        <x:v>HD05, Phần II, I.6 và IV; Phụ lục 2 mục 6</x:v>
      </x:c>
      <x:c r="O90" t="str">
        <x:v>https://tulieuvankien.dangcongsan.vn/upload/2006988/20260529/HD_05_VPTW_e1550.pdf</x:v>
      </x:c>
      <x:c r="P90" t="str">
        <x:v>PLUGIN:HOA-TIEU-MIEN-BAC-PARTY-HD05-HEADER-2026 | NEEDS_REVIEW</x:v>
      </x:c>
      <x:c r="Q90" t="str">
        <x:v>CHECK_ONLY</x:v>
      </x:c>
      <x:c r="R90" t="str">
        <x:v>Kiểm tra từng thuộc tính có mặt; so sánh nguồn/role; không suy đoán từ kết quả render chưa có</x:v>
      </x:c>
      <x:c r="S90" t="str">
        <x:v>RULE_INFERENCE_NOT_MEASURED</x:v>
      </x:c>
      <x:c r="T90" t="str">
        <x:v>Xác minh căn cứ theo loại văn bản / tài liệu phát hành hoặc phê duyệt</x:v>
      </x:c>
      <x:c r="U90" t="str">
        <x:v>Paragraph/Run theo kiểu khối DM; preserve list numbering/table/drawing nếu có</x:v>
      </x:c>
    </x:row>
    <x:row r="91">
      <x:c r="A91" t="n">
        <x:v>90</x:v>
      </x:c>
      <x:c r="B91" t="str">
        <x:v>HD05.N.DM.TIEU_MUC.CAU_TRUC</x:v>
      </x:c>
      <x:c r="C91" t="str">
        <x:v>HD05.N.DM.TIEU_MUC</x:v>
      </x:c>
      <x:c r="D91" t="str">
        <x:v>N</x:v>
      </x:c>
      <x:c r="E91" t="str">
        <x:v>Tiểu mục</x:v>
      </x:c>
      <x:c r="F91" t="str">
        <x:v>CAU_TRUC</x:v>
      </x:c>
      <x:c r="G91"/>
      <x:c r="H91"/>
      <x:c r="I91" t="str">
        <x:v>UNVERIFIED_ATTRIBUTE</x:v>
      </x:c>
      <x:c r="J91" t="str">
        <x:v>BLOCKED_NO_ATTRIBUTE_VALUE</x:v>
      </x:c>
      <x:c r="K91" t="str">
        <x:v>Chỉ khi văn bản có phân cấp này; giữ số, tên và thứ bậc thực tế; không tự đánh lại số</x:v>
      </x:c>
      <x:c r="L91" t="str">
        <x:v>Bảo toàn cấu trúc/nội dung; nếu khác loại văn bản, ưu tiên đúng mẫu của loại đó; không sửa khi thiếu căn cứ.</x:v>
      </x:c>
      <x:c r="M91"/>
      <x:c r="N91" t="str">
        <x:v>HD05, Phần II, I.6 và IV; Phụ lục 2 mục 6</x:v>
      </x:c>
      <x:c r="O91" t="str">
        <x:v>https://tulieuvankien.dangcongsan.vn/upload/2006988/20260529/HD_05_VPTW_e1550.pdf</x:v>
      </x:c>
      <x:c r="P91" t="str">
        <x:v>PLUGIN:HOA-TIEU-MIEN-BAC-PARTY-HD05-HEADER-2026 | NEEDS_REVIEW</x:v>
      </x:c>
      <x:c r="Q91" t="str">
        <x:v>CHECK_ONLY</x:v>
      </x:c>
      <x:c r="R91" t="str">
        <x:v>Kiểm tra từng thuộc tính có mặt; so sánh nguồn/role; không suy đoán từ kết quả render chưa có</x:v>
      </x:c>
      <x:c r="S91" t="str">
        <x:v>RULE_INFERENCE_NOT_MEASURED</x:v>
      </x:c>
      <x:c r="T91" t="str">
        <x:v>Xác minh căn cứ theo loại văn bản / tài liệu phát hành hoặc phê duyệt</x:v>
      </x:c>
      <x:c r="U91" t="str">
        <x:v>Paragraph/Run theo kiểu khối DM; preserve list numbering/table/drawing nếu có</x:v>
      </x:c>
    </x:row>
    <x:row r="92">
      <x:c r="A92" t="n">
        <x:v>91</x:v>
      </x:c>
      <x:c r="B92" t="str">
        <x:v>HD05.N.DM.TIEU_MUC.DAU_CAU</x:v>
      </x:c>
      <x:c r="C92" t="str">
        <x:v>HD05.N.DM.TIEU_MUC</x:v>
      </x:c>
      <x:c r="D92" t="str">
        <x:v>N</x:v>
      </x:c>
      <x:c r="E92" t="str">
        <x:v>Tiểu mục</x:v>
      </x:c>
      <x:c r="F92" t="str">
        <x:v>DAU_CAU</x:v>
      </x:c>
      <x:c r="G92"/>
      <x:c r="H92"/>
      <x:c r="I92" t="str">
        <x:v>UNVERIFIED_ATTRIBUTE</x:v>
      </x:c>
      <x:c r="J92" t="str">
        <x:v>BLOCKED_NO_ATTRIBUTE_VALUE</x:v>
      </x:c>
      <x:c r="K92" t="str">
        <x:v>Chỉ khi văn bản có phân cấp này; giữ số, tên và thứ bậc thực tế; không tự đánh lại số</x:v>
      </x:c>
      <x:c r="L92" t="str">
        <x:v>Bảo toàn cấu trúc/nội dung; nếu khác loại văn bản, ưu tiên đúng mẫu của loại đó; không sửa khi thiếu căn cứ.</x:v>
      </x:c>
      <x:c r="M92"/>
      <x:c r="N92" t="str">
        <x:v>HD05, Phần II, I.6 và IV; Phụ lục 2 mục 6</x:v>
      </x:c>
      <x:c r="O92" t="str">
        <x:v>https://tulieuvankien.dangcongsan.vn/upload/2006988/20260529/HD_05_VPTW_e1550.pdf</x:v>
      </x:c>
      <x:c r="P92" t="str">
        <x:v>PLUGIN:HOA-TIEU-MIEN-BAC-PARTY-HD05-HEADER-2026 | NEEDS_REVIEW</x:v>
      </x:c>
      <x:c r="Q92" t="str">
        <x:v>CHECK_ONLY</x:v>
      </x:c>
      <x:c r="R92" t="str">
        <x:v>Kiểm tra từng thuộc tính có mặt; so sánh nguồn/role; không suy đoán từ kết quả render chưa có</x:v>
      </x:c>
      <x:c r="S92" t="str">
        <x:v>RULE_INFERENCE_NOT_MEASURED</x:v>
      </x:c>
      <x:c r="T92" t="str">
        <x:v>Xác minh căn cứ theo loại văn bản / tài liệu phát hành hoặc phê duyệt</x:v>
      </x:c>
      <x:c r="U92" t="str">
        <x:v>Paragraph/Run theo kiểu khối DM; preserve list numbering/table/drawing nếu có</x:v>
      </x:c>
    </x:row>
    <x:row r="93">
      <x:c r="A93" t="n">
        <x:v>92</x:v>
      </x:c>
      <x:c r="B93" t="str">
        <x:v>HD05.N.DIEU.SO_DIEU.HIEN_DIEN</x:v>
      </x:c>
      <x:c r="C93" t="str">
        <x:v>HD05.N.DIEU.SO_DIEU</x:v>
      </x:c>
      <x:c r="D93" t="str">
        <x:v>N</x:v>
      </x:c>
      <x:c r="E93" t="str">
        <x:v>Số điều</x:v>
      </x:c>
      <x:c r="F93" t="str">
        <x:v>HIEN_DIEN</x:v>
      </x:c>
      <x:c r="G93" t="str">
        <x:v>Theo loại văn bản và sự hiện diện thực tế; không áp dụng đồng loạt</x:v>
      </x:c>
      <x:c r="H93"/>
      <x:c r="I93" t="str">
        <x:v>UNVERIFIED_ATTRIBUTE</x:v>
      </x:c>
      <x:c r="J93" t="str">
        <x:v>SOURCE_DESCRIPTION_NOT_APPROVAL</x:v>
      </x:c>
      <x:c r="K93" t="str">
        <x:v>Chỉ khi văn bản có phân cấp này; giữ số, tên và thứ bậc thực tế; không tự đánh lại số</x:v>
      </x:c>
      <x:c r="L93" t="str">
        <x:v>Bảo toàn cấu trúc/nội dung; nếu khác loại văn bản, ưu tiên đúng mẫu của loại đó; không sửa khi thiếu căn cứ.</x:v>
      </x:c>
      <x:c r="M93"/>
      <x:c r="N93" t="str">
        <x:v>HD05, Phần II, I.6 và IV; Phụ lục 2 mục 6</x:v>
      </x:c>
      <x:c r="O93" t="str">
        <x:v>https://tulieuvankien.dangcongsan.vn/upload/2006988/20260529/HD_05_VPTW_e1550.pdf</x:v>
      </x:c>
      <x:c r="P93" t="str">
        <x:v>PLUGIN:HOA-TIEU-MIEN-BAC-PARTY-HD05-HEADER-2026 | NEEDS_REVIEW</x:v>
      </x:c>
      <x:c r="Q93" t="str">
        <x:v>CHECK_ONLY</x:v>
      </x:c>
      <x:c r="R93" t="str">
        <x:v>Kiểm tra từng thuộc tính có mặt; so sánh nguồn/role; không suy đoán từ kết quả render chưa có</x:v>
      </x:c>
      <x:c r="S93" t="str">
        <x:v>STRUCTURE_READ_EXISTING_WORKBOOK</x:v>
      </x:c>
      <x:c r="T93"/>
      <x:c r="U93" t="str">
        <x:v>Paragraph/Run theo kiểu khối DIEU; preserve list numbering/table/drawing nếu có</x:v>
      </x:c>
    </x:row>
    <x:row r="94">
      <x:c r="A94" t="n">
        <x:v>93</x:v>
      </x:c>
      <x:c r="B94" t="str">
        <x:v>HD05.N.DIEU.SO_DIEU.NOI_DUNG</x:v>
      </x:c>
      <x:c r="C94" t="str">
        <x:v>HD05.N.DIEU.SO_DIEU</x:v>
      </x:c>
      <x:c r="D94" t="str">
        <x:v>N</x:v>
      </x:c>
      <x:c r="E94" t="str">
        <x:v>Số điều</x:v>
      </x:c>
      <x:c r="F94" t="str">
        <x:v>NOI_DUNG</x:v>
      </x:c>
      <x:c r="G94" t="str">
        <x:v>Số điều</x:v>
      </x:c>
      <x:c r="H94"/>
      <x:c r="I94" t="str">
        <x:v>UNVERIFIED_ATTRIBUTE</x:v>
      </x:c>
      <x:c r="J94" t="str">
        <x:v>SOURCE_DESCRIPTION_NOT_APPROVAL</x:v>
      </x:c>
      <x:c r="K94" t="str">
        <x:v>Chỉ khi văn bản có phân cấp này; giữ số, tên và thứ bậc thực tế; không tự đánh lại số</x:v>
      </x:c>
      <x:c r="L94" t="str">
        <x:v>Bảo toàn cấu trúc/nội dung; nếu khác loại văn bản, ưu tiên đúng mẫu của loại đó; không sửa khi thiếu căn cứ.</x:v>
      </x:c>
      <x:c r="M94"/>
      <x:c r="N94" t="str">
        <x:v>HD05, Phần II, I.6 và IV; Phụ lục 2 mục 6</x:v>
      </x:c>
      <x:c r="O94" t="str">
        <x:v>https://tulieuvankien.dangcongsan.vn/upload/2006988/20260529/HD_05_VPTW_e1550.pdf</x:v>
      </x:c>
      <x:c r="P94" t="str">
        <x:v>PLUGIN:HOA-TIEU-MIEN-BAC-PARTY-HD05-HEADER-2026 | NEEDS_REVIEW</x:v>
      </x:c>
      <x:c r="Q94" t="str">
        <x:v>CHECK_ONLY</x:v>
      </x:c>
      <x:c r="R94" t="str">
        <x:v>Kiểm tra từng thuộc tính có mặt; so sánh nguồn/role; không suy đoán từ kết quả render chưa có</x:v>
      </x:c>
      <x:c r="S94" t="str">
        <x:v>STRUCTURE_READ_EXISTING_WORKBOOK</x:v>
      </x:c>
      <x:c r="T94"/>
      <x:c r="U94" t="str">
        <x:v>Paragraph/Run theo kiểu khối DIEU; preserve list numbering/table/drawing nếu có</x:v>
      </x:c>
    </x:row>
    <x:row r="95">
      <x:c r="A95" t="n">
        <x:v>94</x:v>
      </x:c>
      <x:c r="B95" t="str">
        <x:v>HD05.N.DIEU.SO_DIEU.PHONG_CHU</x:v>
      </x:c>
      <x:c r="C95" t="str">
        <x:v>HD05.N.DIEU.SO_DIEU</x:v>
      </x:c>
      <x:c r="D95" t="str">
        <x:v>N</x:v>
      </x:c>
      <x:c r="E95" t="str">
        <x:v>Số điều</x:v>
      </x:c>
      <x:c r="F95" t="str">
        <x:v>PHONG_CHU</x:v>
      </x:c>
      <x:c r="G95" t="str">
        <x:v>Times New Roman</x:v>
      </x:c>
      <x:c r="H95"/>
      <x:c r="I95" t="str">
        <x:v>UNVERIFIED_ATTRIBUTE</x:v>
      </x:c>
      <x:c r="J95" t="str">
        <x:v>PROFILE_PRESET_UNAPPROVED</x:v>
      </x:c>
      <x:c r="K95" t="str">
        <x:v>Chỉ khi văn bản có phân cấp này; giữ số, tên và thứ bậc thực tế; không tự đánh lại số</x:v>
      </x:c>
      <x:c r="L95" t="str">
        <x:v>Bảo toàn cấu trúc/nội dung; nếu khác loại văn bản, ưu tiên đúng mẫu của loại đó; không sửa khi thiếu căn cứ.</x:v>
      </x:c>
      <x:c r="M95"/>
      <x:c r="N95" t="str">
        <x:v>HD05, Phần II, I.6 và IV; Phụ lục 2 mục 6</x:v>
      </x:c>
      <x:c r="O95" t="str">
        <x:v>https://tulieuvankien.dangcongsan.vn/upload/2006988/20260529/HD_05_VPTW_e1550.pdf</x:v>
      </x:c>
      <x:c r="P95" t="str">
        <x:v>PLUGIN:HOA-TIEU-MIEN-BAC-PARTY-HD05-HEADER-2026 | NEEDS_REVIEW</x:v>
      </x:c>
      <x:c r="Q95" t="str">
        <x:v>CHECK_ONLY</x:v>
      </x:c>
      <x:c r="R95" t="str">
        <x:v>Kiểm tra từng thuộc tính có mặt; so sánh nguồn/role; không suy đoán từ kết quả render chưa có</x:v>
      </x:c>
      <x:c r="S95" t="str">
        <x:v>STRUCTURE_READ_EXISTING_WORKBOOK</x:v>
      </x:c>
      <x:c r="T95"/>
      <x:c r="U95" t="str">
        <x:v>Paragraph/Run theo kiểu khối DIEU; preserve list numbering/table/drawing nếu có</x:v>
      </x:c>
    </x:row>
    <x:row r="96">
      <x:c r="A96" t="n">
        <x:v>95</x:v>
      </x:c>
      <x:c r="B96" t="str">
        <x:v>HD05.N.DIEU.SO_DIEU.CO_CHU</x:v>
      </x:c>
      <x:c r="C96" t="str">
        <x:v>HD05.N.DIEU.SO_DIEU</x:v>
      </x:c>
      <x:c r="D96" t="str">
        <x:v>N</x:v>
      </x:c>
      <x:c r="E96" t="str">
        <x:v>Số điều</x:v>
      </x:c>
      <x:c r="F96" t="str">
        <x:v>CO_CHU</x:v>
      </x:c>
      <x:c r="G96" t="n">
        <x:v>14</x:v>
      </x:c>
      <x:c r="H96"/>
      <x:c r="I96" t="str">
        <x:v>UNVERIFIED_ATTRIBUTE</x:v>
      </x:c>
      <x:c r="J96" t="str">
        <x:v>PROFILE_PRESET_UNAPPROVED</x:v>
      </x:c>
      <x:c r="K96" t="str">
        <x:v>Chỉ khi văn bản có phân cấp này; giữ số, tên và thứ bậc thực tế; không tự đánh lại số</x:v>
      </x:c>
      <x:c r="L96" t="str">
        <x:v>Bảo toàn cấu trúc/nội dung; nếu khác loại văn bản, ưu tiên đúng mẫu của loại đó; không sửa khi thiếu căn cứ.</x:v>
      </x:c>
      <x:c r="M96" t="str">
        <x:v>pt</x:v>
      </x:c>
      <x:c r="N96" t="str">
        <x:v>HD05, Phần II, I.6 và IV; Phụ lục 2 mục 6</x:v>
      </x:c>
      <x:c r="O96" t="str">
        <x:v>https://tulieuvankien.dangcongsan.vn/upload/2006988/20260529/HD_05_VPTW_e1550.pdf</x:v>
      </x:c>
      <x:c r="P96" t="str">
        <x:v>PLUGIN:HOA-TIEU-MIEN-BAC-PARTY-HD05-HEADER-2026 | NEEDS_REVIEW</x:v>
      </x:c>
      <x:c r="Q96" t="str">
        <x:v>CHECK_ONLY</x:v>
      </x:c>
      <x:c r="R96" t="str">
        <x:v>Kiểm tra từng thuộc tính có mặt; so sánh nguồn/role; không suy đoán từ kết quả render chưa có</x:v>
      </x:c>
      <x:c r="S96" t="str">
        <x:v>STRUCTURE_READ_EXISTING_WORKBOOK</x:v>
      </x:c>
      <x:c r="T96"/>
      <x:c r="U96" t="str">
        <x:v>Paragraph/Run theo kiểu khối DIEU; preserve list numbering/table/drawing nếu có</x:v>
      </x:c>
    </x:row>
    <x:row r="97">
      <x:c r="A97" t="n">
        <x:v>96</x:v>
      </x:c>
      <x:c r="B97" t="str">
        <x:v>HD05.N.DIEU.SO_DIEU.DAM</x:v>
      </x:c>
      <x:c r="C97" t="str">
        <x:v>HD05.N.DIEU.SO_DIEU</x:v>
      </x:c>
      <x:c r="D97" t="str">
        <x:v>N</x:v>
      </x:c>
      <x:c r="E97" t="str">
        <x:v>Số điều</x:v>
      </x:c>
      <x:c r="F97" t="str">
        <x:v>DAM</x:v>
      </x:c>
      <x:c r="G97" t="str">
        <x:v>CÓ</x:v>
      </x:c>
      <x:c r="H97"/>
      <x:c r="I97" t="str">
        <x:v>UNVERIFIED_ATTRIBUTE</x:v>
      </x:c>
      <x:c r="J97" t="str">
        <x:v>PROFILE_PRESET_UNAPPROVED</x:v>
      </x:c>
      <x:c r="K97" t="str">
        <x:v>Chỉ khi văn bản có phân cấp này; giữ số, tên và thứ bậc thực tế; không tự đánh lại số</x:v>
      </x:c>
      <x:c r="L97" t="str">
        <x:v>Bảo toàn cấu trúc/nội dung; nếu khác loại văn bản, ưu tiên đúng mẫu của loại đó; không sửa khi thiếu căn cứ.</x:v>
      </x:c>
      <x:c r="M97"/>
      <x:c r="N97" t="str">
        <x:v>HD05, Phần II, I.6 và IV; Phụ lục 2 mục 6</x:v>
      </x:c>
      <x:c r="O97" t="str">
        <x:v>https://tulieuvankien.dangcongsan.vn/upload/2006988/20260529/HD_05_VPTW_e1550.pdf</x:v>
      </x:c>
      <x:c r="P97" t="str">
        <x:v>PLUGIN:HOA-TIEU-MIEN-BAC-PARTY-HD05-HEADER-2026 | NEEDS_REVIEW</x:v>
      </x:c>
      <x:c r="Q97" t="str">
        <x:v>CHECK_ONLY</x:v>
      </x:c>
      <x:c r="R97" t="str">
        <x:v>Kiểm tra từng thuộc tính có mặt; so sánh nguồn/role; không suy đoán từ kết quả render chưa có</x:v>
      </x:c>
      <x:c r="S97" t="str">
        <x:v>STRUCTURE_READ_EXISTING_WORKBOOK</x:v>
      </x:c>
      <x:c r="T97"/>
      <x:c r="U97" t="str">
        <x:v>Paragraph/Run theo kiểu khối DIEU; preserve list numbering/table/drawing nếu có</x:v>
      </x:c>
    </x:row>
    <x:row r="98">
      <x:c r="A98" t="n">
        <x:v>97</x:v>
      </x:c>
      <x:c r="B98" t="str">
        <x:v>HD05.N.DIEU.SO_DIEU.NGHIENG</x:v>
      </x:c>
      <x:c r="C98" t="str">
        <x:v>HD05.N.DIEU.SO_DIEU</x:v>
      </x:c>
      <x:c r="D98" t="str">
        <x:v>N</x:v>
      </x:c>
      <x:c r="E98" t="str">
        <x:v>Số điều</x:v>
      </x:c>
      <x:c r="F98" t="str">
        <x:v>NGHIENG</x:v>
      </x:c>
      <x:c r="G98"/>
      <x:c r="H98"/>
      <x:c r="I98" t="str">
        <x:v>UNVERIFIED_ATTRIBUTE</x:v>
      </x:c>
      <x:c r="J98" t="str">
        <x:v>BLOCKED_NO_ATTRIBUTE_VALUE</x:v>
      </x:c>
      <x:c r="K98" t="str">
        <x:v>Chỉ khi văn bản có phân cấp này; giữ số, tên và thứ bậc thực tế; không tự đánh lại số</x:v>
      </x:c>
      <x:c r="L98" t="str">
        <x:v>Bảo toàn cấu trúc/nội dung; nếu khác loại văn bản, ưu tiên đúng mẫu của loại đó; không sửa khi thiếu căn cứ.</x:v>
      </x:c>
      <x:c r="M98"/>
      <x:c r="N98" t="str">
        <x:v>HD05, Phần II, I.6 và IV; Phụ lục 2 mục 6</x:v>
      </x:c>
      <x:c r="O98" t="str">
        <x:v>https://tulieuvankien.dangcongsan.vn/upload/2006988/20260529/HD_05_VPTW_e1550.pdf</x:v>
      </x:c>
      <x:c r="P98" t="str">
        <x:v>PLUGIN:HOA-TIEU-MIEN-BAC-PARTY-HD05-HEADER-2026 | NEEDS_REVIEW</x:v>
      </x:c>
      <x:c r="Q98" t="str">
        <x:v>CHECK_ONLY</x:v>
      </x:c>
      <x:c r="R98" t="str">
        <x:v>Kiểm tra từng thuộc tính có mặt; so sánh nguồn/role; không suy đoán từ kết quả render chưa có</x:v>
      </x:c>
      <x:c r="S98" t="str">
        <x:v>RULE_INFERENCE_NOT_MEASURED</x:v>
      </x:c>
      <x:c r="T98" t="str">
        <x:v>Xác minh căn cứ theo loại văn bản / tài liệu phát hành hoặc phê duyệt</x:v>
      </x:c>
      <x:c r="U98" t="str">
        <x:v>Paragraph/Run theo kiểu khối DIEU; preserve list numbering/table/drawing nếu có</x:v>
      </x:c>
    </x:row>
    <x:row r="99">
      <x:c r="A99" t="n">
        <x:v>98</x:v>
      </x:c>
      <x:c r="B99" t="str">
        <x:v>HD05.N.DIEU.SO_DIEU.KIEU_CHU</x:v>
      </x:c>
      <x:c r="C99" t="str">
        <x:v>HD05.N.DIEU.SO_DIEU</x:v>
      </x:c>
      <x:c r="D99" t="str">
        <x:v>N</x:v>
      </x:c>
      <x:c r="E99" t="str">
        <x:v>Số điều</x:v>
      </x:c>
      <x:c r="F99" t="str">
        <x:v>KIEU_CHU</x:v>
      </x:c>
      <x:c r="G99" t="str">
        <x:v>In thường</x:v>
      </x:c>
      <x:c r="H99"/>
      <x:c r="I99" t="str">
        <x:v>UNVERIFIED_ATTRIBUTE</x:v>
      </x:c>
      <x:c r="J99" t="str">
        <x:v>PROFILE_PRESET_UNAPPROVED</x:v>
      </x:c>
      <x:c r="K99" t="str">
        <x:v>Chỉ khi văn bản có phân cấp này; giữ số, tên và thứ bậc thực tế; không tự đánh lại số</x:v>
      </x:c>
      <x:c r="L99" t="str">
        <x:v>Bảo toàn cấu trúc/nội dung; nếu khác loại văn bản, ưu tiên đúng mẫu của loại đó; không sửa khi thiếu căn cứ.</x:v>
      </x:c>
      <x:c r="M99"/>
      <x:c r="N99" t="str">
        <x:v>HD05, Phần II, I.6 và IV; Phụ lục 2 mục 6</x:v>
      </x:c>
      <x:c r="O99" t="str">
        <x:v>https://tulieuvankien.dangcongsan.vn/upload/2006988/20260529/HD_05_VPTW_e1550.pdf</x:v>
      </x:c>
      <x:c r="P99" t="str">
        <x:v>PLUGIN:HOA-TIEU-MIEN-BAC-PARTY-HD05-HEADER-2026 | NEEDS_REVIEW</x:v>
      </x:c>
      <x:c r="Q99" t="str">
        <x:v>CHECK_ONLY</x:v>
      </x:c>
      <x:c r="R99" t="str">
        <x:v>Kiểm tra từng thuộc tính có mặt; so sánh nguồn/role; không suy đoán từ kết quả render chưa có</x:v>
      </x:c>
      <x:c r="S99" t="str">
        <x:v>STRUCTURE_READ_EXISTING_WORKBOOK</x:v>
      </x:c>
      <x:c r="T99"/>
      <x:c r="U99" t="str">
        <x:v>Paragraph/Run theo kiểu khối DIEU; preserve list numbering/table/drawing nếu có</x:v>
      </x:c>
    </x:row>
    <x:row r="100">
      <x:c r="A100" t="n">
        <x:v>99</x:v>
      </x:c>
      <x:c r="B100" t="str">
        <x:v>HD05.N.DIEU.SO_DIEU.CAN_NGANG</x:v>
      </x:c>
      <x:c r="C100" t="str">
        <x:v>HD05.N.DIEU.SO_DIEU</x:v>
      </x:c>
      <x:c r="D100" t="str">
        <x:v>N</x:v>
      </x:c>
      <x:c r="E100" t="str">
        <x:v>Số điều</x:v>
      </x:c>
      <x:c r="F100" t="str">
        <x:v>CAN_NGANG</x:v>
      </x:c>
      <x:c r="G100" t="str">
        <x:v>JUSTIFY</x:v>
      </x:c>
      <x:c r="H100"/>
      <x:c r="I100" t="str">
        <x:v>UNVERIFIED_ATTRIBUTE</x:v>
      </x:c>
      <x:c r="J100" t="str">
        <x:v>PROFILE_PRESET_UNAPPROVED</x:v>
      </x:c>
      <x:c r="K100" t="str">
        <x:v>Chỉ khi văn bản có phân cấp này; giữ số, tên và thứ bậc thực tế; không tự đánh lại số</x:v>
      </x:c>
      <x:c r="L100" t="str">
        <x:v>Bảo toàn cấu trúc/nội dung; nếu khác loại văn bản, ưu tiên đúng mẫu của loại đó; không sửa khi thiếu căn cứ.</x:v>
      </x:c>
      <x:c r="M100"/>
      <x:c r="N100" t="str">
        <x:v>HD05, Phần II, I.6 và IV; Phụ lục 2 mục 6</x:v>
      </x:c>
      <x:c r="O100" t="str">
        <x:v>https://tulieuvankien.dangcongsan.vn/upload/2006988/20260529/HD_05_VPTW_e1550.pdf</x:v>
      </x:c>
      <x:c r="P100" t="str">
        <x:v>PLUGIN:HOA-TIEU-MIEN-BAC-PARTY-HD05-HEADER-2026 | NEEDS_REVIEW</x:v>
      </x:c>
      <x:c r="Q100" t="str">
        <x:v>CHECK_ONLY</x:v>
      </x:c>
      <x:c r="R100" t="str">
        <x:v>Kiểm tra từng thuộc tính có mặt; so sánh nguồn/role; không suy đoán từ kết quả render chưa có</x:v>
      </x:c>
      <x:c r="S100" t="str">
        <x:v>STRUCTURE_READ_EXISTING_WORKBOOK</x:v>
      </x:c>
      <x:c r="T100"/>
      <x:c r="U100" t="str">
        <x:v>Paragraph/Run theo kiểu khối DIEU; preserve list numbering/table/drawing nếu có</x:v>
      </x:c>
    </x:row>
    <x:row r="101">
      <x:c r="A101" t="n">
        <x:v>100</x:v>
      </x:c>
      <x:c r="B101" t="str">
        <x:v>HD05.N.DIEU.SO_DIEU.GIAN_DONG</x:v>
      </x:c>
      <x:c r="C101" t="str">
        <x:v>HD05.N.DIEU.SO_DIEU</x:v>
      </x:c>
      <x:c r="D101" t="str">
        <x:v>N</x:v>
      </x:c>
      <x:c r="E101" t="str">
        <x:v>Số điều</x:v>
      </x:c>
      <x:c r="F101" t="str">
        <x:v>GIAN_DONG</x:v>
      </x:c>
      <x:c r="G101" t="n">
        <x:v>19</x:v>
      </x:c>
      <x:c r="H101"/>
      <x:c r="I101" t="str">
        <x:v>UNVERIFIED_ATTRIBUTE</x:v>
      </x:c>
      <x:c r="J101" t="str">
        <x:v>PROFILE_PRESET_UNAPPROVED</x:v>
      </x:c>
      <x:c r="K101" t="str">
        <x:v>Chỉ khi văn bản có phân cấp này; giữ số, tên và thứ bậc thực tế; không tự đánh lại số</x:v>
      </x:c>
      <x:c r="L101" t="str">
        <x:v>Bảo toàn cấu trúc/nội dung; nếu khác loại văn bản, ưu tiên đúng mẫu của loại đó; không sửa khi thiếu căn cứ. HD05 phần thân: Exactly 18–22 pt theo HD05; nếu giá trị profile khác phải đánh cờ xung đột.</x:v>
      </x:c>
      <x:c r="M101" t="str">
        <x:v>pt</x:v>
      </x:c>
      <x:c r="N101" t="str">
        <x:v>HD05, Phần II, I.6 và IV; Phụ lục 2 mục 6</x:v>
      </x:c>
      <x:c r="O101" t="str">
        <x:v>https://tulieuvankien.dangcongsan.vn/upload/2006988/20260529/HD_05_VPTW_e1550.pdf</x:v>
      </x:c>
      <x:c r="P101" t="str">
        <x:v>PLUGIN:HOA-TIEU-MIEN-BAC-PARTY-HD05-HEADER-2026 | NEEDS_REVIEW</x:v>
      </x:c>
      <x:c r="Q101" t="str">
        <x:v>CHECK_ONLY</x:v>
      </x:c>
      <x:c r="R101" t="str">
        <x:v>Kiểm tra từng thuộc tính có mặt; so sánh nguồn/role; không suy đoán từ kết quả render chưa có</x:v>
      </x:c>
      <x:c r="S101" t="str">
        <x:v>STRUCTURE_READ_EXISTING_WORKBOOK</x:v>
      </x:c>
      <x:c r="T101"/>
      <x:c r="U101" t="str">
        <x:v>Paragraph/Run theo kiểu khối DIEU; preserve list numbering/table/drawing nếu có</x:v>
      </x:c>
    </x:row>
    <x:row r="102">
      <x:c r="A102" t="n">
        <x:v>101</x:v>
      </x:c>
      <x:c r="B102" t="str">
        <x:v>HD05.N.DIEU.SO_DIEU.CACH_TRUOC</x:v>
      </x:c>
      <x:c r="C102" t="str">
        <x:v>HD05.N.DIEU.SO_DIEU</x:v>
      </x:c>
      <x:c r="D102" t="str">
        <x:v>N</x:v>
      </x:c>
      <x:c r="E102" t="str">
        <x:v>Số điều</x:v>
      </x:c>
      <x:c r="F102" t="str">
        <x:v>CACH_TRUOC</x:v>
      </x:c>
      <x:c r="G102" t="n">
        <x:v>0</x:v>
      </x:c>
      <x:c r="H102"/>
      <x:c r="I102" t="str">
        <x:v>UNVERIFIED_ATTRIBUTE</x:v>
      </x:c>
      <x:c r="J102" t="str">
        <x:v>PROFILE_PRESET_UNAPPROVED</x:v>
      </x:c>
      <x:c r="K102" t="str">
        <x:v>Chỉ khi văn bản có phân cấp này; giữ số, tên và thứ bậc thực tế; không tự đánh lại số</x:v>
      </x:c>
      <x:c r="L102" t="str">
        <x:v>Bảo toàn cấu trúc/nội dung; nếu khác loại văn bản, ưu tiên đúng mẫu của loại đó; không sửa khi thiếu căn cứ.</x:v>
      </x:c>
      <x:c r="M102" t="str">
        <x:v>pt</x:v>
      </x:c>
      <x:c r="N102" t="str">
        <x:v>HD05, Phần II, I.6 và IV; Phụ lục 2 mục 6</x:v>
      </x:c>
      <x:c r="O102" t="str">
        <x:v>https://tulieuvankien.dangcongsan.vn/upload/2006988/20260529/HD_05_VPTW_e1550.pdf</x:v>
      </x:c>
      <x:c r="P102" t="str">
        <x:v>PLUGIN:HOA-TIEU-MIEN-BAC-PARTY-HD05-HEADER-2026 | NEEDS_REVIEW</x:v>
      </x:c>
      <x:c r="Q102" t="str">
        <x:v>CHECK_ONLY</x:v>
      </x:c>
      <x:c r="R102" t="str">
        <x:v>Kiểm tra từng thuộc tính có mặt; so sánh nguồn/role; không suy đoán từ kết quả render chưa có</x:v>
      </x:c>
      <x:c r="S102" t="str">
        <x:v>STRUCTURE_READ_EXISTING_WORKBOOK</x:v>
      </x:c>
      <x:c r="T102"/>
      <x:c r="U102" t="str">
        <x:v>Paragraph/Run theo kiểu khối DIEU; preserve list numbering/table/drawing nếu có</x:v>
      </x:c>
    </x:row>
    <x:row r="103">
      <x:c r="A103" t="n">
        <x:v>102</x:v>
      </x:c>
      <x:c r="B103" t="str">
        <x:v>HD05.N.DIEU.SO_DIEU.CACH_SAU</x:v>
      </x:c>
      <x:c r="C103" t="str">
        <x:v>HD05.N.DIEU.SO_DIEU</x:v>
      </x:c>
      <x:c r="D103" t="str">
        <x:v>N</x:v>
      </x:c>
      <x:c r="E103" t="str">
        <x:v>Số điều</x:v>
      </x:c>
      <x:c r="F103" t="str">
        <x:v>CACH_SAU</x:v>
      </x:c>
      <x:c r="G103" t="n">
        <x:v>6</x:v>
      </x:c>
      <x:c r="H103"/>
      <x:c r="I103" t="str">
        <x:v>UNVERIFIED_ATTRIBUTE</x:v>
      </x:c>
      <x:c r="J103" t="str">
        <x:v>PROFILE_PRESET_UNAPPROVED</x:v>
      </x:c>
      <x:c r="K103" t="str">
        <x:v>Chỉ khi văn bản có phân cấp này; giữ số, tên và thứ bậc thực tế; không tự đánh lại số</x:v>
      </x:c>
      <x:c r="L103" t="str">
        <x:v>Bảo toàn cấu trúc/nội dung; nếu khác loại văn bản, ưu tiên đúng mẫu của loại đó; không sửa khi thiếu căn cứ.</x:v>
      </x:c>
      <x:c r="M103" t="str">
        <x:v>pt</x:v>
      </x:c>
      <x:c r="N103" t="str">
        <x:v>HD05, Phần II, I.6 và IV; Phụ lục 2 mục 6</x:v>
      </x:c>
      <x:c r="O103" t="str">
        <x:v>https://tulieuvankien.dangcongsan.vn/upload/2006988/20260529/HD_05_VPTW_e1550.pdf</x:v>
      </x:c>
      <x:c r="P103" t="str">
        <x:v>PLUGIN:HOA-TIEU-MIEN-BAC-PARTY-HD05-HEADER-2026 | NEEDS_REVIEW</x:v>
      </x:c>
      <x:c r="Q103" t="str">
        <x:v>CHECK_ONLY</x:v>
      </x:c>
      <x:c r="R103" t="str">
        <x:v>Kiểm tra từng thuộc tính có mặt; so sánh nguồn/role; không suy đoán từ kết quả render chưa có</x:v>
      </x:c>
      <x:c r="S103" t="str">
        <x:v>STRUCTURE_READ_EXISTING_WORKBOOK</x:v>
      </x:c>
      <x:c r="T103"/>
      <x:c r="U103" t="str">
        <x:v>Paragraph/Run theo kiểu khối DIEU; preserve list numbering/table/drawing nếu có</x:v>
      </x:c>
    </x:row>
    <x:row r="104">
      <x:c r="A104" t="n">
        <x:v>103</x:v>
      </x:c>
      <x:c r="B104" t="str">
        <x:v>HD05.N.DIEU.SO_DIEU.THUT_DONG_DAU</x:v>
      </x:c>
      <x:c r="C104" t="str">
        <x:v>HD05.N.DIEU.SO_DIEU</x:v>
      </x:c>
      <x:c r="D104" t="str">
        <x:v>N</x:v>
      </x:c>
      <x:c r="E104" t="str">
        <x:v>Số điều</x:v>
      </x:c>
      <x:c r="F104" t="str">
        <x:v>THUT_DONG_DAU</x:v>
      </x:c>
      <x:c r="G104" t="n">
        <x:v>10</x:v>
      </x:c>
      <x:c r="H104"/>
      <x:c r="I104" t="str">
        <x:v>UNVERIFIED_ATTRIBUTE</x:v>
      </x:c>
      <x:c r="J104" t="str">
        <x:v>PROFILE_PRESET_UNAPPROVED</x:v>
      </x:c>
      <x:c r="K104" t="str">
        <x:v>Chỉ khi văn bản có phân cấp này; giữ số, tên và thứ bậc thực tế; không tự đánh lại số</x:v>
      </x:c>
      <x:c r="L104" t="str">
        <x:v>Bảo toàn cấu trúc/nội dung; nếu khác loại văn bản, ưu tiên đúng mẫu của loại đó; không sửa khi thiếu căn cứ.</x:v>
      </x:c>
      <x:c r="M104" t="str">
        <x:v>mm</x:v>
      </x:c>
      <x:c r="N104" t="str">
        <x:v>HD05, Phần II, I.6 và IV; Phụ lục 2 mục 6</x:v>
      </x:c>
      <x:c r="O104" t="str">
        <x:v>https://tulieuvankien.dangcongsan.vn/upload/2006988/20260529/HD_05_VPTW_e1550.pdf</x:v>
      </x:c>
      <x:c r="P104" t="str">
        <x:v>PLUGIN:HOA-TIEU-MIEN-BAC-PARTY-HD05-HEADER-2026 | NEEDS_REVIEW</x:v>
      </x:c>
      <x:c r="Q104" t="str">
        <x:v>CHECK_ONLY</x:v>
      </x:c>
      <x:c r="R104" t="str">
        <x:v>Kiểm tra từng thuộc tính có mặt; so sánh nguồn/role; không suy đoán từ kết quả render chưa có</x:v>
      </x:c>
      <x:c r="S104" t="str">
        <x:v>STRUCTURE_READ_EXISTING_WORKBOOK</x:v>
      </x:c>
      <x:c r="T104"/>
      <x:c r="U104" t="str">
        <x:v>Paragraph/Run theo kiểu khối DIEU; preserve list numbering/table/drawing nếu có</x:v>
      </x:c>
    </x:row>
    <x:row r="105">
      <x:c r="A105" t="n">
        <x:v>104</x:v>
      </x:c>
      <x:c r="B105" t="str">
        <x:v>HD05.N.DIEU.SO_DIEU.KEEP_NEXT</x:v>
      </x:c>
      <x:c r="C105" t="str">
        <x:v>HD05.N.DIEU.SO_DIEU</x:v>
      </x:c>
      <x:c r="D105" t="str">
        <x:v>N</x:v>
      </x:c>
      <x:c r="E105" t="str">
        <x:v>Số điều</x:v>
      </x:c>
      <x:c r="F105" t="str">
        <x:v>KEEP_NEXT</x:v>
      </x:c>
      <x:c r="G105"/>
      <x:c r="H105"/>
      <x:c r="I105" t="str">
        <x:v>UNVERIFIED_ATTRIBUTE</x:v>
      </x:c>
      <x:c r="J105" t="str">
        <x:v>BLOCKED_NO_ATTRIBUTE_VALUE</x:v>
      </x:c>
      <x:c r="K105" t="str">
        <x:v>Chỉ khi văn bản có phân cấp này; giữ số, tên và thứ bậc thực tế; không tự đánh lại số</x:v>
      </x:c>
      <x:c r="L105" t="str">
        <x:v>Bảo toàn cấu trúc/nội dung; nếu khác loại văn bản, ưu tiên đúng mẫu của loại đó; không sửa khi thiếu căn cứ.</x:v>
      </x:c>
      <x:c r="M105"/>
      <x:c r="N105" t="str">
        <x:v>HD05, Phần II, I.6 và IV; Phụ lục 2 mục 6</x:v>
      </x:c>
      <x:c r="O105" t="str">
        <x:v>https://tulieuvankien.dangcongsan.vn/upload/2006988/20260529/HD_05_VPTW_e1550.pdf</x:v>
      </x:c>
      <x:c r="P105" t="str">
        <x:v>PLUGIN:HOA-TIEU-MIEN-BAC-PARTY-HD05-HEADER-2026 | NEEDS_REVIEW</x:v>
      </x:c>
      <x:c r="Q105" t="str">
        <x:v>CHECK_ONLY</x:v>
      </x:c>
      <x:c r="R105" t="str">
        <x:v>Kiểm tra từng thuộc tính có mặt; so sánh nguồn/role; không suy đoán từ kết quả render chưa có</x:v>
      </x:c>
      <x:c r="S105" t="str">
        <x:v>RULE_INFERENCE_NOT_MEASURED</x:v>
      </x:c>
      <x:c r="T105" t="str">
        <x:v>Xác minh căn cứ theo loại văn bản / tài liệu phát hành hoặc phê duyệt</x:v>
      </x:c>
      <x:c r="U105" t="str">
        <x:v>Paragraph/Run theo kiểu khối DIEU; preserve list numbering/table/drawing nếu có</x:v>
      </x:c>
    </x:row>
    <x:row r="106">
      <x:c r="A106" t="n">
        <x:v>105</x:v>
      </x:c>
      <x:c r="B106" t="str">
        <x:v>HD05.N.DIEU.SO_DIEU.SO_THU_TU</x:v>
      </x:c>
      <x:c r="C106" t="str">
        <x:v>HD05.N.DIEU.SO_DIEU</x:v>
      </x:c>
      <x:c r="D106" t="str">
        <x:v>N</x:v>
      </x:c>
      <x:c r="E106" t="str">
        <x:v>Số điều</x:v>
      </x:c>
      <x:c r="F106" t="str">
        <x:v>SO_THU_TU</x:v>
      </x:c>
      <x:c r="G106"/>
      <x:c r="H106"/>
      <x:c r="I106" t="str">
        <x:v>UNVERIFIED_ATTRIBUTE</x:v>
      </x:c>
      <x:c r="J106" t="str">
        <x:v>BLOCKED_NO_ATTRIBUTE_VALUE</x:v>
      </x:c>
      <x:c r="K106" t="str">
        <x:v>Chỉ khi văn bản có phân cấp này; giữ số, tên và thứ bậc thực tế; không tự đánh lại số</x:v>
      </x:c>
      <x:c r="L106" t="str">
        <x:v>Bảo toàn cấu trúc/nội dung; nếu khác loại văn bản, ưu tiên đúng mẫu của loại đó; không sửa khi thiếu căn cứ.</x:v>
      </x:c>
      <x:c r="M106"/>
      <x:c r="N106" t="str">
        <x:v>HD05, Phần II, I.6 và IV; Phụ lục 2 mục 6</x:v>
      </x:c>
      <x:c r="O106" t="str">
        <x:v>https://tulieuvankien.dangcongsan.vn/upload/2006988/20260529/HD_05_VPTW_e1550.pdf</x:v>
      </x:c>
      <x:c r="P106" t="str">
        <x:v>PLUGIN:HOA-TIEU-MIEN-BAC-PARTY-HD05-HEADER-2026 | NEEDS_REVIEW</x:v>
      </x:c>
      <x:c r="Q106" t="str">
        <x:v>CHECK_ONLY</x:v>
      </x:c>
      <x:c r="R106" t="str">
        <x:v>Kiểm tra từng thuộc tính có mặt; so sánh nguồn/role; không suy đoán từ kết quả render chưa có</x:v>
      </x:c>
      <x:c r="S106" t="str">
        <x:v>RULE_INFERENCE_NOT_MEASURED</x:v>
      </x:c>
      <x:c r="T106" t="str">
        <x:v>Xác minh căn cứ theo loại văn bản / tài liệu phát hành hoặc phê duyệt</x:v>
      </x:c>
      <x:c r="U106" t="str">
        <x:v>Paragraph/Run theo kiểu khối DIEU; preserve list numbering/table/drawing nếu có</x:v>
      </x:c>
    </x:row>
    <x:row r="107">
      <x:c r="A107" t="n">
        <x:v>106</x:v>
      </x:c>
      <x:c r="B107" t="str">
        <x:v>HD05.N.DIEU.SO_DIEU.CAU_TRUC</x:v>
      </x:c>
      <x:c r="C107" t="str">
        <x:v>HD05.N.DIEU.SO_DIEU</x:v>
      </x:c>
      <x:c r="D107" t="str">
        <x:v>N</x:v>
      </x:c>
      <x:c r="E107" t="str">
        <x:v>Số điều</x:v>
      </x:c>
      <x:c r="F107" t="str">
        <x:v>CAU_TRUC</x:v>
      </x:c>
      <x:c r="G107"/>
      <x:c r="H107"/>
      <x:c r="I107" t="str">
        <x:v>UNVERIFIED_ATTRIBUTE</x:v>
      </x:c>
      <x:c r="J107" t="str">
        <x:v>BLOCKED_NO_ATTRIBUTE_VALUE</x:v>
      </x:c>
      <x:c r="K107" t="str">
        <x:v>Chỉ khi văn bản có phân cấp này; giữ số, tên và thứ bậc thực tế; không tự đánh lại số</x:v>
      </x:c>
      <x:c r="L107" t="str">
        <x:v>Bảo toàn cấu trúc/nội dung; nếu khác loại văn bản, ưu tiên đúng mẫu của loại đó; không sửa khi thiếu căn cứ.</x:v>
      </x:c>
      <x:c r="M107"/>
      <x:c r="N107" t="str">
        <x:v>HD05, Phần II, I.6 và IV; Phụ lục 2 mục 6</x:v>
      </x:c>
      <x:c r="O107" t="str">
        <x:v>https://tulieuvankien.dangcongsan.vn/upload/2006988/20260529/HD_05_VPTW_e1550.pdf</x:v>
      </x:c>
      <x:c r="P107" t="str">
        <x:v>PLUGIN:HOA-TIEU-MIEN-BAC-PARTY-HD05-HEADER-2026 | NEEDS_REVIEW</x:v>
      </x:c>
      <x:c r="Q107" t="str">
        <x:v>CHECK_ONLY</x:v>
      </x:c>
      <x:c r="R107" t="str">
        <x:v>Kiểm tra từng thuộc tính có mặt; so sánh nguồn/role; không suy đoán từ kết quả render chưa có</x:v>
      </x:c>
      <x:c r="S107" t="str">
        <x:v>RULE_INFERENCE_NOT_MEASURED</x:v>
      </x:c>
      <x:c r="T107" t="str">
        <x:v>Xác minh căn cứ theo loại văn bản / tài liệu phát hành hoặc phê duyệt</x:v>
      </x:c>
      <x:c r="U107" t="str">
        <x:v>Paragraph/Run theo kiểu khối DIEU; preserve list numbering/table/drawing nếu có</x:v>
      </x:c>
    </x:row>
    <x:row r="108">
      <x:c r="A108" t="n">
        <x:v>107</x:v>
      </x:c>
      <x:c r="B108" t="str">
        <x:v>HD05.N.DIEU.SO_DIEU.DAU_CAU</x:v>
      </x:c>
      <x:c r="C108" t="str">
        <x:v>HD05.N.DIEU.SO_DIEU</x:v>
      </x:c>
      <x:c r="D108" t="str">
        <x:v>N</x:v>
      </x:c>
      <x:c r="E108" t="str">
        <x:v>Số điều</x:v>
      </x:c>
      <x:c r="F108" t="str">
        <x:v>DAU_CAU</x:v>
      </x:c>
      <x:c r="G108"/>
      <x:c r="H108"/>
      <x:c r="I108" t="str">
        <x:v>UNVERIFIED_ATTRIBUTE</x:v>
      </x:c>
      <x:c r="J108" t="str">
        <x:v>BLOCKED_NO_ATTRIBUTE_VALUE</x:v>
      </x:c>
      <x:c r="K108" t="str">
        <x:v>Chỉ khi văn bản có phân cấp này; giữ số, tên và thứ bậc thực tế; không tự đánh lại số</x:v>
      </x:c>
      <x:c r="L108" t="str">
        <x:v>Bảo toàn cấu trúc/nội dung; nếu khác loại văn bản, ưu tiên đúng mẫu của loại đó; không sửa khi thiếu căn cứ.</x:v>
      </x:c>
      <x:c r="M108"/>
      <x:c r="N108" t="str">
        <x:v>HD05, Phần II, I.6 và IV; Phụ lục 2 mục 6</x:v>
      </x:c>
      <x:c r="O108" t="str">
        <x:v>https://tulieuvankien.dangcongsan.vn/upload/2006988/20260529/HD_05_VPTW_e1550.pdf</x:v>
      </x:c>
      <x:c r="P108" t="str">
        <x:v>PLUGIN:HOA-TIEU-MIEN-BAC-PARTY-HD05-HEADER-2026 | NEEDS_REVIEW</x:v>
      </x:c>
      <x:c r="Q108" t="str">
        <x:v>CHECK_ONLY</x:v>
      </x:c>
      <x:c r="R108" t="str">
        <x:v>Kiểm tra từng thuộc tính có mặt; so sánh nguồn/role; không suy đoán từ kết quả render chưa có</x:v>
      </x:c>
      <x:c r="S108" t="str">
        <x:v>RULE_INFERENCE_NOT_MEASURED</x:v>
      </x:c>
      <x:c r="T108" t="str">
        <x:v>Xác minh căn cứ theo loại văn bản / tài liệu phát hành hoặc phê duyệt</x:v>
      </x:c>
      <x:c r="U108" t="str">
        <x:v>Paragraph/Run theo kiểu khối DIEU; preserve list numbering/table/drawing nếu có</x:v>
      </x:c>
    </x:row>
    <x:row r="109">
      <x:c r="A109" t="n">
        <x:v>108</x:v>
      </x:c>
      <x:c r="B109" t="str">
        <x:v>HD05.N.DIEU.TEN_DIEU.HIEN_DIEN</x:v>
      </x:c>
      <x:c r="C109" t="str">
        <x:v>HD05.N.DIEU.TEN_DIEU</x:v>
      </x:c>
      <x:c r="D109" t="str">
        <x:v>N</x:v>
      </x:c>
      <x:c r="E109" t="str">
        <x:v>Tên điều</x:v>
      </x:c>
      <x:c r="F109" t="str">
        <x:v>HIEN_DIEN</x:v>
      </x:c>
      <x:c r="G109" t="str">
        <x:v>Theo loại văn bản và sự hiện diện thực tế; không áp dụng đồng loạt</x:v>
      </x:c>
      <x:c r="H109"/>
      <x:c r="I109" t="str">
        <x:v>UNVERIFIED_ATTRIBUTE</x:v>
      </x:c>
      <x:c r="J109" t="str">
        <x:v>SOURCE_DESCRIPTION_NOT_APPROVAL</x:v>
      </x:c>
      <x:c r="K109" t="str">
        <x:v>Chỉ khi văn bản có phân cấp này; giữ số, tên và thứ bậc thực tế; không tự đánh lại số</x:v>
      </x:c>
      <x:c r="L109" t="str">
        <x:v>Bảo toàn cấu trúc/nội dung; nếu khác loại văn bản, ưu tiên đúng mẫu của loại đó; không sửa khi thiếu căn cứ.</x:v>
      </x:c>
      <x:c r="M109"/>
      <x:c r="N109" t="str">
        <x:v>HD05, Phần II, I.6 và IV; Phụ lục 2 mục 6</x:v>
      </x:c>
      <x:c r="O109" t="str">
        <x:v>https://tulieuvankien.dangcongsan.vn/upload/2006988/20260529/HD_05_VPTW_e1550.pdf</x:v>
      </x:c>
      <x:c r="P109" t="str">
        <x:v>PLUGIN:HOA-TIEU-MIEN-BAC-PARTY-HD05-HEADER-2026 | NEEDS_REVIEW</x:v>
      </x:c>
      <x:c r="Q109" t="str">
        <x:v>CHECK_ONLY</x:v>
      </x:c>
      <x:c r="R109" t="str">
        <x:v>Kiểm tra từng thuộc tính có mặt; so sánh nguồn/role; không suy đoán từ kết quả render chưa có</x:v>
      </x:c>
      <x:c r="S109" t="str">
        <x:v>STRUCTURE_READ_EXISTING_WORKBOOK</x:v>
      </x:c>
      <x:c r="T109"/>
      <x:c r="U109" t="str">
        <x:v>Paragraph/Run theo kiểu khối DIEU; preserve list numbering/table/drawing nếu có</x:v>
      </x:c>
    </x:row>
    <x:row r="110">
      <x:c r="A110" t="n">
        <x:v>109</x:v>
      </x:c>
      <x:c r="B110" t="str">
        <x:v>HD05.N.DIEU.TEN_DIEU.NOI_DUNG</x:v>
      </x:c>
      <x:c r="C110" t="str">
        <x:v>HD05.N.DIEU.TEN_DIEU</x:v>
      </x:c>
      <x:c r="D110" t="str">
        <x:v>N</x:v>
      </x:c>
      <x:c r="E110" t="str">
        <x:v>Tên điều</x:v>
      </x:c>
      <x:c r="F110" t="str">
        <x:v>NOI_DUNG</x:v>
      </x:c>
      <x:c r="G110" t="str">
        <x:v>Tên điều</x:v>
      </x:c>
      <x:c r="H110"/>
      <x:c r="I110" t="str">
        <x:v>UNVERIFIED_ATTRIBUTE</x:v>
      </x:c>
      <x:c r="J110" t="str">
        <x:v>SOURCE_DESCRIPTION_NOT_APPROVAL</x:v>
      </x:c>
      <x:c r="K110" t="str">
        <x:v>Chỉ khi văn bản có phân cấp này; giữ số, tên và thứ bậc thực tế; không tự đánh lại số</x:v>
      </x:c>
      <x:c r="L110" t="str">
        <x:v>Bảo toàn cấu trúc/nội dung; nếu khác loại văn bản, ưu tiên đúng mẫu của loại đó; không sửa khi thiếu căn cứ.</x:v>
      </x:c>
      <x:c r="M110"/>
      <x:c r="N110" t="str">
        <x:v>HD05, Phần II, I.6 và IV; Phụ lục 2 mục 6</x:v>
      </x:c>
      <x:c r="O110" t="str">
        <x:v>https://tulieuvankien.dangcongsan.vn/upload/2006988/20260529/HD_05_VPTW_e1550.pdf</x:v>
      </x:c>
      <x:c r="P110" t="str">
        <x:v>PLUGIN:HOA-TIEU-MIEN-BAC-PARTY-HD05-HEADER-2026 | NEEDS_REVIEW</x:v>
      </x:c>
      <x:c r="Q110" t="str">
        <x:v>CHECK_ONLY</x:v>
      </x:c>
      <x:c r="R110" t="str">
        <x:v>Kiểm tra từng thuộc tính có mặt; so sánh nguồn/role; không suy đoán từ kết quả render chưa có</x:v>
      </x:c>
      <x:c r="S110" t="str">
        <x:v>STRUCTURE_READ_EXISTING_WORKBOOK</x:v>
      </x:c>
      <x:c r="T110"/>
      <x:c r="U110" t="str">
        <x:v>Paragraph/Run theo kiểu khối DIEU; preserve list numbering/table/drawing nếu có</x:v>
      </x:c>
    </x:row>
    <x:row r="111">
      <x:c r="A111" t="n">
        <x:v>110</x:v>
      </x:c>
      <x:c r="B111" t="str">
        <x:v>HD05.N.DIEU.TEN_DIEU.PHONG_CHU</x:v>
      </x:c>
      <x:c r="C111" t="str">
        <x:v>HD05.N.DIEU.TEN_DIEU</x:v>
      </x:c>
      <x:c r="D111" t="str">
        <x:v>N</x:v>
      </x:c>
      <x:c r="E111" t="str">
        <x:v>Tên điều</x:v>
      </x:c>
      <x:c r="F111" t="str">
        <x:v>PHONG_CHU</x:v>
      </x:c>
      <x:c r="G111" t="str">
        <x:v>Times New Roman</x:v>
      </x:c>
      <x:c r="H111"/>
      <x:c r="I111" t="str">
        <x:v>UNVERIFIED_ATTRIBUTE</x:v>
      </x:c>
      <x:c r="J111" t="str">
        <x:v>PROFILE_PRESET_UNAPPROVED</x:v>
      </x:c>
      <x:c r="K111" t="str">
        <x:v>Chỉ khi văn bản có phân cấp này; giữ số, tên và thứ bậc thực tế; không tự đánh lại số</x:v>
      </x:c>
      <x:c r="L111" t="str">
        <x:v>Bảo toàn cấu trúc/nội dung; nếu khác loại văn bản, ưu tiên đúng mẫu của loại đó; không sửa khi thiếu căn cứ.</x:v>
      </x:c>
      <x:c r="M111"/>
      <x:c r="N111" t="str">
        <x:v>HD05, Phần II, I.6 và IV; Phụ lục 2 mục 6</x:v>
      </x:c>
      <x:c r="O111" t="str">
        <x:v>https://tulieuvankien.dangcongsan.vn/upload/2006988/20260529/HD_05_VPTW_e1550.pdf</x:v>
      </x:c>
      <x:c r="P111" t="str">
        <x:v>PLUGIN:HOA-TIEU-MIEN-BAC-PARTY-HD05-HEADER-2026 | NEEDS_REVIEW</x:v>
      </x:c>
      <x:c r="Q111" t="str">
        <x:v>CHECK_ONLY</x:v>
      </x:c>
      <x:c r="R111" t="str">
        <x:v>Kiểm tra từng thuộc tính có mặt; so sánh nguồn/role; không suy đoán từ kết quả render chưa có</x:v>
      </x:c>
      <x:c r="S111" t="str">
        <x:v>STRUCTURE_READ_EXISTING_WORKBOOK</x:v>
      </x:c>
      <x:c r="T111"/>
      <x:c r="U111" t="str">
        <x:v>Paragraph/Run theo kiểu khối DIEU; preserve list numbering/table/drawing nếu có</x:v>
      </x:c>
    </x:row>
    <x:row r="112">
      <x:c r="A112" t="n">
        <x:v>111</x:v>
      </x:c>
      <x:c r="B112" t="str">
        <x:v>HD05.N.DIEU.TEN_DIEU.CO_CHU</x:v>
      </x:c>
      <x:c r="C112" t="str">
        <x:v>HD05.N.DIEU.TEN_DIEU</x:v>
      </x:c>
      <x:c r="D112" t="str">
        <x:v>N</x:v>
      </x:c>
      <x:c r="E112" t="str">
        <x:v>Tên điều</x:v>
      </x:c>
      <x:c r="F112" t="str">
        <x:v>CO_CHU</x:v>
      </x:c>
      <x:c r="G112" t="n">
        <x:v>14</x:v>
      </x:c>
      <x:c r="H112"/>
      <x:c r="I112" t="str">
        <x:v>UNVERIFIED_ATTRIBUTE</x:v>
      </x:c>
      <x:c r="J112" t="str">
        <x:v>PROFILE_PRESET_UNAPPROVED</x:v>
      </x:c>
      <x:c r="K112" t="str">
        <x:v>Chỉ khi văn bản có phân cấp này; giữ số, tên và thứ bậc thực tế; không tự đánh lại số</x:v>
      </x:c>
      <x:c r="L112" t="str">
        <x:v>Bảo toàn cấu trúc/nội dung; nếu khác loại văn bản, ưu tiên đúng mẫu của loại đó; không sửa khi thiếu căn cứ.</x:v>
      </x:c>
      <x:c r="M112" t="str">
        <x:v>pt</x:v>
      </x:c>
      <x:c r="N112" t="str">
        <x:v>HD05, Phần II, I.6 và IV; Phụ lục 2 mục 6</x:v>
      </x:c>
      <x:c r="O112" t="str">
        <x:v>https://tulieuvankien.dangcongsan.vn/upload/2006988/20260529/HD_05_VPTW_e1550.pdf</x:v>
      </x:c>
      <x:c r="P112" t="str">
        <x:v>PLUGIN:HOA-TIEU-MIEN-BAC-PARTY-HD05-HEADER-2026 | NEEDS_REVIEW</x:v>
      </x:c>
      <x:c r="Q112" t="str">
        <x:v>CHECK_ONLY</x:v>
      </x:c>
      <x:c r="R112" t="str">
        <x:v>Kiểm tra từng thuộc tính có mặt; so sánh nguồn/role; không suy đoán từ kết quả render chưa có</x:v>
      </x:c>
      <x:c r="S112" t="str">
        <x:v>STRUCTURE_READ_EXISTING_WORKBOOK</x:v>
      </x:c>
      <x:c r="T112"/>
      <x:c r="U112" t="str">
        <x:v>Paragraph/Run theo kiểu khối DIEU; preserve list numbering/table/drawing nếu có</x:v>
      </x:c>
    </x:row>
    <x:row r="113">
      <x:c r="A113" t="n">
        <x:v>112</x:v>
      </x:c>
      <x:c r="B113" t="str">
        <x:v>HD05.N.DIEU.TEN_DIEU.DAM</x:v>
      </x:c>
      <x:c r="C113" t="str">
        <x:v>HD05.N.DIEU.TEN_DIEU</x:v>
      </x:c>
      <x:c r="D113" t="str">
        <x:v>N</x:v>
      </x:c>
      <x:c r="E113" t="str">
        <x:v>Tên điều</x:v>
      </x:c>
      <x:c r="F113" t="str">
        <x:v>DAM</x:v>
      </x:c>
      <x:c r="G113" t="str">
        <x:v>CÓ</x:v>
      </x:c>
      <x:c r="H113"/>
      <x:c r="I113" t="str">
        <x:v>UNVERIFIED_ATTRIBUTE</x:v>
      </x:c>
      <x:c r="J113" t="str">
        <x:v>PROFILE_PRESET_UNAPPROVED</x:v>
      </x:c>
      <x:c r="K113" t="str">
        <x:v>Chỉ khi văn bản có phân cấp này; giữ số, tên và thứ bậc thực tế; không tự đánh lại số</x:v>
      </x:c>
      <x:c r="L113" t="str">
        <x:v>Bảo toàn cấu trúc/nội dung; nếu khác loại văn bản, ưu tiên đúng mẫu của loại đó; không sửa khi thiếu căn cứ.</x:v>
      </x:c>
      <x:c r="M113"/>
      <x:c r="N113" t="str">
        <x:v>HD05, Phần II, I.6 và IV; Phụ lục 2 mục 6</x:v>
      </x:c>
      <x:c r="O113" t="str">
        <x:v>https://tulieuvankien.dangcongsan.vn/upload/2006988/20260529/HD_05_VPTW_e1550.pdf</x:v>
      </x:c>
      <x:c r="P113" t="str">
        <x:v>PLUGIN:HOA-TIEU-MIEN-BAC-PARTY-HD05-HEADER-2026 | NEEDS_REVIEW</x:v>
      </x:c>
      <x:c r="Q113" t="str">
        <x:v>CHECK_ONLY</x:v>
      </x:c>
      <x:c r="R113" t="str">
        <x:v>Kiểm tra từng thuộc tính có mặt; so sánh nguồn/role; không suy đoán từ kết quả render chưa có</x:v>
      </x:c>
      <x:c r="S113" t="str">
        <x:v>STRUCTURE_READ_EXISTING_WORKBOOK</x:v>
      </x:c>
      <x:c r="T113"/>
      <x:c r="U113" t="str">
        <x:v>Paragraph/Run theo kiểu khối DIEU; preserve list numbering/table/drawing nếu có</x:v>
      </x:c>
    </x:row>
    <x:row r="114">
      <x:c r="A114" t="n">
        <x:v>113</x:v>
      </x:c>
      <x:c r="B114" t="str">
        <x:v>HD05.N.DIEU.TEN_DIEU.NGHIENG</x:v>
      </x:c>
      <x:c r="C114" t="str">
        <x:v>HD05.N.DIEU.TEN_DIEU</x:v>
      </x:c>
      <x:c r="D114" t="str">
        <x:v>N</x:v>
      </x:c>
      <x:c r="E114" t="str">
        <x:v>Tên điều</x:v>
      </x:c>
      <x:c r="F114" t="str">
        <x:v>NGHIENG</x:v>
      </x:c>
      <x:c r="G114"/>
      <x:c r="H114"/>
      <x:c r="I114" t="str">
        <x:v>UNVERIFIED_ATTRIBUTE</x:v>
      </x:c>
      <x:c r="J114" t="str">
        <x:v>BLOCKED_NO_ATTRIBUTE_VALUE</x:v>
      </x:c>
      <x:c r="K114" t="str">
        <x:v>Chỉ khi văn bản có phân cấp này; giữ số, tên và thứ bậc thực tế; không tự đánh lại số</x:v>
      </x:c>
      <x:c r="L114" t="str">
        <x:v>Bảo toàn cấu trúc/nội dung; nếu khác loại văn bản, ưu tiên đúng mẫu của loại đó; không sửa khi thiếu căn cứ.</x:v>
      </x:c>
      <x:c r="M114"/>
      <x:c r="N114" t="str">
        <x:v>HD05, Phần II, I.6 và IV; Phụ lục 2 mục 6</x:v>
      </x:c>
      <x:c r="O114" t="str">
        <x:v>https://tulieuvankien.dangcongsan.vn/upload/2006988/20260529/HD_05_VPTW_e1550.pdf</x:v>
      </x:c>
      <x:c r="P114" t="str">
        <x:v>PLUGIN:HOA-TIEU-MIEN-BAC-PARTY-HD05-HEADER-2026 | NEEDS_REVIEW</x:v>
      </x:c>
      <x:c r="Q114" t="str">
        <x:v>CHECK_ONLY</x:v>
      </x:c>
      <x:c r="R114" t="str">
        <x:v>Kiểm tra từng thuộc tính có mặt; so sánh nguồn/role; không suy đoán từ kết quả render chưa có</x:v>
      </x:c>
      <x:c r="S114" t="str">
        <x:v>RULE_INFERENCE_NOT_MEASURED</x:v>
      </x:c>
      <x:c r="T114" t="str">
        <x:v>Xác minh căn cứ theo loại văn bản / tài liệu phát hành hoặc phê duyệt</x:v>
      </x:c>
      <x:c r="U114" t="str">
        <x:v>Paragraph/Run theo kiểu khối DIEU; preserve list numbering/table/drawing nếu có</x:v>
      </x:c>
    </x:row>
    <x:row r="115">
      <x:c r="A115" t="n">
        <x:v>114</x:v>
      </x:c>
      <x:c r="B115" t="str">
        <x:v>HD05.N.DIEU.TEN_DIEU.KIEU_CHU</x:v>
      </x:c>
      <x:c r="C115" t="str">
        <x:v>HD05.N.DIEU.TEN_DIEU</x:v>
      </x:c>
      <x:c r="D115" t="str">
        <x:v>N</x:v>
      </x:c>
      <x:c r="E115" t="str">
        <x:v>Tên điều</x:v>
      </x:c>
      <x:c r="F115" t="str">
        <x:v>KIEU_CHU</x:v>
      </x:c>
      <x:c r="G115" t="str">
        <x:v>In thường</x:v>
      </x:c>
      <x:c r="H115"/>
      <x:c r="I115" t="str">
        <x:v>UNVERIFIED_ATTRIBUTE</x:v>
      </x:c>
      <x:c r="J115" t="str">
        <x:v>PROFILE_PRESET_UNAPPROVED</x:v>
      </x:c>
      <x:c r="K115" t="str">
        <x:v>Chỉ khi văn bản có phân cấp này; giữ số, tên và thứ bậc thực tế; không tự đánh lại số</x:v>
      </x:c>
      <x:c r="L115" t="str">
        <x:v>Bảo toàn cấu trúc/nội dung; nếu khác loại văn bản, ưu tiên đúng mẫu của loại đó; không sửa khi thiếu căn cứ.</x:v>
      </x:c>
      <x:c r="M115"/>
      <x:c r="N115" t="str">
        <x:v>HD05, Phần II, I.6 và IV; Phụ lục 2 mục 6</x:v>
      </x:c>
      <x:c r="O115" t="str">
        <x:v>https://tulieuvankien.dangcongsan.vn/upload/2006988/20260529/HD_05_VPTW_e1550.pdf</x:v>
      </x:c>
      <x:c r="P115" t="str">
        <x:v>PLUGIN:HOA-TIEU-MIEN-BAC-PARTY-HD05-HEADER-2026 | NEEDS_REVIEW</x:v>
      </x:c>
      <x:c r="Q115" t="str">
        <x:v>CHECK_ONLY</x:v>
      </x:c>
      <x:c r="R115" t="str">
        <x:v>Kiểm tra từng thuộc tính có mặt; so sánh nguồn/role; không suy đoán từ kết quả render chưa có</x:v>
      </x:c>
      <x:c r="S115" t="str">
        <x:v>STRUCTURE_READ_EXISTING_WORKBOOK</x:v>
      </x:c>
      <x:c r="T115"/>
      <x:c r="U115" t="str">
        <x:v>Paragraph/Run theo kiểu khối DIEU; preserve list numbering/table/drawing nếu có</x:v>
      </x:c>
    </x:row>
    <x:row r="116">
      <x:c r="A116" t="n">
        <x:v>115</x:v>
      </x:c>
      <x:c r="B116" t="str">
        <x:v>HD05.N.DIEU.TEN_DIEU.CAN_NGANG</x:v>
      </x:c>
      <x:c r="C116" t="str">
        <x:v>HD05.N.DIEU.TEN_DIEU</x:v>
      </x:c>
      <x:c r="D116" t="str">
        <x:v>N</x:v>
      </x:c>
      <x:c r="E116" t="str">
        <x:v>Tên điều</x:v>
      </x:c>
      <x:c r="F116" t="str">
        <x:v>CAN_NGANG</x:v>
      </x:c>
      <x:c r="G116" t="str">
        <x:v>JUSTIFY</x:v>
      </x:c>
      <x:c r="H116"/>
      <x:c r="I116" t="str">
        <x:v>UNVERIFIED_ATTRIBUTE</x:v>
      </x:c>
      <x:c r="J116" t="str">
        <x:v>PROFILE_PRESET_UNAPPROVED</x:v>
      </x:c>
      <x:c r="K116" t="str">
        <x:v>Chỉ khi văn bản có phân cấp này; giữ số, tên và thứ bậc thực tế; không tự đánh lại số</x:v>
      </x:c>
      <x:c r="L116" t="str">
        <x:v>Bảo toàn cấu trúc/nội dung; nếu khác loại văn bản, ưu tiên đúng mẫu của loại đó; không sửa khi thiếu căn cứ.</x:v>
      </x:c>
      <x:c r="M116"/>
      <x:c r="N116" t="str">
        <x:v>HD05, Phần II, I.6 và IV; Phụ lục 2 mục 6</x:v>
      </x:c>
      <x:c r="O116" t="str">
        <x:v>https://tulieuvankien.dangcongsan.vn/upload/2006988/20260529/HD_05_VPTW_e1550.pdf</x:v>
      </x:c>
      <x:c r="P116" t="str">
        <x:v>PLUGIN:HOA-TIEU-MIEN-BAC-PARTY-HD05-HEADER-2026 | NEEDS_REVIEW</x:v>
      </x:c>
      <x:c r="Q116" t="str">
        <x:v>CHECK_ONLY</x:v>
      </x:c>
      <x:c r="R116" t="str">
        <x:v>Kiểm tra từng thuộc tính có mặt; so sánh nguồn/role; không suy đoán từ kết quả render chưa có</x:v>
      </x:c>
      <x:c r="S116" t="str">
        <x:v>STRUCTURE_READ_EXISTING_WORKBOOK</x:v>
      </x:c>
      <x:c r="T116"/>
      <x:c r="U116" t="str">
        <x:v>Paragraph/Run theo kiểu khối DIEU; preserve list numbering/table/drawing nếu có</x:v>
      </x:c>
    </x:row>
    <x:row r="117">
      <x:c r="A117" t="n">
        <x:v>116</x:v>
      </x:c>
      <x:c r="B117" t="str">
        <x:v>HD05.N.DIEU.TEN_DIEU.GIAN_DONG</x:v>
      </x:c>
      <x:c r="C117" t="str">
        <x:v>HD05.N.DIEU.TEN_DIEU</x:v>
      </x:c>
      <x:c r="D117" t="str">
        <x:v>N</x:v>
      </x:c>
      <x:c r="E117" t="str">
        <x:v>Tên điều</x:v>
      </x:c>
      <x:c r="F117" t="str">
        <x:v>GIAN_DONG</x:v>
      </x:c>
      <x:c r="G117" t="n">
        <x:v>19</x:v>
      </x:c>
      <x:c r="H117"/>
      <x:c r="I117" t="str">
        <x:v>UNVERIFIED_ATTRIBUTE</x:v>
      </x:c>
      <x:c r="J117" t="str">
        <x:v>PROFILE_PRESET_UNAPPROVED</x:v>
      </x:c>
      <x:c r="K117" t="str">
        <x:v>Chỉ khi văn bản có phân cấp này; giữ số, tên và thứ bậc thực tế; không tự đánh lại số</x:v>
      </x:c>
      <x:c r="L117" t="str">
        <x:v>Bảo toàn cấu trúc/nội dung; nếu khác loại văn bản, ưu tiên đúng mẫu của loại đó; không sửa khi thiếu căn cứ. HD05 phần thân: Exactly 18–22 pt theo HD05; nếu giá trị profile khác phải đánh cờ xung đột.</x:v>
      </x:c>
      <x:c r="M117" t="str">
        <x:v>pt</x:v>
      </x:c>
      <x:c r="N117" t="str">
        <x:v>HD05, Phần II, I.6 và IV; Phụ lục 2 mục 6</x:v>
      </x:c>
      <x:c r="O117" t="str">
        <x:v>https://tulieuvankien.dangcongsan.vn/upload/2006988/20260529/HD_05_VPTW_e1550.pdf</x:v>
      </x:c>
      <x:c r="P117" t="str">
        <x:v>PLUGIN:HOA-TIEU-MIEN-BAC-PARTY-HD05-HEADER-2026 | NEEDS_REVIEW</x:v>
      </x:c>
      <x:c r="Q117" t="str">
        <x:v>CHECK_ONLY</x:v>
      </x:c>
      <x:c r="R117" t="str">
        <x:v>Kiểm tra từng thuộc tính có mặt; so sánh nguồn/role; không suy đoán từ kết quả render chưa có</x:v>
      </x:c>
      <x:c r="S117" t="str">
        <x:v>STRUCTURE_READ_EXISTING_WORKBOOK</x:v>
      </x:c>
      <x:c r="T117"/>
      <x:c r="U117" t="str">
        <x:v>Paragraph/Run theo kiểu khối DIEU; preserve list numbering/table/drawing nếu có</x:v>
      </x:c>
    </x:row>
    <x:row r="118">
      <x:c r="A118" t="n">
        <x:v>117</x:v>
      </x:c>
      <x:c r="B118" t="str">
        <x:v>HD05.N.DIEU.TEN_DIEU.CACH_TRUOC</x:v>
      </x:c>
      <x:c r="C118" t="str">
        <x:v>HD05.N.DIEU.TEN_DIEU</x:v>
      </x:c>
      <x:c r="D118" t="str">
        <x:v>N</x:v>
      </x:c>
      <x:c r="E118" t="str">
        <x:v>Tên điều</x:v>
      </x:c>
      <x:c r="F118" t="str">
        <x:v>CACH_TRUOC</x:v>
      </x:c>
      <x:c r="G118" t="n">
        <x:v>0</x:v>
      </x:c>
      <x:c r="H118"/>
      <x:c r="I118" t="str">
        <x:v>UNVERIFIED_ATTRIBUTE</x:v>
      </x:c>
      <x:c r="J118" t="str">
        <x:v>PROFILE_PRESET_UNAPPROVED</x:v>
      </x:c>
      <x:c r="K118" t="str">
        <x:v>Chỉ khi văn bản có phân cấp này; giữ số, tên và thứ bậc thực tế; không tự đánh lại số</x:v>
      </x:c>
      <x:c r="L118" t="str">
        <x:v>Bảo toàn cấu trúc/nội dung; nếu khác loại văn bản, ưu tiên đúng mẫu của loại đó; không sửa khi thiếu căn cứ.</x:v>
      </x:c>
      <x:c r="M118" t="str">
        <x:v>pt</x:v>
      </x:c>
      <x:c r="N118" t="str">
        <x:v>HD05, Phần II, I.6 và IV; Phụ lục 2 mục 6</x:v>
      </x:c>
      <x:c r="O118" t="str">
        <x:v>https://tulieuvankien.dangcongsan.vn/upload/2006988/20260529/HD_05_VPTW_e1550.pdf</x:v>
      </x:c>
      <x:c r="P118" t="str">
        <x:v>PLUGIN:HOA-TIEU-MIEN-BAC-PARTY-HD05-HEADER-2026 | NEEDS_REVIEW</x:v>
      </x:c>
      <x:c r="Q118" t="str">
        <x:v>CHECK_ONLY</x:v>
      </x:c>
      <x:c r="R118" t="str">
        <x:v>Kiểm tra từng thuộc tính có mặt; so sánh nguồn/role; không suy đoán từ kết quả render chưa có</x:v>
      </x:c>
      <x:c r="S118" t="str">
        <x:v>STRUCTURE_READ_EXISTING_WORKBOOK</x:v>
      </x:c>
      <x:c r="T118"/>
      <x:c r="U118" t="str">
        <x:v>Paragraph/Run theo kiểu khối DIEU; preserve list numbering/table/drawing nếu có</x:v>
      </x:c>
    </x:row>
    <x:row r="119">
      <x:c r="A119" t="n">
        <x:v>118</x:v>
      </x:c>
      <x:c r="B119" t="str">
        <x:v>HD05.N.DIEU.TEN_DIEU.CACH_SAU</x:v>
      </x:c>
      <x:c r="C119" t="str">
        <x:v>HD05.N.DIEU.TEN_DIEU</x:v>
      </x:c>
      <x:c r="D119" t="str">
        <x:v>N</x:v>
      </x:c>
      <x:c r="E119" t="str">
        <x:v>Tên điều</x:v>
      </x:c>
      <x:c r="F119" t="str">
        <x:v>CACH_SAU</x:v>
      </x:c>
      <x:c r="G119" t="n">
        <x:v>6</x:v>
      </x:c>
      <x:c r="H119"/>
      <x:c r="I119" t="str">
        <x:v>UNVERIFIED_ATTRIBUTE</x:v>
      </x:c>
      <x:c r="J119" t="str">
        <x:v>PROFILE_PRESET_UNAPPROVED</x:v>
      </x:c>
      <x:c r="K119" t="str">
        <x:v>Chỉ khi văn bản có phân cấp này; giữ số, tên và thứ bậc thực tế; không tự đánh lại số</x:v>
      </x:c>
      <x:c r="L119" t="str">
        <x:v>Bảo toàn cấu trúc/nội dung; nếu khác loại văn bản, ưu tiên đúng mẫu của loại đó; không sửa khi thiếu căn cứ.</x:v>
      </x:c>
      <x:c r="M119" t="str">
        <x:v>pt</x:v>
      </x:c>
      <x:c r="N119" t="str">
        <x:v>HD05, Phần II, I.6 và IV; Phụ lục 2 mục 6</x:v>
      </x:c>
      <x:c r="O119" t="str">
        <x:v>https://tulieuvankien.dangcongsan.vn/upload/2006988/20260529/HD_05_VPTW_e1550.pdf</x:v>
      </x:c>
      <x:c r="P119" t="str">
        <x:v>PLUGIN:HOA-TIEU-MIEN-BAC-PARTY-HD05-HEADER-2026 | NEEDS_REVIEW</x:v>
      </x:c>
      <x:c r="Q119" t="str">
        <x:v>CHECK_ONLY</x:v>
      </x:c>
      <x:c r="R119" t="str">
        <x:v>Kiểm tra từng thuộc tính có mặt; so sánh nguồn/role; không suy đoán từ kết quả render chưa có</x:v>
      </x:c>
      <x:c r="S119" t="str">
        <x:v>STRUCTURE_READ_EXISTING_WORKBOOK</x:v>
      </x:c>
      <x:c r="T119"/>
      <x:c r="U119" t="str">
        <x:v>Paragraph/Run theo kiểu khối DIEU; preserve list numbering/table/drawing nếu có</x:v>
      </x:c>
    </x:row>
    <x:row r="120">
      <x:c r="A120" t="n">
        <x:v>119</x:v>
      </x:c>
      <x:c r="B120" t="str">
        <x:v>HD05.N.DIEU.TEN_DIEU.THUT_DONG_DAU</x:v>
      </x:c>
      <x:c r="C120" t="str">
        <x:v>HD05.N.DIEU.TEN_DIEU</x:v>
      </x:c>
      <x:c r="D120" t="str">
        <x:v>N</x:v>
      </x:c>
      <x:c r="E120" t="str">
        <x:v>Tên điều</x:v>
      </x:c>
      <x:c r="F120" t="str">
        <x:v>THUT_DONG_DAU</x:v>
      </x:c>
      <x:c r="G120" t="n">
        <x:v>10</x:v>
      </x:c>
      <x:c r="H120"/>
      <x:c r="I120" t="str">
        <x:v>UNVERIFIED_ATTRIBUTE</x:v>
      </x:c>
      <x:c r="J120" t="str">
        <x:v>PROFILE_PRESET_UNAPPROVED</x:v>
      </x:c>
      <x:c r="K120" t="str">
        <x:v>Chỉ khi văn bản có phân cấp này; giữ số, tên và thứ bậc thực tế; không tự đánh lại số</x:v>
      </x:c>
      <x:c r="L120" t="str">
        <x:v>Bảo toàn cấu trúc/nội dung; nếu khác loại văn bản, ưu tiên đúng mẫu của loại đó; không sửa khi thiếu căn cứ.</x:v>
      </x:c>
      <x:c r="M120" t="str">
        <x:v>mm</x:v>
      </x:c>
      <x:c r="N120" t="str">
        <x:v>HD05, Phần II, I.6 và IV; Phụ lục 2 mục 6</x:v>
      </x:c>
      <x:c r="O120" t="str">
        <x:v>https://tulieuvankien.dangcongsan.vn/upload/2006988/20260529/HD_05_VPTW_e1550.pdf</x:v>
      </x:c>
      <x:c r="P120" t="str">
        <x:v>PLUGIN:HOA-TIEU-MIEN-BAC-PARTY-HD05-HEADER-2026 | NEEDS_REVIEW</x:v>
      </x:c>
      <x:c r="Q120" t="str">
        <x:v>CHECK_ONLY</x:v>
      </x:c>
      <x:c r="R120" t="str">
        <x:v>Kiểm tra từng thuộc tính có mặt; so sánh nguồn/role; không suy đoán từ kết quả render chưa có</x:v>
      </x:c>
      <x:c r="S120" t="str">
        <x:v>STRUCTURE_READ_EXISTING_WORKBOOK</x:v>
      </x:c>
      <x:c r="T120"/>
      <x:c r="U120" t="str">
        <x:v>Paragraph/Run theo kiểu khối DIEU; preserve list numbering/table/drawing nếu có</x:v>
      </x:c>
    </x:row>
    <x:row r="121">
      <x:c r="A121" t="n">
        <x:v>120</x:v>
      </x:c>
      <x:c r="B121" t="str">
        <x:v>HD05.N.DIEU.TEN_DIEU.KEEP_NEXT</x:v>
      </x:c>
      <x:c r="C121" t="str">
        <x:v>HD05.N.DIEU.TEN_DIEU</x:v>
      </x:c>
      <x:c r="D121" t="str">
        <x:v>N</x:v>
      </x:c>
      <x:c r="E121" t="str">
        <x:v>Tên điều</x:v>
      </x:c>
      <x:c r="F121" t="str">
        <x:v>KEEP_NEXT</x:v>
      </x:c>
      <x:c r="G121"/>
      <x:c r="H121"/>
      <x:c r="I121" t="str">
        <x:v>UNVERIFIED_ATTRIBUTE</x:v>
      </x:c>
      <x:c r="J121" t="str">
        <x:v>BLOCKED_NO_ATTRIBUTE_VALUE</x:v>
      </x:c>
      <x:c r="K121" t="str">
        <x:v>Chỉ khi văn bản có phân cấp này; giữ số, tên và thứ bậc thực tế; không tự đánh lại số</x:v>
      </x:c>
      <x:c r="L121" t="str">
        <x:v>Bảo toàn cấu trúc/nội dung; nếu khác loại văn bản, ưu tiên đúng mẫu của loại đó; không sửa khi thiếu căn cứ.</x:v>
      </x:c>
      <x:c r="M121"/>
      <x:c r="N121" t="str">
        <x:v>HD05, Phần II, I.6 và IV; Phụ lục 2 mục 6</x:v>
      </x:c>
      <x:c r="O121" t="str">
        <x:v>https://tulieuvankien.dangcongsan.vn/upload/2006988/20260529/HD_05_VPTW_e1550.pdf</x:v>
      </x:c>
      <x:c r="P121" t="str">
        <x:v>PLUGIN:HOA-TIEU-MIEN-BAC-PARTY-HD05-HEADER-2026 | NEEDS_REVIEW</x:v>
      </x:c>
      <x:c r="Q121" t="str">
        <x:v>CHECK_ONLY</x:v>
      </x:c>
      <x:c r="R121" t="str">
        <x:v>Kiểm tra từng thuộc tính có mặt; so sánh nguồn/role; không suy đoán từ kết quả render chưa có</x:v>
      </x:c>
      <x:c r="S121" t="str">
        <x:v>RULE_INFERENCE_NOT_MEASURED</x:v>
      </x:c>
      <x:c r="T121" t="str">
        <x:v>Xác minh căn cứ theo loại văn bản / tài liệu phát hành hoặc phê duyệt</x:v>
      </x:c>
      <x:c r="U121" t="str">
        <x:v>Paragraph/Run theo kiểu khối DIEU; preserve list numbering/table/drawing nếu có</x:v>
      </x:c>
    </x:row>
    <x:row r="122">
      <x:c r="A122" t="n">
        <x:v>121</x:v>
      </x:c>
      <x:c r="B122" t="str">
        <x:v>HD05.N.DIEU.TEN_DIEU.SO_THU_TU</x:v>
      </x:c>
      <x:c r="C122" t="str">
        <x:v>HD05.N.DIEU.TEN_DIEU</x:v>
      </x:c>
      <x:c r="D122" t="str">
        <x:v>N</x:v>
      </x:c>
      <x:c r="E122" t="str">
        <x:v>Tên điều</x:v>
      </x:c>
      <x:c r="F122" t="str">
        <x:v>SO_THU_TU</x:v>
      </x:c>
      <x:c r="G122"/>
      <x:c r="H122"/>
      <x:c r="I122" t="str">
        <x:v>UNVERIFIED_ATTRIBUTE</x:v>
      </x:c>
      <x:c r="J122" t="str">
        <x:v>BLOCKED_NO_ATTRIBUTE_VALUE</x:v>
      </x:c>
      <x:c r="K122" t="str">
        <x:v>Chỉ khi văn bản có phân cấp này; giữ số, tên và thứ bậc thực tế; không tự đánh lại số</x:v>
      </x:c>
      <x:c r="L122" t="str">
        <x:v>Bảo toàn cấu trúc/nội dung; nếu khác loại văn bản, ưu tiên đúng mẫu của loại đó; không sửa khi thiếu căn cứ.</x:v>
      </x:c>
      <x:c r="M122"/>
      <x:c r="N122" t="str">
        <x:v>HD05, Phần II, I.6 và IV; Phụ lục 2 mục 6</x:v>
      </x:c>
      <x:c r="O122" t="str">
        <x:v>https://tulieuvankien.dangcongsan.vn/upload/2006988/20260529/HD_05_VPTW_e1550.pdf</x:v>
      </x:c>
      <x:c r="P122" t="str">
        <x:v>PLUGIN:HOA-TIEU-MIEN-BAC-PARTY-HD05-HEADER-2026 | NEEDS_REVIEW</x:v>
      </x:c>
      <x:c r="Q122" t="str">
        <x:v>CHECK_ONLY</x:v>
      </x:c>
      <x:c r="R122" t="str">
        <x:v>Kiểm tra từng thuộc tính có mặt; so sánh nguồn/role; không suy đoán từ kết quả render chưa có</x:v>
      </x:c>
      <x:c r="S122" t="str">
        <x:v>RULE_INFERENCE_NOT_MEASURED</x:v>
      </x:c>
      <x:c r="T122" t="str">
        <x:v>Xác minh căn cứ theo loại văn bản / tài liệu phát hành hoặc phê duyệt</x:v>
      </x:c>
      <x:c r="U122" t="str">
        <x:v>Paragraph/Run theo kiểu khối DIEU; preserve list numbering/table/drawing nếu có</x:v>
      </x:c>
    </x:row>
    <x:row r="123">
      <x:c r="A123" t="n">
        <x:v>122</x:v>
      </x:c>
      <x:c r="B123" t="str">
        <x:v>HD05.N.DIEU.TEN_DIEU.CAU_TRUC</x:v>
      </x:c>
      <x:c r="C123" t="str">
        <x:v>HD05.N.DIEU.TEN_DIEU</x:v>
      </x:c>
      <x:c r="D123" t="str">
        <x:v>N</x:v>
      </x:c>
      <x:c r="E123" t="str">
        <x:v>Tên điều</x:v>
      </x:c>
      <x:c r="F123" t="str">
        <x:v>CAU_TRUC</x:v>
      </x:c>
      <x:c r="G123"/>
      <x:c r="H123"/>
      <x:c r="I123" t="str">
        <x:v>UNVERIFIED_ATTRIBUTE</x:v>
      </x:c>
      <x:c r="J123" t="str">
        <x:v>BLOCKED_NO_ATTRIBUTE_VALUE</x:v>
      </x:c>
      <x:c r="K123" t="str">
        <x:v>Chỉ khi văn bản có phân cấp này; giữ số, tên và thứ bậc thực tế; không tự đánh lại số</x:v>
      </x:c>
      <x:c r="L123" t="str">
        <x:v>Bảo toàn cấu trúc/nội dung; nếu khác loại văn bản, ưu tiên đúng mẫu của loại đó; không sửa khi thiếu căn cứ.</x:v>
      </x:c>
      <x:c r="M123"/>
      <x:c r="N123" t="str">
        <x:v>HD05, Phần II, I.6 và IV; Phụ lục 2 mục 6</x:v>
      </x:c>
      <x:c r="O123" t="str">
        <x:v>https://tulieuvankien.dangcongsan.vn/upload/2006988/20260529/HD_05_VPTW_e1550.pdf</x:v>
      </x:c>
      <x:c r="P123" t="str">
        <x:v>PLUGIN:HOA-TIEU-MIEN-BAC-PARTY-HD05-HEADER-2026 | NEEDS_REVIEW</x:v>
      </x:c>
      <x:c r="Q123" t="str">
        <x:v>CHECK_ONLY</x:v>
      </x:c>
      <x:c r="R123" t="str">
        <x:v>Kiểm tra từng thuộc tính có mặt; so sánh nguồn/role; không suy đoán từ kết quả render chưa có</x:v>
      </x:c>
      <x:c r="S123" t="str">
        <x:v>RULE_INFERENCE_NOT_MEASURED</x:v>
      </x:c>
      <x:c r="T123" t="str">
        <x:v>Xác minh căn cứ theo loại văn bản / tài liệu phát hành hoặc phê duyệt</x:v>
      </x:c>
      <x:c r="U123" t="str">
        <x:v>Paragraph/Run theo kiểu khối DIEU; preserve list numbering/table/drawing nếu có</x:v>
      </x:c>
    </x:row>
    <x:row r="124">
      <x:c r="A124" t="n">
        <x:v>123</x:v>
      </x:c>
      <x:c r="B124" t="str">
        <x:v>HD05.N.DIEU.TEN_DIEU.DAU_CAU</x:v>
      </x:c>
      <x:c r="C124" t="str">
        <x:v>HD05.N.DIEU.TEN_DIEU</x:v>
      </x:c>
      <x:c r="D124" t="str">
        <x:v>N</x:v>
      </x:c>
      <x:c r="E124" t="str">
        <x:v>Tên điều</x:v>
      </x:c>
      <x:c r="F124" t="str">
        <x:v>DAU_CAU</x:v>
      </x:c>
      <x:c r="G124"/>
      <x:c r="H124"/>
      <x:c r="I124" t="str">
        <x:v>UNVERIFIED_ATTRIBUTE</x:v>
      </x:c>
      <x:c r="J124" t="str">
        <x:v>BLOCKED_NO_ATTRIBUTE_VALUE</x:v>
      </x:c>
      <x:c r="K124" t="str">
        <x:v>Chỉ khi văn bản có phân cấp này; giữ số, tên và thứ bậc thực tế; không tự đánh lại số</x:v>
      </x:c>
      <x:c r="L124" t="str">
        <x:v>Bảo toàn cấu trúc/nội dung; nếu khác loại văn bản, ưu tiên đúng mẫu của loại đó; không sửa khi thiếu căn cứ.</x:v>
      </x:c>
      <x:c r="M124"/>
      <x:c r="N124" t="str">
        <x:v>HD05, Phần II, I.6 và IV; Phụ lục 2 mục 6</x:v>
      </x:c>
      <x:c r="O124" t="str">
        <x:v>https://tulieuvankien.dangcongsan.vn/upload/2006988/20260529/HD_05_VPTW_e1550.pdf</x:v>
      </x:c>
      <x:c r="P124" t="str">
        <x:v>PLUGIN:HOA-TIEU-MIEN-BAC-PARTY-HD05-HEADER-2026 | NEEDS_REVIEW</x:v>
      </x:c>
      <x:c r="Q124" t="str">
        <x:v>CHECK_ONLY</x:v>
      </x:c>
      <x:c r="R124" t="str">
        <x:v>Kiểm tra từng thuộc tính có mặt; so sánh nguồn/role; không suy đoán từ kết quả render chưa có</x:v>
      </x:c>
      <x:c r="S124" t="str">
        <x:v>RULE_INFERENCE_NOT_MEASURED</x:v>
      </x:c>
      <x:c r="T124" t="str">
        <x:v>Xác minh căn cứ theo loại văn bản / tài liệu phát hành hoặc phê duyệt</x:v>
      </x:c>
      <x:c r="U124" t="str">
        <x:v>Paragraph/Run theo kiểu khối DIEU; preserve list numbering/table/drawing nếu có</x:v>
      </x:c>
    </x:row>
    <x:row r="125">
      <x:c r="A125" t="n">
        <x:v>124</x:v>
      </x:c>
      <x:c r="B125" t="str">
        <x:v>HD05.N.DIEU.NOI_DUNG_DIEU.HIEN_DIEN</x:v>
      </x:c>
      <x:c r="C125" t="str">
        <x:v>HD05.N.DIEU.NOI_DUNG_DIEU</x:v>
      </x:c>
      <x:c r="D125" t="str">
        <x:v>N</x:v>
      </x:c>
      <x:c r="E125" t="str">
        <x:v>Nội dung điều</x:v>
      </x:c>
      <x:c r="F125" t="str">
        <x:v>HIEN_DIEN</x:v>
      </x:c>
      <x:c r="G125" t="str">
        <x:v>Theo loại văn bản và sự hiện diện thực tế; không áp dụng đồng loạt</x:v>
      </x:c>
      <x:c r="H125"/>
      <x:c r="I125" t="str">
        <x:v>UNVERIFIED_ATTRIBUTE</x:v>
      </x:c>
      <x:c r="J125" t="str">
        <x:v>SOURCE_DESCRIPTION_NOT_APPROVAL</x:v>
      </x:c>
      <x:c r="K125" t="str">
        <x:v>Chỉ khi văn bản có phân cấp này; giữ số, tên và thứ bậc thực tế; không tự đánh lại số</x:v>
      </x:c>
      <x:c r="L125" t="str">
        <x:v>Bảo toàn cấu trúc/nội dung; nếu khác loại văn bản, ưu tiên đúng mẫu của loại đó; không sửa khi thiếu căn cứ.</x:v>
      </x:c>
      <x:c r="M125"/>
      <x:c r="N125" t="str">
        <x:v>HD05, Phần II, I.6 và IV; Phụ lục 2 mục 6</x:v>
      </x:c>
      <x:c r="O125" t="str">
        <x:v>https://tulieuvankien.dangcongsan.vn/upload/2006988/20260529/HD_05_VPTW_e1550.pdf</x:v>
      </x:c>
      <x:c r="P125" t="str">
        <x:v>PLUGIN:HOA-TIEU-MIEN-BAC-PARTY-HD05-HEADER-2026 | NEEDS_REVIEW</x:v>
      </x:c>
      <x:c r="Q125" t="str">
        <x:v>CHECK_ONLY</x:v>
      </x:c>
      <x:c r="R125" t="str">
        <x:v>Kiểm tra từng thuộc tính có mặt; so sánh nguồn/role; không suy đoán từ kết quả render chưa có</x:v>
      </x:c>
      <x:c r="S125" t="str">
        <x:v>STRUCTURE_READ_EXISTING_WORKBOOK</x:v>
      </x:c>
      <x:c r="T125"/>
      <x:c r="U125" t="str">
        <x:v>Paragraph/Run theo kiểu khối DIEU; preserve list numbering/table/drawing nếu có</x:v>
      </x:c>
    </x:row>
    <x:row r="126">
      <x:c r="A126" t="n">
        <x:v>125</x:v>
      </x:c>
      <x:c r="B126" t="str">
        <x:v>HD05.N.DIEU.NOI_DUNG_DIEU.NOI_DUNG</x:v>
      </x:c>
      <x:c r="C126" t="str">
        <x:v>HD05.N.DIEU.NOI_DUNG_DIEU</x:v>
      </x:c>
      <x:c r="D126" t="str">
        <x:v>N</x:v>
      </x:c>
      <x:c r="E126" t="str">
        <x:v>Nội dung điều</x:v>
      </x:c>
      <x:c r="F126" t="str">
        <x:v>NOI_DUNG</x:v>
      </x:c>
      <x:c r="G126" t="str">
        <x:v>Lời văn sau tên điều theo style body đã xác minh</x:v>
      </x:c>
      <x:c r="H126"/>
      <x:c r="I126" t="str">
        <x:v>UNVERIFIED_ATTRIBUTE</x:v>
      </x:c>
      <x:c r="J126" t="str">
        <x:v>SOURCE_DESCRIPTION_NOT_APPROVAL</x:v>
      </x:c>
      <x:c r="K126" t="str">
        <x:v>Chỉ khi văn bản có phân cấp này; giữ số, tên và thứ bậc thực tế; không tự đánh lại số</x:v>
      </x:c>
      <x:c r="L126" t="str">
        <x:v>Bảo toàn cấu trúc/nội dung; nếu khác loại văn bản, ưu tiên đúng mẫu của loại đó; không sửa khi thiếu căn cứ.</x:v>
      </x:c>
      <x:c r="M126"/>
      <x:c r="N126" t="str">
        <x:v>HD05, Phần II, I.6 và IV; Phụ lục 2 mục 6</x:v>
      </x:c>
      <x:c r="O126" t="str">
        <x:v>https://tulieuvankien.dangcongsan.vn/upload/2006988/20260529/HD_05_VPTW_e1550.pdf</x:v>
      </x:c>
      <x:c r="P126" t="str">
        <x:v>PLUGIN:HOA-TIEU-MIEN-BAC-PARTY-HD05-HEADER-2026 | NEEDS_REVIEW</x:v>
      </x:c>
      <x:c r="Q126" t="str">
        <x:v>CHECK_ONLY</x:v>
      </x:c>
      <x:c r="R126" t="str">
        <x:v>Kiểm tra từng thuộc tính có mặt; so sánh nguồn/role; không suy đoán từ kết quả render chưa có</x:v>
      </x:c>
      <x:c r="S126" t="str">
        <x:v>STRUCTURE_READ_EXISTING_WORKBOOK</x:v>
      </x:c>
      <x:c r="T126"/>
      <x:c r="U126" t="str">
        <x:v>Paragraph/Run theo kiểu khối DIEU; preserve list numbering/table/drawing nếu có</x:v>
      </x:c>
    </x:row>
    <x:row r="127">
      <x:c r="A127" t="n">
        <x:v>126</x:v>
      </x:c>
      <x:c r="B127" t="str">
        <x:v>HD05.N.DIEU.NOI_DUNG_DIEU.PHONG_CHU</x:v>
      </x:c>
      <x:c r="C127" t="str">
        <x:v>HD05.N.DIEU.NOI_DUNG_DIEU</x:v>
      </x:c>
      <x:c r="D127" t="str">
        <x:v>N</x:v>
      </x:c>
      <x:c r="E127" t="str">
        <x:v>Nội dung điều</x:v>
      </x:c>
      <x:c r="F127" t="str">
        <x:v>PHONG_CHU</x:v>
      </x:c>
      <x:c r="G127" t="str">
        <x:v>Times New Roman</x:v>
      </x:c>
      <x:c r="H127"/>
      <x:c r="I127" t="str">
        <x:v>UNVERIFIED_ATTRIBUTE</x:v>
      </x:c>
      <x:c r="J127" t="str">
        <x:v>PROFILE_PRESET_UNAPPROVED</x:v>
      </x:c>
      <x:c r="K127" t="str">
        <x:v>Chỉ khi văn bản có phân cấp này; giữ số, tên và thứ bậc thực tế; không tự đánh lại số</x:v>
      </x:c>
      <x:c r="L127" t="str">
        <x:v>Bảo toàn cấu trúc/nội dung; nếu khác loại văn bản, ưu tiên đúng mẫu của loại đó; không sửa khi thiếu căn cứ.</x:v>
      </x:c>
      <x:c r="M127"/>
      <x:c r="N127" t="str">
        <x:v>HD05, Phần II, I.6 và IV; Phụ lục 2 mục 6</x:v>
      </x:c>
      <x:c r="O127" t="str">
        <x:v>https://tulieuvankien.dangcongsan.vn/upload/2006988/20260529/HD_05_VPTW_e1550.pdf</x:v>
      </x:c>
      <x:c r="P127" t="str">
        <x:v>PLUGIN:HOA-TIEU-MIEN-BAC-PARTY-HD05-HEADER-2026 | NEEDS_REVIEW</x:v>
      </x:c>
      <x:c r="Q127" t="str">
        <x:v>CHECK_ONLY</x:v>
      </x:c>
      <x:c r="R127" t="str">
        <x:v>Kiểm tra từng thuộc tính có mặt; so sánh nguồn/role; không suy đoán từ kết quả render chưa có</x:v>
      </x:c>
      <x:c r="S127" t="str">
        <x:v>STRUCTURE_READ_EXISTING_WORKBOOK</x:v>
      </x:c>
      <x:c r="T127"/>
      <x:c r="U127" t="str">
        <x:v>Paragraph/Run theo kiểu khối DIEU; preserve list numbering/table/drawing nếu có</x:v>
      </x:c>
    </x:row>
    <x:row r="128">
      <x:c r="A128" t="n">
        <x:v>127</x:v>
      </x:c>
      <x:c r="B128" t="str">
        <x:v>HD05.N.DIEU.NOI_DUNG_DIEU.CO_CHU</x:v>
      </x:c>
      <x:c r="C128" t="str">
        <x:v>HD05.N.DIEU.NOI_DUNG_DIEU</x:v>
      </x:c>
      <x:c r="D128" t="str">
        <x:v>N</x:v>
      </x:c>
      <x:c r="E128" t="str">
        <x:v>Nội dung điều</x:v>
      </x:c>
      <x:c r="F128" t="str">
        <x:v>CO_CHU</x:v>
      </x:c>
      <x:c r="G128" t="n">
        <x:v>14</x:v>
      </x:c>
      <x:c r="H128"/>
      <x:c r="I128" t="str">
        <x:v>UNVERIFIED_ATTRIBUTE</x:v>
      </x:c>
      <x:c r="J128" t="str">
        <x:v>PROFILE_PRESET_UNAPPROVED</x:v>
      </x:c>
      <x:c r="K128" t="str">
        <x:v>Chỉ khi văn bản có phân cấp này; giữ số, tên và thứ bậc thực tế; không tự đánh lại số</x:v>
      </x:c>
      <x:c r="L128" t="str">
        <x:v>Bảo toàn cấu trúc/nội dung; nếu khác loại văn bản, ưu tiên đúng mẫu của loại đó; không sửa khi thiếu căn cứ.</x:v>
      </x:c>
      <x:c r="M128" t="str">
        <x:v>pt</x:v>
      </x:c>
      <x:c r="N128" t="str">
        <x:v>HD05, Phần II, I.6 và IV; Phụ lục 2 mục 6</x:v>
      </x:c>
      <x:c r="O128" t="str">
        <x:v>https://tulieuvankien.dangcongsan.vn/upload/2006988/20260529/HD_05_VPTW_e1550.pdf</x:v>
      </x:c>
      <x:c r="P128" t="str">
        <x:v>PLUGIN:HOA-TIEU-MIEN-BAC-PARTY-HD05-HEADER-2026 | NEEDS_REVIEW</x:v>
      </x:c>
      <x:c r="Q128" t="str">
        <x:v>CHECK_ONLY</x:v>
      </x:c>
      <x:c r="R128" t="str">
        <x:v>Kiểm tra từng thuộc tính có mặt; so sánh nguồn/role; không suy đoán từ kết quả render chưa có</x:v>
      </x:c>
      <x:c r="S128" t="str">
        <x:v>STRUCTURE_READ_EXISTING_WORKBOOK</x:v>
      </x:c>
      <x:c r="T128"/>
      <x:c r="U128" t="str">
        <x:v>Paragraph/Run theo kiểu khối DIEU; preserve list numbering/table/drawing nếu có</x:v>
      </x:c>
    </x:row>
    <x:row r="129">
      <x:c r="A129" t="n">
        <x:v>128</x:v>
      </x:c>
      <x:c r="B129" t="str">
        <x:v>HD05.N.DIEU.NOI_DUNG_DIEU.DAM</x:v>
      </x:c>
      <x:c r="C129" t="str">
        <x:v>HD05.N.DIEU.NOI_DUNG_DIEU</x:v>
      </x:c>
      <x:c r="D129" t="str">
        <x:v>N</x:v>
      </x:c>
      <x:c r="E129" t="str">
        <x:v>Nội dung điều</x:v>
      </x:c>
      <x:c r="F129" t="str">
        <x:v>DAM</x:v>
      </x:c>
      <x:c r="G129" t="str">
        <x:v>KHÔNG</x:v>
      </x:c>
      <x:c r="H129"/>
      <x:c r="I129" t="str">
        <x:v>UNVERIFIED_ATTRIBUTE</x:v>
      </x:c>
      <x:c r="J129" t="str">
        <x:v>PROFILE_PRESET_UNAPPROVED</x:v>
      </x:c>
      <x:c r="K129" t="str">
        <x:v>Chỉ khi văn bản có phân cấp này; giữ số, tên và thứ bậc thực tế; không tự đánh lại số</x:v>
      </x:c>
      <x:c r="L129" t="str">
        <x:v>Bảo toàn cấu trúc/nội dung; nếu khác loại văn bản, ưu tiên đúng mẫu của loại đó; không sửa khi thiếu căn cứ.</x:v>
      </x:c>
      <x:c r="M129"/>
      <x:c r="N129" t="str">
        <x:v>HD05, Phần II, I.6 và IV; Phụ lục 2 mục 6</x:v>
      </x:c>
      <x:c r="O129" t="str">
        <x:v>https://tulieuvankien.dangcongsan.vn/upload/2006988/20260529/HD_05_VPTW_e1550.pdf</x:v>
      </x:c>
      <x:c r="P129" t="str">
        <x:v>PLUGIN:HOA-TIEU-MIEN-BAC-PARTY-HD05-HEADER-2026 | NEEDS_REVIEW</x:v>
      </x:c>
      <x:c r="Q129" t="str">
        <x:v>CHECK_ONLY</x:v>
      </x:c>
      <x:c r="R129" t="str">
        <x:v>Kiểm tra từng thuộc tính có mặt; so sánh nguồn/role; không suy đoán từ kết quả render chưa có</x:v>
      </x:c>
      <x:c r="S129" t="str">
        <x:v>STRUCTURE_READ_EXISTING_WORKBOOK</x:v>
      </x:c>
      <x:c r="T129"/>
      <x:c r="U129" t="str">
        <x:v>Paragraph/Run theo kiểu khối DIEU; preserve list numbering/table/drawing nếu có</x:v>
      </x:c>
    </x:row>
    <x:row r="130">
      <x:c r="A130" t="n">
        <x:v>129</x:v>
      </x:c>
      <x:c r="B130" t="str">
        <x:v>HD05.N.DIEU.NOI_DUNG_DIEU.NGHIENG</x:v>
      </x:c>
      <x:c r="C130" t="str">
        <x:v>HD05.N.DIEU.NOI_DUNG_DIEU</x:v>
      </x:c>
      <x:c r="D130" t="str">
        <x:v>N</x:v>
      </x:c>
      <x:c r="E130" t="str">
        <x:v>Nội dung điều</x:v>
      </x:c>
      <x:c r="F130" t="str">
        <x:v>NGHIENG</x:v>
      </x:c>
      <x:c r="G130"/>
      <x:c r="H130"/>
      <x:c r="I130" t="str">
        <x:v>UNVERIFIED_ATTRIBUTE</x:v>
      </x:c>
      <x:c r="J130" t="str">
        <x:v>BLOCKED_NO_ATTRIBUTE_VALUE</x:v>
      </x:c>
      <x:c r="K130" t="str">
        <x:v>Chỉ khi văn bản có phân cấp này; giữ số, tên và thứ bậc thực tế; không tự đánh lại số</x:v>
      </x:c>
      <x:c r="L130" t="str">
        <x:v>Bảo toàn cấu trúc/nội dung; nếu khác loại văn bản, ưu tiên đúng mẫu của loại đó; không sửa khi thiếu căn cứ.</x:v>
      </x:c>
      <x:c r="M130"/>
      <x:c r="N130" t="str">
        <x:v>HD05, Phần II, I.6 và IV; Phụ lục 2 mục 6</x:v>
      </x:c>
      <x:c r="O130" t="str">
        <x:v>https://tulieuvankien.dangcongsan.vn/upload/2006988/20260529/HD_05_VPTW_e1550.pdf</x:v>
      </x:c>
      <x:c r="P130" t="str">
        <x:v>PLUGIN:HOA-TIEU-MIEN-BAC-PARTY-HD05-HEADER-2026 | NEEDS_REVIEW</x:v>
      </x:c>
      <x:c r="Q130" t="str">
        <x:v>CHECK_ONLY</x:v>
      </x:c>
      <x:c r="R130" t="str">
        <x:v>Kiểm tra từng thuộc tính có mặt; so sánh nguồn/role; không suy đoán từ kết quả render chưa có</x:v>
      </x:c>
      <x:c r="S130" t="str">
        <x:v>RULE_INFERENCE_NOT_MEASURED</x:v>
      </x:c>
      <x:c r="T130" t="str">
        <x:v>Xác minh căn cứ theo loại văn bản / tài liệu phát hành hoặc phê duyệt</x:v>
      </x:c>
      <x:c r="U130" t="str">
        <x:v>Paragraph/Run theo kiểu khối DIEU; preserve list numbering/table/drawing nếu có</x:v>
      </x:c>
    </x:row>
    <x:row r="131">
      <x:c r="A131" t="n">
        <x:v>130</x:v>
      </x:c>
      <x:c r="B131" t="str">
        <x:v>HD05.N.DIEU.NOI_DUNG_DIEU.KIEU_CHU</x:v>
      </x:c>
      <x:c r="C131" t="str">
        <x:v>HD05.N.DIEU.NOI_DUNG_DIEU</x:v>
      </x:c>
      <x:c r="D131" t="str">
        <x:v>N</x:v>
      </x:c>
      <x:c r="E131" t="str">
        <x:v>Nội dung điều</x:v>
      </x:c>
      <x:c r="F131" t="str">
        <x:v>KIEU_CHU</x:v>
      </x:c>
      <x:c r="G131" t="str">
        <x:v>In thường</x:v>
      </x:c>
      <x:c r="H131"/>
      <x:c r="I131" t="str">
        <x:v>UNVERIFIED_ATTRIBUTE</x:v>
      </x:c>
      <x:c r="J131" t="str">
        <x:v>PROFILE_PRESET_UNAPPROVED</x:v>
      </x:c>
      <x:c r="K131" t="str">
        <x:v>Chỉ khi văn bản có phân cấp này; giữ số, tên và thứ bậc thực tế; không tự đánh lại số</x:v>
      </x:c>
      <x:c r="L131" t="str">
        <x:v>Bảo toàn cấu trúc/nội dung; nếu khác loại văn bản, ưu tiên đúng mẫu của loại đó; không sửa khi thiếu căn cứ.</x:v>
      </x:c>
      <x:c r="M131"/>
      <x:c r="N131" t="str">
        <x:v>HD05, Phần II, I.6 và IV; Phụ lục 2 mục 6</x:v>
      </x:c>
      <x:c r="O131" t="str">
        <x:v>https://tulieuvankien.dangcongsan.vn/upload/2006988/20260529/HD_05_VPTW_e1550.pdf</x:v>
      </x:c>
      <x:c r="P131" t="str">
        <x:v>PLUGIN:HOA-TIEU-MIEN-BAC-PARTY-HD05-HEADER-2026 | NEEDS_REVIEW</x:v>
      </x:c>
      <x:c r="Q131" t="str">
        <x:v>CHECK_ONLY</x:v>
      </x:c>
      <x:c r="R131" t="str">
        <x:v>Kiểm tra từng thuộc tính có mặt; so sánh nguồn/role; không suy đoán từ kết quả render chưa có</x:v>
      </x:c>
      <x:c r="S131" t="str">
        <x:v>STRUCTURE_READ_EXISTING_WORKBOOK</x:v>
      </x:c>
      <x:c r="T131"/>
      <x:c r="U131" t="str">
        <x:v>Paragraph/Run theo kiểu khối DIEU; preserve list numbering/table/drawing nếu có</x:v>
      </x:c>
    </x:row>
    <x:row r="132">
      <x:c r="A132" t="n">
        <x:v>131</x:v>
      </x:c>
      <x:c r="B132" t="str">
        <x:v>HD05.N.DIEU.NOI_DUNG_DIEU.CAN_NGANG</x:v>
      </x:c>
      <x:c r="C132" t="str">
        <x:v>HD05.N.DIEU.NOI_DUNG_DIEU</x:v>
      </x:c>
      <x:c r="D132" t="str">
        <x:v>N</x:v>
      </x:c>
      <x:c r="E132" t="str">
        <x:v>Nội dung điều</x:v>
      </x:c>
      <x:c r="F132" t="str">
        <x:v>CAN_NGANG</x:v>
      </x:c>
      <x:c r="G132" t="str">
        <x:v>JUSTIFY</x:v>
      </x:c>
      <x:c r="H132"/>
      <x:c r="I132" t="str">
        <x:v>UNVERIFIED_ATTRIBUTE</x:v>
      </x:c>
      <x:c r="J132" t="str">
        <x:v>PROFILE_PRESET_UNAPPROVED</x:v>
      </x:c>
      <x:c r="K132" t="str">
        <x:v>Chỉ khi văn bản có phân cấp này; giữ số, tên và thứ bậc thực tế; không tự đánh lại số</x:v>
      </x:c>
      <x:c r="L132" t="str">
        <x:v>Bảo toàn cấu trúc/nội dung; nếu khác loại văn bản, ưu tiên đúng mẫu của loại đó; không sửa khi thiếu căn cứ.</x:v>
      </x:c>
      <x:c r="M132"/>
      <x:c r="N132" t="str">
        <x:v>HD05, Phần II, I.6 và IV; Phụ lục 2 mục 6</x:v>
      </x:c>
      <x:c r="O132" t="str">
        <x:v>https://tulieuvankien.dangcongsan.vn/upload/2006988/20260529/HD_05_VPTW_e1550.pdf</x:v>
      </x:c>
      <x:c r="P132" t="str">
        <x:v>PLUGIN:HOA-TIEU-MIEN-BAC-PARTY-HD05-HEADER-2026 | NEEDS_REVIEW</x:v>
      </x:c>
      <x:c r="Q132" t="str">
        <x:v>CHECK_ONLY</x:v>
      </x:c>
      <x:c r="R132" t="str">
        <x:v>Kiểm tra từng thuộc tính có mặt; so sánh nguồn/role; không suy đoán từ kết quả render chưa có</x:v>
      </x:c>
      <x:c r="S132" t="str">
        <x:v>STRUCTURE_READ_EXISTING_WORKBOOK</x:v>
      </x:c>
      <x:c r="T132"/>
      <x:c r="U132" t="str">
        <x:v>Paragraph/Run theo kiểu khối DIEU; preserve list numbering/table/drawing nếu có</x:v>
      </x:c>
    </x:row>
    <x:row r="133">
      <x:c r="A133" t="n">
        <x:v>132</x:v>
      </x:c>
      <x:c r="B133" t="str">
        <x:v>HD05.N.DIEU.NOI_DUNG_DIEU.GIAN_DONG</x:v>
      </x:c>
      <x:c r="C133" t="str">
        <x:v>HD05.N.DIEU.NOI_DUNG_DIEU</x:v>
      </x:c>
      <x:c r="D133" t="str">
        <x:v>N</x:v>
      </x:c>
      <x:c r="E133" t="str">
        <x:v>Nội dung điều</x:v>
      </x:c>
      <x:c r="F133" t="str">
        <x:v>GIAN_DONG</x:v>
      </x:c>
      <x:c r="G133" t="n">
        <x:v>19</x:v>
      </x:c>
      <x:c r="H133"/>
      <x:c r="I133" t="str">
        <x:v>UNVERIFIED_ATTRIBUTE</x:v>
      </x:c>
      <x:c r="J133" t="str">
        <x:v>PROFILE_PRESET_UNAPPROVED</x:v>
      </x:c>
      <x:c r="K133" t="str">
        <x:v>Chỉ khi văn bản có phân cấp này; giữ số, tên và thứ bậc thực tế; không tự đánh lại số</x:v>
      </x:c>
      <x:c r="L133" t="str">
        <x:v>Bảo toàn cấu trúc/nội dung; nếu khác loại văn bản, ưu tiên đúng mẫu của loại đó; không sửa khi thiếu căn cứ. HD05 phần thân: Exactly 18–22 pt theo HD05; nếu giá trị profile khác phải đánh cờ xung đột.</x:v>
      </x:c>
      <x:c r="M133" t="str">
        <x:v>pt</x:v>
      </x:c>
      <x:c r="N133" t="str">
        <x:v>HD05, Phần II, I.6 và IV; Phụ lục 2 mục 6</x:v>
      </x:c>
      <x:c r="O133" t="str">
        <x:v>https://tulieuvankien.dangcongsan.vn/upload/2006988/20260529/HD_05_VPTW_e1550.pdf</x:v>
      </x:c>
      <x:c r="P133" t="str">
        <x:v>PLUGIN:HOA-TIEU-MIEN-BAC-PARTY-HD05-HEADER-2026 | NEEDS_REVIEW</x:v>
      </x:c>
      <x:c r="Q133" t="str">
        <x:v>CHECK_ONLY</x:v>
      </x:c>
      <x:c r="R133" t="str">
        <x:v>Kiểm tra từng thuộc tính có mặt; so sánh nguồn/role; không suy đoán từ kết quả render chưa có</x:v>
      </x:c>
      <x:c r="S133" t="str">
        <x:v>STRUCTURE_READ_EXISTING_WORKBOOK</x:v>
      </x:c>
      <x:c r="T133"/>
      <x:c r="U133" t="str">
        <x:v>Paragraph/Run theo kiểu khối DIEU; preserve list numbering/table/drawing nếu có</x:v>
      </x:c>
    </x:row>
    <x:row r="134">
      <x:c r="A134" t="n">
        <x:v>133</x:v>
      </x:c>
      <x:c r="B134" t="str">
        <x:v>HD05.N.DIEU.NOI_DUNG_DIEU.CACH_TRUOC</x:v>
      </x:c>
      <x:c r="C134" t="str">
        <x:v>HD05.N.DIEU.NOI_DUNG_DIEU</x:v>
      </x:c>
      <x:c r="D134" t="str">
        <x:v>N</x:v>
      </x:c>
      <x:c r="E134" t="str">
        <x:v>Nội dung điều</x:v>
      </x:c>
      <x:c r="F134" t="str">
        <x:v>CACH_TRUOC</x:v>
      </x:c>
      <x:c r="G134" t="n">
        <x:v>0</x:v>
      </x:c>
      <x:c r="H134"/>
      <x:c r="I134" t="str">
        <x:v>UNVERIFIED_ATTRIBUTE</x:v>
      </x:c>
      <x:c r="J134" t="str">
        <x:v>PROFILE_PRESET_UNAPPROVED</x:v>
      </x:c>
      <x:c r="K134" t="str">
        <x:v>Chỉ khi văn bản có phân cấp này; giữ số, tên và thứ bậc thực tế; không tự đánh lại số</x:v>
      </x:c>
      <x:c r="L134" t="str">
        <x:v>Bảo toàn cấu trúc/nội dung; nếu khác loại văn bản, ưu tiên đúng mẫu của loại đó; không sửa khi thiếu căn cứ.</x:v>
      </x:c>
      <x:c r="M134" t="str">
        <x:v>pt</x:v>
      </x:c>
      <x:c r="N134" t="str">
        <x:v>HD05, Phần II, I.6 và IV; Phụ lục 2 mục 6</x:v>
      </x:c>
      <x:c r="O134" t="str">
        <x:v>https://tulieuvankien.dangcongsan.vn/upload/2006988/20260529/HD_05_VPTW_e1550.pdf</x:v>
      </x:c>
      <x:c r="P134" t="str">
        <x:v>PLUGIN:HOA-TIEU-MIEN-BAC-PARTY-HD05-HEADER-2026 | NEEDS_REVIEW</x:v>
      </x:c>
      <x:c r="Q134" t="str">
        <x:v>CHECK_ONLY</x:v>
      </x:c>
      <x:c r="R134" t="str">
        <x:v>Kiểm tra từng thuộc tính có mặt; so sánh nguồn/role; không suy đoán từ kết quả render chưa có</x:v>
      </x:c>
      <x:c r="S134" t="str">
        <x:v>STRUCTURE_READ_EXISTING_WORKBOOK</x:v>
      </x:c>
      <x:c r="T134"/>
      <x:c r="U134" t="str">
        <x:v>Paragraph/Run theo kiểu khối DIEU; preserve list numbering/table/drawing nếu có</x:v>
      </x:c>
    </x:row>
    <x:row r="135">
      <x:c r="A135" t="n">
        <x:v>134</x:v>
      </x:c>
      <x:c r="B135" t="str">
        <x:v>HD05.N.DIEU.NOI_DUNG_DIEU.CACH_SAU</x:v>
      </x:c>
      <x:c r="C135" t="str">
        <x:v>HD05.N.DIEU.NOI_DUNG_DIEU</x:v>
      </x:c>
      <x:c r="D135" t="str">
        <x:v>N</x:v>
      </x:c>
      <x:c r="E135" t="str">
        <x:v>Nội dung điều</x:v>
      </x:c>
      <x:c r="F135" t="str">
        <x:v>CACH_SAU</x:v>
      </x:c>
      <x:c r="G135" t="n">
        <x:v>6</x:v>
      </x:c>
      <x:c r="H135"/>
      <x:c r="I135" t="str">
        <x:v>UNVERIFIED_ATTRIBUTE</x:v>
      </x:c>
      <x:c r="J135" t="str">
        <x:v>PROFILE_PRESET_UNAPPROVED</x:v>
      </x:c>
      <x:c r="K135" t="str">
        <x:v>Chỉ khi văn bản có phân cấp này; giữ số, tên và thứ bậc thực tế; không tự đánh lại số</x:v>
      </x:c>
      <x:c r="L135" t="str">
        <x:v>Bảo toàn cấu trúc/nội dung; nếu khác loại văn bản, ưu tiên đúng mẫu của loại đó; không sửa khi thiếu căn cứ.</x:v>
      </x:c>
      <x:c r="M135" t="str">
        <x:v>pt</x:v>
      </x:c>
      <x:c r="N135" t="str">
        <x:v>HD05, Phần II, I.6 và IV; Phụ lục 2 mục 6</x:v>
      </x:c>
      <x:c r="O135" t="str">
        <x:v>https://tulieuvankien.dangcongsan.vn/upload/2006988/20260529/HD_05_VPTW_e1550.pdf</x:v>
      </x:c>
      <x:c r="P135" t="str">
        <x:v>PLUGIN:HOA-TIEU-MIEN-BAC-PARTY-HD05-HEADER-2026 | NEEDS_REVIEW</x:v>
      </x:c>
      <x:c r="Q135" t="str">
        <x:v>CHECK_ONLY</x:v>
      </x:c>
      <x:c r="R135" t="str">
        <x:v>Kiểm tra từng thuộc tính có mặt; so sánh nguồn/role; không suy đoán từ kết quả render chưa có</x:v>
      </x:c>
      <x:c r="S135" t="str">
        <x:v>STRUCTURE_READ_EXISTING_WORKBOOK</x:v>
      </x:c>
      <x:c r="T135"/>
      <x:c r="U135" t="str">
        <x:v>Paragraph/Run theo kiểu khối DIEU; preserve list numbering/table/drawing nếu có</x:v>
      </x:c>
    </x:row>
    <x:row r="136">
      <x:c r="A136" t="n">
        <x:v>135</x:v>
      </x:c>
      <x:c r="B136" t="str">
        <x:v>HD05.N.DIEU.NOI_DUNG_DIEU.THUT_DONG_DAU</x:v>
      </x:c>
      <x:c r="C136" t="str">
        <x:v>HD05.N.DIEU.NOI_DUNG_DIEU</x:v>
      </x:c>
      <x:c r="D136" t="str">
        <x:v>N</x:v>
      </x:c>
      <x:c r="E136" t="str">
        <x:v>Nội dung điều</x:v>
      </x:c>
      <x:c r="F136" t="str">
        <x:v>THUT_DONG_DAU</x:v>
      </x:c>
      <x:c r="G136" t="n">
        <x:v>10</x:v>
      </x:c>
      <x:c r="H136"/>
      <x:c r="I136" t="str">
        <x:v>UNVERIFIED_ATTRIBUTE</x:v>
      </x:c>
      <x:c r="J136" t="str">
        <x:v>PROFILE_PRESET_UNAPPROVED</x:v>
      </x:c>
      <x:c r="K136" t="str">
        <x:v>Chỉ khi văn bản có phân cấp này; giữ số, tên và thứ bậc thực tế; không tự đánh lại số</x:v>
      </x:c>
      <x:c r="L136" t="str">
        <x:v>Bảo toàn cấu trúc/nội dung; nếu khác loại văn bản, ưu tiên đúng mẫu của loại đó; không sửa khi thiếu căn cứ.</x:v>
      </x:c>
      <x:c r="M136" t="str">
        <x:v>mm</x:v>
      </x:c>
      <x:c r="N136" t="str">
        <x:v>HD05, Phần II, I.6 và IV; Phụ lục 2 mục 6</x:v>
      </x:c>
      <x:c r="O136" t="str">
        <x:v>https://tulieuvankien.dangcongsan.vn/upload/2006988/20260529/HD_05_VPTW_e1550.pdf</x:v>
      </x:c>
      <x:c r="P136" t="str">
        <x:v>PLUGIN:HOA-TIEU-MIEN-BAC-PARTY-HD05-HEADER-2026 | NEEDS_REVIEW</x:v>
      </x:c>
      <x:c r="Q136" t="str">
        <x:v>CHECK_ONLY</x:v>
      </x:c>
      <x:c r="R136" t="str">
        <x:v>Kiểm tra từng thuộc tính có mặt; so sánh nguồn/role; không suy đoán từ kết quả render chưa có</x:v>
      </x:c>
      <x:c r="S136" t="str">
        <x:v>STRUCTURE_READ_EXISTING_WORKBOOK</x:v>
      </x:c>
      <x:c r="T136"/>
      <x:c r="U136" t="str">
        <x:v>Paragraph/Run theo kiểu khối DIEU; preserve list numbering/table/drawing nếu có</x:v>
      </x:c>
    </x:row>
    <x:row r="137">
      <x:c r="A137" t="n">
        <x:v>136</x:v>
      </x:c>
      <x:c r="B137" t="str">
        <x:v>HD05.N.DIEU.NOI_DUNG_DIEU.KEEP_NEXT</x:v>
      </x:c>
      <x:c r="C137" t="str">
        <x:v>HD05.N.DIEU.NOI_DUNG_DIEU</x:v>
      </x:c>
      <x:c r="D137" t="str">
        <x:v>N</x:v>
      </x:c>
      <x:c r="E137" t="str">
        <x:v>Nội dung điều</x:v>
      </x:c>
      <x:c r="F137" t="str">
        <x:v>KEEP_NEXT</x:v>
      </x:c>
      <x:c r="G137"/>
      <x:c r="H137"/>
      <x:c r="I137" t="str">
        <x:v>UNVERIFIED_ATTRIBUTE</x:v>
      </x:c>
      <x:c r="J137" t="str">
        <x:v>BLOCKED_NO_ATTRIBUTE_VALUE</x:v>
      </x:c>
      <x:c r="K137" t="str">
        <x:v>Chỉ khi văn bản có phân cấp này; giữ số, tên và thứ bậc thực tế; không tự đánh lại số</x:v>
      </x:c>
      <x:c r="L137" t="str">
        <x:v>Bảo toàn cấu trúc/nội dung; nếu khác loại văn bản, ưu tiên đúng mẫu của loại đó; không sửa khi thiếu căn cứ.</x:v>
      </x:c>
      <x:c r="M137"/>
      <x:c r="N137" t="str">
        <x:v>HD05, Phần II, I.6 và IV; Phụ lục 2 mục 6</x:v>
      </x:c>
      <x:c r="O137" t="str">
        <x:v>https://tulieuvankien.dangcongsan.vn/upload/2006988/20260529/HD_05_VPTW_e1550.pdf</x:v>
      </x:c>
      <x:c r="P137" t="str">
        <x:v>PLUGIN:HOA-TIEU-MIEN-BAC-PARTY-HD05-HEADER-2026 | NEEDS_REVIEW</x:v>
      </x:c>
      <x:c r="Q137" t="str">
        <x:v>CHECK_ONLY</x:v>
      </x:c>
      <x:c r="R137" t="str">
        <x:v>Kiểm tra từng thuộc tính có mặt; so sánh nguồn/role; không suy đoán từ kết quả render chưa có</x:v>
      </x:c>
      <x:c r="S137" t="str">
        <x:v>RULE_INFERENCE_NOT_MEASURED</x:v>
      </x:c>
      <x:c r="T137" t="str">
        <x:v>Xác minh căn cứ theo loại văn bản / tài liệu phát hành hoặc phê duyệt</x:v>
      </x:c>
      <x:c r="U137" t="str">
        <x:v>Paragraph/Run theo kiểu khối DIEU; preserve list numbering/table/drawing nếu có</x:v>
      </x:c>
    </x:row>
    <x:row r="138">
      <x:c r="A138" t="n">
        <x:v>137</x:v>
      </x:c>
      <x:c r="B138" t="str">
        <x:v>HD05.N.DIEU.NOI_DUNG_DIEU.SO_THU_TU</x:v>
      </x:c>
      <x:c r="C138" t="str">
        <x:v>HD05.N.DIEU.NOI_DUNG_DIEU</x:v>
      </x:c>
      <x:c r="D138" t="str">
        <x:v>N</x:v>
      </x:c>
      <x:c r="E138" t="str">
        <x:v>Nội dung điều</x:v>
      </x:c>
      <x:c r="F138" t="str">
        <x:v>SO_THU_TU</x:v>
      </x:c>
      <x:c r="G138"/>
      <x:c r="H138"/>
      <x:c r="I138" t="str">
        <x:v>UNVERIFIED_ATTRIBUTE</x:v>
      </x:c>
      <x:c r="J138" t="str">
        <x:v>BLOCKED_NO_ATTRIBUTE_VALUE</x:v>
      </x:c>
      <x:c r="K138" t="str">
        <x:v>Chỉ khi văn bản có phân cấp này; giữ số, tên và thứ bậc thực tế; không tự đánh lại số</x:v>
      </x:c>
      <x:c r="L138" t="str">
        <x:v>Bảo toàn cấu trúc/nội dung; nếu khác loại văn bản, ưu tiên đúng mẫu của loại đó; không sửa khi thiếu căn cứ.</x:v>
      </x:c>
      <x:c r="M138"/>
      <x:c r="N138" t="str">
        <x:v>HD05, Phần II, I.6 và IV; Phụ lục 2 mục 6</x:v>
      </x:c>
      <x:c r="O138" t="str">
        <x:v>https://tulieuvankien.dangcongsan.vn/upload/2006988/20260529/HD_05_VPTW_e1550.pdf</x:v>
      </x:c>
      <x:c r="P138" t="str">
        <x:v>PLUGIN:HOA-TIEU-MIEN-BAC-PARTY-HD05-HEADER-2026 | NEEDS_REVIEW</x:v>
      </x:c>
      <x:c r="Q138" t="str">
        <x:v>CHECK_ONLY</x:v>
      </x:c>
      <x:c r="R138" t="str">
        <x:v>Kiểm tra từng thuộc tính có mặt; so sánh nguồn/role; không suy đoán từ kết quả render chưa có</x:v>
      </x:c>
      <x:c r="S138" t="str">
        <x:v>RULE_INFERENCE_NOT_MEASURED</x:v>
      </x:c>
      <x:c r="T138" t="str">
        <x:v>Xác minh căn cứ theo loại văn bản / tài liệu phát hành hoặc phê duyệt</x:v>
      </x:c>
      <x:c r="U138" t="str">
        <x:v>Paragraph/Run theo kiểu khối DIEU; preserve list numbering/table/drawing nếu có</x:v>
      </x:c>
    </x:row>
    <x:row r="139">
      <x:c r="A139" t="n">
        <x:v>138</x:v>
      </x:c>
      <x:c r="B139" t="str">
        <x:v>HD05.N.DIEU.NOI_DUNG_DIEU.CAU_TRUC</x:v>
      </x:c>
      <x:c r="C139" t="str">
        <x:v>HD05.N.DIEU.NOI_DUNG_DIEU</x:v>
      </x:c>
      <x:c r="D139" t="str">
        <x:v>N</x:v>
      </x:c>
      <x:c r="E139" t="str">
        <x:v>Nội dung điều</x:v>
      </x:c>
      <x:c r="F139" t="str">
        <x:v>CAU_TRUC</x:v>
      </x:c>
      <x:c r="G139"/>
      <x:c r="H139"/>
      <x:c r="I139" t="str">
        <x:v>UNVERIFIED_ATTRIBUTE</x:v>
      </x:c>
      <x:c r="J139" t="str">
        <x:v>BLOCKED_NO_ATTRIBUTE_VALUE</x:v>
      </x:c>
      <x:c r="K139" t="str">
        <x:v>Chỉ khi văn bản có phân cấp này; giữ số, tên và thứ bậc thực tế; không tự đánh lại số</x:v>
      </x:c>
      <x:c r="L139" t="str">
        <x:v>Bảo toàn cấu trúc/nội dung; nếu khác loại văn bản, ưu tiên đúng mẫu của loại đó; không sửa khi thiếu căn cứ.</x:v>
      </x:c>
      <x:c r="M139"/>
      <x:c r="N139" t="str">
        <x:v>HD05, Phần II, I.6 và IV; Phụ lục 2 mục 6</x:v>
      </x:c>
      <x:c r="O139" t="str">
        <x:v>https://tulieuvankien.dangcongsan.vn/upload/2006988/20260529/HD_05_VPTW_e1550.pdf</x:v>
      </x:c>
      <x:c r="P139" t="str">
        <x:v>PLUGIN:HOA-TIEU-MIEN-BAC-PARTY-HD05-HEADER-2026 | NEEDS_REVIEW</x:v>
      </x:c>
      <x:c r="Q139" t="str">
        <x:v>CHECK_ONLY</x:v>
      </x:c>
      <x:c r="R139" t="str">
        <x:v>Kiểm tra từng thuộc tính có mặt; so sánh nguồn/role; không suy đoán từ kết quả render chưa có</x:v>
      </x:c>
      <x:c r="S139" t="str">
        <x:v>RULE_INFERENCE_NOT_MEASURED</x:v>
      </x:c>
      <x:c r="T139" t="str">
        <x:v>Xác minh căn cứ theo loại văn bản / tài liệu phát hành hoặc phê duyệt</x:v>
      </x:c>
      <x:c r="U139" t="str">
        <x:v>Paragraph/Run theo kiểu khối DIEU; preserve list numbering/table/drawing nếu có</x:v>
      </x:c>
    </x:row>
    <x:row r="140">
      <x:c r="A140" t="n">
        <x:v>139</x:v>
      </x:c>
      <x:c r="B140" t="str">
        <x:v>HD05.N.DIEU.NOI_DUNG_DIEU.DAU_CAU</x:v>
      </x:c>
      <x:c r="C140" t="str">
        <x:v>HD05.N.DIEU.NOI_DUNG_DIEU</x:v>
      </x:c>
      <x:c r="D140" t="str">
        <x:v>N</x:v>
      </x:c>
      <x:c r="E140" t="str">
        <x:v>Nội dung điều</x:v>
      </x:c>
      <x:c r="F140" t="str">
        <x:v>DAU_CAU</x:v>
      </x:c>
      <x:c r="G140"/>
      <x:c r="H140"/>
      <x:c r="I140" t="str">
        <x:v>UNVERIFIED_ATTRIBUTE</x:v>
      </x:c>
      <x:c r="J140" t="str">
        <x:v>BLOCKED_NO_ATTRIBUTE_VALUE</x:v>
      </x:c>
      <x:c r="K140" t="str">
        <x:v>Chỉ khi văn bản có phân cấp này; giữ số, tên và thứ bậc thực tế; không tự đánh lại số</x:v>
      </x:c>
      <x:c r="L140" t="str">
        <x:v>Bảo toàn cấu trúc/nội dung; nếu khác loại văn bản, ưu tiên đúng mẫu của loại đó; không sửa khi thiếu căn cứ.</x:v>
      </x:c>
      <x:c r="M140"/>
      <x:c r="N140" t="str">
        <x:v>HD05, Phần II, I.6 và IV; Phụ lục 2 mục 6</x:v>
      </x:c>
      <x:c r="O140" t="str">
        <x:v>https://tulieuvankien.dangcongsan.vn/upload/2006988/20260529/HD_05_VPTW_e1550.pdf</x:v>
      </x:c>
      <x:c r="P140" t="str">
        <x:v>PLUGIN:HOA-TIEU-MIEN-BAC-PARTY-HD05-HEADER-2026 | NEEDS_REVIEW</x:v>
      </x:c>
      <x:c r="Q140" t="str">
        <x:v>CHECK_ONLY</x:v>
      </x:c>
      <x:c r="R140" t="str">
        <x:v>Kiểm tra từng thuộc tính có mặt; so sánh nguồn/role; không suy đoán từ kết quả render chưa có</x:v>
      </x:c>
      <x:c r="S140" t="str">
        <x:v>RULE_INFERENCE_NOT_MEASURED</x:v>
      </x:c>
      <x:c r="T140" t="str">
        <x:v>Xác minh căn cứ theo loại văn bản / tài liệu phát hành hoặc phê duyệt</x:v>
      </x:c>
      <x:c r="U140" t="str">
        <x:v>Paragraph/Run theo kiểu khối DIEU; preserve list numbering/table/drawing nếu có</x:v>
      </x:c>
    </x:row>
    <x:row r="141">
      <x:c r="A141" t="n">
        <x:v>140</x:v>
      </x:c>
      <x:c r="B141" t="str">
        <x:v>HD05.N.KD.KHOAN.HIEN_DIEN</x:v>
      </x:c>
      <x:c r="C141" t="str">
        <x:v>HD05.N.KD.KHOAN</x:v>
      </x:c>
      <x:c r="D141" t="str">
        <x:v>N</x:v>
      </x:c>
      <x:c r="E141" t="str">
        <x:v>Khoản</x:v>
      </x:c>
      <x:c r="F141" t="str">
        <x:v>HIEN_DIEN</x:v>
      </x:c>
      <x:c r="G141" t="str">
        <x:v>Theo loại văn bản và sự hiện diện thực tế; không áp dụng đồng loạt</x:v>
      </x:c>
      <x:c r="H141"/>
      <x:c r="I141" t="str">
        <x:v>UNVERIFIED_ATTRIBUTE</x:v>
      </x:c>
      <x:c r="J141" t="str">
        <x:v>SOURCE_DESCRIPTION_NOT_APPROVAL</x:v>
      </x:c>
      <x:c r="K141" t="str">
        <x:v>Chỉ khi văn bản có phân cấp này; giữ số, tên và thứ bậc thực tế; không tự đánh lại số</x:v>
      </x:c>
      <x:c r="L141" t="str">
        <x:v>Bảo toàn cấu trúc/nội dung; nếu khác loại văn bản, ưu tiên đúng mẫu của loại đó; không sửa khi thiếu căn cứ.</x:v>
      </x:c>
      <x:c r="M141"/>
      <x:c r="N141" t="str">
        <x:v>HD05, Phần II, I.6 và IV; Phụ lục 2 mục 6</x:v>
      </x:c>
      <x:c r="O141" t="str">
        <x:v>https://tulieuvankien.dangcongsan.vn/upload/2006988/20260529/HD_05_VPTW_e1550.pdf</x:v>
      </x:c>
      <x:c r="P141" t="str">
        <x:v>PLUGIN:HOA-TIEU-MIEN-BAC-PARTY-HD05-HEADER-2026 | NEEDS_REVIEW</x:v>
      </x:c>
      <x:c r="Q141" t="str">
        <x:v>CHECK_ONLY</x:v>
      </x:c>
      <x:c r="R141" t="str">
        <x:v>Kiểm tra từng thuộc tính có mặt; so sánh nguồn/role; không suy đoán từ kết quả render chưa có</x:v>
      </x:c>
      <x:c r="S141" t="str">
        <x:v>STRUCTURE_READ_EXISTING_WORKBOOK</x:v>
      </x:c>
      <x:c r="T141"/>
      <x:c r="U141" t="str">
        <x:v>Paragraph/Run theo kiểu khối KD; preserve list numbering/table/drawing nếu có</x:v>
      </x:c>
    </x:row>
    <x:row r="142">
      <x:c r="A142" t="n">
        <x:v>141</x:v>
      </x:c>
      <x:c r="B142" t="str">
        <x:v>HD05.N.KD.KHOAN.NOI_DUNG</x:v>
      </x:c>
      <x:c r="C142" t="str">
        <x:v>HD05.N.KD.KHOAN</x:v>
      </x:c>
      <x:c r="D142" t="str">
        <x:v>N</x:v>
      </x:c>
      <x:c r="E142" t="str">
        <x:v>Khoản</x:v>
      </x:c>
      <x:c r="F142" t="str">
        <x:v>NOI_DUNG</x:v>
      </x:c>
      <x:c r="G142" t="str">
        <x:v>Khoản</x:v>
      </x:c>
      <x:c r="H142"/>
      <x:c r="I142" t="str">
        <x:v>UNVERIFIED_ATTRIBUTE</x:v>
      </x:c>
      <x:c r="J142" t="str">
        <x:v>SOURCE_DESCRIPTION_NOT_APPROVAL</x:v>
      </x:c>
      <x:c r="K142" t="str">
        <x:v>Chỉ khi văn bản có phân cấp này; giữ số, tên và thứ bậc thực tế; không tự đánh lại số</x:v>
      </x:c>
      <x:c r="L142" t="str">
        <x:v>Bảo toàn cấu trúc/nội dung; nếu khác loại văn bản, ưu tiên đúng mẫu của loại đó; không sửa khi thiếu căn cứ.</x:v>
      </x:c>
      <x:c r="M142"/>
      <x:c r="N142" t="str">
        <x:v>HD05, Phần II, I.6 và IV; Phụ lục 2 mục 6</x:v>
      </x:c>
      <x:c r="O142" t="str">
        <x:v>https://tulieuvankien.dangcongsan.vn/upload/2006988/20260529/HD_05_VPTW_e1550.pdf</x:v>
      </x:c>
      <x:c r="P142" t="str">
        <x:v>PLUGIN:HOA-TIEU-MIEN-BAC-PARTY-HD05-HEADER-2026 | NEEDS_REVIEW</x:v>
      </x:c>
      <x:c r="Q142" t="str">
        <x:v>CHECK_ONLY</x:v>
      </x:c>
      <x:c r="R142" t="str">
        <x:v>Kiểm tra từng thuộc tính có mặt; so sánh nguồn/role; không suy đoán từ kết quả render chưa có</x:v>
      </x:c>
      <x:c r="S142" t="str">
        <x:v>STRUCTURE_READ_EXISTING_WORKBOOK</x:v>
      </x:c>
      <x:c r="T142"/>
      <x:c r="U142" t="str">
        <x:v>Paragraph/Run theo kiểu khối KD; preserve list numbering/table/drawing nếu có</x:v>
      </x:c>
    </x:row>
    <x:row r="143">
      <x:c r="A143" t="n">
        <x:v>142</x:v>
      </x:c>
      <x:c r="B143" t="str">
        <x:v>HD05.N.KD.KHOAN.PHONG_CHU</x:v>
      </x:c>
      <x:c r="C143" t="str">
        <x:v>HD05.N.KD.KHOAN</x:v>
      </x:c>
      <x:c r="D143" t="str">
        <x:v>N</x:v>
      </x:c>
      <x:c r="E143" t="str">
        <x:v>Khoản</x:v>
      </x:c>
      <x:c r="F143" t="str">
        <x:v>PHONG_CHU</x:v>
      </x:c>
      <x:c r="G143" t="str">
        <x:v>Times New Roman</x:v>
      </x:c>
      <x:c r="H143"/>
      <x:c r="I143" t="str">
        <x:v>UNVERIFIED_ATTRIBUTE</x:v>
      </x:c>
      <x:c r="J143" t="str">
        <x:v>PROFILE_PRESET_UNAPPROVED</x:v>
      </x:c>
      <x:c r="K143" t="str">
        <x:v>Chỉ khi văn bản có phân cấp này; giữ số, tên và thứ bậc thực tế; không tự đánh lại số</x:v>
      </x:c>
      <x:c r="L143" t="str">
        <x:v>Bảo toàn cấu trúc/nội dung; nếu khác loại văn bản, ưu tiên đúng mẫu của loại đó; không sửa khi thiếu căn cứ.</x:v>
      </x:c>
      <x:c r="M143"/>
      <x:c r="N143" t="str">
        <x:v>HD05, Phần II, I.6 và IV; Phụ lục 2 mục 6</x:v>
      </x:c>
      <x:c r="O143" t="str">
        <x:v>https://tulieuvankien.dangcongsan.vn/upload/2006988/20260529/HD_05_VPTW_e1550.pdf</x:v>
      </x:c>
      <x:c r="P143" t="str">
        <x:v>PLUGIN:HOA-TIEU-MIEN-BAC-PARTY-HD05-HEADER-2026 | NEEDS_REVIEW</x:v>
      </x:c>
      <x:c r="Q143" t="str">
        <x:v>CHECK_ONLY</x:v>
      </x:c>
      <x:c r="R143" t="str">
        <x:v>Kiểm tra từng thuộc tính có mặt; so sánh nguồn/role; không suy đoán từ kết quả render chưa có</x:v>
      </x:c>
      <x:c r="S143" t="str">
        <x:v>STRUCTURE_READ_EXISTING_WORKBOOK</x:v>
      </x:c>
      <x:c r="T143"/>
      <x:c r="U143" t="str">
        <x:v>Paragraph/Run theo kiểu khối KD; preserve list numbering/table/drawing nếu có</x:v>
      </x:c>
    </x:row>
    <x:row r="144">
      <x:c r="A144" t="n">
        <x:v>143</x:v>
      </x:c>
      <x:c r="B144" t="str">
        <x:v>HD05.N.KD.KHOAN.CO_CHU</x:v>
      </x:c>
      <x:c r="C144" t="str">
        <x:v>HD05.N.KD.KHOAN</x:v>
      </x:c>
      <x:c r="D144" t="str">
        <x:v>N</x:v>
      </x:c>
      <x:c r="E144" t="str">
        <x:v>Khoản</x:v>
      </x:c>
      <x:c r="F144" t="str">
        <x:v>CO_CHU</x:v>
      </x:c>
      <x:c r="G144" t="n">
        <x:v>14</x:v>
      </x:c>
      <x:c r="H144"/>
      <x:c r="I144" t="str">
        <x:v>UNVERIFIED_ATTRIBUTE</x:v>
      </x:c>
      <x:c r="J144" t="str">
        <x:v>PROFILE_PRESET_UNAPPROVED</x:v>
      </x:c>
      <x:c r="K144" t="str">
        <x:v>Chỉ khi văn bản có phân cấp này; giữ số, tên và thứ bậc thực tế; không tự đánh lại số</x:v>
      </x:c>
      <x:c r="L144" t="str">
        <x:v>Bảo toàn cấu trúc/nội dung; nếu khác loại văn bản, ưu tiên đúng mẫu của loại đó; không sửa khi thiếu căn cứ.</x:v>
      </x:c>
      <x:c r="M144" t="str">
        <x:v>pt</x:v>
      </x:c>
      <x:c r="N144" t="str">
        <x:v>HD05, Phần II, I.6 và IV; Phụ lục 2 mục 6</x:v>
      </x:c>
      <x:c r="O144" t="str">
        <x:v>https://tulieuvankien.dangcongsan.vn/upload/2006988/20260529/HD_05_VPTW_e1550.pdf</x:v>
      </x:c>
      <x:c r="P144" t="str">
        <x:v>PLUGIN:HOA-TIEU-MIEN-BAC-PARTY-HD05-HEADER-2026 | NEEDS_REVIEW</x:v>
      </x:c>
      <x:c r="Q144" t="str">
        <x:v>CHECK_ONLY</x:v>
      </x:c>
      <x:c r="R144" t="str">
        <x:v>Kiểm tra từng thuộc tính có mặt; so sánh nguồn/role; không suy đoán từ kết quả render chưa có</x:v>
      </x:c>
      <x:c r="S144" t="str">
        <x:v>STRUCTURE_READ_EXISTING_WORKBOOK</x:v>
      </x:c>
      <x:c r="T144"/>
      <x:c r="U144" t="str">
        <x:v>Paragraph/Run theo kiểu khối KD; preserve list numbering/table/drawing nếu có</x:v>
      </x:c>
    </x:row>
    <x:row r="145">
      <x:c r="A145" t="n">
        <x:v>144</x:v>
      </x:c>
      <x:c r="B145" t="str">
        <x:v>HD05.N.KD.KHOAN.DAM</x:v>
      </x:c>
      <x:c r="C145" t="str">
        <x:v>HD05.N.KD.KHOAN</x:v>
      </x:c>
      <x:c r="D145" t="str">
        <x:v>N</x:v>
      </x:c>
      <x:c r="E145" t="str">
        <x:v>Khoản</x:v>
      </x:c>
      <x:c r="F145" t="str">
        <x:v>DAM</x:v>
      </x:c>
      <x:c r="G145"/>
      <x:c r="H145"/>
      <x:c r="I145" t="str">
        <x:v>UNVERIFIED_ATTRIBUTE</x:v>
      </x:c>
      <x:c r="J145" t="str">
        <x:v>BLOCKED_NO_ATTRIBUTE_VALUE</x:v>
      </x:c>
      <x:c r="K145" t="str">
        <x:v>Chỉ khi văn bản có phân cấp này; giữ số, tên và thứ bậc thực tế; không tự đánh lại số</x:v>
      </x:c>
      <x:c r="L145" t="str">
        <x:v>Bảo toàn cấu trúc/nội dung; nếu khác loại văn bản, ưu tiên đúng mẫu của loại đó; không sửa khi thiếu căn cứ.</x:v>
      </x:c>
      <x:c r="M145"/>
      <x:c r="N145" t="str">
        <x:v>HD05, Phần II, I.6 và IV; Phụ lục 2 mục 6</x:v>
      </x:c>
      <x:c r="O145" t="str">
        <x:v>https://tulieuvankien.dangcongsan.vn/upload/2006988/20260529/HD_05_VPTW_e1550.pdf</x:v>
      </x:c>
      <x:c r="P145" t="str">
        <x:v>PLUGIN:HOA-TIEU-MIEN-BAC-PARTY-HD05-HEADER-2026 | NEEDS_REVIEW</x:v>
      </x:c>
      <x:c r="Q145" t="str">
        <x:v>CHECK_ONLY</x:v>
      </x:c>
      <x:c r="R145" t="str">
        <x:v>Kiểm tra từng thuộc tính có mặt; so sánh nguồn/role; không suy đoán từ kết quả render chưa có</x:v>
      </x:c>
      <x:c r="S145" t="str">
        <x:v>RULE_INFERENCE_NOT_MEASURED</x:v>
      </x:c>
      <x:c r="T145" t="str">
        <x:v>Xác minh căn cứ theo loại văn bản / tài liệu phát hành hoặc phê duyệt</x:v>
      </x:c>
      <x:c r="U145" t="str">
        <x:v>Paragraph/Run theo kiểu khối KD; preserve list numbering/table/drawing nếu có</x:v>
      </x:c>
    </x:row>
    <x:row r="146">
      <x:c r="A146" t="n">
        <x:v>145</x:v>
      </x:c>
      <x:c r="B146" t="str">
        <x:v>HD05.N.KD.KHOAN.NGHIENG</x:v>
      </x:c>
      <x:c r="C146" t="str">
        <x:v>HD05.N.KD.KHOAN</x:v>
      </x:c>
      <x:c r="D146" t="str">
        <x:v>N</x:v>
      </x:c>
      <x:c r="E146" t="str">
        <x:v>Khoản</x:v>
      </x:c>
      <x:c r="F146" t="str">
        <x:v>NGHIENG</x:v>
      </x:c>
      <x:c r="G146"/>
      <x:c r="H146"/>
      <x:c r="I146" t="str">
        <x:v>UNVERIFIED_ATTRIBUTE</x:v>
      </x:c>
      <x:c r="J146" t="str">
        <x:v>BLOCKED_NO_ATTRIBUTE_VALUE</x:v>
      </x:c>
      <x:c r="K146" t="str">
        <x:v>Chỉ khi văn bản có phân cấp này; giữ số, tên và thứ bậc thực tế; không tự đánh lại số</x:v>
      </x:c>
      <x:c r="L146" t="str">
        <x:v>Bảo toàn cấu trúc/nội dung; nếu khác loại văn bản, ưu tiên đúng mẫu của loại đó; không sửa khi thiếu căn cứ.</x:v>
      </x:c>
      <x:c r="M146"/>
      <x:c r="N146" t="str">
        <x:v>HD05, Phần II, I.6 và IV; Phụ lục 2 mục 6</x:v>
      </x:c>
      <x:c r="O146" t="str">
        <x:v>https://tulieuvankien.dangcongsan.vn/upload/2006988/20260529/HD_05_VPTW_e1550.pdf</x:v>
      </x:c>
      <x:c r="P146" t="str">
        <x:v>PLUGIN:HOA-TIEU-MIEN-BAC-PARTY-HD05-HEADER-2026 | NEEDS_REVIEW</x:v>
      </x:c>
      <x:c r="Q146" t="str">
        <x:v>CHECK_ONLY</x:v>
      </x:c>
      <x:c r="R146" t="str">
        <x:v>Kiểm tra từng thuộc tính có mặt; so sánh nguồn/role; không suy đoán từ kết quả render chưa có</x:v>
      </x:c>
      <x:c r="S146" t="str">
        <x:v>RULE_INFERENCE_NOT_MEASURED</x:v>
      </x:c>
      <x:c r="T146" t="str">
        <x:v>Xác minh căn cứ theo loại văn bản / tài liệu phát hành hoặc phê duyệt</x:v>
      </x:c>
      <x:c r="U146" t="str">
        <x:v>Paragraph/Run theo kiểu khối KD; preserve list numbering/table/drawing nếu có</x:v>
      </x:c>
    </x:row>
    <x:row r="147">
      <x:c r="A147" t="n">
        <x:v>146</x:v>
      </x:c>
      <x:c r="B147" t="str">
        <x:v>HD05.N.KD.KHOAN.KIEU_CHU</x:v>
      </x:c>
      <x:c r="C147" t="str">
        <x:v>HD05.N.KD.KHOAN</x:v>
      </x:c>
      <x:c r="D147" t="str">
        <x:v>N</x:v>
      </x:c>
      <x:c r="E147" t="str">
        <x:v>Khoản</x:v>
      </x:c>
      <x:c r="F147" t="str">
        <x:v>KIEU_CHU</x:v>
      </x:c>
      <x:c r="G147" t="str">
        <x:v>In thường</x:v>
      </x:c>
      <x:c r="H147"/>
      <x:c r="I147" t="str">
        <x:v>UNVERIFIED_ATTRIBUTE</x:v>
      </x:c>
      <x:c r="J147" t="str">
        <x:v>PROFILE_PRESET_UNAPPROVED</x:v>
      </x:c>
      <x:c r="K147" t="str">
        <x:v>Chỉ khi văn bản có phân cấp này; giữ số, tên và thứ bậc thực tế; không tự đánh lại số</x:v>
      </x:c>
      <x:c r="L147" t="str">
        <x:v>Bảo toàn cấu trúc/nội dung; nếu khác loại văn bản, ưu tiên đúng mẫu của loại đó; không sửa khi thiếu căn cứ.</x:v>
      </x:c>
      <x:c r="M147"/>
      <x:c r="N147" t="str">
        <x:v>HD05, Phần II, I.6 và IV; Phụ lục 2 mục 6</x:v>
      </x:c>
      <x:c r="O147" t="str">
        <x:v>https://tulieuvankien.dangcongsan.vn/upload/2006988/20260529/HD_05_VPTW_e1550.pdf</x:v>
      </x:c>
      <x:c r="P147" t="str">
        <x:v>PLUGIN:HOA-TIEU-MIEN-BAC-PARTY-HD05-HEADER-2026 | NEEDS_REVIEW</x:v>
      </x:c>
      <x:c r="Q147" t="str">
        <x:v>CHECK_ONLY</x:v>
      </x:c>
      <x:c r="R147" t="str">
        <x:v>Kiểm tra từng thuộc tính có mặt; so sánh nguồn/role; không suy đoán từ kết quả render chưa có</x:v>
      </x:c>
      <x:c r="S147" t="str">
        <x:v>STRUCTURE_READ_EXISTING_WORKBOOK</x:v>
      </x:c>
      <x:c r="T147"/>
      <x:c r="U147" t="str">
        <x:v>Paragraph/Run theo kiểu khối KD; preserve list numbering/table/drawing nếu có</x:v>
      </x:c>
    </x:row>
    <x:row r="148">
      <x:c r="A148" t="n">
        <x:v>147</x:v>
      </x:c>
      <x:c r="B148" t="str">
        <x:v>HD05.N.KD.KHOAN.CAN_NGANG</x:v>
      </x:c>
      <x:c r="C148" t="str">
        <x:v>HD05.N.KD.KHOAN</x:v>
      </x:c>
      <x:c r="D148" t="str">
        <x:v>N</x:v>
      </x:c>
      <x:c r="E148" t="str">
        <x:v>Khoản</x:v>
      </x:c>
      <x:c r="F148" t="str">
        <x:v>CAN_NGANG</x:v>
      </x:c>
      <x:c r="G148" t="str">
        <x:v>JUSTIFY</x:v>
      </x:c>
      <x:c r="H148"/>
      <x:c r="I148" t="str">
        <x:v>UNVERIFIED_ATTRIBUTE</x:v>
      </x:c>
      <x:c r="J148" t="str">
        <x:v>PROFILE_PRESET_UNAPPROVED</x:v>
      </x:c>
      <x:c r="K148" t="str">
        <x:v>Chỉ khi văn bản có phân cấp này; giữ số, tên và thứ bậc thực tế; không tự đánh lại số</x:v>
      </x:c>
      <x:c r="L148" t="str">
        <x:v>Bảo toàn cấu trúc/nội dung; nếu khác loại văn bản, ưu tiên đúng mẫu của loại đó; không sửa khi thiếu căn cứ.</x:v>
      </x:c>
      <x:c r="M148"/>
      <x:c r="N148" t="str">
        <x:v>HD05, Phần II, I.6 và IV; Phụ lục 2 mục 6</x:v>
      </x:c>
      <x:c r="O148" t="str">
        <x:v>https://tulieuvankien.dangcongsan.vn/upload/2006988/20260529/HD_05_VPTW_e1550.pdf</x:v>
      </x:c>
      <x:c r="P148" t="str">
        <x:v>PLUGIN:HOA-TIEU-MIEN-BAC-PARTY-HD05-HEADER-2026 | NEEDS_REVIEW</x:v>
      </x:c>
      <x:c r="Q148" t="str">
        <x:v>CHECK_ONLY</x:v>
      </x:c>
      <x:c r="R148" t="str">
        <x:v>Kiểm tra từng thuộc tính có mặt; so sánh nguồn/role; không suy đoán từ kết quả render chưa có</x:v>
      </x:c>
      <x:c r="S148" t="str">
        <x:v>STRUCTURE_READ_EXISTING_WORKBOOK</x:v>
      </x:c>
      <x:c r="T148"/>
      <x:c r="U148" t="str">
        <x:v>Paragraph/Run theo kiểu khối KD; preserve list numbering/table/drawing nếu có</x:v>
      </x:c>
    </x:row>
    <x:row r="149">
      <x:c r="A149" t="n">
        <x:v>148</x:v>
      </x:c>
      <x:c r="B149" t="str">
        <x:v>HD05.N.KD.KHOAN.GIAN_DONG</x:v>
      </x:c>
      <x:c r="C149" t="str">
        <x:v>HD05.N.KD.KHOAN</x:v>
      </x:c>
      <x:c r="D149" t="str">
        <x:v>N</x:v>
      </x:c>
      <x:c r="E149" t="str">
        <x:v>Khoản</x:v>
      </x:c>
      <x:c r="F149" t="str">
        <x:v>GIAN_DONG</x:v>
      </x:c>
      <x:c r="G149" t="n">
        <x:v>19</x:v>
      </x:c>
      <x:c r="H149"/>
      <x:c r="I149" t="str">
        <x:v>UNVERIFIED_ATTRIBUTE</x:v>
      </x:c>
      <x:c r="J149" t="str">
        <x:v>PROFILE_PRESET_UNAPPROVED</x:v>
      </x:c>
      <x:c r="K149" t="str">
        <x:v>Chỉ khi văn bản có phân cấp này; giữ số, tên và thứ bậc thực tế; không tự đánh lại số</x:v>
      </x:c>
      <x:c r="L149" t="str">
        <x:v>Bảo toàn cấu trúc/nội dung; nếu khác loại văn bản, ưu tiên đúng mẫu của loại đó; không sửa khi thiếu căn cứ. HD05 phần thân: Exactly 18–22 pt theo HD05; nếu giá trị profile khác phải đánh cờ xung đột.</x:v>
      </x:c>
      <x:c r="M149" t="str">
        <x:v>pt</x:v>
      </x:c>
      <x:c r="N149" t="str">
        <x:v>HD05, Phần II, I.6 và IV; Phụ lục 2 mục 6</x:v>
      </x:c>
      <x:c r="O149" t="str">
        <x:v>https://tulieuvankien.dangcongsan.vn/upload/2006988/20260529/HD_05_VPTW_e1550.pdf</x:v>
      </x:c>
      <x:c r="P149" t="str">
        <x:v>PLUGIN:HOA-TIEU-MIEN-BAC-PARTY-HD05-HEADER-2026 | NEEDS_REVIEW</x:v>
      </x:c>
      <x:c r="Q149" t="str">
        <x:v>CHECK_ONLY</x:v>
      </x:c>
      <x:c r="R149" t="str">
        <x:v>Kiểm tra từng thuộc tính có mặt; so sánh nguồn/role; không suy đoán từ kết quả render chưa có</x:v>
      </x:c>
      <x:c r="S149" t="str">
        <x:v>STRUCTURE_READ_EXISTING_WORKBOOK</x:v>
      </x:c>
      <x:c r="T149"/>
      <x:c r="U149" t="str">
        <x:v>Paragraph/Run theo kiểu khối KD; preserve list numbering/table/drawing nếu có</x:v>
      </x:c>
    </x:row>
    <x:row r="150">
      <x:c r="A150" t="n">
        <x:v>149</x:v>
      </x:c>
      <x:c r="B150" t="str">
        <x:v>HD05.N.KD.KHOAN.CACH_TRUOC</x:v>
      </x:c>
      <x:c r="C150" t="str">
        <x:v>HD05.N.KD.KHOAN</x:v>
      </x:c>
      <x:c r="D150" t="str">
        <x:v>N</x:v>
      </x:c>
      <x:c r="E150" t="str">
        <x:v>Khoản</x:v>
      </x:c>
      <x:c r="F150" t="str">
        <x:v>CACH_TRUOC</x:v>
      </x:c>
      <x:c r="G150" t="n">
        <x:v>0</x:v>
      </x:c>
      <x:c r="H150"/>
      <x:c r="I150" t="str">
        <x:v>UNVERIFIED_ATTRIBUTE</x:v>
      </x:c>
      <x:c r="J150" t="str">
        <x:v>PROFILE_PRESET_UNAPPROVED</x:v>
      </x:c>
      <x:c r="K150" t="str">
        <x:v>Chỉ khi văn bản có phân cấp này; giữ số, tên và thứ bậc thực tế; không tự đánh lại số</x:v>
      </x:c>
      <x:c r="L150" t="str">
        <x:v>Bảo toàn cấu trúc/nội dung; nếu khác loại văn bản, ưu tiên đúng mẫu của loại đó; không sửa khi thiếu căn cứ.</x:v>
      </x:c>
      <x:c r="M150" t="str">
        <x:v>pt</x:v>
      </x:c>
      <x:c r="N150" t="str">
        <x:v>HD05, Phần II, I.6 và IV; Phụ lục 2 mục 6</x:v>
      </x:c>
      <x:c r="O150" t="str">
        <x:v>https://tulieuvankien.dangcongsan.vn/upload/2006988/20260529/HD_05_VPTW_e1550.pdf</x:v>
      </x:c>
      <x:c r="P150" t="str">
        <x:v>PLUGIN:HOA-TIEU-MIEN-BAC-PARTY-HD05-HEADER-2026 | NEEDS_REVIEW</x:v>
      </x:c>
      <x:c r="Q150" t="str">
        <x:v>CHECK_ONLY</x:v>
      </x:c>
      <x:c r="R150" t="str">
        <x:v>Kiểm tra từng thuộc tính có mặt; so sánh nguồn/role; không suy đoán từ kết quả render chưa có</x:v>
      </x:c>
      <x:c r="S150" t="str">
        <x:v>STRUCTURE_READ_EXISTING_WORKBOOK</x:v>
      </x:c>
      <x:c r="T150"/>
      <x:c r="U150" t="str">
        <x:v>Paragraph/Run theo kiểu khối KD; preserve list numbering/table/drawing nếu có</x:v>
      </x:c>
    </x:row>
    <x:row r="151">
      <x:c r="A151" t="n">
        <x:v>150</x:v>
      </x:c>
      <x:c r="B151" t="str">
        <x:v>HD05.N.KD.KHOAN.CACH_SAU</x:v>
      </x:c>
      <x:c r="C151" t="str">
        <x:v>HD05.N.KD.KHOAN</x:v>
      </x:c>
      <x:c r="D151" t="str">
        <x:v>N</x:v>
      </x:c>
      <x:c r="E151" t="str">
        <x:v>Khoản</x:v>
      </x:c>
      <x:c r="F151" t="str">
        <x:v>CACH_SAU</x:v>
      </x:c>
      <x:c r="G151" t="n">
        <x:v>6</x:v>
      </x:c>
      <x:c r="H151"/>
      <x:c r="I151" t="str">
        <x:v>UNVERIFIED_ATTRIBUTE</x:v>
      </x:c>
      <x:c r="J151" t="str">
        <x:v>PROFILE_PRESET_UNAPPROVED</x:v>
      </x:c>
      <x:c r="K151" t="str">
        <x:v>Chỉ khi văn bản có phân cấp này; giữ số, tên và thứ bậc thực tế; không tự đánh lại số</x:v>
      </x:c>
      <x:c r="L151" t="str">
        <x:v>Bảo toàn cấu trúc/nội dung; nếu khác loại văn bản, ưu tiên đúng mẫu của loại đó; không sửa khi thiếu căn cứ.</x:v>
      </x:c>
      <x:c r="M151" t="str">
        <x:v>pt</x:v>
      </x:c>
      <x:c r="N151" t="str">
        <x:v>HD05, Phần II, I.6 và IV; Phụ lục 2 mục 6</x:v>
      </x:c>
      <x:c r="O151" t="str">
        <x:v>https://tulieuvankien.dangcongsan.vn/upload/2006988/20260529/HD_05_VPTW_e1550.pdf</x:v>
      </x:c>
      <x:c r="P151" t="str">
        <x:v>PLUGIN:HOA-TIEU-MIEN-BAC-PARTY-HD05-HEADER-2026 | NEEDS_REVIEW</x:v>
      </x:c>
      <x:c r="Q151" t="str">
        <x:v>CHECK_ONLY</x:v>
      </x:c>
      <x:c r="R151" t="str">
        <x:v>Kiểm tra từng thuộc tính có mặt; so sánh nguồn/role; không suy đoán từ kết quả render chưa có</x:v>
      </x:c>
      <x:c r="S151" t="str">
        <x:v>STRUCTURE_READ_EXISTING_WORKBOOK</x:v>
      </x:c>
      <x:c r="T151"/>
      <x:c r="U151" t="str">
        <x:v>Paragraph/Run theo kiểu khối KD; preserve list numbering/table/drawing nếu có</x:v>
      </x:c>
    </x:row>
    <x:row r="152">
      <x:c r="A152" t="n">
        <x:v>151</x:v>
      </x:c>
      <x:c r="B152" t="str">
        <x:v>HD05.N.KD.KHOAN.THUT_DONG_DAU</x:v>
      </x:c>
      <x:c r="C152" t="str">
        <x:v>HD05.N.KD.KHOAN</x:v>
      </x:c>
      <x:c r="D152" t="str">
        <x:v>N</x:v>
      </x:c>
      <x:c r="E152" t="str">
        <x:v>Khoản</x:v>
      </x:c>
      <x:c r="F152" t="str">
        <x:v>THUT_DONG_DAU</x:v>
      </x:c>
      <x:c r="G152"/>
      <x:c r="H152"/>
      <x:c r="I152" t="str">
        <x:v>UNVERIFIED_ATTRIBUTE</x:v>
      </x:c>
      <x:c r="J152" t="str">
        <x:v>BLOCKED_NO_ATTRIBUTE_VALUE</x:v>
      </x:c>
      <x:c r="K152" t="str">
        <x:v>Chỉ khi văn bản có phân cấp này; giữ số, tên và thứ bậc thực tế; không tự đánh lại số</x:v>
      </x:c>
      <x:c r="L152" t="str">
        <x:v>Bảo toàn cấu trúc/nội dung; nếu khác loại văn bản, ưu tiên đúng mẫu của loại đó; không sửa khi thiếu căn cứ.</x:v>
      </x:c>
      <x:c r="M152" t="str">
        <x:v>mm</x:v>
      </x:c>
      <x:c r="N152" t="str">
        <x:v>HD05, Phần II, I.6 và IV; Phụ lục 2 mục 6</x:v>
      </x:c>
      <x:c r="O152" t="str">
        <x:v>https://tulieuvankien.dangcongsan.vn/upload/2006988/20260529/HD_05_VPTW_e1550.pdf</x:v>
      </x:c>
      <x:c r="P152" t="str">
        <x:v>PLUGIN:HOA-TIEU-MIEN-BAC-PARTY-HD05-HEADER-2026 | NEEDS_REVIEW</x:v>
      </x:c>
      <x:c r="Q152" t="str">
        <x:v>CHECK_ONLY</x:v>
      </x:c>
      <x:c r="R152" t="str">
        <x:v>Kiểm tra từng thuộc tính có mặt; so sánh nguồn/role; không suy đoán từ kết quả render chưa có</x:v>
      </x:c>
      <x:c r="S152" t="str">
        <x:v>RULE_INFERENCE_NOT_MEASURED</x:v>
      </x:c>
      <x:c r="T152" t="str">
        <x:v>Xác minh căn cứ theo loại văn bản / tài liệu phát hành hoặc phê duyệt</x:v>
      </x:c>
      <x:c r="U152" t="str">
        <x:v>Paragraph/Run theo kiểu khối KD; preserve list numbering/table/drawing nếu có</x:v>
      </x:c>
    </x:row>
    <x:row r="153">
      <x:c r="A153" t="n">
        <x:v>152</x:v>
      </x:c>
      <x:c r="B153" t="str">
        <x:v>HD05.N.KD.KHOAN.KEEP_NEXT</x:v>
      </x:c>
      <x:c r="C153" t="str">
        <x:v>HD05.N.KD.KHOAN</x:v>
      </x:c>
      <x:c r="D153" t="str">
        <x:v>N</x:v>
      </x:c>
      <x:c r="E153" t="str">
        <x:v>Khoản</x:v>
      </x:c>
      <x:c r="F153" t="str">
        <x:v>KEEP_NEXT</x:v>
      </x:c>
      <x:c r="G153"/>
      <x:c r="H153"/>
      <x:c r="I153" t="str">
        <x:v>UNVERIFIED_ATTRIBUTE</x:v>
      </x:c>
      <x:c r="J153" t="str">
        <x:v>BLOCKED_NO_ATTRIBUTE_VALUE</x:v>
      </x:c>
      <x:c r="K153" t="str">
        <x:v>Chỉ khi văn bản có phân cấp này; giữ số, tên và thứ bậc thực tế; không tự đánh lại số</x:v>
      </x:c>
      <x:c r="L153" t="str">
        <x:v>Bảo toàn cấu trúc/nội dung; nếu khác loại văn bản, ưu tiên đúng mẫu của loại đó; không sửa khi thiếu căn cứ.</x:v>
      </x:c>
      <x:c r="M153"/>
      <x:c r="N153" t="str">
        <x:v>HD05, Phần II, I.6 và IV; Phụ lục 2 mục 6</x:v>
      </x:c>
      <x:c r="O153" t="str">
        <x:v>https://tulieuvankien.dangcongsan.vn/upload/2006988/20260529/HD_05_VPTW_e1550.pdf</x:v>
      </x:c>
      <x:c r="P153" t="str">
        <x:v>PLUGIN:HOA-TIEU-MIEN-BAC-PARTY-HD05-HEADER-2026 | NEEDS_REVIEW</x:v>
      </x:c>
      <x:c r="Q153" t="str">
        <x:v>CHECK_ONLY</x:v>
      </x:c>
      <x:c r="R153" t="str">
        <x:v>Kiểm tra từng thuộc tính có mặt; so sánh nguồn/role; không suy đoán từ kết quả render chưa có</x:v>
      </x:c>
      <x:c r="S153" t="str">
        <x:v>RULE_INFERENCE_NOT_MEASURED</x:v>
      </x:c>
      <x:c r="T153" t="str">
        <x:v>Xác minh căn cứ theo loại văn bản / tài liệu phát hành hoặc phê duyệt</x:v>
      </x:c>
      <x:c r="U153" t="str">
        <x:v>Paragraph/Run theo kiểu khối KD; preserve list numbering/table/drawing nếu có</x:v>
      </x:c>
    </x:row>
    <x:row r="154">
      <x:c r="A154" t="n">
        <x:v>153</x:v>
      </x:c>
      <x:c r="B154" t="str">
        <x:v>HD05.N.KD.KHOAN.SO_THU_TU</x:v>
      </x:c>
      <x:c r="C154" t="str">
        <x:v>HD05.N.KD.KHOAN</x:v>
      </x:c>
      <x:c r="D154" t="str">
        <x:v>N</x:v>
      </x:c>
      <x:c r="E154" t="str">
        <x:v>Khoản</x:v>
      </x:c>
      <x:c r="F154" t="str">
        <x:v>SO_THU_TU</x:v>
      </x:c>
      <x:c r="G154"/>
      <x:c r="H154"/>
      <x:c r="I154" t="str">
        <x:v>UNVERIFIED_ATTRIBUTE</x:v>
      </x:c>
      <x:c r="J154" t="str">
        <x:v>BLOCKED_NO_ATTRIBUTE_VALUE</x:v>
      </x:c>
      <x:c r="K154" t="str">
        <x:v>Chỉ khi văn bản có phân cấp này; giữ số, tên và thứ bậc thực tế; không tự đánh lại số</x:v>
      </x:c>
      <x:c r="L154" t="str">
        <x:v>Bảo toàn cấu trúc/nội dung; nếu khác loại văn bản, ưu tiên đúng mẫu của loại đó; không sửa khi thiếu căn cứ.</x:v>
      </x:c>
      <x:c r="M154"/>
      <x:c r="N154" t="str">
        <x:v>HD05, Phần II, I.6 và IV; Phụ lục 2 mục 6</x:v>
      </x:c>
      <x:c r="O154" t="str">
        <x:v>https://tulieuvankien.dangcongsan.vn/upload/2006988/20260529/HD_05_VPTW_e1550.pdf</x:v>
      </x:c>
      <x:c r="P154" t="str">
        <x:v>PLUGIN:HOA-TIEU-MIEN-BAC-PARTY-HD05-HEADER-2026 | NEEDS_REVIEW</x:v>
      </x:c>
      <x:c r="Q154" t="str">
        <x:v>CHECK_ONLY</x:v>
      </x:c>
      <x:c r="R154" t="str">
        <x:v>Kiểm tra từng thuộc tính có mặt; so sánh nguồn/role; không suy đoán từ kết quả render chưa có</x:v>
      </x:c>
      <x:c r="S154" t="str">
        <x:v>RULE_INFERENCE_NOT_MEASURED</x:v>
      </x:c>
      <x:c r="T154" t="str">
        <x:v>Xác minh căn cứ theo loại văn bản / tài liệu phát hành hoặc phê duyệt</x:v>
      </x:c>
      <x:c r="U154" t="str">
        <x:v>Paragraph/Run theo kiểu khối KD; preserve list numbering/table/drawing nếu có</x:v>
      </x:c>
    </x:row>
    <x:row r="155">
      <x:c r="A155" t="n">
        <x:v>154</x:v>
      </x:c>
      <x:c r="B155" t="str">
        <x:v>HD05.N.KD.KHOAN.CAU_TRUC</x:v>
      </x:c>
      <x:c r="C155" t="str">
        <x:v>HD05.N.KD.KHOAN</x:v>
      </x:c>
      <x:c r="D155" t="str">
        <x:v>N</x:v>
      </x:c>
      <x:c r="E155" t="str">
        <x:v>Khoản</x:v>
      </x:c>
      <x:c r="F155" t="str">
        <x:v>CAU_TRUC</x:v>
      </x:c>
      <x:c r="G155"/>
      <x:c r="H155"/>
      <x:c r="I155" t="str">
        <x:v>UNVERIFIED_ATTRIBUTE</x:v>
      </x:c>
      <x:c r="J155" t="str">
        <x:v>BLOCKED_NO_ATTRIBUTE_VALUE</x:v>
      </x:c>
      <x:c r="K155" t="str">
        <x:v>Chỉ khi văn bản có phân cấp này; giữ số, tên và thứ bậc thực tế; không tự đánh lại số</x:v>
      </x:c>
      <x:c r="L155" t="str">
        <x:v>Bảo toàn cấu trúc/nội dung; nếu khác loại văn bản, ưu tiên đúng mẫu của loại đó; không sửa khi thiếu căn cứ.</x:v>
      </x:c>
      <x:c r="M155"/>
      <x:c r="N155" t="str">
        <x:v>HD05, Phần II, I.6 và IV; Phụ lục 2 mục 6</x:v>
      </x:c>
      <x:c r="O155" t="str">
        <x:v>https://tulieuvankien.dangcongsan.vn/upload/2006988/20260529/HD_05_VPTW_e1550.pdf</x:v>
      </x:c>
      <x:c r="P155" t="str">
        <x:v>PLUGIN:HOA-TIEU-MIEN-BAC-PARTY-HD05-HEADER-2026 | NEEDS_REVIEW</x:v>
      </x:c>
      <x:c r="Q155" t="str">
        <x:v>CHECK_ONLY</x:v>
      </x:c>
      <x:c r="R155" t="str">
        <x:v>Kiểm tra từng thuộc tính có mặt; so sánh nguồn/role; không suy đoán từ kết quả render chưa có</x:v>
      </x:c>
      <x:c r="S155" t="str">
        <x:v>RULE_INFERENCE_NOT_MEASURED</x:v>
      </x:c>
      <x:c r="T155" t="str">
        <x:v>Xác minh căn cứ theo loại văn bản / tài liệu phát hành hoặc phê duyệt</x:v>
      </x:c>
      <x:c r="U155" t="str">
        <x:v>Paragraph/Run theo kiểu khối KD; preserve list numbering/table/drawing nếu có</x:v>
      </x:c>
    </x:row>
    <x:row r="156">
      <x:c r="A156" t="n">
        <x:v>155</x:v>
      </x:c>
      <x:c r="B156" t="str">
        <x:v>HD05.N.KD.KHOAN.DAU_CAU</x:v>
      </x:c>
      <x:c r="C156" t="str">
        <x:v>HD05.N.KD.KHOAN</x:v>
      </x:c>
      <x:c r="D156" t="str">
        <x:v>N</x:v>
      </x:c>
      <x:c r="E156" t="str">
        <x:v>Khoản</x:v>
      </x:c>
      <x:c r="F156" t="str">
        <x:v>DAU_CAU</x:v>
      </x:c>
      <x:c r="G156"/>
      <x:c r="H156"/>
      <x:c r="I156" t="str">
        <x:v>UNVERIFIED_ATTRIBUTE</x:v>
      </x:c>
      <x:c r="J156" t="str">
        <x:v>BLOCKED_NO_ATTRIBUTE_VALUE</x:v>
      </x:c>
      <x:c r="K156" t="str">
        <x:v>Chỉ khi văn bản có phân cấp này; giữ số, tên và thứ bậc thực tế; không tự đánh lại số</x:v>
      </x:c>
      <x:c r="L156" t="str">
        <x:v>Bảo toàn cấu trúc/nội dung; nếu khác loại văn bản, ưu tiên đúng mẫu của loại đó; không sửa khi thiếu căn cứ.</x:v>
      </x:c>
      <x:c r="M156"/>
      <x:c r="N156" t="str">
        <x:v>HD05, Phần II, I.6 và IV; Phụ lục 2 mục 6</x:v>
      </x:c>
      <x:c r="O156" t="str">
        <x:v>https://tulieuvankien.dangcongsan.vn/upload/2006988/20260529/HD_05_VPTW_e1550.pdf</x:v>
      </x:c>
      <x:c r="P156" t="str">
        <x:v>PLUGIN:HOA-TIEU-MIEN-BAC-PARTY-HD05-HEADER-2026 | NEEDS_REVIEW</x:v>
      </x:c>
      <x:c r="Q156" t="str">
        <x:v>CHECK_ONLY</x:v>
      </x:c>
      <x:c r="R156" t="str">
        <x:v>Kiểm tra từng thuộc tính có mặt; so sánh nguồn/role; không suy đoán từ kết quả render chưa có</x:v>
      </x:c>
      <x:c r="S156" t="str">
        <x:v>RULE_INFERENCE_NOT_MEASURED</x:v>
      </x:c>
      <x:c r="T156" t="str">
        <x:v>Xác minh căn cứ theo loại văn bản / tài liệu phát hành hoặc phê duyệt</x:v>
      </x:c>
      <x:c r="U156" t="str">
        <x:v>Paragraph/Run theo kiểu khối KD; preserve list numbering/table/drawing nếu có</x:v>
      </x:c>
    </x:row>
    <x:row r="157">
      <x:c r="A157" t="n">
        <x:v>156</x:v>
      </x:c>
      <x:c r="B157" t="str">
        <x:v>HD05.N.KD.DIEM.HIEN_DIEN</x:v>
      </x:c>
      <x:c r="C157" t="str">
        <x:v>HD05.N.KD.DIEM</x:v>
      </x:c>
      <x:c r="D157" t="str">
        <x:v>N</x:v>
      </x:c>
      <x:c r="E157" t="str">
        <x:v>Điểm</x:v>
      </x:c>
      <x:c r="F157" t="str">
        <x:v>HIEN_DIEN</x:v>
      </x:c>
      <x:c r="G157" t="str">
        <x:v>Theo loại văn bản và sự hiện diện thực tế; không áp dụng đồng loạt</x:v>
      </x:c>
      <x:c r="H157"/>
      <x:c r="I157" t="str">
        <x:v>UNVERIFIED_ATTRIBUTE</x:v>
      </x:c>
      <x:c r="J157" t="str">
        <x:v>SOURCE_DESCRIPTION_NOT_APPROVAL</x:v>
      </x:c>
      <x:c r="K157" t="str">
        <x:v>Chỉ khi văn bản có phân cấp này; giữ số, tên và thứ bậc thực tế; không tự đánh lại số</x:v>
      </x:c>
      <x:c r="L157" t="str">
        <x:v>Bảo toàn cấu trúc/nội dung; nếu khác loại văn bản, ưu tiên đúng mẫu của loại đó; không sửa khi thiếu căn cứ.</x:v>
      </x:c>
      <x:c r="M157"/>
      <x:c r="N157" t="str">
        <x:v>HD05, Phần II, I.6 và IV; Phụ lục 2 mục 6</x:v>
      </x:c>
      <x:c r="O157" t="str">
        <x:v>https://tulieuvankien.dangcongsan.vn/upload/2006988/20260529/HD_05_VPTW_e1550.pdf</x:v>
      </x:c>
      <x:c r="P157" t="str">
        <x:v>PLUGIN:HOA-TIEU-MIEN-BAC-PARTY-HD05-HEADER-2026 | NEEDS_REVIEW</x:v>
      </x:c>
      <x:c r="Q157" t="str">
        <x:v>CHECK_ONLY</x:v>
      </x:c>
      <x:c r="R157" t="str">
        <x:v>Kiểm tra từng thuộc tính có mặt; so sánh nguồn/role; không suy đoán từ kết quả render chưa có</x:v>
      </x:c>
      <x:c r="S157" t="str">
        <x:v>STRUCTURE_READ_EXISTING_WORKBOOK</x:v>
      </x:c>
      <x:c r="T157"/>
      <x:c r="U157" t="str">
        <x:v>Paragraph/Run theo kiểu khối KD; preserve list numbering/table/drawing nếu có</x:v>
      </x:c>
    </x:row>
    <x:row r="158">
      <x:c r="A158" t="n">
        <x:v>157</x:v>
      </x:c>
      <x:c r="B158" t="str">
        <x:v>HD05.N.KD.DIEM.NOI_DUNG</x:v>
      </x:c>
      <x:c r="C158" t="str">
        <x:v>HD05.N.KD.DIEM</x:v>
      </x:c>
      <x:c r="D158" t="str">
        <x:v>N</x:v>
      </x:c>
      <x:c r="E158" t="str">
        <x:v>Điểm</x:v>
      </x:c>
      <x:c r="F158" t="str">
        <x:v>NOI_DUNG</x:v>
      </x:c>
      <x:c r="G158" t="str">
        <x:v>Điểm</x:v>
      </x:c>
      <x:c r="H158"/>
      <x:c r="I158" t="str">
        <x:v>UNVERIFIED_ATTRIBUTE</x:v>
      </x:c>
      <x:c r="J158" t="str">
        <x:v>SOURCE_DESCRIPTION_NOT_APPROVAL</x:v>
      </x:c>
      <x:c r="K158" t="str">
        <x:v>Chỉ khi văn bản có phân cấp này; giữ số, tên và thứ bậc thực tế; không tự đánh lại số</x:v>
      </x:c>
      <x:c r="L158" t="str">
        <x:v>Bảo toàn cấu trúc/nội dung; nếu khác loại văn bản, ưu tiên đúng mẫu của loại đó; không sửa khi thiếu căn cứ.</x:v>
      </x:c>
      <x:c r="M158"/>
      <x:c r="N158" t="str">
        <x:v>HD05, Phần II, I.6 và IV; Phụ lục 2 mục 6</x:v>
      </x:c>
      <x:c r="O158" t="str">
        <x:v>https://tulieuvankien.dangcongsan.vn/upload/2006988/20260529/HD_05_VPTW_e1550.pdf</x:v>
      </x:c>
      <x:c r="P158" t="str">
        <x:v>PLUGIN:HOA-TIEU-MIEN-BAC-PARTY-HD05-HEADER-2026 | NEEDS_REVIEW</x:v>
      </x:c>
      <x:c r="Q158" t="str">
        <x:v>CHECK_ONLY</x:v>
      </x:c>
      <x:c r="R158" t="str">
        <x:v>Kiểm tra từng thuộc tính có mặt; so sánh nguồn/role; không suy đoán từ kết quả render chưa có</x:v>
      </x:c>
      <x:c r="S158" t="str">
        <x:v>STRUCTURE_READ_EXISTING_WORKBOOK</x:v>
      </x:c>
      <x:c r="T158"/>
      <x:c r="U158" t="str">
        <x:v>Paragraph/Run theo kiểu khối KD; preserve list numbering/table/drawing nếu có</x:v>
      </x:c>
    </x:row>
    <x:row r="159">
      <x:c r="A159" t="n">
        <x:v>158</x:v>
      </x:c>
      <x:c r="B159" t="str">
        <x:v>HD05.N.KD.DIEM.PHONG_CHU</x:v>
      </x:c>
      <x:c r="C159" t="str">
        <x:v>HD05.N.KD.DIEM</x:v>
      </x:c>
      <x:c r="D159" t="str">
        <x:v>N</x:v>
      </x:c>
      <x:c r="E159" t="str">
        <x:v>Điểm</x:v>
      </x:c>
      <x:c r="F159" t="str">
        <x:v>PHONG_CHU</x:v>
      </x:c>
      <x:c r="G159" t="str">
        <x:v>Times New Roman</x:v>
      </x:c>
      <x:c r="H159"/>
      <x:c r="I159" t="str">
        <x:v>UNVERIFIED_ATTRIBUTE</x:v>
      </x:c>
      <x:c r="J159" t="str">
        <x:v>PROFILE_PRESET_UNAPPROVED</x:v>
      </x:c>
      <x:c r="K159" t="str">
        <x:v>Chỉ khi văn bản có phân cấp này; giữ số, tên và thứ bậc thực tế; không tự đánh lại số</x:v>
      </x:c>
      <x:c r="L159" t="str">
        <x:v>Bảo toàn cấu trúc/nội dung; nếu khác loại văn bản, ưu tiên đúng mẫu của loại đó; không sửa khi thiếu căn cứ.</x:v>
      </x:c>
      <x:c r="M159"/>
      <x:c r="N159" t="str">
        <x:v>HD05, Phần II, I.6 và IV; Phụ lục 2 mục 6</x:v>
      </x:c>
      <x:c r="O159" t="str">
        <x:v>https://tulieuvankien.dangcongsan.vn/upload/2006988/20260529/HD_05_VPTW_e1550.pdf</x:v>
      </x:c>
      <x:c r="P159" t="str">
        <x:v>PLUGIN:HOA-TIEU-MIEN-BAC-PARTY-HD05-HEADER-2026 | NEEDS_REVIEW</x:v>
      </x:c>
      <x:c r="Q159" t="str">
        <x:v>CHECK_ONLY</x:v>
      </x:c>
      <x:c r="R159" t="str">
        <x:v>Kiểm tra từng thuộc tính có mặt; so sánh nguồn/role; không suy đoán từ kết quả render chưa có</x:v>
      </x:c>
      <x:c r="S159" t="str">
        <x:v>STRUCTURE_READ_EXISTING_WORKBOOK</x:v>
      </x:c>
      <x:c r="T159"/>
      <x:c r="U159" t="str">
        <x:v>Paragraph/Run theo kiểu khối KD; preserve list numbering/table/drawing nếu có</x:v>
      </x:c>
    </x:row>
    <x:row r="160">
      <x:c r="A160" t="n">
        <x:v>159</x:v>
      </x:c>
      <x:c r="B160" t="str">
        <x:v>HD05.N.KD.DIEM.CO_CHU</x:v>
      </x:c>
      <x:c r="C160" t="str">
        <x:v>HD05.N.KD.DIEM</x:v>
      </x:c>
      <x:c r="D160" t="str">
        <x:v>N</x:v>
      </x:c>
      <x:c r="E160" t="str">
        <x:v>Điểm</x:v>
      </x:c>
      <x:c r="F160" t="str">
        <x:v>CO_CHU</x:v>
      </x:c>
      <x:c r="G160" t="n">
        <x:v>14</x:v>
      </x:c>
      <x:c r="H160"/>
      <x:c r="I160" t="str">
        <x:v>UNVERIFIED_ATTRIBUTE</x:v>
      </x:c>
      <x:c r="J160" t="str">
        <x:v>PROFILE_PRESET_UNAPPROVED</x:v>
      </x:c>
      <x:c r="K160" t="str">
        <x:v>Chỉ khi văn bản có phân cấp này; giữ số, tên và thứ bậc thực tế; không tự đánh lại số</x:v>
      </x:c>
      <x:c r="L160" t="str">
        <x:v>Bảo toàn cấu trúc/nội dung; nếu khác loại văn bản, ưu tiên đúng mẫu của loại đó; không sửa khi thiếu căn cứ.</x:v>
      </x:c>
      <x:c r="M160" t="str">
        <x:v>pt</x:v>
      </x:c>
      <x:c r="N160" t="str">
        <x:v>HD05, Phần II, I.6 và IV; Phụ lục 2 mục 6</x:v>
      </x:c>
      <x:c r="O160" t="str">
        <x:v>https://tulieuvankien.dangcongsan.vn/upload/2006988/20260529/HD_05_VPTW_e1550.pdf</x:v>
      </x:c>
      <x:c r="P160" t="str">
        <x:v>PLUGIN:HOA-TIEU-MIEN-BAC-PARTY-HD05-HEADER-2026 | NEEDS_REVIEW</x:v>
      </x:c>
      <x:c r="Q160" t="str">
        <x:v>CHECK_ONLY</x:v>
      </x:c>
      <x:c r="R160" t="str">
        <x:v>Kiểm tra từng thuộc tính có mặt; so sánh nguồn/role; không suy đoán từ kết quả render chưa có</x:v>
      </x:c>
      <x:c r="S160" t="str">
        <x:v>STRUCTURE_READ_EXISTING_WORKBOOK</x:v>
      </x:c>
      <x:c r="T160"/>
      <x:c r="U160" t="str">
        <x:v>Paragraph/Run theo kiểu khối KD; preserve list numbering/table/drawing nếu có</x:v>
      </x:c>
    </x:row>
    <x:row r="161">
      <x:c r="A161" t="n">
        <x:v>160</x:v>
      </x:c>
      <x:c r="B161" t="str">
        <x:v>HD05.N.KD.DIEM.DAM</x:v>
      </x:c>
      <x:c r="C161" t="str">
        <x:v>HD05.N.KD.DIEM</x:v>
      </x:c>
      <x:c r="D161" t="str">
        <x:v>N</x:v>
      </x:c>
      <x:c r="E161" t="str">
        <x:v>Điểm</x:v>
      </x:c>
      <x:c r="F161" t="str">
        <x:v>DAM</x:v>
      </x:c>
      <x:c r="G161"/>
      <x:c r="H161"/>
      <x:c r="I161" t="str">
        <x:v>UNVERIFIED_ATTRIBUTE</x:v>
      </x:c>
      <x:c r="J161" t="str">
        <x:v>BLOCKED_NO_ATTRIBUTE_VALUE</x:v>
      </x:c>
      <x:c r="K161" t="str">
        <x:v>Chỉ khi văn bản có phân cấp này; giữ số, tên và thứ bậc thực tế; không tự đánh lại số</x:v>
      </x:c>
      <x:c r="L161" t="str">
        <x:v>Bảo toàn cấu trúc/nội dung; nếu khác loại văn bản, ưu tiên đúng mẫu của loại đó; không sửa khi thiếu căn cứ.</x:v>
      </x:c>
      <x:c r="M161"/>
      <x:c r="N161" t="str">
        <x:v>HD05, Phần II, I.6 và IV; Phụ lục 2 mục 6</x:v>
      </x:c>
      <x:c r="O161" t="str">
        <x:v>https://tulieuvankien.dangcongsan.vn/upload/2006988/20260529/HD_05_VPTW_e1550.pdf</x:v>
      </x:c>
      <x:c r="P161" t="str">
        <x:v>PLUGIN:HOA-TIEU-MIEN-BAC-PARTY-HD05-HEADER-2026 | NEEDS_REVIEW</x:v>
      </x:c>
      <x:c r="Q161" t="str">
        <x:v>CHECK_ONLY</x:v>
      </x:c>
      <x:c r="R161" t="str">
        <x:v>Kiểm tra từng thuộc tính có mặt; so sánh nguồn/role; không suy đoán từ kết quả render chưa có</x:v>
      </x:c>
      <x:c r="S161" t="str">
        <x:v>RULE_INFERENCE_NOT_MEASURED</x:v>
      </x:c>
      <x:c r="T161" t="str">
        <x:v>Xác minh căn cứ theo loại văn bản / tài liệu phát hành hoặc phê duyệt</x:v>
      </x:c>
      <x:c r="U161" t="str">
        <x:v>Paragraph/Run theo kiểu khối KD; preserve list numbering/table/drawing nếu có</x:v>
      </x:c>
    </x:row>
    <x:row r="162">
      <x:c r="A162" t="n">
        <x:v>161</x:v>
      </x:c>
      <x:c r="B162" t="str">
        <x:v>HD05.N.KD.DIEM.NGHIENG</x:v>
      </x:c>
      <x:c r="C162" t="str">
        <x:v>HD05.N.KD.DIEM</x:v>
      </x:c>
      <x:c r="D162" t="str">
        <x:v>N</x:v>
      </x:c>
      <x:c r="E162" t="str">
        <x:v>Điểm</x:v>
      </x:c>
      <x:c r="F162" t="str">
        <x:v>NGHIENG</x:v>
      </x:c>
      <x:c r="G162"/>
      <x:c r="H162"/>
      <x:c r="I162" t="str">
        <x:v>UNVERIFIED_ATTRIBUTE</x:v>
      </x:c>
      <x:c r="J162" t="str">
        <x:v>BLOCKED_NO_ATTRIBUTE_VALUE</x:v>
      </x:c>
      <x:c r="K162" t="str">
        <x:v>Chỉ khi văn bản có phân cấp này; giữ số, tên và thứ bậc thực tế; không tự đánh lại số</x:v>
      </x:c>
      <x:c r="L162" t="str">
        <x:v>Bảo toàn cấu trúc/nội dung; nếu khác loại văn bản, ưu tiên đúng mẫu của loại đó; không sửa khi thiếu căn cứ.</x:v>
      </x:c>
      <x:c r="M162"/>
      <x:c r="N162" t="str">
        <x:v>HD05, Phần II, I.6 và IV; Phụ lục 2 mục 6</x:v>
      </x:c>
      <x:c r="O162" t="str">
        <x:v>https://tulieuvankien.dangcongsan.vn/upload/2006988/20260529/HD_05_VPTW_e1550.pdf</x:v>
      </x:c>
      <x:c r="P162" t="str">
        <x:v>PLUGIN:HOA-TIEU-MIEN-BAC-PARTY-HD05-HEADER-2026 | NEEDS_REVIEW</x:v>
      </x:c>
      <x:c r="Q162" t="str">
        <x:v>CHECK_ONLY</x:v>
      </x:c>
      <x:c r="R162" t="str">
        <x:v>Kiểm tra từng thuộc tính có mặt; so sánh nguồn/role; không suy đoán từ kết quả render chưa có</x:v>
      </x:c>
      <x:c r="S162" t="str">
        <x:v>RULE_INFERENCE_NOT_MEASURED</x:v>
      </x:c>
      <x:c r="T162" t="str">
        <x:v>Xác minh căn cứ theo loại văn bản / tài liệu phát hành hoặc phê duyệt</x:v>
      </x:c>
      <x:c r="U162" t="str">
        <x:v>Paragraph/Run theo kiểu khối KD; preserve list numbering/table/drawing nếu có</x:v>
      </x:c>
    </x:row>
    <x:row r="163">
      <x:c r="A163" t="n">
        <x:v>162</x:v>
      </x:c>
      <x:c r="B163" t="str">
        <x:v>HD05.N.KD.DIEM.KIEU_CHU</x:v>
      </x:c>
      <x:c r="C163" t="str">
        <x:v>HD05.N.KD.DIEM</x:v>
      </x:c>
      <x:c r="D163" t="str">
        <x:v>N</x:v>
      </x:c>
      <x:c r="E163" t="str">
        <x:v>Điểm</x:v>
      </x:c>
      <x:c r="F163" t="str">
        <x:v>KIEU_CHU</x:v>
      </x:c>
      <x:c r="G163" t="str">
        <x:v>In thường</x:v>
      </x:c>
      <x:c r="H163"/>
      <x:c r="I163" t="str">
        <x:v>UNVERIFIED_ATTRIBUTE</x:v>
      </x:c>
      <x:c r="J163" t="str">
        <x:v>PROFILE_PRESET_UNAPPROVED</x:v>
      </x:c>
      <x:c r="K163" t="str">
        <x:v>Chỉ khi văn bản có phân cấp này; giữ số, tên và thứ bậc thực tế; không tự đánh lại số</x:v>
      </x:c>
      <x:c r="L163" t="str">
        <x:v>Bảo toàn cấu trúc/nội dung; nếu khác loại văn bản, ưu tiên đúng mẫu của loại đó; không sửa khi thiếu căn cứ.</x:v>
      </x:c>
      <x:c r="M163"/>
      <x:c r="N163" t="str">
        <x:v>HD05, Phần II, I.6 và IV; Phụ lục 2 mục 6</x:v>
      </x:c>
      <x:c r="O163" t="str">
        <x:v>https://tulieuvankien.dangcongsan.vn/upload/2006988/20260529/HD_05_VPTW_e1550.pdf</x:v>
      </x:c>
      <x:c r="P163" t="str">
        <x:v>PLUGIN:HOA-TIEU-MIEN-BAC-PARTY-HD05-HEADER-2026 | NEEDS_REVIEW</x:v>
      </x:c>
      <x:c r="Q163" t="str">
        <x:v>CHECK_ONLY</x:v>
      </x:c>
      <x:c r="R163" t="str">
        <x:v>Kiểm tra từng thuộc tính có mặt; so sánh nguồn/role; không suy đoán từ kết quả render chưa có</x:v>
      </x:c>
      <x:c r="S163" t="str">
        <x:v>STRUCTURE_READ_EXISTING_WORKBOOK</x:v>
      </x:c>
      <x:c r="T163"/>
      <x:c r="U163" t="str">
        <x:v>Paragraph/Run theo kiểu khối KD; preserve list numbering/table/drawing nếu có</x:v>
      </x:c>
    </x:row>
    <x:row r="164">
      <x:c r="A164" t="n">
        <x:v>163</x:v>
      </x:c>
      <x:c r="B164" t="str">
        <x:v>HD05.N.KD.DIEM.CAN_NGANG</x:v>
      </x:c>
      <x:c r="C164" t="str">
        <x:v>HD05.N.KD.DIEM</x:v>
      </x:c>
      <x:c r="D164" t="str">
        <x:v>N</x:v>
      </x:c>
      <x:c r="E164" t="str">
        <x:v>Điểm</x:v>
      </x:c>
      <x:c r="F164" t="str">
        <x:v>CAN_NGANG</x:v>
      </x:c>
      <x:c r="G164" t="str">
        <x:v>JUSTIFY</x:v>
      </x:c>
      <x:c r="H164"/>
      <x:c r="I164" t="str">
        <x:v>UNVERIFIED_ATTRIBUTE</x:v>
      </x:c>
      <x:c r="J164" t="str">
        <x:v>PROFILE_PRESET_UNAPPROVED</x:v>
      </x:c>
      <x:c r="K164" t="str">
        <x:v>Chỉ khi văn bản có phân cấp này; giữ số, tên và thứ bậc thực tế; không tự đánh lại số</x:v>
      </x:c>
      <x:c r="L164" t="str">
        <x:v>Bảo toàn cấu trúc/nội dung; nếu khác loại văn bản, ưu tiên đúng mẫu của loại đó; không sửa khi thiếu căn cứ.</x:v>
      </x:c>
      <x:c r="M164"/>
      <x:c r="N164" t="str">
        <x:v>HD05, Phần II, I.6 và IV; Phụ lục 2 mục 6</x:v>
      </x:c>
      <x:c r="O164" t="str">
        <x:v>https://tulieuvankien.dangcongsan.vn/upload/2006988/20260529/HD_05_VPTW_e1550.pdf</x:v>
      </x:c>
      <x:c r="P164" t="str">
        <x:v>PLUGIN:HOA-TIEU-MIEN-BAC-PARTY-HD05-HEADER-2026 | NEEDS_REVIEW</x:v>
      </x:c>
      <x:c r="Q164" t="str">
        <x:v>CHECK_ONLY</x:v>
      </x:c>
      <x:c r="R164" t="str">
        <x:v>Kiểm tra từng thuộc tính có mặt; so sánh nguồn/role; không suy đoán từ kết quả render chưa có</x:v>
      </x:c>
      <x:c r="S164" t="str">
        <x:v>STRUCTURE_READ_EXISTING_WORKBOOK</x:v>
      </x:c>
      <x:c r="T164"/>
      <x:c r="U164" t="str">
        <x:v>Paragraph/Run theo kiểu khối KD; preserve list numbering/table/drawing nếu có</x:v>
      </x:c>
    </x:row>
    <x:row r="165">
      <x:c r="A165" t="n">
        <x:v>164</x:v>
      </x:c>
      <x:c r="B165" t="str">
        <x:v>HD05.N.KD.DIEM.GIAN_DONG</x:v>
      </x:c>
      <x:c r="C165" t="str">
        <x:v>HD05.N.KD.DIEM</x:v>
      </x:c>
      <x:c r="D165" t="str">
        <x:v>N</x:v>
      </x:c>
      <x:c r="E165" t="str">
        <x:v>Điểm</x:v>
      </x:c>
      <x:c r="F165" t="str">
        <x:v>GIAN_DONG</x:v>
      </x:c>
      <x:c r="G165" t="n">
        <x:v>19</x:v>
      </x:c>
      <x:c r="H165"/>
      <x:c r="I165" t="str">
        <x:v>UNVERIFIED_ATTRIBUTE</x:v>
      </x:c>
      <x:c r="J165" t="str">
        <x:v>PROFILE_PRESET_UNAPPROVED</x:v>
      </x:c>
      <x:c r="K165" t="str">
        <x:v>Chỉ khi văn bản có phân cấp này; giữ số, tên và thứ bậc thực tế; không tự đánh lại số</x:v>
      </x:c>
      <x:c r="L165" t="str">
        <x:v>Bảo toàn cấu trúc/nội dung; nếu khác loại văn bản, ưu tiên đúng mẫu của loại đó; không sửa khi thiếu căn cứ. HD05 phần thân: Exactly 18–22 pt theo HD05; nếu giá trị profile khác phải đánh cờ xung đột.</x:v>
      </x:c>
      <x:c r="M165" t="str">
        <x:v>pt</x:v>
      </x:c>
      <x:c r="N165" t="str">
        <x:v>HD05, Phần II, I.6 và IV; Phụ lục 2 mục 6</x:v>
      </x:c>
      <x:c r="O165" t="str">
        <x:v>https://tulieuvankien.dangcongsan.vn/upload/2006988/20260529/HD_05_VPTW_e1550.pdf</x:v>
      </x:c>
      <x:c r="P165" t="str">
        <x:v>PLUGIN:HOA-TIEU-MIEN-BAC-PARTY-HD05-HEADER-2026 | NEEDS_REVIEW</x:v>
      </x:c>
      <x:c r="Q165" t="str">
        <x:v>CHECK_ONLY</x:v>
      </x:c>
      <x:c r="R165" t="str">
        <x:v>Kiểm tra từng thuộc tính có mặt; so sánh nguồn/role; không suy đoán từ kết quả render chưa có</x:v>
      </x:c>
      <x:c r="S165" t="str">
        <x:v>STRUCTURE_READ_EXISTING_WORKBOOK</x:v>
      </x:c>
      <x:c r="T165"/>
      <x:c r="U165" t="str">
        <x:v>Paragraph/Run theo kiểu khối KD; preserve list numbering/table/drawing nếu có</x:v>
      </x:c>
    </x:row>
    <x:row r="166">
      <x:c r="A166" t="n">
        <x:v>165</x:v>
      </x:c>
      <x:c r="B166" t="str">
        <x:v>HD05.N.KD.DIEM.CACH_TRUOC</x:v>
      </x:c>
      <x:c r="C166" t="str">
        <x:v>HD05.N.KD.DIEM</x:v>
      </x:c>
      <x:c r="D166" t="str">
        <x:v>N</x:v>
      </x:c>
      <x:c r="E166" t="str">
        <x:v>Điểm</x:v>
      </x:c>
      <x:c r="F166" t="str">
        <x:v>CACH_TRUOC</x:v>
      </x:c>
      <x:c r="G166" t="n">
        <x:v>0</x:v>
      </x:c>
      <x:c r="H166"/>
      <x:c r="I166" t="str">
        <x:v>UNVERIFIED_ATTRIBUTE</x:v>
      </x:c>
      <x:c r="J166" t="str">
        <x:v>PROFILE_PRESET_UNAPPROVED</x:v>
      </x:c>
      <x:c r="K166" t="str">
        <x:v>Chỉ khi văn bản có phân cấp này; giữ số, tên và thứ bậc thực tế; không tự đánh lại số</x:v>
      </x:c>
      <x:c r="L166" t="str">
        <x:v>Bảo toàn cấu trúc/nội dung; nếu khác loại văn bản, ưu tiên đúng mẫu của loại đó; không sửa khi thiếu căn cứ.</x:v>
      </x:c>
      <x:c r="M166" t="str">
        <x:v>pt</x:v>
      </x:c>
      <x:c r="N166" t="str">
        <x:v>HD05, Phần II, I.6 và IV; Phụ lục 2 mục 6</x:v>
      </x:c>
      <x:c r="O166" t="str">
        <x:v>https://tulieuvankien.dangcongsan.vn/upload/2006988/20260529/HD_05_VPTW_e1550.pdf</x:v>
      </x:c>
      <x:c r="P166" t="str">
        <x:v>PLUGIN:HOA-TIEU-MIEN-BAC-PARTY-HD05-HEADER-2026 | NEEDS_REVIEW</x:v>
      </x:c>
      <x:c r="Q166" t="str">
        <x:v>CHECK_ONLY</x:v>
      </x:c>
      <x:c r="R166" t="str">
        <x:v>Kiểm tra từng thuộc tính có mặt; so sánh nguồn/role; không suy đoán từ kết quả render chưa có</x:v>
      </x:c>
      <x:c r="S166" t="str">
        <x:v>STRUCTURE_READ_EXISTING_WORKBOOK</x:v>
      </x:c>
      <x:c r="T166"/>
      <x:c r="U166" t="str">
        <x:v>Paragraph/Run theo kiểu khối KD; preserve list numbering/table/drawing nếu có</x:v>
      </x:c>
    </x:row>
    <x:row r="167">
      <x:c r="A167" t="n">
        <x:v>166</x:v>
      </x:c>
      <x:c r="B167" t="str">
        <x:v>HD05.N.KD.DIEM.CACH_SAU</x:v>
      </x:c>
      <x:c r="C167" t="str">
        <x:v>HD05.N.KD.DIEM</x:v>
      </x:c>
      <x:c r="D167" t="str">
        <x:v>N</x:v>
      </x:c>
      <x:c r="E167" t="str">
        <x:v>Điểm</x:v>
      </x:c>
      <x:c r="F167" t="str">
        <x:v>CACH_SAU</x:v>
      </x:c>
      <x:c r="G167" t="n">
        <x:v>6</x:v>
      </x:c>
      <x:c r="H167"/>
      <x:c r="I167" t="str">
        <x:v>UNVERIFIED_ATTRIBUTE</x:v>
      </x:c>
      <x:c r="J167" t="str">
        <x:v>PROFILE_PRESET_UNAPPROVED</x:v>
      </x:c>
      <x:c r="K167" t="str">
        <x:v>Chỉ khi văn bản có phân cấp này; giữ số, tên và thứ bậc thực tế; không tự đánh lại số</x:v>
      </x:c>
      <x:c r="L167" t="str">
        <x:v>Bảo toàn cấu trúc/nội dung; nếu khác loại văn bản, ưu tiên đúng mẫu của loại đó; không sửa khi thiếu căn cứ.</x:v>
      </x:c>
      <x:c r="M167" t="str">
        <x:v>pt</x:v>
      </x:c>
      <x:c r="N167" t="str">
        <x:v>HD05, Phần II, I.6 và IV; Phụ lục 2 mục 6</x:v>
      </x:c>
      <x:c r="O167" t="str">
        <x:v>https://tulieuvankien.dangcongsan.vn/upload/2006988/20260529/HD_05_VPTW_e1550.pdf</x:v>
      </x:c>
      <x:c r="P167" t="str">
        <x:v>PLUGIN:HOA-TIEU-MIEN-BAC-PARTY-HD05-HEADER-2026 | NEEDS_REVIEW</x:v>
      </x:c>
      <x:c r="Q167" t="str">
        <x:v>CHECK_ONLY</x:v>
      </x:c>
      <x:c r="R167" t="str">
        <x:v>Kiểm tra từng thuộc tính có mặt; so sánh nguồn/role; không suy đoán từ kết quả render chưa có</x:v>
      </x:c>
      <x:c r="S167" t="str">
        <x:v>STRUCTURE_READ_EXISTING_WORKBOOK</x:v>
      </x:c>
      <x:c r="T167"/>
      <x:c r="U167" t="str">
        <x:v>Paragraph/Run theo kiểu khối KD; preserve list numbering/table/drawing nếu có</x:v>
      </x:c>
    </x:row>
    <x:row r="168">
      <x:c r="A168" t="n">
        <x:v>167</x:v>
      </x:c>
      <x:c r="B168" t="str">
        <x:v>HD05.N.KD.DIEM.THUT_DONG_DAU</x:v>
      </x:c>
      <x:c r="C168" t="str">
        <x:v>HD05.N.KD.DIEM</x:v>
      </x:c>
      <x:c r="D168" t="str">
        <x:v>N</x:v>
      </x:c>
      <x:c r="E168" t="str">
        <x:v>Điểm</x:v>
      </x:c>
      <x:c r="F168" t="str">
        <x:v>THUT_DONG_DAU</x:v>
      </x:c>
      <x:c r="G168"/>
      <x:c r="H168"/>
      <x:c r="I168" t="str">
        <x:v>UNVERIFIED_ATTRIBUTE</x:v>
      </x:c>
      <x:c r="J168" t="str">
        <x:v>BLOCKED_NO_ATTRIBUTE_VALUE</x:v>
      </x:c>
      <x:c r="K168" t="str">
        <x:v>Chỉ khi văn bản có phân cấp này; giữ số, tên và thứ bậc thực tế; không tự đánh lại số</x:v>
      </x:c>
      <x:c r="L168" t="str">
        <x:v>Bảo toàn cấu trúc/nội dung; nếu khác loại văn bản, ưu tiên đúng mẫu của loại đó; không sửa khi thiếu căn cứ.</x:v>
      </x:c>
      <x:c r="M168" t="str">
        <x:v>mm</x:v>
      </x:c>
      <x:c r="N168" t="str">
        <x:v>HD05, Phần II, I.6 và IV; Phụ lục 2 mục 6</x:v>
      </x:c>
      <x:c r="O168" t="str">
        <x:v>https://tulieuvankien.dangcongsan.vn/upload/2006988/20260529/HD_05_VPTW_e1550.pdf</x:v>
      </x:c>
      <x:c r="P168" t="str">
        <x:v>PLUGIN:HOA-TIEU-MIEN-BAC-PARTY-HD05-HEADER-2026 | NEEDS_REVIEW</x:v>
      </x:c>
      <x:c r="Q168" t="str">
        <x:v>CHECK_ONLY</x:v>
      </x:c>
      <x:c r="R168" t="str">
        <x:v>Kiểm tra từng thuộc tính có mặt; so sánh nguồn/role; không suy đoán từ kết quả render chưa có</x:v>
      </x:c>
      <x:c r="S168" t="str">
        <x:v>RULE_INFERENCE_NOT_MEASURED</x:v>
      </x:c>
      <x:c r="T168" t="str">
        <x:v>Xác minh căn cứ theo loại văn bản / tài liệu phát hành hoặc phê duyệt</x:v>
      </x:c>
      <x:c r="U168" t="str">
        <x:v>Paragraph/Run theo kiểu khối KD; preserve list numbering/table/drawing nếu có</x:v>
      </x:c>
    </x:row>
    <x:row r="169">
      <x:c r="A169" t="n">
        <x:v>168</x:v>
      </x:c>
      <x:c r="B169" t="str">
        <x:v>HD05.N.KD.DIEM.KEEP_NEXT</x:v>
      </x:c>
      <x:c r="C169" t="str">
        <x:v>HD05.N.KD.DIEM</x:v>
      </x:c>
      <x:c r="D169" t="str">
        <x:v>N</x:v>
      </x:c>
      <x:c r="E169" t="str">
        <x:v>Điểm</x:v>
      </x:c>
      <x:c r="F169" t="str">
        <x:v>KEEP_NEXT</x:v>
      </x:c>
      <x:c r="G169"/>
      <x:c r="H169"/>
      <x:c r="I169" t="str">
        <x:v>UNVERIFIED_ATTRIBUTE</x:v>
      </x:c>
      <x:c r="J169" t="str">
        <x:v>BLOCKED_NO_ATTRIBUTE_VALUE</x:v>
      </x:c>
      <x:c r="K169" t="str">
        <x:v>Chỉ khi văn bản có phân cấp này; giữ số, tên và thứ bậc thực tế; không tự đánh lại số</x:v>
      </x:c>
      <x:c r="L169" t="str">
        <x:v>Bảo toàn cấu trúc/nội dung; nếu khác loại văn bản, ưu tiên đúng mẫu của loại đó; không sửa khi thiếu căn cứ.</x:v>
      </x:c>
      <x:c r="M169"/>
      <x:c r="N169" t="str">
        <x:v>HD05, Phần II, I.6 và IV; Phụ lục 2 mục 6</x:v>
      </x:c>
      <x:c r="O169" t="str">
        <x:v>https://tulieuvankien.dangcongsan.vn/upload/2006988/20260529/HD_05_VPTW_e1550.pdf</x:v>
      </x:c>
      <x:c r="P169" t="str">
        <x:v>PLUGIN:HOA-TIEU-MIEN-BAC-PARTY-HD05-HEADER-2026 | NEEDS_REVIEW</x:v>
      </x:c>
      <x:c r="Q169" t="str">
        <x:v>CHECK_ONLY</x:v>
      </x:c>
      <x:c r="R169" t="str">
        <x:v>Kiểm tra từng thuộc tính có mặt; so sánh nguồn/role; không suy đoán từ kết quả render chưa có</x:v>
      </x:c>
      <x:c r="S169" t="str">
        <x:v>RULE_INFERENCE_NOT_MEASURED</x:v>
      </x:c>
      <x:c r="T169" t="str">
        <x:v>Xác minh căn cứ theo loại văn bản / tài liệu phát hành hoặc phê duyệt</x:v>
      </x:c>
      <x:c r="U169" t="str">
        <x:v>Paragraph/Run theo kiểu khối KD; preserve list numbering/table/drawing nếu có</x:v>
      </x:c>
    </x:row>
    <x:row r="170">
      <x:c r="A170" t="n">
        <x:v>169</x:v>
      </x:c>
      <x:c r="B170" t="str">
        <x:v>HD05.N.KD.DIEM.SO_THU_TU</x:v>
      </x:c>
      <x:c r="C170" t="str">
        <x:v>HD05.N.KD.DIEM</x:v>
      </x:c>
      <x:c r="D170" t="str">
        <x:v>N</x:v>
      </x:c>
      <x:c r="E170" t="str">
        <x:v>Điểm</x:v>
      </x:c>
      <x:c r="F170" t="str">
        <x:v>SO_THU_TU</x:v>
      </x:c>
      <x:c r="G170"/>
      <x:c r="H170"/>
      <x:c r="I170" t="str">
        <x:v>UNVERIFIED_ATTRIBUTE</x:v>
      </x:c>
      <x:c r="J170" t="str">
        <x:v>BLOCKED_NO_ATTRIBUTE_VALUE</x:v>
      </x:c>
      <x:c r="K170" t="str">
        <x:v>Chỉ khi văn bản có phân cấp này; giữ số, tên và thứ bậc thực tế; không tự đánh lại số</x:v>
      </x:c>
      <x:c r="L170" t="str">
        <x:v>Bảo toàn cấu trúc/nội dung; nếu khác loại văn bản, ưu tiên đúng mẫu của loại đó; không sửa khi thiếu căn cứ.</x:v>
      </x:c>
      <x:c r="M170"/>
      <x:c r="N170" t="str">
        <x:v>HD05, Phần II, I.6 và IV; Phụ lục 2 mục 6</x:v>
      </x:c>
      <x:c r="O170" t="str">
        <x:v>https://tulieuvankien.dangcongsan.vn/upload/2006988/20260529/HD_05_VPTW_e1550.pdf</x:v>
      </x:c>
      <x:c r="P170" t="str">
        <x:v>PLUGIN:HOA-TIEU-MIEN-BAC-PARTY-HD05-HEADER-2026 | NEEDS_REVIEW</x:v>
      </x:c>
      <x:c r="Q170" t="str">
        <x:v>CHECK_ONLY</x:v>
      </x:c>
      <x:c r="R170" t="str">
        <x:v>Kiểm tra từng thuộc tính có mặt; so sánh nguồn/role; không suy đoán từ kết quả render chưa có</x:v>
      </x:c>
      <x:c r="S170" t="str">
        <x:v>RULE_INFERENCE_NOT_MEASURED</x:v>
      </x:c>
      <x:c r="T170" t="str">
        <x:v>Xác minh căn cứ theo loại văn bản / tài liệu phát hành hoặc phê duyệt</x:v>
      </x:c>
      <x:c r="U170" t="str">
        <x:v>Paragraph/Run theo kiểu khối KD; preserve list numbering/table/drawing nếu có</x:v>
      </x:c>
    </x:row>
    <x:row r="171">
      <x:c r="A171" t="n">
        <x:v>170</x:v>
      </x:c>
      <x:c r="B171" t="str">
        <x:v>HD05.N.KD.DIEM.CAU_TRUC</x:v>
      </x:c>
      <x:c r="C171" t="str">
        <x:v>HD05.N.KD.DIEM</x:v>
      </x:c>
      <x:c r="D171" t="str">
        <x:v>N</x:v>
      </x:c>
      <x:c r="E171" t="str">
        <x:v>Điểm</x:v>
      </x:c>
      <x:c r="F171" t="str">
        <x:v>CAU_TRUC</x:v>
      </x:c>
      <x:c r="G171"/>
      <x:c r="H171"/>
      <x:c r="I171" t="str">
        <x:v>UNVERIFIED_ATTRIBUTE</x:v>
      </x:c>
      <x:c r="J171" t="str">
        <x:v>BLOCKED_NO_ATTRIBUTE_VALUE</x:v>
      </x:c>
      <x:c r="K171" t="str">
        <x:v>Chỉ khi văn bản có phân cấp này; giữ số, tên và thứ bậc thực tế; không tự đánh lại số</x:v>
      </x:c>
      <x:c r="L171" t="str">
        <x:v>Bảo toàn cấu trúc/nội dung; nếu khác loại văn bản, ưu tiên đúng mẫu của loại đó; không sửa khi thiếu căn cứ.</x:v>
      </x:c>
      <x:c r="M171"/>
      <x:c r="N171" t="str">
        <x:v>HD05, Phần II, I.6 và IV; Phụ lục 2 mục 6</x:v>
      </x:c>
      <x:c r="O171" t="str">
        <x:v>https://tulieuvankien.dangcongsan.vn/upload/2006988/20260529/HD_05_VPTW_e1550.pdf</x:v>
      </x:c>
      <x:c r="P171" t="str">
        <x:v>PLUGIN:HOA-TIEU-MIEN-BAC-PARTY-HD05-HEADER-2026 | NEEDS_REVIEW</x:v>
      </x:c>
      <x:c r="Q171" t="str">
        <x:v>CHECK_ONLY</x:v>
      </x:c>
      <x:c r="R171" t="str">
        <x:v>Kiểm tra từng thuộc tính có mặt; so sánh nguồn/role; không suy đoán từ kết quả render chưa có</x:v>
      </x:c>
      <x:c r="S171" t="str">
        <x:v>RULE_INFERENCE_NOT_MEASURED</x:v>
      </x:c>
      <x:c r="T171" t="str">
        <x:v>Xác minh căn cứ theo loại văn bản / tài liệu phát hành hoặc phê duyệt</x:v>
      </x:c>
      <x:c r="U171" t="str">
        <x:v>Paragraph/Run theo kiểu khối KD; preserve list numbering/table/drawing nếu có</x:v>
      </x:c>
    </x:row>
    <x:row r="172">
      <x:c r="A172" t="n">
        <x:v>171</x:v>
      </x:c>
      <x:c r="B172" t="str">
        <x:v>HD05.N.KD.DIEM.DAU_CAU</x:v>
      </x:c>
      <x:c r="C172" t="str">
        <x:v>HD05.N.KD.DIEM</x:v>
      </x:c>
      <x:c r="D172" t="str">
        <x:v>N</x:v>
      </x:c>
      <x:c r="E172" t="str">
        <x:v>Điểm</x:v>
      </x:c>
      <x:c r="F172" t="str">
        <x:v>DAU_CAU</x:v>
      </x:c>
      <x:c r="G172"/>
      <x:c r="H172"/>
      <x:c r="I172" t="str">
        <x:v>UNVERIFIED_ATTRIBUTE</x:v>
      </x:c>
      <x:c r="J172" t="str">
        <x:v>BLOCKED_NO_ATTRIBUTE_VALUE</x:v>
      </x:c>
      <x:c r="K172" t="str">
        <x:v>Chỉ khi văn bản có phân cấp này; giữ số, tên và thứ bậc thực tế; không tự đánh lại số</x:v>
      </x:c>
      <x:c r="L172" t="str">
        <x:v>Bảo toàn cấu trúc/nội dung; nếu khác loại văn bản, ưu tiên đúng mẫu của loại đó; không sửa khi thiếu căn cứ.</x:v>
      </x:c>
      <x:c r="M172"/>
      <x:c r="N172" t="str">
        <x:v>HD05, Phần II, I.6 và IV; Phụ lục 2 mục 6</x:v>
      </x:c>
      <x:c r="O172" t="str">
        <x:v>https://tulieuvankien.dangcongsan.vn/upload/2006988/20260529/HD_05_VPTW_e1550.pdf</x:v>
      </x:c>
      <x:c r="P172" t="str">
        <x:v>PLUGIN:HOA-TIEU-MIEN-BAC-PARTY-HD05-HEADER-2026 | NEEDS_REVIEW</x:v>
      </x:c>
      <x:c r="Q172" t="str">
        <x:v>CHECK_ONLY</x:v>
      </x:c>
      <x:c r="R172" t="str">
        <x:v>Kiểm tra từng thuộc tính có mặt; so sánh nguồn/role; không suy đoán từ kết quả render chưa có</x:v>
      </x:c>
      <x:c r="S172" t="str">
        <x:v>RULE_INFERENCE_NOT_MEASURED</x:v>
      </x:c>
      <x:c r="T172" t="str">
        <x:v>Xác minh căn cứ theo loại văn bản / tài liệu phát hành hoặc phê duyệt</x:v>
      </x:c>
      <x:c r="U172" t="str">
        <x:v>Paragraph/Run theo kiểu khối KD; preserve list numbering/table/drawing nếu có</x:v>
      </x:c>
    </x:row>
    <x:row r="173">
      <x:c r="A173" t="n">
        <x:v>172</x:v>
      </x:c>
      <x:c r="B173" t="str">
        <x:v>HD05.N.KD.DANH_SACH.HIEN_DIEN</x:v>
      </x:c>
      <x:c r="C173" t="str">
        <x:v>HD05.N.KD.DANH_SACH</x:v>
      </x:c>
      <x:c r="D173" t="str">
        <x:v>N</x:v>
      </x:c>
      <x:c r="E173" t="str">
        <x:v>Danh sách liệt kê</x:v>
      </x:c>
      <x:c r="F173" t="str">
        <x:v>HIEN_DIEN</x:v>
      </x:c>
      <x:c r="G173" t="str">
        <x:v>Theo loại văn bản và sự hiện diện thực tế; không áp dụng đồng loạt</x:v>
      </x:c>
      <x:c r="H173"/>
      <x:c r="I173" t="str">
        <x:v>UNVERIFIED_ATTRIBUTE</x:v>
      </x:c>
      <x:c r="J173" t="str">
        <x:v>SOURCE_DESCRIPTION_NOT_APPROVAL</x:v>
      </x:c>
      <x:c r="K173" t="str">
        <x:v>Chỉ khi văn bản có phân cấp này; giữ số, tên và thứ bậc thực tế; không tự đánh lại số</x:v>
      </x:c>
      <x:c r="L173" t="str">
        <x:v>Bảo toàn cấu trúc/nội dung; nếu khác loại văn bản, ưu tiên đúng mẫu của loại đó; không sửa khi thiếu căn cứ.</x:v>
      </x:c>
      <x:c r="M173"/>
      <x:c r="N173" t="str">
        <x:v>HD05, Phần II, I.6 và IV; Phụ lục 2 mục 6</x:v>
      </x:c>
      <x:c r="O173" t="str">
        <x:v>https://tulieuvankien.dangcongsan.vn/upload/2006988/20260529/HD_05_VPTW_e1550.pdf</x:v>
      </x:c>
      <x:c r="P173" t="str">
        <x:v>PLUGIN:HOA-TIEU-MIEN-BAC-PARTY-HD05-HEADER-2026 | NEEDS_REVIEW</x:v>
      </x:c>
      <x:c r="Q173" t="str">
        <x:v>CHECK_ONLY</x:v>
      </x:c>
      <x:c r="R173" t="str">
        <x:v>Kiểm tra từng thuộc tính có mặt; so sánh nguồn/role; không suy đoán từ kết quả render chưa có</x:v>
      </x:c>
      <x:c r="S173" t="str">
        <x:v>STRUCTURE_READ_EXISTING_WORKBOOK</x:v>
      </x:c>
      <x:c r="T173"/>
      <x:c r="U173" t="str">
        <x:v>Paragraph/Run theo kiểu khối KD; preserve list numbering/table/drawing nếu có</x:v>
      </x:c>
    </x:row>
    <x:row r="174">
      <x:c r="A174" t="n">
        <x:v>173</x:v>
      </x:c>
      <x:c r="B174" t="str">
        <x:v>HD05.N.KD.DANH_SACH.NOI_DUNG</x:v>
      </x:c>
      <x:c r="C174" t="str">
        <x:v>HD05.N.KD.DANH_SACH</x:v>
      </x:c>
      <x:c r="D174" t="str">
        <x:v>N</x:v>
      </x:c>
      <x:c r="E174" t="str">
        <x:v>Danh sách liệt kê</x:v>
      </x:c>
      <x:c r="F174" t="str">
        <x:v>NOI_DUNG</x:v>
      </x:c>
      <x:c r="G174" t="str">
        <x:v>Danh sách nghiệp vụ; phải xác định numbering/list contract trước khi sửa</x:v>
      </x:c>
      <x:c r="H174"/>
      <x:c r="I174" t="str">
        <x:v>UNVERIFIED_ATTRIBUTE</x:v>
      </x:c>
      <x:c r="J174" t="str">
        <x:v>SOURCE_DESCRIPTION_NOT_APPROVAL</x:v>
      </x:c>
      <x:c r="K174" t="str">
        <x:v>Chỉ khi văn bản có phân cấp này; giữ số, tên và thứ bậc thực tế; không tự đánh lại số</x:v>
      </x:c>
      <x:c r="L174" t="str">
        <x:v>Bảo toàn cấu trúc/nội dung; nếu khác loại văn bản, ưu tiên đúng mẫu của loại đó; không sửa khi thiếu căn cứ.</x:v>
      </x:c>
      <x:c r="M174"/>
      <x:c r="N174" t="str">
        <x:v>HD05, Phần II, I.6 và IV; Phụ lục 2 mục 6</x:v>
      </x:c>
      <x:c r="O174" t="str">
        <x:v>https://tulieuvankien.dangcongsan.vn/upload/2006988/20260529/HD_05_VPTW_e1550.pdf</x:v>
      </x:c>
      <x:c r="P174" t="str">
        <x:v>PLUGIN:HOA-TIEU-MIEN-BAC-PARTY-HD05-HEADER-2026 | NEEDS_REVIEW</x:v>
      </x:c>
      <x:c r="Q174" t="str">
        <x:v>CHECK_ONLY</x:v>
      </x:c>
      <x:c r="R174" t="str">
        <x:v>Kiểm tra từng thuộc tính có mặt; so sánh nguồn/role; không suy đoán từ kết quả render chưa có</x:v>
      </x:c>
      <x:c r="S174" t="str">
        <x:v>STRUCTURE_READ_EXISTING_WORKBOOK</x:v>
      </x:c>
      <x:c r="T174"/>
      <x:c r="U174" t="str">
        <x:v>Paragraph/Run theo kiểu khối KD; preserve list numbering/table/drawing nếu có</x:v>
      </x:c>
    </x:row>
    <x:row r="175">
      <x:c r="A175" t="n">
        <x:v>174</x:v>
      </x:c>
      <x:c r="B175" t="str">
        <x:v>HD05.N.KD.DANH_SACH.PHONG_CHU</x:v>
      </x:c>
      <x:c r="C175" t="str">
        <x:v>HD05.N.KD.DANH_SACH</x:v>
      </x:c>
      <x:c r="D175" t="str">
        <x:v>N</x:v>
      </x:c>
      <x:c r="E175" t="str">
        <x:v>Danh sách liệt kê</x:v>
      </x:c>
      <x:c r="F175" t="str">
        <x:v>PHONG_CHU</x:v>
      </x:c>
      <x:c r="G175" t="str">
        <x:v>Times New Roman</x:v>
      </x:c>
      <x:c r="H175"/>
      <x:c r="I175" t="str">
        <x:v>UNVERIFIED_ATTRIBUTE</x:v>
      </x:c>
      <x:c r="J175" t="str">
        <x:v>PROFILE_PRESET_UNAPPROVED</x:v>
      </x:c>
      <x:c r="K175" t="str">
        <x:v>Chỉ khi văn bản có phân cấp này; giữ số, tên và thứ bậc thực tế; không tự đánh lại số</x:v>
      </x:c>
      <x:c r="L175" t="str">
        <x:v>Bảo toàn cấu trúc/nội dung; nếu khác loại văn bản, ưu tiên đúng mẫu của loại đó; không sửa khi thiếu căn cứ.</x:v>
      </x:c>
      <x:c r="M175"/>
      <x:c r="N175" t="str">
        <x:v>HD05, Phần II, I.6 và IV; Phụ lục 2 mục 6</x:v>
      </x:c>
      <x:c r="O175" t="str">
        <x:v>https://tulieuvankien.dangcongsan.vn/upload/2006988/20260529/HD_05_VPTW_e1550.pdf</x:v>
      </x:c>
      <x:c r="P175" t="str">
        <x:v>PLUGIN:HOA-TIEU-MIEN-BAC-PARTY-HD05-HEADER-2026 | NEEDS_REVIEW</x:v>
      </x:c>
      <x:c r="Q175" t="str">
        <x:v>CHECK_ONLY</x:v>
      </x:c>
      <x:c r="R175" t="str">
        <x:v>Kiểm tra từng thuộc tính có mặt; so sánh nguồn/role; không suy đoán từ kết quả render chưa có</x:v>
      </x:c>
      <x:c r="S175" t="str">
        <x:v>STRUCTURE_READ_EXISTING_WORKBOOK</x:v>
      </x:c>
      <x:c r="T175"/>
      <x:c r="U175" t="str">
        <x:v>Paragraph/Run theo kiểu khối KD; preserve list numbering/table/drawing nếu có</x:v>
      </x:c>
    </x:row>
    <x:row r="176">
      <x:c r="A176" t="n">
        <x:v>175</x:v>
      </x:c>
      <x:c r="B176" t="str">
        <x:v>HD05.N.KD.DANH_SACH.CO_CHU</x:v>
      </x:c>
      <x:c r="C176" t="str">
        <x:v>HD05.N.KD.DANH_SACH</x:v>
      </x:c>
      <x:c r="D176" t="str">
        <x:v>N</x:v>
      </x:c>
      <x:c r="E176" t="str">
        <x:v>Danh sách liệt kê</x:v>
      </x:c>
      <x:c r="F176" t="str">
        <x:v>CO_CHU</x:v>
      </x:c>
      <x:c r="G176" t="n">
        <x:v>14</x:v>
      </x:c>
      <x:c r="H176"/>
      <x:c r="I176" t="str">
        <x:v>UNVERIFIED_ATTRIBUTE</x:v>
      </x:c>
      <x:c r="J176" t="str">
        <x:v>PROFILE_PRESET_UNAPPROVED</x:v>
      </x:c>
      <x:c r="K176" t="str">
        <x:v>Chỉ khi văn bản có phân cấp này; giữ số, tên và thứ bậc thực tế; không tự đánh lại số</x:v>
      </x:c>
      <x:c r="L176" t="str">
        <x:v>Bảo toàn cấu trúc/nội dung; nếu khác loại văn bản, ưu tiên đúng mẫu của loại đó; không sửa khi thiếu căn cứ.</x:v>
      </x:c>
      <x:c r="M176" t="str">
        <x:v>pt</x:v>
      </x:c>
      <x:c r="N176" t="str">
        <x:v>HD05, Phần II, I.6 và IV; Phụ lục 2 mục 6</x:v>
      </x:c>
      <x:c r="O176" t="str">
        <x:v>https://tulieuvankien.dangcongsan.vn/upload/2006988/20260529/HD_05_VPTW_e1550.pdf</x:v>
      </x:c>
      <x:c r="P176" t="str">
        <x:v>PLUGIN:HOA-TIEU-MIEN-BAC-PARTY-HD05-HEADER-2026 | NEEDS_REVIEW</x:v>
      </x:c>
      <x:c r="Q176" t="str">
        <x:v>CHECK_ONLY</x:v>
      </x:c>
      <x:c r="R176" t="str">
        <x:v>Kiểm tra từng thuộc tính có mặt; so sánh nguồn/role; không suy đoán từ kết quả render chưa có</x:v>
      </x:c>
      <x:c r="S176" t="str">
        <x:v>STRUCTURE_READ_EXISTING_WORKBOOK</x:v>
      </x:c>
      <x:c r="T176"/>
      <x:c r="U176" t="str">
        <x:v>Paragraph/Run theo kiểu khối KD; preserve list numbering/table/drawing nếu có</x:v>
      </x:c>
    </x:row>
    <x:row r="177">
      <x:c r="A177" t="n">
        <x:v>176</x:v>
      </x:c>
      <x:c r="B177" t="str">
        <x:v>HD05.N.KD.DANH_SACH.DAM</x:v>
      </x:c>
      <x:c r="C177" t="str">
        <x:v>HD05.N.KD.DANH_SACH</x:v>
      </x:c>
      <x:c r="D177" t="str">
        <x:v>N</x:v>
      </x:c>
      <x:c r="E177" t="str">
        <x:v>Danh sách liệt kê</x:v>
      </x:c>
      <x:c r="F177" t="str">
        <x:v>DAM</x:v>
      </x:c>
      <x:c r="G177"/>
      <x:c r="H177"/>
      <x:c r="I177" t="str">
        <x:v>UNVERIFIED_ATTRIBUTE</x:v>
      </x:c>
      <x:c r="J177" t="str">
        <x:v>BLOCKED_NO_ATTRIBUTE_VALUE</x:v>
      </x:c>
      <x:c r="K177" t="str">
        <x:v>Chỉ khi văn bản có phân cấp này; giữ số, tên và thứ bậc thực tế; không tự đánh lại số</x:v>
      </x:c>
      <x:c r="L177" t="str">
        <x:v>Bảo toàn cấu trúc/nội dung; nếu khác loại văn bản, ưu tiên đúng mẫu của loại đó; không sửa khi thiếu căn cứ.</x:v>
      </x:c>
      <x:c r="M177"/>
      <x:c r="N177" t="str">
        <x:v>HD05, Phần II, I.6 và IV; Phụ lục 2 mục 6</x:v>
      </x:c>
      <x:c r="O177" t="str">
        <x:v>https://tulieuvankien.dangcongsan.vn/upload/2006988/20260529/HD_05_VPTW_e1550.pdf</x:v>
      </x:c>
      <x:c r="P177" t="str">
        <x:v>PLUGIN:HOA-TIEU-MIEN-BAC-PARTY-HD05-HEADER-2026 | NEEDS_REVIEW</x:v>
      </x:c>
      <x:c r="Q177" t="str">
        <x:v>CHECK_ONLY</x:v>
      </x:c>
      <x:c r="R177" t="str">
        <x:v>Kiểm tra từng thuộc tính có mặt; so sánh nguồn/role; không suy đoán từ kết quả render chưa có</x:v>
      </x:c>
      <x:c r="S177" t="str">
        <x:v>RULE_INFERENCE_NOT_MEASURED</x:v>
      </x:c>
      <x:c r="T177" t="str">
        <x:v>Xác minh căn cứ theo loại văn bản / tài liệu phát hành hoặc phê duyệt</x:v>
      </x:c>
      <x:c r="U177" t="str">
        <x:v>Paragraph/Run theo kiểu khối KD; preserve list numbering/table/drawing nếu có</x:v>
      </x:c>
    </x:row>
    <x:row r="178">
      <x:c r="A178" t="n">
        <x:v>177</x:v>
      </x:c>
      <x:c r="B178" t="str">
        <x:v>HD05.N.KD.DANH_SACH.NGHIENG</x:v>
      </x:c>
      <x:c r="C178" t="str">
        <x:v>HD05.N.KD.DANH_SACH</x:v>
      </x:c>
      <x:c r="D178" t="str">
        <x:v>N</x:v>
      </x:c>
      <x:c r="E178" t="str">
        <x:v>Danh sách liệt kê</x:v>
      </x:c>
      <x:c r="F178" t="str">
        <x:v>NGHIENG</x:v>
      </x:c>
      <x:c r="G178"/>
      <x:c r="H178"/>
      <x:c r="I178" t="str">
        <x:v>UNVERIFIED_ATTRIBUTE</x:v>
      </x:c>
      <x:c r="J178" t="str">
        <x:v>BLOCKED_NO_ATTRIBUTE_VALUE</x:v>
      </x:c>
      <x:c r="K178" t="str">
        <x:v>Chỉ khi văn bản có phân cấp này; giữ số, tên và thứ bậc thực tế; không tự đánh lại số</x:v>
      </x:c>
      <x:c r="L178" t="str">
        <x:v>Bảo toàn cấu trúc/nội dung; nếu khác loại văn bản, ưu tiên đúng mẫu của loại đó; không sửa khi thiếu căn cứ.</x:v>
      </x:c>
      <x:c r="M178"/>
      <x:c r="N178" t="str">
        <x:v>HD05, Phần II, I.6 và IV; Phụ lục 2 mục 6</x:v>
      </x:c>
      <x:c r="O178" t="str">
        <x:v>https://tulieuvankien.dangcongsan.vn/upload/2006988/20260529/HD_05_VPTW_e1550.pdf</x:v>
      </x:c>
      <x:c r="P178" t="str">
        <x:v>PLUGIN:HOA-TIEU-MIEN-BAC-PARTY-HD05-HEADER-2026 | NEEDS_REVIEW</x:v>
      </x:c>
      <x:c r="Q178" t="str">
        <x:v>CHECK_ONLY</x:v>
      </x:c>
      <x:c r="R178" t="str">
        <x:v>Kiểm tra từng thuộc tính có mặt; so sánh nguồn/role; không suy đoán từ kết quả render chưa có</x:v>
      </x:c>
      <x:c r="S178" t="str">
        <x:v>RULE_INFERENCE_NOT_MEASURED</x:v>
      </x:c>
      <x:c r="T178" t="str">
        <x:v>Xác minh căn cứ theo loại văn bản / tài liệu phát hành hoặc phê duyệt</x:v>
      </x:c>
      <x:c r="U178" t="str">
        <x:v>Paragraph/Run theo kiểu khối KD; preserve list numbering/table/drawing nếu có</x:v>
      </x:c>
    </x:row>
    <x:row r="179">
      <x:c r="A179" t="n">
        <x:v>178</x:v>
      </x:c>
      <x:c r="B179" t="str">
        <x:v>HD05.N.KD.DANH_SACH.KIEU_CHU</x:v>
      </x:c>
      <x:c r="C179" t="str">
        <x:v>HD05.N.KD.DANH_SACH</x:v>
      </x:c>
      <x:c r="D179" t="str">
        <x:v>N</x:v>
      </x:c>
      <x:c r="E179" t="str">
        <x:v>Danh sách liệt kê</x:v>
      </x:c>
      <x:c r="F179" t="str">
        <x:v>KIEU_CHU</x:v>
      </x:c>
      <x:c r="G179" t="str">
        <x:v>In thường</x:v>
      </x:c>
      <x:c r="H179"/>
      <x:c r="I179" t="str">
        <x:v>UNVERIFIED_ATTRIBUTE</x:v>
      </x:c>
      <x:c r="J179" t="str">
        <x:v>PROFILE_PRESET_UNAPPROVED</x:v>
      </x:c>
      <x:c r="K179" t="str">
        <x:v>Chỉ khi văn bản có phân cấp này; giữ số, tên và thứ bậc thực tế; không tự đánh lại số</x:v>
      </x:c>
      <x:c r="L179" t="str">
        <x:v>Bảo toàn cấu trúc/nội dung; nếu khác loại văn bản, ưu tiên đúng mẫu của loại đó; không sửa khi thiếu căn cứ.</x:v>
      </x:c>
      <x:c r="M179"/>
      <x:c r="N179" t="str">
        <x:v>HD05, Phần II, I.6 và IV; Phụ lục 2 mục 6</x:v>
      </x:c>
      <x:c r="O179" t="str">
        <x:v>https://tulieuvankien.dangcongsan.vn/upload/2006988/20260529/HD_05_VPTW_e1550.pdf</x:v>
      </x:c>
      <x:c r="P179" t="str">
        <x:v>PLUGIN:HOA-TIEU-MIEN-BAC-PARTY-HD05-HEADER-2026 | NEEDS_REVIEW</x:v>
      </x:c>
      <x:c r="Q179" t="str">
        <x:v>CHECK_ONLY</x:v>
      </x:c>
      <x:c r="R179" t="str">
        <x:v>Kiểm tra từng thuộc tính có mặt; so sánh nguồn/role; không suy đoán từ kết quả render chưa có</x:v>
      </x:c>
      <x:c r="S179" t="str">
        <x:v>STRUCTURE_READ_EXISTING_WORKBOOK</x:v>
      </x:c>
      <x:c r="T179"/>
      <x:c r="U179" t="str">
        <x:v>Paragraph/Run theo kiểu khối KD; preserve list numbering/table/drawing nếu có</x:v>
      </x:c>
    </x:row>
    <x:row r="180">
      <x:c r="A180" t="n">
        <x:v>179</x:v>
      </x:c>
      <x:c r="B180" t="str">
        <x:v>HD05.N.KD.DANH_SACH.CAN_NGANG</x:v>
      </x:c>
      <x:c r="C180" t="str">
        <x:v>HD05.N.KD.DANH_SACH</x:v>
      </x:c>
      <x:c r="D180" t="str">
        <x:v>N</x:v>
      </x:c>
      <x:c r="E180" t="str">
        <x:v>Danh sách liệt kê</x:v>
      </x:c>
      <x:c r="F180" t="str">
        <x:v>CAN_NGANG</x:v>
      </x:c>
      <x:c r="G180" t="str">
        <x:v>JUSTIFY</x:v>
      </x:c>
      <x:c r="H180"/>
      <x:c r="I180" t="str">
        <x:v>UNVERIFIED_ATTRIBUTE</x:v>
      </x:c>
      <x:c r="J180" t="str">
        <x:v>PROFILE_PRESET_UNAPPROVED</x:v>
      </x:c>
      <x:c r="K180" t="str">
        <x:v>Chỉ khi văn bản có phân cấp này; giữ số, tên và thứ bậc thực tế; không tự đánh lại số</x:v>
      </x:c>
      <x:c r="L180" t="str">
        <x:v>Bảo toàn cấu trúc/nội dung; nếu khác loại văn bản, ưu tiên đúng mẫu của loại đó; không sửa khi thiếu căn cứ.</x:v>
      </x:c>
      <x:c r="M180"/>
      <x:c r="N180" t="str">
        <x:v>HD05, Phần II, I.6 và IV; Phụ lục 2 mục 6</x:v>
      </x:c>
      <x:c r="O180" t="str">
        <x:v>https://tulieuvankien.dangcongsan.vn/upload/2006988/20260529/HD_05_VPTW_e1550.pdf</x:v>
      </x:c>
      <x:c r="P180" t="str">
        <x:v>PLUGIN:HOA-TIEU-MIEN-BAC-PARTY-HD05-HEADER-2026 | NEEDS_REVIEW</x:v>
      </x:c>
      <x:c r="Q180" t="str">
        <x:v>CHECK_ONLY</x:v>
      </x:c>
      <x:c r="R180" t="str">
        <x:v>Kiểm tra từng thuộc tính có mặt; so sánh nguồn/role; không suy đoán từ kết quả render chưa có</x:v>
      </x:c>
      <x:c r="S180" t="str">
        <x:v>STRUCTURE_READ_EXISTING_WORKBOOK</x:v>
      </x:c>
      <x:c r="T180"/>
      <x:c r="U180" t="str">
        <x:v>Paragraph/Run theo kiểu khối KD; preserve list numbering/table/drawing nếu có</x:v>
      </x:c>
    </x:row>
    <x:row r="181">
      <x:c r="A181" t="n">
        <x:v>180</x:v>
      </x:c>
      <x:c r="B181" t="str">
        <x:v>HD05.N.KD.DANH_SACH.GIAN_DONG</x:v>
      </x:c>
      <x:c r="C181" t="str">
        <x:v>HD05.N.KD.DANH_SACH</x:v>
      </x:c>
      <x:c r="D181" t="str">
        <x:v>N</x:v>
      </x:c>
      <x:c r="E181" t="str">
        <x:v>Danh sách liệt kê</x:v>
      </x:c>
      <x:c r="F181" t="str">
        <x:v>GIAN_DONG</x:v>
      </x:c>
      <x:c r="G181" t="n">
        <x:v>19</x:v>
      </x:c>
      <x:c r="H181"/>
      <x:c r="I181" t="str">
        <x:v>UNVERIFIED_ATTRIBUTE</x:v>
      </x:c>
      <x:c r="J181" t="str">
        <x:v>PROFILE_PRESET_UNAPPROVED</x:v>
      </x:c>
      <x:c r="K181" t="str">
        <x:v>Chỉ khi văn bản có phân cấp này; giữ số, tên và thứ bậc thực tế; không tự đánh lại số</x:v>
      </x:c>
      <x:c r="L181" t="str">
        <x:v>Bảo toàn cấu trúc/nội dung; nếu khác loại văn bản, ưu tiên đúng mẫu của loại đó; không sửa khi thiếu căn cứ. HD05 phần thân: Exactly 18–22 pt theo HD05; nếu giá trị profile khác phải đánh cờ xung đột.</x:v>
      </x:c>
      <x:c r="M181" t="str">
        <x:v>pt</x:v>
      </x:c>
      <x:c r="N181" t="str">
        <x:v>HD05, Phần II, I.6 và IV; Phụ lục 2 mục 6</x:v>
      </x:c>
      <x:c r="O181" t="str">
        <x:v>https://tulieuvankien.dangcongsan.vn/upload/2006988/20260529/HD_05_VPTW_e1550.pdf</x:v>
      </x:c>
      <x:c r="P181" t="str">
        <x:v>PLUGIN:HOA-TIEU-MIEN-BAC-PARTY-HD05-HEADER-2026 | NEEDS_REVIEW</x:v>
      </x:c>
      <x:c r="Q181" t="str">
        <x:v>CHECK_ONLY</x:v>
      </x:c>
      <x:c r="R181" t="str">
        <x:v>Kiểm tra từng thuộc tính có mặt; so sánh nguồn/role; không suy đoán từ kết quả render chưa có</x:v>
      </x:c>
      <x:c r="S181" t="str">
        <x:v>STRUCTURE_READ_EXISTING_WORKBOOK</x:v>
      </x:c>
      <x:c r="T181"/>
      <x:c r="U181" t="str">
        <x:v>Paragraph/Run theo kiểu khối KD; preserve list numbering/table/drawing nếu có</x:v>
      </x:c>
    </x:row>
    <x:row r="182">
      <x:c r="A182" t="n">
        <x:v>181</x:v>
      </x:c>
      <x:c r="B182" t="str">
        <x:v>HD05.N.KD.DANH_SACH.CACH_TRUOC</x:v>
      </x:c>
      <x:c r="C182" t="str">
        <x:v>HD05.N.KD.DANH_SACH</x:v>
      </x:c>
      <x:c r="D182" t="str">
        <x:v>N</x:v>
      </x:c>
      <x:c r="E182" t="str">
        <x:v>Danh sách liệt kê</x:v>
      </x:c>
      <x:c r="F182" t="str">
        <x:v>CACH_TRUOC</x:v>
      </x:c>
      <x:c r="G182" t="n">
        <x:v>0</x:v>
      </x:c>
      <x:c r="H182"/>
      <x:c r="I182" t="str">
        <x:v>UNVERIFIED_ATTRIBUTE</x:v>
      </x:c>
      <x:c r="J182" t="str">
        <x:v>PROFILE_PRESET_UNAPPROVED</x:v>
      </x:c>
      <x:c r="K182" t="str">
        <x:v>Chỉ khi văn bản có phân cấp này; giữ số, tên và thứ bậc thực tế; không tự đánh lại số</x:v>
      </x:c>
      <x:c r="L182" t="str">
        <x:v>Bảo toàn cấu trúc/nội dung; nếu khác loại văn bản, ưu tiên đúng mẫu của loại đó; không sửa khi thiếu căn cứ.</x:v>
      </x:c>
      <x:c r="M182" t="str">
        <x:v>pt</x:v>
      </x:c>
      <x:c r="N182" t="str">
        <x:v>HD05, Phần II, I.6 và IV; Phụ lục 2 mục 6</x:v>
      </x:c>
      <x:c r="O182" t="str">
        <x:v>https://tulieuvankien.dangcongsan.vn/upload/2006988/20260529/HD_05_VPTW_e1550.pdf</x:v>
      </x:c>
      <x:c r="P182" t="str">
        <x:v>PLUGIN:HOA-TIEU-MIEN-BAC-PARTY-HD05-HEADER-2026 | NEEDS_REVIEW</x:v>
      </x:c>
      <x:c r="Q182" t="str">
        <x:v>CHECK_ONLY</x:v>
      </x:c>
      <x:c r="R182" t="str">
        <x:v>Kiểm tra từng thuộc tính có mặt; so sánh nguồn/role; không suy đoán từ kết quả render chưa có</x:v>
      </x:c>
      <x:c r="S182" t="str">
        <x:v>STRUCTURE_READ_EXISTING_WORKBOOK</x:v>
      </x:c>
      <x:c r="T182"/>
      <x:c r="U182" t="str">
        <x:v>Paragraph/Run theo kiểu khối KD; preserve list numbering/table/drawing nếu có</x:v>
      </x:c>
    </x:row>
    <x:row r="183">
      <x:c r="A183" t="n">
        <x:v>182</x:v>
      </x:c>
      <x:c r="B183" t="str">
        <x:v>HD05.N.KD.DANH_SACH.CACH_SAU</x:v>
      </x:c>
      <x:c r="C183" t="str">
        <x:v>HD05.N.KD.DANH_SACH</x:v>
      </x:c>
      <x:c r="D183" t="str">
        <x:v>N</x:v>
      </x:c>
      <x:c r="E183" t="str">
        <x:v>Danh sách liệt kê</x:v>
      </x:c>
      <x:c r="F183" t="str">
        <x:v>CACH_SAU</x:v>
      </x:c>
      <x:c r="G183" t="n">
        <x:v>6</x:v>
      </x:c>
      <x:c r="H183"/>
      <x:c r="I183" t="str">
        <x:v>UNVERIFIED_ATTRIBUTE</x:v>
      </x:c>
      <x:c r="J183" t="str">
        <x:v>PROFILE_PRESET_UNAPPROVED</x:v>
      </x:c>
      <x:c r="K183" t="str">
        <x:v>Chỉ khi văn bản có phân cấp này; giữ số, tên và thứ bậc thực tế; không tự đánh lại số</x:v>
      </x:c>
      <x:c r="L183" t="str">
        <x:v>Bảo toàn cấu trúc/nội dung; nếu khác loại văn bản, ưu tiên đúng mẫu của loại đó; không sửa khi thiếu căn cứ.</x:v>
      </x:c>
      <x:c r="M183" t="str">
        <x:v>pt</x:v>
      </x:c>
      <x:c r="N183" t="str">
        <x:v>HD05, Phần II, I.6 và IV; Phụ lục 2 mục 6</x:v>
      </x:c>
      <x:c r="O183" t="str">
        <x:v>https://tulieuvankien.dangcongsan.vn/upload/2006988/20260529/HD_05_VPTW_e1550.pdf</x:v>
      </x:c>
      <x:c r="P183" t="str">
        <x:v>PLUGIN:HOA-TIEU-MIEN-BAC-PARTY-HD05-HEADER-2026 | NEEDS_REVIEW</x:v>
      </x:c>
      <x:c r="Q183" t="str">
        <x:v>CHECK_ONLY</x:v>
      </x:c>
      <x:c r="R183" t="str">
        <x:v>Kiểm tra từng thuộc tính có mặt; so sánh nguồn/role; không suy đoán từ kết quả render chưa có</x:v>
      </x:c>
      <x:c r="S183" t="str">
        <x:v>STRUCTURE_READ_EXISTING_WORKBOOK</x:v>
      </x:c>
      <x:c r="T183"/>
      <x:c r="U183" t="str">
        <x:v>Paragraph/Run theo kiểu khối KD; preserve list numbering/table/drawing nếu có</x:v>
      </x:c>
    </x:row>
    <x:row r="184">
      <x:c r="A184" t="n">
        <x:v>183</x:v>
      </x:c>
      <x:c r="B184" t="str">
        <x:v>HD05.N.KD.DANH_SACH.THUT_DONG_DAU</x:v>
      </x:c>
      <x:c r="C184" t="str">
        <x:v>HD05.N.KD.DANH_SACH</x:v>
      </x:c>
      <x:c r="D184" t="str">
        <x:v>N</x:v>
      </x:c>
      <x:c r="E184" t="str">
        <x:v>Danh sách liệt kê</x:v>
      </x:c>
      <x:c r="F184" t="str">
        <x:v>THUT_DONG_DAU</x:v>
      </x:c>
      <x:c r="G184"/>
      <x:c r="H184"/>
      <x:c r="I184" t="str">
        <x:v>UNVERIFIED_ATTRIBUTE</x:v>
      </x:c>
      <x:c r="J184" t="str">
        <x:v>BLOCKED_NO_ATTRIBUTE_VALUE</x:v>
      </x:c>
      <x:c r="K184" t="str">
        <x:v>Chỉ khi văn bản có phân cấp này; giữ số, tên và thứ bậc thực tế; không tự đánh lại số</x:v>
      </x:c>
      <x:c r="L184" t="str">
        <x:v>Bảo toàn cấu trúc/nội dung; nếu khác loại văn bản, ưu tiên đúng mẫu của loại đó; không sửa khi thiếu căn cứ.</x:v>
      </x:c>
      <x:c r="M184" t="str">
        <x:v>mm</x:v>
      </x:c>
      <x:c r="N184" t="str">
        <x:v>HD05, Phần II, I.6 và IV; Phụ lục 2 mục 6</x:v>
      </x:c>
      <x:c r="O184" t="str">
        <x:v>https://tulieuvankien.dangcongsan.vn/upload/2006988/20260529/HD_05_VPTW_e1550.pdf</x:v>
      </x:c>
      <x:c r="P184" t="str">
        <x:v>PLUGIN:HOA-TIEU-MIEN-BAC-PARTY-HD05-HEADER-2026 | NEEDS_REVIEW</x:v>
      </x:c>
      <x:c r="Q184" t="str">
        <x:v>CHECK_ONLY</x:v>
      </x:c>
      <x:c r="R184" t="str">
        <x:v>Kiểm tra từng thuộc tính có mặt; so sánh nguồn/role; không suy đoán từ kết quả render chưa có</x:v>
      </x:c>
      <x:c r="S184" t="str">
        <x:v>RULE_INFERENCE_NOT_MEASURED</x:v>
      </x:c>
      <x:c r="T184" t="str">
        <x:v>Xác minh căn cứ theo loại văn bản / tài liệu phát hành hoặc phê duyệt</x:v>
      </x:c>
      <x:c r="U184" t="str">
        <x:v>Paragraph/Run theo kiểu khối KD; preserve list numbering/table/drawing nếu có</x:v>
      </x:c>
    </x:row>
    <x:row r="185">
      <x:c r="A185" t="n">
        <x:v>184</x:v>
      </x:c>
      <x:c r="B185" t="str">
        <x:v>HD05.N.KD.DANH_SACH.KEEP_NEXT</x:v>
      </x:c>
      <x:c r="C185" t="str">
        <x:v>HD05.N.KD.DANH_SACH</x:v>
      </x:c>
      <x:c r="D185" t="str">
        <x:v>N</x:v>
      </x:c>
      <x:c r="E185" t="str">
        <x:v>Danh sách liệt kê</x:v>
      </x:c>
      <x:c r="F185" t="str">
        <x:v>KEEP_NEXT</x:v>
      </x:c>
      <x:c r="G185"/>
      <x:c r="H185"/>
      <x:c r="I185" t="str">
        <x:v>UNVERIFIED_ATTRIBUTE</x:v>
      </x:c>
      <x:c r="J185" t="str">
        <x:v>BLOCKED_NO_ATTRIBUTE_VALUE</x:v>
      </x:c>
      <x:c r="K185" t="str">
        <x:v>Chỉ khi văn bản có phân cấp này; giữ số, tên và thứ bậc thực tế; không tự đánh lại số</x:v>
      </x:c>
      <x:c r="L185" t="str">
        <x:v>Bảo toàn cấu trúc/nội dung; nếu khác loại văn bản, ưu tiên đúng mẫu của loại đó; không sửa khi thiếu căn cứ.</x:v>
      </x:c>
      <x:c r="M185"/>
      <x:c r="N185" t="str">
        <x:v>HD05, Phần II, I.6 và IV; Phụ lục 2 mục 6</x:v>
      </x:c>
      <x:c r="O185" t="str">
        <x:v>https://tulieuvankien.dangcongsan.vn/upload/2006988/20260529/HD_05_VPTW_e1550.pdf</x:v>
      </x:c>
      <x:c r="P185" t="str">
        <x:v>PLUGIN:HOA-TIEU-MIEN-BAC-PARTY-HD05-HEADER-2026 | NEEDS_REVIEW</x:v>
      </x:c>
      <x:c r="Q185" t="str">
        <x:v>CHECK_ONLY</x:v>
      </x:c>
      <x:c r="R185" t="str">
        <x:v>Kiểm tra từng thuộc tính có mặt; so sánh nguồn/role; không suy đoán từ kết quả render chưa có</x:v>
      </x:c>
      <x:c r="S185" t="str">
        <x:v>RULE_INFERENCE_NOT_MEASURED</x:v>
      </x:c>
      <x:c r="T185" t="str">
        <x:v>Xác minh căn cứ theo loại văn bản / tài liệu phát hành hoặc phê duyệt</x:v>
      </x:c>
      <x:c r="U185" t="str">
        <x:v>Paragraph/Run theo kiểu khối KD; preserve list numbering/table/drawing nếu có</x:v>
      </x:c>
    </x:row>
    <x:row r="186">
      <x:c r="A186" t="n">
        <x:v>185</x:v>
      </x:c>
      <x:c r="B186" t="str">
        <x:v>HD05.N.KD.DANH_SACH.SO_THU_TU</x:v>
      </x:c>
      <x:c r="C186" t="str">
        <x:v>HD05.N.KD.DANH_SACH</x:v>
      </x:c>
      <x:c r="D186" t="str">
        <x:v>N</x:v>
      </x:c>
      <x:c r="E186" t="str">
        <x:v>Danh sách liệt kê</x:v>
      </x:c>
      <x:c r="F186" t="str">
        <x:v>SO_THU_TU</x:v>
      </x:c>
      <x:c r="G186"/>
      <x:c r="H186"/>
      <x:c r="I186" t="str">
        <x:v>UNVERIFIED_ATTRIBUTE</x:v>
      </x:c>
      <x:c r="J186" t="str">
        <x:v>BLOCKED_NO_ATTRIBUTE_VALUE</x:v>
      </x:c>
      <x:c r="K186" t="str">
        <x:v>Chỉ khi văn bản có phân cấp này; giữ số, tên và thứ bậc thực tế; không tự đánh lại số</x:v>
      </x:c>
      <x:c r="L186" t="str">
        <x:v>Bảo toàn cấu trúc/nội dung; nếu khác loại văn bản, ưu tiên đúng mẫu của loại đó; không sửa khi thiếu căn cứ.</x:v>
      </x:c>
      <x:c r="M186"/>
      <x:c r="N186" t="str">
        <x:v>HD05, Phần II, I.6 và IV; Phụ lục 2 mục 6</x:v>
      </x:c>
      <x:c r="O186" t="str">
        <x:v>https://tulieuvankien.dangcongsan.vn/upload/2006988/20260529/HD_05_VPTW_e1550.pdf</x:v>
      </x:c>
      <x:c r="P186" t="str">
        <x:v>PLUGIN:HOA-TIEU-MIEN-BAC-PARTY-HD05-HEADER-2026 | NEEDS_REVIEW</x:v>
      </x:c>
      <x:c r="Q186" t="str">
        <x:v>CHECK_ONLY</x:v>
      </x:c>
      <x:c r="R186" t="str">
        <x:v>Kiểm tra từng thuộc tính có mặt; so sánh nguồn/role; không suy đoán từ kết quả render chưa có</x:v>
      </x:c>
      <x:c r="S186" t="str">
        <x:v>RULE_INFERENCE_NOT_MEASURED</x:v>
      </x:c>
      <x:c r="T186" t="str">
        <x:v>Xác minh căn cứ theo loại văn bản / tài liệu phát hành hoặc phê duyệt</x:v>
      </x:c>
      <x:c r="U186" t="str">
        <x:v>Paragraph/Run theo kiểu khối KD; preserve list numbering/table/drawing nếu có</x:v>
      </x:c>
    </x:row>
    <x:row r="187">
      <x:c r="A187" t="n">
        <x:v>186</x:v>
      </x:c>
      <x:c r="B187" t="str">
        <x:v>HD05.N.KD.DANH_SACH.CAU_TRUC</x:v>
      </x:c>
      <x:c r="C187" t="str">
        <x:v>HD05.N.KD.DANH_SACH</x:v>
      </x:c>
      <x:c r="D187" t="str">
        <x:v>N</x:v>
      </x:c>
      <x:c r="E187" t="str">
        <x:v>Danh sách liệt kê</x:v>
      </x:c>
      <x:c r="F187" t="str">
        <x:v>CAU_TRUC</x:v>
      </x:c>
      <x:c r="G187"/>
      <x:c r="H187"/>
      <x:c r="I187" t="str">
        <x:v>UNVERIFIED_ATTRIBUTE</x:v>
      </x:c>
      <x:c r="J187" t="str">
        <x:v>BLOCKED_NO_ATTRIBUTE_VALUE</x:v>
      </x:c>
      <x:c r="K187" t="str">
        <x:v>Chỉ khi văn bản có phân cấp này; giữ số, tên và thứ bậc thực tế; không tự đánh lại số</x:v>
      </x:c>
      <x:c r="L187" t="str">
        <x:v>Bảo toàn cấu trúc/nội dung; nếu khác loại văn bản, ưu tiên đúng mẫu của loại đó; không sửa khi thiếu căn cứ.</x:v>
      </x:c>
      <x:c r="M187"/>
      <x:c r="N187" t="str">
        <x:v>HD05, Phần II, I.6 và IV; Phụ lục 2 mục 6</x:v>
      </x:c>
      <x:c r="O187" t="str">
        <x:v>https://tulieuvankien.dangcongsan.vn/upload/2006988/20260529/HD_05_VPTW_e1550.pdf</x:v>
      </x:c>
      <x:c r="P187" t="str">
        <x:v>PLUGIN:HOA-TIEU-MIEN-BAC-PARTY-HD05-HEADER-2026 | NEEDS_REVIEW</x:v>
      </x:c>
      <x:c r="Q187" t="str">
        <x:v>CHECK_ONLY</x:v>
      </x:c>
      <x:c r="R187" t="str">
        <x:v>Kiểm tra từng thuộc tính có mặt; so sánh nguồn/role; không suy đoán từ kết quả render chưa có</x:v>
      </x:c>
      <x:c r="S187" t="str">
        <x:v>RULE_INFERENCE_NOT_MEASURED</x:v>
      </x:c>
      <x:c r="T187" t="str">
        <x:v>Xác minh căn cứ theo loại văn bản / tài liệu phát hành hoặc phê duyệt</x:v>
      </x:c>
      <x:c r="U187" t="str">
        <x:v>Paragraph/Run theo kiểu khối KD; preserve list numbering/table/drawing nếu có</x:v>
      </x:c>
    </x:row>
    <x:row r="188">
      <x:c r="A188" t="n">
        <x:v>187</x:v>
      </x:c>
      <x:c r="B188" t="str">
        <x:v>HD05.N.KD.DANH_SACH.DAU_CAU</x:v>
      </x:c>
      <x:c r="C188" t="str">
        <x:v>HD05.N.KD.DANH_SACH</x:v>
      </x:c>
      <x:c r="D188" t="str">
        <x:v>N</x:v>
      </x:c>
      <x:c r="E188" t="str">
        <x:v>Danh sách liệt kê</x:v>
      </x:c>
      <x:c r="F188" t="str">
        <x:v>DAU_CAU</x:v>
      </x:c>
      <x:c r="G188"/>
      <x:c r="H188"/>
      <x:c r="I188" t="str">
        <x:v>UNVERIFIED_ATTRIBUTE</x:v>
      </x:c>
      <x:c r="J188" t="str">
        <x:v>BLOCKED_NO_ATTRIBUTE_VALUE</x:v>
      </x:c>
      <x:c r="K188" t="str">
        <x:v>Chỉ khi văn bản có phân cấp này; giữ số, tên và thứ bậc thực tế; không tự đánh lại số</x:v>
      </x:c>
      <x:c r="L188" t="str">
        <x:v>Bảo toàn cấu trúc/nội dung; nếu khác loại văn bản, ưu tiên đúng mẫu của loại đó; không sửa khi thiếu căn cứ.</x:v>
      </x:c>
      <x:c r="M188"/>
      <x:c r="N188" t="str">
        <x:v>HD05, Phần II, I.6 và IV; Phụ lục 2 mục 6</x:v>
      </x:c>
      <x:c r="O188" t="str">
        <x:v>https://tulieuvankien.dangcongsan.vn/upload/2006988/20260529/HD_05_VPTW_e1550.pdf</x:v>
      </x:c>
      <x:c r="P188" t="str">
        <x:v>PLUGIN:HOA-TIEU-MIEN-BAC-PARTY-HD05-HEADER-2026 | NEEDS_REVIEW</x:v>
      </x:c>
      <x:c r="Q188" t="str">
        <x:v>CHECK_ONLY</x:v>
      </x:c>
      <x:c r="R188" t="str">
        <x:v>Kiểm tra từng thuộc tính có mặt; so sánh nguồn/role; không suy đoán từ kết quả render chưa có</x:v>
      </x:c>
      <x:c r="S188" t="str">
        <x:v>RULE_INFERENCE_NOT_MEASURED</x:v>
      </x:c>
      <x:c r="T188" t="str">
        <x:v>Xác minh căn cứ theo loại văn bản / tài liệu phát hành hoặc phê duyệt</x:v>
      </x:c>
      <x:c r="U188" t="str">
        <x:v>Paragraph/Run theo kiểu khối KD; preserve list numbering/table/drawing nếu có</x:v>
      </x:c>
    </x:row>
    <x:row r="189">
      <x:c r="A189" t="n">
        <x:v>188</x:v>
      </x:c>
      <x:c r="B189" t="str">
        <x:v>HD05.N.DOAN.VAN_BAN.HIEN_DIEN</x:v>
      </x:c>
      <x:c r="C189" t="str">
        <x:v>HD05.N.DOAN.VAN_BAN</x:v>
      </x:c>
      <x:c r="D189" t="str">
        <x:v>N</x:v>
      </x:c>
      <x:c r="E189" t="str">
        <x:v>Nội dung đoạn văn thông thường</x:v>
      </x:c>
      <x:c r="F189" t="str">
        <x:v>HIEN_DIEN</x:v>
      </x:c>
      <x:c r="G189" t="str">
        <x:v>Theo loại văn bản và sự hiện diện thực tế; không áp dụng đồng loạt</x:v>
      </x:c>
      <x:c r="H189"/>
      <x:c r="I189" t="str">
        <x:v>UNVERIFIED_ATTRIBUTE</x:v>
      </x:c>
      <x:c r="J189" t="str">
        <x:v>SOURCE_DESCRIPTION_NOT_APPROVAL</x:v>
      </x:c>
      <x:c r="K189" t="str">
        <x:v>Chỉ đoạn nội dung thực; loại trừ bảng, chú thích, chữ ký và các thành phần phần đầu</x:v>
      </x:c>
      <x:c r="L189" t="str">
        <x:v>Bảo toàn cấu trúc/nội dung; nếu khác loại văn bản, ưu tiên đúng mẫu của loại đó; không sửa khi thiếu căn cứ.</x:v>
      </x:c>
      <x:c r="M189"/>
      <x:c r="N189" t="str">
        <x:v>HD05, Phần II, I.6 và IV; Phụ lục 2 mục 6</x:v>
      </x:c>
      <x:c r="O189" t="str">
        <x:v>https://tulieuvankien.dangcongsan.vn/upload/2006988/20260529/HD_05_VPTW_e1550.pdf</x:v>
      </x:c>
      <x:c r="P189" t="str">
        <x:v>PLUGIN:HOA-TIEU-MIEN-BAC-PARTY-HD05-HEADER-2026 | NEEDS_REVIEW</x:v>
      </x:c>
      <x:c r="Q189" t="str">
        <x:v>CHECK_ONLY</x:v>
      </x:c>
      <x:c r="R189" t="str">
        <x:v>Kiểm tra từng thuộc tính có mặt; so sánh nguồn/role; không suy đoán từ kết quả render chưa có</x:v>
      </x:c>
      <x:c r="S189" t="str">
        <x:v>STRUCTURE_READ_EXISTING_WORKBOOK</x:v>
      </x:c>
      <x:c r="T189"/>
      <x:c r="U189" t="str">
        <x:v>Paragraph/Run theo kiểu khối DOAN; preserve list numbering/table/drawing nếu có</x:v>
      </x:c>
    </x:row>
    <x:row r="190">
      <x:c r="A190" t="n">
        <x:v>189</x:v>
      </x:c>
      <x:c r="B190" t="str">
        <x:v>HD05.N.DOAN.VAN_BAN.NOI_DUNG</x:v>
      </x:c>
      <x:c r="C190" t="str">
        <x:v>HD05.N.DOAN.VAN_BAN</x:v>
      </x:c>
      <x:c r="D190" t="str">
        <x:v>N</x:v>
      </x:c>
      <x:c r="E190" t="str">
        <x:v>Nội dung đoạn văn thông thường</x:v>
      </x:c>
      <x:c r="F190" t="str">
        <x:v>NOI_DUNG</x:v>
      </x:c>
      <x:c r="G190" t="str">
        <x:v>Đoạn văn thông thường: chữ đứng, căn đều 2 lề</x:v>
      </x:c>
      <x:c r="H190"/>
      <x:c r="I190" t="str">
        <x:v>UNVERIFIED_ATTRIBUTE</x:v>
      </x:c>
      <x:c r="J190" t="str">
        <x:v>SOURCE_DESCRIPTION_NOT_APPROVAL</x:v>
      </x:c>
      <x:c r="K190" t="str">
        <x:v>Chỉ đoạn nội dung thực; loại trừ bảng, chú thích, chữ ký và các thành phần phần đầu</x:v>
      </x:c>
      <x:c r="L190" t="str">
        <x:v>Bảo toàn cấu trúc/nội dung; nếu khác loại văn bản, ưu tiên đúng mẫu của loại đó; không sửa khi thiếu căn cứ.</x:v>
      </x:c>
      <x:c r="M190"/>
      <x:c r="N190" t="str">
        <x:v>HD05, Phần II, I.6 và IV; Phụ lục 2 mục 6</x:v>
      </x:c>
      <x:c r="O190" t="str">
        <x:v>https://tulieuvankien.dangcongsan.vn/upload/2006988/20260529/HD_05_VPTW_e1550.pdf</x:v>
      </x:c>
      <x:c r="P190" t="str">
        <x:v>PLUGIN:HOA-TIEU-MIEN-BAC-PARTY-HD05-HEADER-2026 | NEEDS_REVIEW</x:v>
      </x:c>
      <x:c r="Q190" t="str">
        <x:v>CHECK_ONLY</x:v>
      </x:c>
      <x:c r="R190" t="str">
        <x:v>Kiểm tra từng thuộc tính có mặt; so sánh nguồn/role; không suy đoán từ kết quả render chưa có</x:v>
      </x:c>
      <x:c r="S190" t="str">
        <x:v>STRUCTURE_READ_EXISTING_WORKBOOK</x:v>
      </x:c>
      <x:c r="T190"/>
      <x:c r="U190" t="str">
        <x:v>Paragraph/Run theo kiểu khối DOAN; preserve list numbering/table/drawing nếu có</x:v>
      </x:c>
    </x:row>
    <x:row r="191">
      <x:c r="A191" t="n">
        <x:v>190</x:v>
      </x:c>
      <x:c r="B191" t="str">
        <x:v>HD05.N.DOAN.VAN_BAN.PHONG_CHU</x:v>
      </x:c>
      <x:c r="C191" t="str">
        <x:v>HD05.N.DOAN.VAN_BAN</x:v>
      </x:c>
      <x:c r="D191" t="str">
        <x:v>N</x:v>
      </x:c>
      <x:c r="E191" t="str">
        <x:v>Nội dung đoạn văn thông thường</x:v>
      </x:c>
      <x:c r="F191" t="str">
        <x:v>PHONG_CHU</x:v>
      </x:c>
      <x:c r="G191" t="str">
        <x:v>Times New Roman</x:v>
      </x:c>
      <x:c r="H191"/>
      <x:c r="I191" t="str">
        <x:v>UNVERIFIED_ATTRIBUTE</x:v>
      </x:c>
      <x:c r="J191" t="str">
        <x:v>PROFILE_PRESET_UNAPPROVED</x:v>
      </x:c>
      <x:c r="K191" t="str">
        <x:v>Chỉ đoạn nội dung thực; loại trừ bảng, chú thích, chữ ký và các thành phần phần đầu</x:v>
      </x:c>
      <x:c r="L191" t="str">
        <x:v>Bảo toàn cấu trúc/nội dung; nếu khác loại văn bản, ưu tiên đúng mẫu của loại đó; không sửa khi thiếu căn cứ.</x:v>
      </x:c>
      <x:c r="M191"/>
      <x:c r="N191" t="str">
        <x:v>HD05, Phần II, I.6 và IV; Phụ lục 2 mục 6</x:v>
      </x:c>
      <x:c r="O191" t="str">
        <x:v>https://tulieuvankien.dangcongsan.vn/upload/2006988/20260529/HD_05_VPTW_e1550.pdf</x:v>
      </x:c>
      <x:c r="P191" t="str">
        <x:v>PLUGIN:HOA-TIEU-MIEN-BAC-PARTY-HD05-HEADER-2026 | NEEDS_REVIEW</x:v>
      </x:c>
      <x:c r="Q191" t="str">
        <x:v>CHECK_ONLY</x:v>
      </x:c>
      <x:c r="R191" t="str">
        <x:v>Kiểm tra từng thuộc tính có mặt; so sánh nguồn/role; không suy đoán từ kết quả render chưa có</x:v>
      </x:c>
      <x:c r="S191" t="str">
        <x:v>STRUCTURE_READ_EXISTING_WORKBOOK</x:v>
      </x:c>
      <x:c r="T191"/>
      <x:c r="U191" t="str">
        <x:v>Paragraph/Run theo kiểu khối DOAN; preserve list numbering/table/drawing nếu có</x:v>
      </x:c>
    </x:row>
    <x:row r="192">
      <x:c r="A192" t="n">
        <x:v>191</x:v>
      </x:c>
      <x:c r="B192" t="str">
        <x:v>HD05.N.DOAN.VAN_BAN.CO_CHU</x:v>
      </x:c>
      <x:c r="C192" t="str">
        <x:v>HD05.N.DOAN.VAN_BAN</x:v>
      </x:c>
      <x:c r="D192" t="str">
        <x:v>N</x:v>
      </x:c>
      <x:c r="E192" t="str">
        <x:v>Nội dung đoạn văn thông thường</x:v>
      </x:c>
      <x:c r="F192" t="str">
        <x:v>CO_CHU</x:v>
      </x:c>
      <x:c r="G192" t="n">
        <x:v>14</x:v>
      </x:c>
      <x:c r="H192" t="str">
        <x:v>14–15</x:v>
      </x:c>
      <x:c r="I192" t="str">
        <x:v>LEGAL_EXPLICIT_CHECKED</x:v>
      </x:c>
      <x:c r="J192" t="str">
        <x:v>PROFILE_PRESET_UNAPPROVED</x:v>
      </x:c>
      <x:c r="K192" t="str">
        <x:v>Chỉ đoạn nội dung thực; loại trừ bảng, chú thích, chữ ký và các thành phần phần đầu</x:v>
      </x:c>
      <x:c r="L192" t="str">
        <x:v>Bảo toàn cấu trúc/nội dung; nếu khác loại văn bản, ưu tiên đúng mẫu của loại đó; không sửa khi thiếu căn cứ.</x:v>
      </x:c>
      <x:c r="M192" t="str">
        <x:v>pt</x:v>
      </x:c>
      <x:c r="N192" t="str">
        <x:v>Phụ lục 2, mục 6</x:v>
      </x:c>
      <x:c r="O192" t="str">
        <x:v>https://tulieuvankien.dangcongsan.vn/upload/2006988/20260529/HD_05_VPTW_e1550.pdf</x:v>
      </x:c>
      <x:c r="P192" t="str">
        <x:v>PLUGIN:HOA-TIEU-MIEN-BAC-PARTY-HD05-HEADER-2026 | NEEDS_REVIEW</x:v>
      </x:c>
      <x:c r="Q192" t="str">
        <x:v>CHECK_ONLY</x:v>
      </x:c>
      <x:c r="R192" t="str">
        <x:v>Kiểm tra từng thuộc tính có mặt; so sánh nguồn/role; không suy đoán từ kết quả render chưa có</x:v>
      </x:c>
      <x:c r="S192" t="str">
        <x:v>OFFICIAL_TEXT_VERIFIED</x:v>
      </x:c>
      <x:c r="T192"/>
      <x:c r="U192" t="str">
        <x:v>Paragraph/Run theo kiểu khối DOAN; preserve list numbering/table/drawing nếu có</x:v>
      </x:c>
    </x:row>
    <x:row r="193">
      <x:c r="A193" t="n">
        <x:v>192</x:v>
      </x:c>
      <x:c r="B193" t="str">
        <x:v>HD05.N.DOAN.VAN_BAN.DAM</x:v>
      </x:c>
      <x:c r="C193" t="str">
        <x:v>HD05.N.DOAN.VAN_BAN</x:v>
      </x:c>
      <x:c r="D193" t="str">
        <x:v>N</x:v>
      </x:c>
      <x:c r="E193" t="str">
        <x:v>Nội dung đoạn văn thông thường</x:v>
      </x:c>
      <x:c r="F193" t="str">
        <x:v>DAM</x:v>
      </x:c>
      <x:c r="G193" t="str">
        <x:v>KHÔNG</x:v>
      </x:c>
      <x:c r="H193"/>
      <x:c r="I193" t="str">
        <x:v>UNVERIFIED_ATTRIBUTE</x:v>
      </x:c>
      <x:c r="J193" t="str">
        <x:v>PROFILE_PRESET_UNAPPROVED</x:v>
      </x:c>
      <x:c r="K193" t="str">
        <x:v>Chỉ đoạn nội dung thực; loại trừ bảng, chú thích, chữ ký và các thành phần phần đầu</x:v>
      </x:c>
      <x:c r="L193" t="str">
        <x:v>Bảo toàn cấu trúc/nội dung; nếu khác loại văn bản, ưu tiên đúng mẫu của loại đó; không sửa khi thiếu căn cứ.</x:v>
      </x:c>
      <x:c r="M193"/>
      <x:c r="N193" t="str">
        <x:v>HD05, Phần II, I.6 và IV; Phụ lục 2 mục 6</x:v>
      </x:c>
      <x:c r="O193" t="str">
        <x:v>https://tulieuvankien.dangcongsan.vn/upload/2006988/20260529/HD_05_VPTW_e1550.pdf</x:v>
      </x:c>
      <x:c r="P193" t="str">
        <x:v>PLUGIN:HOA-TIEU-MIEN-BAC-PARTY-HD05-HEADER-2026 | NEEDS_REVIEW</x:v>
      </x:c>
      <x:c r="Q193" t="str">
        <x:v>CHECK_ONLY</x:v>
      </x:c>
      <x:c r="R193" t="str">
        <x:v>Kiểm tra từng thuộc tính có mặt; so sánh nguồn/role; không suy đoán từ kết quả render chưa có</x:v>
      </x:c>
      <x:c r="S193" t="str">
        <x:v>STRUCTURE_READ_EXISTING_WORKBOOK</x:v>
      </x:c>
      <x:c r="T193"/>
      <x:c r="U193" t="str">
        <x:v>Paragraph/Run theo kiểu khối DOAN; preserve list numbering/table/drawing nếu có</x:v>
      </x:c>
    </x:row>
    <x:row r="194">
      <x:c r="A194" t="n">
        <x:v>193</x:v>
      </x:c>
      <x:c r="B194" t="str">
        <x:v>HD05.N.DOAN.VAN_BAN.NGHIENG</x:v>
      </x:c>
      <x:c r="C194" t="str">
        <x:v>HD05.N.DOAN.VAN_BAN</x:v>
      </x:c>
      <x:c r="D194" t="str">
        <x:v>N</x:v>
      </x:c>
      <x:c r="E194" t="str">
        <x:v>Nội dung đoạn văn thông thường</x:v>
      </x:c>
      <x:c r="F194" t="str">
        <x:v>NGHIENG</x:v>
      </x:c>
      <x:c r="G194"/>
      <x:c r="H194"/>
      <x:c r="I194" t="str">
        <x:v>UNVERIFIED_ATTRIBUTE</x:v>
      </x:c>
      <x:c r="J194" t="str">
        <x:v>BLOCKED_NO_ATTRIBUTE_VALUE</x:v>
      </x:c>
      <x:c r="K194" t="str">
        <x:v>Chỉ đoạn nội dung thực; loại trừ bảng, chú thích, chữ ký và các thành phần phần đầu</x:v>
      </x:c>
      <x:c r="L194" t="str">
        <x:v>Bảo toàn cấu trúc/nội dung; nếu khác loại văn bản, ưu tiên đúng mẫu của loại đó; không sửa khi thiếu căn cứ.</x:v>
      </x:c>
      <x:c r="M194"/>
      <x:c r="N194" t="str">
        <x:v>HD05, Phần II, I.6 và IV; Phụ lục 2 mục 6</x:v>
      </x:c>
      <x:c r="O194" t="str">
        <x:v>https://tulieuvankien.dangcongsan.vn/upload/2006988/20260529/HD_05_VPTW_e1550.pdf</x:v>
      </x:c>
      <x:c r="P194" t="str">
        <x:v>PLUGIN:HOA-TIEU-MIEN-BAC-PARTY-HD05-HEADER-2026 | NEEDS_REVIEW</x:v>
      </x:c>
      <x:c r="Q194" t="str">
        <x:v>CHECK_ONLY</x:v>
      </x:c>
      <x:c r="R194" t="str">
        <x:v>Kiểm tra từng thuộc tính có mặt; so sánh nguồn/role; không suy đoán từ kết quả render chưa có</x:v>
      </x:c>
      <x:c r="S194" t="str">
        <x:v>RULE_INFERENCE_NOT_MEASURED</x:v>
      </x:c>
      <x:c r="T194" t="str">
        <x:v>Xác minh căn cứ theo loại văn bản / tài liệu phát hành hoặc phê duyệt</x:v>
      </x:c>
      <x:c r="U194" t="str">
        <x:v>Paragraph/Run theo kiểu khối DOAN; preserve list numbering/table/drawing nếu có</x:v>
      </x:c>
    </x:row>
    <x:row r="195">
      <x:c r="A195" t="n">
        <x:v>194</x:v>
      </x:c>
      <x:c r="B195" t="str">
        <x:v>HD05.N.DOAN.VAN_BAN.KIEU_CHU</x:v>
      </x:c>
      <x:c r="C195" t="str">
        <x:v>HD05.N.DOAN.VAN_BAN</x:v>
      </x:c>
      <x:c r="D195" t="str">
        <x:v>N</x:v>
      </x:c>
      <x:c r="E195" t="str">
        <x:v>Nội dung đoạn văn thông thường</x:v>
      </x:c>
      <x:c r="F195" t="str">
        <x:v>KIEU_CHU</x:v>
      </x:c>
      <x:c r="G195" t="str">
        <x:v>In thường (trừ tiêu đề)</x:v>
      </x:c>
      <x:c r="H195"/>
      <x:c r="I195" t="str">
        <x:v>UNVERIFIED_ATTRIBUTE</x:v>
      </x:c>
      <x:c r="J195" t="str">
        <x:v>PROFILE_PRESET_UNAPPROVED</x:v>
      </x:c>
      <x:c r="K195" t="str">
        <x:v>Chỉ đoạn nội dung thực; loại trừ bảng, chú thích, chữ ký và các thành phần phần đầu</x:v>
      </x:c>
      <x:c r="L195" t="str">
        <x:v>Bảo toàn cấu trúc/nội dung; nếu khác loại văn bản, ưu tiên đúng mẫu của loại đó; không sửa khi thiếu căn cứ.</x:v>
      </x:c>
      <x:c r="M195"/>
      <x:c r="N195" t="str">
        <x:v>HD05, Phần II, I.6 và IV; Phụ lục 2 mục 6</x:v>
      </x:c>
      <x:c r="O195" t="str">
        <x:v>https://tulieuvankien.dangcongsan.vn/upload/2006988/20260529/HD_05_VPTW_e1550.pdf</x:v>
      </x:c>
      <x:c r="P195" t="str">
        <x:v>PLUGIN:HOA-TIEU-MIEN-BAC-PARTY-HD05-HEADER-2026 | NEEDS_REVIEW</x:v>
      </x:c>
      <x:c r="Q195" t="str">
        <x:v>CHECK_ONLY</x:v>
      </x:c>
      <x:c r="R195" t="str">
        <x:v>Kiểm tra từng thuộc tính có mặt; so sánh nguồn/role; không suy đoán từ kết quả render chưa có</x:v>
      </x:c>
      <x:c r="S195" t="str">
        <x:v>STRUCTURE_READ_EXISTING_WORKBOOK</x:v>
      </x:c>
      <x:c r="T195"/>
      <x:c r="U195" t="str">
        <x:v>Paragraph/Run theo kiểu khối DOAN; preserve list numbering/table/drawing nếu có</x:v>
      </x:c>
    </x:row>
    <x:row r="196">
      <x:c r="A196" t="n">
        <x:v>195</x:v>
      </x:c>
      <x:c r="B196" t="str">
        <x:v>HD05.N.DOAN.VAN_BAN.CAN_NGANG</x:v>
      </x:c>
      <x:c r="C196" t="str">
        <x:v>HD05.N.DOAN.VAN_BAN</x:v>
      </x:c>
      <x:c r="D196" t="str">
        <x:v>N</x:v>
      </x:c>
      <x:c r="E196" t="str">
        <x:v>Nội dung đoạn văn thông thường</x:v>
      </x:c>
      <x:c r="F196" t="str">
        <x:v>CAN_NGANG</x:v>
      </x:c>
      <x:c r="G196" t="str">
        <x:v>JUSTIFY</x:v>
      </x:c>
      <x:c r="H196"/>
      <x:c r="I196" t="str">
        <x:v>UNVERIFIED_ATTRIBUTE</x:v>
      </x:c>
      <x:c r="J196" t="str">
        <x:v>PROFILE_PRESET_UNAPPROVED</x:v>
      </x:c>
      <x:c r="K196" t="str">
        <x:v>Chỉ đoạn nội dung thực; loại trừ bảng, chú thích, chữ ký và các thành phần phần đầu</x:v>
      </x:c>
      <x:c r="L196" t="str">
        <x:v>Bảo toàn cấu trúc/nội dung; nếu khác loại văn bản, ưu tiên đúng mẫu của loại đó; không sửa khi thiếu căn cứ.</x:v>
      </x:c>
      <x:c r="M196"/>
      <x:c r="N196" t="str">
        <x:v>HD05, Phần II, I.6 và IV; Phụ lục 2 mục 6</x:v>
      </x:c>
      <x:c r="O196" t="str">
        <x:v>https://tulieuvankien.dangcongsan.vn/upload/2006988/20260529/HD_05_VPTW_e1550.pdf</x:v>
      </x:c>
      <x:c r="P196" t="str">
        <x:v>PLUGIN:HOA-TIEU-MIEN-BAC-PARTY-HD05-HEADER-2026 | NEEDS_REVIEW</x:v>
      </x:c>
      <x:c r="Q196" t="str">
        <x:v>CHECK_ONLY</x:v>
      </x:c>
      <x:c r="R196" t="str">
        <x:v>Kiểm tra từng thuộc tính có mặt; so sánh nguồn/role; không suy đoán từ kết quả render chưa có</x:v>
      </x:c>
      <x:c r="S196" t="str">
        <x:v>STRUCTURE_READ_EXISTING_WORKBOOK</x:v>
      </x:c>
      <x:c r="T196"/>
      <x:c r="U196" t="str">
        <x:v>Paragraph/Run theo kiểu khối DOAN; preserve list numbering/table/drawing nếu có</x:v>
      </x:c>
    </x:row>
    <x:row r="197">
      <x:c r="A197" t="n">
        <x:v>196</x:v>
      </x:c>
      <x:c r="B197" t="str">
        <x:v>HD05.N.DOAN.VAN_BAN.GIAN_DONG</x:v>
      </x:c>
      <x:c r="C197" t="str">
        <x:v>HD05.N.DOAN.VAN_BAN</x:v>
      </x:c>
      <x:c r="D197" t="str">
        <x:v>N</x:v>
      </x:c>
      <x:c r="E197" t="str">
        <x:v>Nội dung đoạn văn thông thường</x:v>
      </x:c>
      <x:c r="F197" t="str">
        <x:v>GIAN_DONG</x:v>
      </x:c>
      <x:c r="G197" t="n">
        <x:v>19</x:v>
      </x:c>
      <x:c r="H197" t="str">
        <x:v>Exactly 18–22 pt</x:v>
      </x:c>
      <x:c r="I197" t="str">
        <x:v>LEGAL_EXPLICIT_CHECKED</x:v>
      </x:c>
      <x:c r="J197" t="str">
        <x:v>PROFILE_PRESET_UNAPPROVED</x:v>
      </x:c>
      <x:c r="K197" t="str">
        <x:v>Chỉ đoạn nội dung thực; loại trừ bảng, chú thích, chữ ký và các thành phần phần đầu</x:v>
      </x:c>
      <x:c r="L197" t="str">
        <x:v>Bảo toàn cấu trúc/nội dung; nếu khác loại văn bản, ưu tiên đúng mẫu của loại đó; không sửa khi thiếu căn cứ. HD05 phần thân: Exactly 18–22 pt theo HD05; nếu giá trị profile khác phải đánh cờ xung đột.</x:v>
      </x:c>
      <x:c r="M197" t="str">
        <x:v>pt</x:v>
      </x:c>
      <x:c r="N197" t="str">
        <x:v>Phần II.I.6.2.2</x:v>
      </x:c>
      <x:c r="O197" t="str">
        <x:v>https://tulieuvankien.dangcongsan.vn/upload/2006988/20260529/HD_05_VPTW_e1550.pdf</x:v>
      </x:c>
      <x:c r="P197" t="str">
        <x:v>PLUGIN:HOA-TIEU-MIEN-BAC-PARTY-HD05-HEADER-2026 | NEEDS_REVIEW</x:v>
      </x:c>
      <x:c r="Q197" t="str">
        <x:v>CHECK_ONLY</x:v>
      </x:c>
      <x:c r="R197" t="str">
        <x:v>Kiểm tra từng thuộc tính có mặt; so sánh nguồn/role; không suy đoán từ kết quả render chưa có</x:v>
      </x:c>
      <x:c r="S197" t="str">
        <x:v>OFFICIAL_TEXT_VERIFIED</x:v>
      </x:c>
      <x:c r="T197"/>
      <x:c r="U197" t="str">
        <x:v>Paragraph/Run theo kiểu khối DOAN; preserve list numbering/table/drawing nếu có</x:v>
      </x:c>
    </x:row>
    <x:row r="198">
      <x:c r="A198" t="n">
        <x:v>197</x:v>
      </x:c>
      <x:c r="B198" t="str">
        <x:v>HD05.N.DOAN.VAN_BAN.CACH_TRUOC</x:v>
      </x:c>
      <x:c r="C198" t="str">
        <x:v>HD05.N.DOAN.VAN_BAN</x:v>
      </x:c>
      <x:c r="D198" t="str">
        <x:v>N</x:v>
      </x:c>
      <x:c r="E198" t="str">
        <x:v>Nội dung đoạn văn thông thường</x:v>
      </x:c>
      <x:c r="F198" t="str">
        <x:v>CACH_TRUOC</x:v>
      </x:c>
      <x:c r="G198" t="n">
        <x:v>0</x:v>
      </x:c>
      <x:c r="H198"/>
      <x:c r="I198" t="str">
        <x:v>UNVERIFIED_ATTRIBUTE</x:v>
      </x:c>
      <x:c r="J198" t="str">
        <x:v>PROFILE_PRESET_UNAPPROVED</x:v>
      </x:c>
      <x:c r="K198" t="str">
        <x:v>Chỉ đoạn nội dung thực; loại trừ bảng, chú thích, chữ ký và các thành phần phần đầu</x:v>
      </x:c>
      <x:c r="L198" t="str">
        <x:v>Bảo toàn cấu trúc/nội dung; nếu khác loại văn bản, ưu tiên đúng mẫu của loại đó; không sửa khi thiếu căn cứ.</x:v>
      </x:c>
      <x:c r="M198" t="str">
        <x:v>pt</x:v>
      </x:c>
      <x:c r="N198" t="str">
        <x:v>HD05, Phần II, I.6 và IV; Phụ lục 2 mục 6</x:v>
      </x:c>
      <x:c r="O198" t="str">
        <x:v>https://tulieuvankien.dangcongsan.vn/upload/2006988/20260529/HD_05_VPTW_e1550.pdf</x:v>
      </x:c>
      <x:c r="P198" t="str">
        <x:v>PLUGIN:HOA-TIEU-MIEN-BAC-PARTY-HD05-HEADER-2026 | NEEDS_REVIEW</x:v>
      </x:c>
      <x:c r="Q198" t="str">
        <x:v>CHECK_ONLY</x:v>
      </x:c>
      <x:c r="R198" t="str">
        <x:v>Kiểm tra từng thuộc tính có mặt; so sánh nguồn/role; không suy đoán từ kết quả render chưa có</x:v>
      </x:c>
      <x:c r="S198" t="str">
        <x:v>STRUCTURE_READ_EXISTING_WORKBOOK</x:v>
      </x:c>
      <x:c r="T198"/>
      <x:c r="U198" t="str">
        <x:v>Paragraph/Run theo kiểu khối DOAN; preserve list numbering/table/drawing nếu có</x:v>
      </x:c>
    </x:row>
    <x:row r="199">
      <x:c r="A199" t="n">
        <x:v>198</x:v>
      </x:c>
      <x:c r="B199" t="str">
        <x:v>HD05.N.DOAN.VAN_BAN.CACH_SAU</x:v>
      </x:c>
      <x:c r="C199" t="str">
        <x:v>HD05.N.DOAN.VAN_BAN</x:v>
      </x:c>
      <x:c r="D199" t="str">
        <x:v>N</x:v>
      </x:c>
      <x:c r="E199" t="str">
        <x:v>Nội dung đoạn văn thông thường</x:v>
      </x:c>
      <x:c r="F199" t="str">
        <x:v>CACH_SAU</x:v>
      </x:c>
      <x:c r="G199" t="n">
        <x:v>6</x:v>
      </x:c>
      <x:c r="H199" t="str">
        <x:v>Khoảng cách giữa các đoạn &gt;= 6 pt; không quy định riêng thuộc tính after</x:v>
      </x:c>
      <x:c r="I199" t="str">
        <x:v>LEGAL_EXPLICIT_CHECKED</x:v>
      </x:c>
      <x:c r="J199" t="str">
        <x:v>PROFILE_PRESET_UNAPPROVED</x:v>
      </x:c>
      <x:c r="K199" t="str">
        <x:v>Chỉ đoạn nội dung thực; loại trừ bảng, chú thích, chữ ký và các thành phần phần đầu</x:v>
      </x:c>
      <x:c r="L199" t="str">
        <x:v>Bảo toàn cấu trúc/nội dung; nếu khác loại văn bản, ưu tiên đúng mẫu của loại đó; không sửa khi thiếu căn cứ.</x:v>
      </x:c>
      <x:c r="M199" t="str">
        <x:v>pt</x:v>
      </x:c>
      <x:c r="N199" t="str">
        <x:v>Phần II.I.6.2.2</x:v>
      </x:c>
      <x:c r="O199" t="str">
        <x:v>https://tulieuvankien.dangcongsan.vn/upload/2006988/20260529/HD_05_VPTW_e1550.pdf</x:v>
      </x:c>
      <x:c r="P199" t="str">
        <x:v>PLUGIN:HOA-TIEU-MIEN-BAC-PARTY-HD05-HEADER-2026 | NEEDS_REVIEW</x:v>
      </x:c>
      <x:c r="Q199" t="str">
        <x:v>CHECK_ONLY</x:v>
      </x:c>
      <x:c r="R199" t="str">
        <x:v>Kiểm tra từng thuộc tính có mặt; so sánh nguồn/role; không suy đoán từ kết quả render chưa có</x:v>
      </x:c>
      <x:c r="S199" t="str">
        <x:v>OFFICIAL_TEXT_VERIFIED</x:v>
      </x:c>
      <x:c r="T199"/>
      <x:c r="U199" t="str">
        <x:v>Paragraph/Run theo kiểu khối DOAN; preserve list numbering/table/drawing nếu có</x:v>
      </x:c>
    </x:row>
    <x:row r="200">
      <x:c r="A200" t="n">
        <x:v>199</x:v>
      </x:c>
      <x:c r="B200" t="str">
        <x:v>HD05.N.DOAN.VAN_BAN.THUT_DONG_DAU</x:v>
      </x:c>
      <x:c r="C200" t="str">
        <x:v>HD05.N.DOAN.VAN_BAN</x:v>
      </x:c>
      <x:c r="D200" t="str">
        <x:v>N</x:v>
      </x:c>
      <x:c r="E200" t="str">
        <x:v>Nội dung đoạn văn thông thường</x:v>
      </x:c>
      <x:c r="F200" t="str">
        <x:v>THUT_DONG_DAU</x:v>
      </x:c>
      <x:c r="G200" t="n">
        <x:v>10</x:v>
      </x:c>
      <x:c r="H200"/>
      <x:c r="I200" t="str">
        <x:v>UNVERIFIED_ATTRIBUTE</x:v>
      </x:c>
      <x:c r="J200" t="str">
        <x:v>PROFILE_PRESET_UNAPPROVED</x:v>
      </x:c>
      <x:c r="K200" t="str">
        <x:v>Chỉ đoạn nội dung thực; loại trừ bảng, chú thích, chữ ký và các thành phần phần đầu</x:v>
      </x:c>
      <x:c r="L200" t="str">
        <x:v>Bảo toàn cấu trúc/nội dung; nếu khác loại văn bản, ưu tiên đúng mẫu của loại đó; không sửa khi thiếu căn cứ.</x:v>
      </x:c>
      <x:c r="M200" t="str">
        <x:v>mm</x:v>
      </x:c>
      <x:c r="N200" t="str">
        <x:v>HD05, Phần II, I.6 và IV; Phụ lục 2 mục 6</x:v>
      </x:c>
      <x:c r="O200" t="str">
        <x:v>https://tulieuvankien.dangcongsan.vn/upload/2006988/20260529/HD_05_VPTW_e1550.pdf</x:v>
      </x:c>
      <x:c r="P200" t="str">
        <x:v>PLUGIN:HOA-TIEU-MIEN-BAC-PARTY-HD05-HEADER-2026 | NEEDS_REVIEW</x:v>
      </x:c>
      <x:c r="Q200" t="str">
        <x:v>CHECK_ONLY</x:v>
      </x:c>
      <x:c r="R200" t="str">
        <x:v>Kiểm tra từng thuộc tính có mặt; so sánh nguồn/role; không suy đoán từ kết quả render chưa có</x:v>
      </x:c>
      <x:c r="S200" t="str">
        <x:v>STRUCTURE_READ_EXISTING_WORKBOOK</x:v>
      </x:c>
      <x:c r="T200"/>
      <x:c r="U200" t="str">
        <x:v>Paragraph/Run theo kiểu khối DOAN; preserve list numbering/table/drawing nếu có</x:v>
      </x:c>
    </x:row>
    <x:row r="201">
      <x:c r="A201" t="n">
        <x:v>200</x:v>
      </x:c>
      <x:c r="B201" t="str">
        <x:v>HD05.N.DOAN.VAN_BAN.DAU_CAU</x:v>
      </x:c>
      <x:c r="C201" t="str">
        <x:v>HD05.N.DOAN.VAN_BAN</x:v>
      </x:c>
      <x:c r="D201" t="str">
        <x:v>N</x:v>
      </x:c>
      <x:c r="E201" t="str">
        <x:v>Nội dung đoạn văn thông thường</x:v>
      </x:c>
      <x:c r="F201" t="str">
        <x:v>DAU_CAU</x:v>
      </x:c>
      <x:c r="G201"/>
      <x:c r="H201"/>
      <x:c r="I201" t="str">
        <x:v>UNVERIFIED_ATTRIBUTE</x:v>
      </x:c>
      <x:c r="J201" t="str">
        <x:v>BLOCKED_NO_ATTRIBUTE_VALUE</x:v>
      </x:c>
      <x:c r="K201" t="str">
        <x:v>Chỉ đoạn nội dung thực; loại trừ bảng, chú thích, chữ ký và các thành phần phần đầu</x:v>
      </x:c>
      <x:c r="L201" t="str">
        <x:v>Bảo toàn cấu trúc/nội dung; nếu khác loại văn bản, ưu tiên đúng mẫu của loại đó; không sửa khi thiếu căn cứ.</x:v>
      </x:c>
      <x:c r="M201"/>
      <x:c r="N201" t="str">
        <x:v>HD05, Phần II, I.6 và IV; Phụ lục 2 mục 6</x:v>
      </x:c>
      <x:c r="O201" t="str">
        <x:v>https://tulieuvankien.dangcongsan.vn/upload/2006988/20260529/HD_05_VPTW_e1550.pdf</x:v>
      </x:c>
      <x:c r="P201" t="str">
        <x:v>PLUGIN:HOA-TIEU-MIEN-BAC-PARTY-HD05-HEADER-2026 | NEEDS_REVIEW</x:v>
      </x:c>
      <x:c r="Q201" t="str">
        <x:v>CHECK_ONLY</x:v>
      </x:c>
      <x:c r="R201" t="str">
        <x:v>Kiểm tra từng thuộc tính có mặt; so sánh nguồn/role; không suy đoán từ kết quả render chưa có</x:v>
      </x:c>
      <x:c r="S201" t="str">
        <x:v>RULE_INFERENCE_NOT_MEASURED</x:v>
      </x:c>
      <x:c r="T201" t="str">
        <x:v>Xác minh căn cứ theo loại văn bản / tài liệu phát hành hoặc phê duyệt</x:v>
      </x:c>
      <x:c r="U201" t="str">
        <x:v>Paragraph/Run theo kiểu khối DOAN; preserve list numbering/table/drawing nếu có</x:v>
      </x:c>
    </x:row>
    <x:row r="202">
      <x:c r="A202" t="n">
        <x:v>201</x:v>
      </x:c>
      <x:c r="B202" t="str">
        <x:v>HD05.N.BANG.TIEU_DE.THAM_CHIEU_BANG</x:v>
      </x:c>
      <x:c r="C202" t="str">
        <x:v>HD05.N.BANG.TIEU_DE</x:v>
      </x:c>
      <x:c r="D202" t="str">
        <x:v>N</x:v>
      </x:c>
      <x:c r="E202" t="str">
        <x:v>Tiêu đề bảng</x:v>
      </x:c>
      <x:c r="F202" t="str">
        <x:v>THAM_CHIEU_BANG</x:v>
      </x:c>
      <x:c r="G202" t="str">
        <x:v>BANG_HD05!B7:B72</x:v>
      </x:c>
      <x:c r="H202"/>
      <x:c r="I202" t="str">
        <x:v>UNVERIFIED_ATTRIBUTE</x:v>
      </x:c>
      <x:c r="J202" t="str">
        <x:v>SOURCE_DESCRIPTION_NOT_APPROVAL</x:v>
      </x:c>
      <x:c r="K202" t="str">
        <x:v>Định tuyến sang 132 rule con bảng, không áp style đoạn thường vào ô bảng</x:v>
      </x:c>
      <x:c r="L202" t="str">
        <x:v>Bảo toàn cấu trúc/nội dung; nếu khác loại văn bản, ưu tiên đúng mẫu của loại đó; không sửa khi thiếu căn cứ.</x:v>
      </x:c>
      <x:c r="M202"/>
      <x:c r="N202" t="str">
        <x:v>HD05, Phần II, I.6 và IV; Phụ lục 2 mục 6</x:v>
      </x:c>
      <x:c r="O202" t="str">
        <x:v>https://tulieuvankien.dangcongsan.vn/upload/2006988/20260529/HD_05_VPTW_e1550.pdf</x:v>
      </x:c>
      <x:c r="P202" t="str">
        <x:v>PLUGIN:HOA-TIEU-MIEN-BAC-PARTY-HD05-HEADER-2026 | NEEDS_REVIEW</x:v>
      </x:c>
      <x:c r="Q202" t="str">
        <x:v>CHECK_ONLY</x:v>
      </x:c>
      <x:c r="R202" t="str">
        <x:v>Kiểm tra từng thuộc tính có mặt; so sánh nguồn/role; không suy đoán từ kết quả render chưa có</x:v>
      </x:c>
      <x:c r="S202" t="str">
        <x:v>STRUCTURE_READ_EXISTING_WORKBOOK</x:v>
      </x:c>
      <x:c r="T202"/>
      <x:c r="U202" t="str">
        <x:v>w:tbl/w:tr/w:tc; không dùng AI để tự gộp hoặc tái bố cục</x:v>
      </x:c>
    </x:row>
    <x:row r="203">
      <x:c r="A203" t="n">
        <x:v>202</x:v>
      </x:c>
      <x:c r="B203" t="str">
        <x:v>HD05.N.BANG.DAU_BANG.THAM_CHIEU_BANG</x:v>
      </x:c>
      <x:c r="C203" t="str">
        <x:v>HD05.N.BANG.DAU_BANG</x:v>
      </x:c>
      <x:c r="D203" t="str">
        <x:v>N</x:v>
      </x:c>
      <x:c r="E203" t="str">
        <x:v>Hàng đầu bảng</x:v>
      </x:c>
      <x:c r="F203" t="str">
        <x:v>THAM_CHIEU_BANG</x:v>
      </x:c>
      <x:c r="G203" t="str">
        <x:v>BANG_HD05!B7:B72</x:v>
      </x:c>
      <x:c r="H203"/>
      <x:c r="I203" t="str">
        <x:v>UNVERIFIED_ATTRIBUTE</x:v>
      </x:c>
      <x:c r="J203" t="str">
        <x:v>SOURCE_DESCRIPTION_NOT_APPROVAL</x:v>
      </x:c>
      <x:c r="K203" t="str">
        <x:v>Định tuyến sang 132 rule con bảng, không áp style đoạn thường vào ô bảng</x:v>
      </x:c>
      <x:c r="L203" t="str">
        <x:v>Chuyển sang BANG_HD05; hàng tiêu đề bắt buộc lặp theo profile.</x:v>
      </x:c>
      <x:c r="M203"/>
      <x:c r="N203" t="str">
        <x:v>HD05, Phần II, I.6 và IV; Phụ lục 2 mục 6</x:v>
      </x:c>
      <x:c r="O203" t="str">
        <x:v>https://tulieuvankien.dangcongsan.vn/upload/2006988/20260529/HD_05_VPTW_e1550.pdf</x:v>
      </x:c>
      <x:c r="P203" t="str">
        <x:v>PLUGIN:HOA-TIEU-MIEN-BAC-PARTY-HD05-HEADER-2026 | NEEDS_REVIEW</x:v>
      </x:c>
      <x:c r="Q203" t="str">
        <x:v>CHECK_ONLY</x:v>
      </x:c>
      <x:c r="R203" t="str">
        <x:v>Kiểm tra từng thuộc tính có mặt; so sánh nguồn/role; không suy đoán từ kết quả render chưa có</x:v>
      </x:c>
      <x:c r="S203" t="str">
        <x:v>STRUCTURE_READ_EXISTING_WORKBOOK</x:v>
      </x:c>
      <x:c r="T203"/>
      <x:c r="U203" t="str">
        <x:v>w:tbl/w:tr/w:tc; không dùng AI để tự gộp hoặc tái bố cục</x:v>
      </x:c>
    </x:row>
    <x:row r="204">
      <x:c r="A204" t="n">
        <x:v>203</x:v>
      </x:c>
      <x:c r="B204" t="str">
        <x:v>HD05.N.BANG.HANG.THAM_CHIEU_BANG</x:v>
      </x:c>
      <x:c r="C204" t="str">
        <x:v>HD05.N.BANG.HANG</x:v>
      </x:c>
      <x:c r="D204" t="str">
        <x:v>N</x:v>
      </x:c>
      <x:c r="E204" t="str">
        <x:v>Hàng</x:v>
      </x:c>
      <x:c r="F204" t="str">
        <x:v>THAM_CHIEU_BANG</x:v>
      </x:c>
      <x:c r="G204" t="str">
        <x:v>BANG_HD05!B7:B72</x:v>
      </x:c>
      <x:c r="H204"/>
      <x:c r="I204" t="str">
        <x:v>UNVERIFIED_ATTRIBUTE</x:v>
      </x:c>
      <x:c r="J204" t="str">
        <x:v>SOURCE_DESCRIPTION_NOT_APPROVAL</x:v>
      </x:c>
      <x:c r="K204" t="str">
        <x:v>Định tuyến sang 132 rule con bảng, không áp style đoạn thường vào ô bảng</x:v>
      </x:c>
      <x:c r="L204" t="str">
        <x:v>Bảo toàn cấu trúc/nội dung; nếu khác loại văn bản, ưu tiên đúng mẫu của loại đó; không sửa khi thiếu căn cứ.</x:v>
      </x:c>
      <x:c r="M204"/>
      <x:c r="N204" t="str">
        <x:v>HD05, Phần II, I.6 và IV; Phụ lục 2 mục 6</x:v>
      </x:c>
      <x:c r="O204" t="str">
        <x:v>https://tulieuvankien.dangcongsan.vn/upload/2006988/20260529/HD_05_VPTW_e1550.pdf</x:v>
      </x:c>
      <x:c r="P204" t="str">
        <x:v>PLUGIN:HOA-TIEU-MIEN-BAC-PARTY-HD05-HEADER-2026 | NEEDS_REVIEW</x:v>
      </x:c>
      <x:c r="Q204" t="str">
        <x:v>CHECK_ONLY</x:v>
      </x:c>
      <x:c r="R204" t="str">
        <x:v>Kiểm tra từng thuộc tính có mặt; so sánh nguồn/role; không suy đoán từ kết quả render chưa có</x:v>
      </x:c>
      <x:c r="S204" t="str">
        <x:v>STRUCTURE_READ_EXISTING_WORKBOOK</x:v>
      </x:c>
      <x:c r="T204"/>
      <x:c r="U204" t="str">
        <x:v>w:tbl/w:tr/w:tc; không dùng AI để tự gộp hoặc tái bố cục</x:v>
      </x:c>
    </x:row>
    <x:row r="205">
      <x:c r="A205" t="n">
        <x:v>204</x:v>
      </x:c>
      <x:c r="B205" t="str">
        <x:v>HD05.N.BANG.O.THAM_CHIEU_BANG</x:v>
      </x:c>
      <x:c r="C205" t="str">
        <x:v>HD05.N.BANG.O</x:v>
      </x:c>
      <x:c r="D205" t="str">
        <x:v>N</x:v>
      </x:c>
      <x:c r="E205" t="str">
        <x:v>Ô</x:v>
      </x:c>
      <x:c r="F205" t="str">
        <x:v>THAM_CHIEU_BANG</x:v>
      </x:c>
      <x:c r="G205" t="str">
        <x:v>BANG_HD05!B7:B72</x:v>
      </x:c>
      <x:c r="H205"/>
      <x:c r="I205" t="str">
        <x:v>UNVERIFIED_ATTRIBUTE</x:v>
      </x:c>
      <x:c r="J205" t="str">
        <x:v>SOURCE_DESCRIPTION_NOT_APPROVAL</x:v>
      </x:c>
      <x:c r="K205" t="str">
        <x:v>Định tuyến sang 132 rule con bảng, không áp style đoạn thường vào ô bảng</x:v>
      </x:c>
      <x:c r="L205" t="str">
        <x:v>Bảo toàn cấu trúc/nội dung; nếu khác loại văn bản, ưu tiên đúng mẫu của loại đó; không sửa khi thiếu căn cứ.</x:v>
      </x:c>
      <x:c r="M205"/>
      <x:c r="N205" t="str">
        <x:v>HD05, Phần II, I.6 và IV; Phụ lục 2 mục 6</x:v>
      </x:c>
      <x:c r="O205" t="str">
        <x:v>https://tulieuvankien.dangcongsan.vn/upload/2006988/20260529/HD_05_VPTW_e1550.pdf</x:v>
      </x:c>
      <x:c r="P205" t="str">
        <x:v>PLUGIN:HOA-TIEU-MIEN-BAC-PARTY-HD05-HEADER-2026 | NEEDS_REVIEW</x:v>
      </x:c>
      <x:c r="Q205" t="str">
        <x:v>CHECK_ONLY</x:v>
      </x:c>
      <x:c r="R205" t="str">
        <x:v>Kiểm tra từng thuộc tính có mặt; so sánh nguồn/role; không suy đoán từ kết quả render chưa có</x:v>
      </x:c>
      <x:c r="S205" t="str">
        <x:v>STRUCTURE_READ_EXISTING_WORKBOOK</x:v>
      </x:c>
      <x:c r="T205"/>
      <x:c r="U205" t="str">
        <x:v>w:tbl/w:tr/w:tc; không dùng AI để tự gộp hoặc tái bố cục</x:v>
      </x:c>
    </x:row>
    <x:row r="206">
      <x:c r="A206" t="n">
        <x:v>205</x:v>
      </x:c>
      <x:c r="B206" t="str">
        <x:v>HD05.N.BANG.GOP_O.THAM_CHIEU_BANG</x:v>
      </x:c>
      <x:c r="C206" t="str">
        <x:v>HD05.N.BANG.GOP_O</x:v>
      </x:c>
      <x:c r="D206" t="str">
        <x:v>N</x:v>
      </x:c>
      <x:c r="E206" t="str">
        <x:v>Ô gộp</x:v>
      </x:c>
      <x:c r="F206" t="str">
        <x:v>THAM_CHIEU_BANG</x:v>
      </x:c>
      <x:c r="G206" t="str">
        <x:v>BANG_HD05!B7:B72</x:v>
      </x:c>
      <x:c r="H206"/>
      <x:c r="I206" t="str">
        <x:v>UNVERIFIED_ATTRIBUTE</x:v>
      </x:c>
      <x:c r="J206" t="str">
        <x:v>SOURCE_DESCRIPTION_NOT_APPROVAL</x:v>
      </x:c>
      <x:c r="K206" t="str">
        <x:v>Định tuyến sang 132 rule con bảng, không áp style đoạn thường vào ô bảng</x:v>
      </x:c>
      <x:c r="L206" t="str">
        <x:v>Bảo toàn cấu trúc/nội dung; nếu khác loại văn bản, ưu tiên đúng mẫu của loại đó; không sửa khi thiếu căn cứ.</x:v>
      </x:c>
      <x:c r="M206"/>
      <x:c r="N206" t="str">
        <x:v>HD05, Phần II, I.6 và IV; Phụ lục 2 mục 6</x:v>
      </x:c>
      <x:c r="O206" t="str">
        <x:v>https://tulieuvankien.dangcongsan.vn/upload/2006988/20260529/HD_05_VPTW_e1550.pdf</x:v>
      </x:c>
      <x:c r="P206" t="str">
        <x:v>PLUGIN:HOA-TIEU-MIEN-BAC-PARTY-HD05-HEADER-2026 | NEEDS_REVIEW</x:v>
      </x:c>
      <x:c r="Q206" t="str">
        <x:v>CHECK_ONLY</x:v>
      </x:c>
      <x:c r="R206" t="str">
        <x:v>Kiểm tra từng thuộc tính có mặt; so sánh nguồn/role; không suy đoán từ kết quả render chưa có</x:v>
      </x:c>
      <x:c r="S206" t="str">
        <x:v>STRUCTURE_READ_EXISTING_WORKBOOK</x:v>
      </x:c>
      <x:c r="T206"/>
      <x:c r="U206" t="str">
        <x:v>w:tbl/w:tr/w:tc; không dùng AI để tự gộp hoặc tái bố cục</x:v>
      </x:c>
    </x:row>
    <x:row r="207">
      <x:c r="A207" t="n">
        <x:v>206</x:v>
      </x:c>
      <x:c r="B207" t="str">
        <x:v>HD05.N.HINH.DOI_TUONG.HIEN_DIEN</x:v>
      </x:c>
      <x:c r="C207" t="str">
        <x:v>HD05.N.HINH.DOI_TUONG</x:v>
      </x:c>
      <x:c r="D207" t="str">
        <x:v>N</x:v>
      </x:c>
      <x:c r="E207" t="str">
        <x:v>Hình/sơ đồ</x:v>
      </x:c>
      <x:c r="F207" t="str">
        <x:v>HIEN_DIEN</x:v>
      </x:c>
      <x:c r="G207" t="str">
        <x:v>Khi tài liệu có hình/đồ họa thực tế; không dùng cho bảng bố cục header</x:v>
      </x:c>
      <x:c r="H207"/>
      <x:c r="I207" t="str">
        <x:v>UNVERIFIED_ATTRIBUTE</x:v>
      </x:c>
      <x:c r="J207" t="str">
        <x:v>SOURCE_DESCRIPTION_NOT_APPROVAL</x:v>
      </x:c>
      <x:c r="K207" t="str">
        <x:v>Chỉ khi có hình/sơ đồ; duy trì chú thích/anchor của hình gốc</x:v>
      </x:c>
      <x:c r="L207" t="str">
        <x:v>Bảo toàn cấu trúc/nội dung; nếu khác loại văn bản, ưu tiên đúng mẫu của loại đó; không sửa khi thiếu căn cứ.</x:v>
      </x:c>
      <x:c r="M207"/>
      <x:c r="N207" t="str">
        <x:v>HD05, Phần II, I.6 và IV; Phụ lục 2 mục 6</x:v>
      </x:c>
      <x:c r="O207" t="str">
        <x:v>https://tulieuvankien.dangcongsan.vn/upload/2006988/20260529/HD_05_VPTW_e1550.pdf</x:v>
      </x:c>
      <x:c r="P207" t="str">
        <x:v>PLUGIN:HOA-TIEU-MIEN-BAC-PARTY-HD05-HEADER-2026 | NEEDS_REVIEW</x:v>
      </x:c>
      <x:c r="Q207" t="str">
        <x:v>CHECK_ONLY</x:v>
      </x:c>
      <x:c r="R207" t="str">
        <x:v>Kiểm tra từng thuộc tính có mặt; so sánh nguồn/role; không suy đoán từ kết quả render chưa có</x:v>
      </x:c>
      <x:c r="S207" t="str">
        <x:v>STRUCTURE_READ_EXISTING_WORKBOOK</x:v>
      </x:c>
      <x:c r="T207"/>
      <x:c r="U207" t="str">
        <x:v>Drawing/inline/anchor; kiểm tra sau render</x:v>
      </x:c>
    </x:row>
    <x:row r="208">
      <x:c r="A208" t="n">
        <x:v>207</x:v>
      </x:c>
      <x:c r="B208" t="str">
        <x:v>HD05.N.HINH.DOI_TUONG.NOI_DUNG</x:v>
      </x:c>
      <x:c r="C208" t="str">
        <x:v>HD05.N.HINH.DOI_TUONG</x:v>
      </x:c>
      <x:c r="D208" t="str">
        <x:v>N</x:v>
      </x:c>
      <x:c r="E208" t="str">
        <x:v>Hình/sơ đồ</x:v>
      </x:c>
      <x:c r="F208" t="str">
        <x:v>NOI_DUNG</x:v>
      </x:c>
      <x:c r="G208" t="str">
        <x:v>Giữ nguyên hình, sơ đồ và neo vị trí; không tái tạo ảnh</x:v>
      </x:c>
      <x:c r="H208"/>
      <x:c r="I208" t="str">
        <x:v>UNVERIFIED_ATTRIBUTE</x:v>
      </x:c>
      <x:c r="J208" t="str">
        <x:v>SOURCE_DESCRIPTION_NOT_APPROVAL</x:v>
      </x:c>
      <x:c r="K208" t="str">
        <x:v>Chỉ khi có hình/sơ đồ; duy trì chú thích/anchor của hình gốc</x:v>
      </x:c>
      <x:c r="L208" t="str">
        <x:v>Bảo toàn cấu trúc/nội dung; nếu khác loại văn bản, ưu tiên đúng mẫu của loại đó; không sửa khi thiếu căn cứ.</x:v>
      </x:c>
      <x:c r="M208"/>
      <x:c r="N208" t="str">
        <x:v>HD05, Phần II, I.6 và IV; Phụ lục 2 mục 6</x:v>
      </x:c>
      <x:c r="O208" t="str">
        <x:v>https://tulieuvankien.dangcongsan.vn/upload/2006988/20260529/HD_05_VPTW_e1550.pdf</x:v>
      </x:c>
      <x:c r="P208" t="str">
        <x:v>PLUGIN:HOA-TIEU-MIEN-BAC-PARTY-HD05-HEADER-2026 | NEEDS_REVIEW</x:v>
      </x:c>
      <x:c r="Q208" t="str">
        <x:v>CHECK_ONLY</x:v>
      </x:c>
      <x:c r="R208" t="str">
        <x:v>Kiểm tra từng thuộc tính có mặt; so sánh nguồn/role; không suy đoán từ kết quả render chưa có</x:v>
      </x:c>
      <x:c r="S208" t="str">
        <x:v>STRUCTURE_READ_EXISTING_WORKBOOK</x:v>
      </x:c>
      <x:c r="T208"/>
      <x:c r="U208" t="str">
        <x:v>Drawing/inline/anchor; kiểm tra sau render</x:v>
      </x:c>
    </x:row>
    <x:row r="209">
      <x:c r="A209" t="n">
        <x:v>208</x:v>
      </x:c>
      <x:c r="B209" t="str">
        <x:v>HD05.N.HINH.DOI_TUONG.HINH_ANH</x:v>
      </x:c>
      <x:c r="C209" t="str">
        <x:v>HD05.N.HINH.DOI_TUONG</x:v>
      </x:c>
      <x:c r="D209" t="str">
        <x:v>N</x:v>
      </x:c>
      <x:c r="E209" t="str">
        <x:v>Hình/sơ đồ</x:v>
      </x:c>
      <x:c r="F209" t="str">
        <x:v>HINH_ANH</x:v>
      </x:c>
      <x:c r="G209"/>
      <x:c r="H209"/>
      <x:c r="I209" t="str">
        <x:v>UNVERIFIED_ATTRIBUTE</x:v>
      </x:c>
      <x:c r="J209" t="str">
        <x:v>BLOCKED_DOCUMENT_OR_AUTHORITY</x:v>
      </x:c>
      <x:c r="K209" t="str">
        <x:v>Chỉ khi có hình/sơ đồ; duy trì chú thích/anchor của hình gốc</x:v>
      </x:c>
      <x:c r="L209" t="str">
        <x:v>Bảo toàn cấu trúc/nội dung; nếu khác loại văn bản, ưu tiên đúng mẫu của loại đó; không sửa khi thiếu căn cứ.</x:v>
      </x:c>
      <x:c r="M209"/>
      <x:c r="N209" t="str">
        <x:v>HD05, Phần II, I.6 và IV; Phụ lục 2 mục 6</x:v>
      </x:c>
      <x:c r="O209" t="str">
        <x:v>https://tulieuvankien.dangcongsan.vn/upload/2006988/20260529/HD_05_VPTW_e1550.pdf</x:v>
      </x:c>
      <x:c r="P209" t="str">
        <x:v>PLUGIN:HOA-TIEU-MIEN-BAC-PARTY-HD05-HEADER-2026 | NEEDS_REVIEW</x:v>
      </x:c>
      <x:c r="Q209" t="str">
        <x:v>CHECK_ONLY</x:v>
      </x:c>
      <x:c r="R209" t="str">
        <x:v>Kiểm tra từng thuộc tính có mặt; so sánh nguồn/role; không suy đoán từ kết quả render chưa có</x:v>
      </x:c>
      <x:c r="S209" t="str">
        <x:v>RULE_INFERENCE_NOT_MEASURED</x:v>
      </x:c>
      <x:c r="T209" t="str">
        <x:v>Xác minh căn cứ theo loại văn bản / tài liệu phát hành hoặc phê duyệt</x:v>
      </x:c>
      <x:c r="U209" t="str">
        <x:v>Drawing/inline/anchor; kiểm tra sau render</x:v>
      </x:c>
    </x:row>
    <x:row r="210">
      <x:c r="A210" t="n">
        <x:v>209</x:v>
      </x:c>
      <x:c r="B210" t="str">
        <x:v>HD05.N.HINH.DOI_TUONG.VI_TRI</x:v>
      </x:c>
      <x:c r="C210" t="str">
        <x:v>HD05.N.HINH.DOI_TUONG</x:v>
      </x:c>
      <x:c r="D210" t="str">
        <x:v>N</x:v>
      </x:c>
      <x:c r="E210" t="str">
        <x:v>Hình/sơ đồ</x:v>
      </x:c>
      <x:c r="F210" t="str">
        <x:v>VI_TRI</x:v>
      </x:c>
      <x:c r="G210"/>
      <x:c r="H210"/>
      <x:c r="I210" t="str">
        <x:v>UNVERIFIED_ATTRIBUTE</x:v>
      </x:c>
      <x:c r="J210" t="str">
        <x:v>BLOCKED_NO_ATTRIBUTE_VALUE</x:v>
      </x:c>
      <x:c r="K210" t="str">
        <x:v>Chỉ khi có hình/sơ đồ; duy trì chú thích/anchor của hình gốc</x:v>
      </x:c>
      <x:c r="L210" t="str">
        <x:v>Bảo toàn cấu trúc/nội dung; nếu khác loại văn bản, ưu tiên đúng mẫu của loại đó; không sửa khi thiếu căn cứ.</x:v>
      </x:c>
      <x:c r="M210"/>
      <x:c r="N210" t="str">
        <x:v>HD05, Phần II, I.6 và IV; Phụ lục 2 mục 6</x:v>
      </x:c>
      <x:c r="O210" t="str">
        <x:v>https://tulieuvankien.dangcongsan.vn/upload/2006988/20260529/HD_05_VPTW_e1550.pdf</x:v>
      </x:c>
      <x:c r="P210" t="str">
        <x:v>PLUGIN:HOA-TIEU-MIEN-BAC-PARTY-HD05-HEADER-2026 | NEEDS_REVIEW</x:v>
      </x:c>
      <x:c r="Q210" t="str">
        <x:v>CHECK_ONLY</x:v>
      </x:c>
      <x:c r="R210" t="str">
        <x:v>Kiểm tra từng thuộc tính có mặt; so sánh nguồn/role; không suy đoán từ kết quả render chưa có</x:v>
      </x:c>
      <x:c r="S210" t="str">
        <x:v>RULE_INFERENCE_NOT_MEASURED</x:v>
      </x:c>
      <x:c r="T210" t="str">
        <x:v>Xác minh căn cứ theo loại văn bản / tài liệu phát hành hoặc phê duyệt</x:v>
      </x:c>
      <x:c r="U210" t="str">
        <x:v>Drawing/inline/anchor; kiểm tra sau render</x:v>
      </x:c>
    </x:row>
    <x:row r="211">
      <x:c r="A211" t="n">
        <x:v>210</x:v>
      </x:c>
      <x:c r="B211" t="str">
        <x:v>HD05.N.HINH.DOI_TUONG.KEEP_NEXT</x:v>
      </x:c>
      <x:c r="C211" t="str">
        <x:v>HD05.N.HINH.DOI_TUONG</x:v>
      </x:c>
      <x:c r="D211" t="str">
        <x:v>N</x:v>
      </x:c>
      <x:c r="E211" t="str">
        <x:v>Hình/sơ đồ</x:v>
      </x:c>
      <x:c r="F211" t="str">
        <x:v>KEEP_NEXT</x:v>
      </x:c>
      <x:c r="G211"/>
      <x:c r="H211"/>
      <x:c r="I211" t="str">
        <x:v>UNVERIFIED_ATTRIBUTE</x:v>
      </x:c>
      <x:c r="J211" t="str">
        <x:v>BLOCKED_NO_ATTRIBUTE_VALUE</x:v>
      </x:c>
      <x:c r="K211" t="str">
        <x:v>Chỉ khi có hình/sơ đồ; duy trì chú thích/anchor của hình gốc</x:v>
      </x:c>
      <x:c r="L211" t="str">
        <x:v>Bảo toàn cấu trúc/nội dung; nếu khác loại văn bản, ưu tiên đúng mẫu của loại đó; không sửa khi thiếu căn cứ.</x:v>
      </x:c>
      <x:c r="M211"/>
      <x:c r="N211" t="str">
        <x:v>HD05, Phần II, I.6 và IV; Phụ lục 2 mục 6</x:v>
      </x:c>
      <x:c r="O211" t="str">
        <x:v>https://tulieuvankien.dangcongsan.vn/upload/2006988/20260529/HD_05_VPTW_e1550.pdf</x:v>
      </x:c>
      <x:c r="P211" t="str">
        <x:v>PLUGIN:HOA-TIEU-MIEN-BAC-PARTY-HD05-HEADER-2026 | NEEDS_REVIEW</x:v>
      </x:c>
      <x:c r="Q211" t="str">
        <x:v>CHECK_ONLY</x:v>
      </x:c>
      <x:c r="R211" t="str">
        <x:v>Kiểm tra từng thuộc tính có mặt; so sánh nguồn/role; không suy đoán từ kết quả render chưa có</x:v>
      </x:c>
      <x:c r="S211" t="str">
        <x:v>RULE_INFERENCE_NOT_MEASURED</x:v>
      </x:c>
      <x:c r="T211" t="str">
        <x:v>Xác minh căn cứ theo loại văn bản / tài liệu phát hành hoặc phê duyệt</x:v>
      </x:c>
      <x:c r="U211" t="str">
        <x:v>Drawing/inline/anchor; kiểm tra sau render</x:v>
      </x:c>
    </x:row>
    <x:row r="212">
      <x:c r="A212" t="n">
        <x:v>211</x:v>
      </x:c>
      <x:c r="B212" t="str">
        <x:v>HD05.N.HINH.CHU_THICH.HIEN_DIEN</x:v>
      </x:c>
      <x:c r="C212" t="str">
        <x:v>HD05.N.HINH.CHU_THICH</x:v>
      </x:c>
      <x:c r="D212" t="str">
        <x:v>N</x:v>
      </x:c>
      <x:c r="E212" t="str">
        <x:v>Chú thích hình/sơ đồ</x:v>
      </x:c>
      <x:c r="F212" t="str">
        <x:v>HIEN_DIEN</x:v>
      </x:c>
      <x:c r="G212" t="str">
        <x:v>Khi tài liệu có hình/đồ họa thực tế; không dùng cho bảng bố cục header</x:v>
      </x:c>
      <x:c r="H212"/>
      <x:c r="I212" t="str">
        <x:v>UNVERIFIED_ATTRIBUTE</x:v>
      </x:c>
      <x:c r="J212" t="str">
        <x:v>SOURCE_DESCRIPTION_NOT_APPROVAL</x:v>
      </x:c>
      <x:c r="K212" t="str">
        <x:v>Chỉ khi có hình/sơ đồ; duy trì chú thích/anchor của hình gốc</x:v>
      </x:c>
      <x:c r="L212" t="str">
        <x:v>Bảo toàn cấu trúc/nội dung; nếu khác loại văn bản, ưu tiên đúng mẫu của loại đó; không sửa khi thiếu căn cứ.</x:v>
      </x:c>
      <x:c r="M212"/>
      <x:c r="N212" t="str">
        <x:v>HD05, Phần II, I.6 và IV; Phụ lục 2 mục 6</x:v>
      </x:c>
      <x:c r="O212" t="str">
        <x:v>https://tulieuvankien.dangcongsan.vn/upload/2006988/20260529/HD_05_VPTW_e1550.pdf</x:v>
      </x:c>
      <x:c r="P212" t="str">
        <x:v>PLUGIN:HOA-TIEU-MIEN-BAC-PARTY-HD05-HEADER-2026 | NEEDS_REVIEW</x:v>
      </x:c>
      <x:c r="Q212" t="str">
        <x:v>CHECK_ONLY</x:v>
      </x:c>
      <x:c r="R212" t="str">
        <x:v>Kiểm tra từng thuộc tính có mặt; so sánh nguồn/role; không suy đoán từ kết quả render chưa có</x:v>
      </x:c>
      <x:c r="S212" t="str">
        <x:v>STRUCTURE_READ_EXISTING_WORKBOOK</x:v>
      </x:c>
      <x:c r="T212"/>
      <x:c r="U212" t="str">
        <x:v>Drawing/inline/anchor; kiểm tra sau render</x:v>
      </x:c>
    </x:row>
    <x:row r="213">
      <x:c r="A213" t="n">
        <x:v>212</x:v>
      </x:c>
      <x:c r="B213" t="str">
        <x:v>HD05.N.HINH.CHU_THICH.NOI_DUNG</x:v>
      </x:c>
      <x:c r="C213" t="str">
        <x:v>HD05.N.HINH.CHU_THICH</x:v>
      </x:c>
      <x:c r="D213" t="str">
        <x:v>N</x:v>
      </x:c>
      <x:c r="E213" t="str">
        <x:v>Chú thích hình/sơ đồ</x:v>
      </x:c>
      <x:c r="F213" t="str">
        <x:v>NOI_DUNG</x:v>
      </x:c>
      <x:c r="G213" t="str">
        <x:v>Giữ nguyên hình, sơ đồ và neo vị trí; không tái tạo ảnh</x:v>
      </x:c>
      <x:c r="H213"/>
      <x:c r="I213" t="str">
        <x:v>UNVERIFIED_ATTRIBUTE</x:v>
      </x:c>
      <x:c r="J213" t="str">
        <x:v>SOURCE_DESCRIPTION_NOT_APPROVAL</x:v>
      </x:c>
      <x:c r="K213" t="str">
        <x:v>Chỉ khi có hình/sơ đồ; duy trì chú thích/anchor của hình gốc</x:v>
      </x:c>
      <x:c r="L213" t="str">
        <x:v>Bảo toàn cấu trúc/nội dung; nếu khác loại văn bản, ưu tiên đúng mẫu của loại đó; không sửa khi thiếu căn cứ.</x:v>
      </x:c>
      <x:c r="M213"/>
      <x:c r="N213" t="str">
        <x:v>HD05, Phần II, I.6 và IV; Phụ lục 2 mục 6</x:v>
      </x:c>
      <x:c r="O213" t="str">
        <x:v>https://tulieuvankien.dangcongsan.vn/upload/2006988/20260529/HD_05_VPTW_e1550.pdf</x:v>
      </x:c>
      <x:c r="P213" t="str">
        <x:v>PLUGIN:HOA-TIEU-MIEN-BAC-PARTY-HD05-HEADER-2026 | NEEDS_REVIEW</x:v>
      </x:c>
      <x:c r="Q213" t="str">
        <x:v>CHECK_ONLY</x:v>
      </x:c>
      <x:c r="R213" t="str">
        <x:v>Kiểm tra từng thuộc tính có mặt; so sánh nguồn/role; không suy đoán từ kết quả render chưa có</x:v>
      </x:c>
      <x:c r="S213" t="str">
        <x:v>STRUCTURE_READ_EXISTING_WORKBOOK</x:v>
      </x:c>
      <x:c r="T213"/>
      <x:c r="U213" t="str">
        <x:v>Drawing/inline/anchor; kiểm tra sau render</x:v>
      </x:c>
    </x:row>
    <x:row r="214">
      <x:c r="A214" t="n">
        <x:v>213</x:v>
      </x:c>
      <x:c r="B214" t="str">
        <x:v>HD05.N.HINH.CHU_THICH.HINH_ANH</x:v>
      </x:c>
      <x:c r="C214" t="str">
        <x:v>HD05.N.HINH.CHU_THICH</x:v>
      </x:c>
      <x:c r="D214" t="str">
        <x:v>N</x:v>
      </x:c>
      <x:c r="E214" t="str">
        <x:v>Chú thích hình/sơ đồ</x:v>
      </x:c>
      <x:c r="F214" t="str">
        <x:v>HINH_ANH</x:v>
      </x:c>
      <x:c r="G214"/>
      <x:c r="H214"/>
      <x:c r="I214" t="str">
        <x:v>UNVERIFIED_ATTRIBUTE</x:v>
      </x:c>
      <x:c r="J214" t="str">
        <x:v>BLOCKED_DOCUMENT_OR_AUTHORITY</x:v>
      </x:c>
      <x:c r="K214" t="str">
        <x:v>Chỉ khi có hình/sơ đồ; duy trì chú thích/anchor của hình gốc</x:v>
      </x:c>
      <x:c r="L214" t="str">
        <x:v>Bảo toàn cấu trúc/nội dung; nếu khác loại văn bản, ưu tiên đúng mẫu của loại đó; không sửa khi thiếu căn cứ.</x:v>
      </x:c>
      <x:c r="M214"/>
      <x:c r="N214" t="str">
        <x:v>HD05, Phần II, I.6 và IV; Phụ lục 2 mục 6</x:v>
      </x:c>
      <x:c r="O214" t="str">
        <x:v>https://tulieuvankien.dangcongsan.vn/upload/2006988/20260529/HD_05_VPTW_e1550.pdf</x:v>
      </x:c>
      <x:c r="P214" t="str">
        <x:v>PLUGIN:HOA-TIEU-MIEN-BAC-PARTY-HD05-HEADER-2026 | NEEDS_REVIEW</x:v>
      </x:c>
      <x:c r="Q214" t="str">
        <x:v>CHECK_ONLY</x:v>
      </x:c>
      <x:c r="R214" t="str">
        <x:v>Kiểm tra từng thuộc tính có mặt; so sánh nguồn/role; không suy đoán từ kết quả render chưa có</x:v>
      </x:c>
      <x:c r="S214" t="str">
        <x:v>RULE_INFERENCE_NOT_MEASURED</x:v>
      </x:c>
      <x:c r="T214" t="str">
        <x:v>Xác minh căn cứ theo loại văn bản / tài liệu phát hành hoặc phê duyệt</x:v>
      </x:c>
      <x:c r="U214" t="str">
        <x:v>Drawing/inline/anchor; kiểm tra sau render</x:v>
      </x:c>
    </x:row>
    <x:row r="215">
      <x:c r="A215" t="n">
        <x:v>214</x:v>
      </x:c>
      <x:c r="B215" t="str">
        <x:v>HD05.N.HINH.CHU_THICH.VI_TRI</x:v>
      </x:c>
      <x:c r="C215" t="str">
        <x:v>HD05.N.HINH.CHU_THICH</x:v>
      </x:c>
      <x:c r="D215" t="str">
        <x:v>N</x:v>
      </x:c>
      <x:c r="E215" t="str">
        <x:v>Chú thích hình/sơ đồ</x:v>
      </x:c>
      <x:c r="F215" t="str">
        <x:v>VI_TRI</x:v>
      </x:c>
      <x:c r="G215"/>
      <x:c r="H215"/>
      <x:c r="I215" t="str">
        <x:v>UNVERIFIED_ATTRIBUTE</x:v>
      </x:c>
      <x:c r="J215" t="str">
        <x:v>BLOCKED_NO_ATTRIBUTE_VALUE</x:v>
      </x:c>
      <x:c r="K215" t="str">
        <x:v>Chỉ khi có hình/sơ đồ; duy trì chú thích/anchor của hình gốc</x:v>
      </x:c>
      <x:c r="L215" t="str">
        <x:v>Bảo toàn cấu trúc/nội dung; nếu khác loại văn bản, ưu tiên đúng mẫu của loại đó; không sửa khi thiếu căn cứ.</x:v>
      </x:c>
      <x:c r="M215"/>
      <x:c r="N215" t="str">
        <x:v>HD05, Phần II, I.6 và IV; Phụ lục 2 mục 6</x:v>
      </x:c>
      <x:c r="O215" t="str">
        <x:v>https://tulieuvankien.dangcongsan.vn/upload/2006988/20260529/HD_05_VPTW_e1550.pdf</x:v>
      </x:c>
      <x:c r="P215" t="str">
        <x:v>PLUGIN:HOA-TIEU-MIEN-BAC-PARTY-HD05-HEADER-2026 | NEEDS_REVIEW</x:v>
      </x:c>
      <x:c r="Q215" t="str">
        <x:v>CHECK_ONLY</x:v>
      </x:c>
      <x:c r="R215" t="str">
        <x:v>Kiểm tra từng thuộc tính có mặt; so sánh nguồn/role; không suy đoán từ kết quả render chưa có</x:v>
      </x:c>
      <x:c r="S215" t="str">
        <x:v>RULE_INFERENCE_NOT_MEASURED</x:v>
      </x:c>
      <x:c r="T215" t="str">
        <x:v>Xác minh căn cứ theo loại văn bản / tài liệu phát hành hoặc phê duyệt</x:v>
      </x:c>
      <x:c r="U215" t="str">
        <x:v>Drawing/inline/anchor; kiểm tra sau render</x:v>
      </x:c>
    </x:row>
    <x:row r="216">
      <x:c r="A216" t="n">
        <x:v>215</x:v>
      </x:c>
      <x:c r="B216" t="str">
        <x:v>HD05.N.HINH.CHU_THICH.KEEP_NEXT</x:v>
      </x:c>
      <x:c r="C216" t="str">
        <x:v>HD05.N.HINH.CHU_THICH</x:v>
      </x:c>
      <x:c r="D216" t="str">
        <x:v>N</x:v>
      </x:c>
      <x:c r="E216" t="str">
        <x:v>Chú thích hình/sơ đồ</x:v>
      </x:c>
      <x:c r="F216" t="str">
        <x:v>KEEP_NEXT</x:v>
      </x:c>
      <x:c r="G216"/>
      <x:c r="H216"/>
      <x:c r="I216" t="str">
        <x:v>UNVERIFIED_ATTRIBUTE</x:v>
      </x:c>
      <x:c r="J216" t="str">
        <x:v>BLOCKED_NO_ATTRIBUTE_VALUE</x:v>
      </x:c>
      <x:c r="K216" t="str">
        <x:v>Chỉ khi có hình/sơ đồ; duy trì chú thích/anchor của hình gốc</x:v>
      </x:c>
      <x:c r="L216" t="str">
        <x:v>Bảo toàn cấu trúc/nội dung; nếu khác loại văn bản, ưu tiên đúng mẫu của loại đó; không sửa khi thiếu căn cứ.</x:v>
      </x:c>
      <x:c r="M216"/>
      <x:c r="N216" t="str">
        <x:v>HD05, Phần II, I.6 và IV; Phụ lục 2 mục 6</x:v>
      </x:c>
      <x:c r="O216" t="str">
        <x:v>https://tulieuvankien.dangcongsan.vn/upload/2006988/20260529/HD_05_VPTW_e1550.pdf</x:v>
      </x:c>
      <x:c r="P216" t="str">
        <x:v>PLUGIN:HOA-TIEU-MIEN-BAC-PARTY-HD05-HEADER-2026 | NEEDS_REVIEW</x:v>
      </x:c>
      <x:c r="Q216" t="str">
        <x:v>CHECK_ONLY</x:v>
      </x:c>
      <x:c r="R216" t="str">
        <x:v>Kiểm tra từng thuộc tính có mặt; so sánh nguồn/role; không suy đoán từ kết quả render chưa có</x:v>
      </x:c>
      <x:c r="S216" t="str">
        <x:v>RULE_INFERENCE_NOT_MEASURED</x:v>
      </x:c>
      <x:c r="T216" t="str">
        <x:v>Xác minh căn cứ theo loại văn bản / tài liệu phát hành hoặc phê duyệt</x:v>
      </x:c>
      <x:c r="U216" t="str">
        <x:v>Drawing/inline/anchor; kiểm tra sau render</x:v>
      </x:c>
    </x:row>
    <x:row r="217">
      <x:c r="A217" t="n">
        <x:v>216</x:v>
      </x:c>
      <x:c r="B217" t="str">
        <x:v>HD05.N.KET.DOAN_KET.HIEN_DIEN</x:v>
      </x:c>
      <x:c r="C217" t="str">
        <x:v>HD05.N.KET.DOAN_KET</x:v>
      </x:c>
      <x:c r="D217" t="str">
        <x:v>N</x:v>
      </x:c>
      <x:c r="E217" t="str">
        <x:v>Đoạn kết nếu có</x:v>
      </x:c>
      <x:c r="F217" t="str">
        <x:v>HIEN_DIEN</x:v>
      </x:c>
      <x:c r="G217" t="str">
        <x:v>Theo loại văn bản và sự hiện diện thực tế; không áp dụng đồng loạt</x:v>
      </x:c>
      <x:c r="H217"/>
      <x:c r="I217" t="str">
        <x:v>UNVERIFIED_ATTRIBUTE</x:v>
      </x:c>
      <x:c r="J217" t="str">
        <x:v>SOURCE_DESCRIPTION_NOT_APPROVAL</x:v>
      </x:c>
      <x:c r="K217" t="str">
        <x:v>Chỉ đoạn nội dung thực; loại trừ bảng, chú thích, chữ ký và các thành phần phần đầu</x:v>
      </x:c>
      <x:c r="L217" t="str">
        <x:v>Bảo toàn cấu trúc/nội dung; nếu khác loại văn bản, ưu tiên đúng mẫu của loại đó; không sửa khi thiếu căn cứ.</x:v>
      </x:c>
      <x:c r="M217"/>
      <x:c r="N217" t="str">
        <x:v>HD05, Phần II, I.6 và IV; Phụ lục 2 mục 6</x:v>
      </x:c>
      <x:c r="O217" t="str">
        <x:v>https://tulieuvankien.dangcongsan.vn/upload/2006988/20260529/HD_05_VPTW_e1550.pdf</x:v>
      </x:c>
      <x:c r="P217" t="str">
        <x:v>PLUGIN:HOA-TIEU-MIEN-BAC-PARTY-HD05-HEADER-2026 | NEEDS_REVIEW</x:v>
      </x:c>
      <x:c r="Q217" t="str">
        <x:v>CHECK_ONLY</x:v>
      </x:c>
      <x:c r="R217" t="str">
        <x:v>Kiểm tra từng thuộc tính có mặt; so sánh nguồn/role; không suy đoán từ kết quả render chưa có</x:v>
      </x:c>
      <x:c r="S217" t="str">
        <x:v>STRUCTURE_READ_EXISTING_WORKBOOK</x:v>
      </x:c>
      <x:c r="T217"/>
      <x:c r="U217" t="str">
        <x:v>Paragraph/Run theo kiểu khối KET; preserve list numbering/table/drawing nếu có</x:v>
      </x:c>
    </x:row>
    <x:row r="218">
      <x:c r="A218" t="n">
        <x:v>217</x:v>
      </x:c>
      <x:c r="B218" t="str">
        <x:v>HD05.N.KET.DOAN_KET.NOI_DUNG</x:v>
      </x:c>
      <x:c r="C218" t="str">
        <x:v>HD05.N.KET.DOAN_KET</x:v>
      </x:c>
      <x:c r="D218" t="str">
        <x:v>N</x:v>
      </x:c>
      <x:c r="E218" t="str">
        <x:v>Đoạn kết nếu có</x:v>
      </x:c>
      <x:c r="F218" t="str">
        <x:v>NOI_DUNG</x:v>
      </x:c>
      <x:c r="G218" t="str">
        <x:v>Đoạn kết nội dung nếu có; áp body style trừ mẫu có quy định riêng</x:v>
      </x:c>
      <x:c r="H218"/>
      <x:c r="I218" t="str">
        <x:v>UNVERIFIED_ATTRIBUTE</x:v>
      </x:c>
      <x:c r="J218" t="str">
        <x:v>SOURCE_DESCRIPTION_NOT_APPROVAL</x:v>
      </x:c>
      <x:c r="K218" t="str">
        <x:v>Chỉ đoạn nội dung thực; loại trừ bảng, chú thích, chữ ký và các thành phần phần đầu</x:v>
      </x:c>
      <x:c r="L218" t="str">
        <x:v>Bảo toàn cấu trúc/nội dung; nếu khác loại văn bản, ưu tiên đúng mẫu của loại đó; không sửa khi thiếu căn cứ.</x:v>
      </x:c>
      <x:c r="M218"/>
      <x:c r="N218" t="str">
        <x:v>HD05, Phần II, I.6 và IV; Phụ lục 2 mục 6</x:v>
      </x:c>
      <x:c r="O218" t="str">
        <x:v>https://tulieuvankien.dangcongsan.vn/upload/2006988/20260529/HD_05_VPTW_e1550.pdf</x:v>
      </x:c>
      <x:c r="P218" t="str">
        <x:v>PLUGIN:HOA-TIEU-MIEN-BAC-PARTY-HD05-HEADER-2026 | NEEDS_REVIEW</x:v>
      </x:c>
      <x:c r="Q218" t="str">
        <x:v>CHECK_ONLY</x:v>
      </x:c>
      <x:c r="R218" t="str">
        <x:v>Kiểm tra từng thuộc tính có mặt; so sánh nguồn/role; không suy đoán từ kết quả render chưa có</x:v>
      </x:c>
      <x:c r="S218" t="str">
        <x:v>STRUCTURE_READ_EXISTING_WORKBOOK</x:v>
      </x:c>
      <x:c r="T218"/>
      <x:c r="U218" t="str">
        <x:v>Paragraph/Run theo kiểu khối KET; preserve list numbering/table/drawing nếu có</x:v>
      </x:c>
    </x:row>
    <x:row r="219">
      <x:c r="A219" t="n">
        <x:v>218</x:v>
      </x:c>
      <x:c r="B219" t="str">
        <x:v>HD05.N.KET.DOAN_KET.PHONG_CHU</x:v>
      </x:c>
      <x:c r="C219" t="str">
        <x:v>HD05.N.KET.DOAN_KET</x:v>
      </x:c>
      <x:c r="D219" t="str">
        <x:v>N</x:v>
      </x:c>
      <x:c r="E219" t="str">
        <x:v>Đoạn kết nếu có</x:v>
      </x:c>
      <x:c r="F219" t="str">
        <x:v>PHONG_CHU</x:v>
      </x:c>
      <x:c r="G219" t="str">
        <x:v>Times New Roman</x:v>
      </x:c>
      <x:c r="H219"/>
      <x:c r="I219" t="str">
        <x:v>UNVERIFIED_ATTRIBUTE</x:v>
      </x:c>
      <x:c r="J219" t="str">
        <x:v>PROFILE_PRESET_UNAPPROVED</x:v>
      </x:c>
      <x:c r="K219" t="str">
        <x:v>Chỉ đoạn nội dung thực; loại trừ bảng, chú thích, chữ ký và các thành phần phần đầu</x:v>
      </x:c>
      <x:c r="L219" t="str">
        <x:v>Bảo toàn cấu trúc/nội dung; nếu khác loại văn bản, ưu tiên đúng mẫu của loại đó; không sửa khi thiếu căn cứ.</x:v>
      </x:c>
      <x:c r="M219"/>
      <x:c r="N219" t="str">
        <x:v>HD05, Phần II, I.6 và IV; Phụ lục 2 mục 6</x:v>
      </x:c>
      <x:c r="O219" t="str">
        <x:v>https://tulieuvankien.dangcongsan.vn/upload/2006988/20260529/HD_05_VPTW_e1550.pdf</x:v>
      </x:c>
      <x:c r="P219" t="str">
        <x:v>PLUGIN:HOA-TIEU-MIEN-BAC-PARTY-HD05-HEADER-2026 | NEEDS_REVIEW</x:v>
      </x:c>
      <x:c r="Q219" t="str">
        <x:v>CHECK_ONLY</x:v>
      </x:c>
      <x:c r="R219" t="str">
        <x:v>Kiểm tra từng thuộc tính có mặt; so sánh nguồn/role; không suy đoán từ kết quả render chưa có</x:v>
      </x:c>
      <x:c r="S219" t="str">
        <x:v>STRUCTURE_READ_EXISTING_WORKBOOK</x:v>
      </x:c>
      <x:c r="T219"/>
      <x:c r="U219" t="str">
        <x:v>Paragraph/Run theo kiểu khối KET; preserve list numbering/table/drawing nếu có</x:v>
      </x:c>
    </x:row>
    <x:row r="220">
      <x:c r="A220" t="n">
        <x:v>219</x:v>
      </x:c>
      <x:c r="B220" t="str">
        <x:v>HD05.N.KET.DOAN_KET.CO_CHU</x:v>
      </x:c>
      <x:c r="C220" t="str">
        <x:v>HD05.N.KET.DOAN_KET</x:v>
      </x:c>
      <x:c r="D220" t="str">
        <x:v>N</x:v>
      </x:c>
      <x:c r="E220" t="str">
        <x:v>Đoạn kết nếu có</x:v>
      </x:c>
      <x:c r="F220" t="str">
        <x:v>CO_CHU</x:v>
      </x:c>
      <x:c r="G220" t="n">
        <x:v>14</x:v>
      </x:c>
      <x:c r="H220"/>
      <x:c r="I220" t="str">
        <x:v>UNVERIFIED_ATTRIBUTE</x:v>
      </x:c>
      <x:c r="J220" t="str">
        <x:v>PROFILE_PRESET_UNAPPROVED</x:v>
      </x:c>
      <x:c r="K220" t="str">
        <x:v>Chỉ đoạn nội dung thực; loại trừ bảng, chú thích, chữ ký và các thành phần phần đầu</x:v>
      </x:c>
      <x:c r="L220" t="str">
        <x:v>Bảo toàn cấu trúc/nội dung; nếu khác loại văn bản, ưu tiên đúng mẫu của loại đó; không sửa khi thiếu căn cứ.</x:v>
      </x:c>
      <x:c r="M220" t="str">
        <x:v>pt</x:v>
      </x:c>
      <x:c r="N220" t="str">
        <x:v>HD05, Phần II, I.6 và IV; Phụ lục 2 mục 6</x:v>
      </x:c>
      <x:c r="O220" t="str">
        <x:v>https://tulieuvankien.dangcongsan.vn/upload/2006988/20260529/HD_05_VPTW_e1550.pdf</x:v>
      </x:c>
      <x:c r="P220" t="str">
        <x:v>PLUGIN:HOA-TIEU-MIEN-BAC-PARTY-HD05-HEADER-2026 | NEEDS_REVIEW</x:v>
      </x:c>
      <x:c r="Q220" t="str">
        <x:v>CHECK_ONLY</x:v>
      </x:c>
      <x:c r="R220" t="str">
        <x:v>Kiểm tra từng thuộc tính có mặt; so sánh nguồn/role; không suy đoán từ kết quả render chưa có</x:v>
      </x:c>
      <x:c r="S220" t="str">
        <x:v>STRUCTURE_READ_EXISTING_WORKBOOK</x:v>
      </x:c>
      <x:c r="T220"/>
      <x:c r="U220" t="str">
        <x:v>Paragraph/Run theo kiểu khối KET; preserve list numbering/table/drawing nếu có</x:v>
      </x:c>
    </x:row>
    <x:row r="221">
      <x:c r="A221" t="n">
        <x:v>220</x:v>
      </x:c>
      <x:c r="B221" t="str">
        <x:v>HD05.N.KET.DOAN_KET.DAM</x:v>
      </x:c>
      <x:c r="C221" t="str">
        <x:v>HD05.N.KET.DOAN_KET</x:v>
      </x:c>
      <x:c r="D221" t="str">
        <x:v>N</x:v>
      </x:c>
      <x:c r="E221" t="str">
        <x:v>Đoạn kết nếu có</x:v>
      </x:c>
      <x:c r="F221" t="str">
        <x:v>DAM</x:v>
      </x:c>
      <x:c r="G221" t="str">
        <x:v>KHÔNG</x:v>
      </x:c>
      <x:c r="H221"/>
      <x:c r="I221" t="str">
        <x:v>UNVERIFIED_ATTRIBUTE</x:v>
      </x:c>
      <x:c r="J221" t="str">
        <x:v>PROFILE_PRESET_UNAPPROVED</x:v>
      </x:c>
      <x:c r="K221" t="str">
        <x:v>Chỉ đoạn nội dung thực; loại trừ bảng, chú thích, chữ ký và các thành phần phần đầu</x:v>
      </x:c>
      <x:c r="L221" t="str">
        <x:v>Bảo toàn cấu trúc/nội dung; nếu khác loại văn bản, ưu tiên đúng mẫu của loại đó; không sửa khi thiếu căn cứ.</x:v>
      </x:c>
      <x:c r="M221"/>
      <x:c r="N221" t="str">
        <x:v>HD05, Phần II, I.6 và IV; Phụ lục 2 mục 6</x:v>
      </x:c>
      <x:c r="O221" t="str">
        <x:v>https://tulieuvankien.dangcongsan.vn/upload/2006988/20260529/HD_05_VPTW_e1550.pdf</x:v>
      </x:c>
      <x:c r="P221" t="str">
        <x:v>PLUGIN:HOA-TIEU-MIEN-BAC-PARTY-HD05-HEADER-2026 | NEEDS_REVIEW</x:v>
      </x:c>
      <x:c r="Q221" t="str">
        <x:v>CHECK_ONLY</x:v>
      </x:c>
      <x:c r="R221" t="str">
        <x:v>Kiểm tra từng thuộc tính có mặt; so sánh nguồn/role; không suy đoán từ kết quả render chưa có</x:v>
      </x:c>
      <x:c r="S221" t="str">
        <x:v>STRUCTURE_READ_EXISTING_WORKBOOK</x:v>
      </x:c>
      <x:c r="T221"/>
      <x:c r="U221" t="str">
        <x:v>Paragraph/Run theo kiểu khối KET; preserve list numbering/table/drawing nếu có</x:v>
      </x:c>
    </x:row>
    <x:row r="222">
      <x:c r="A222" t="n">
        <x:v>221</x:v>
      </x:c>
      <x:c r="B222" t="str">
        <x:v>HD05.N.KET.DOAN_KET.NGHIENG</x:v>
      </x:c>
      <x:c r="C222" t="str">
        <x:v>HD05.N.KET.DOAN_KET</x:v>
      </x:c>
      <x:c r="D222" t="str">
        <x:v>N</x:v>
      </x:c>
      <x:c r="E222" t="str">
        <x:v>Đoạn kết nếu có</x:v>
      </x:c>
      <x:c r="F222" t="str">
        <x:v>NGHIENG</x:v>
      </x:c>
      <x:c r="G222"/>
      <x:c r="H222"/>
      <x:c r="I222" t="str">
        <x:v>UNVERIFIED_ATTRIBUTE</x:v>
      </x:c>
      <x:c r="J222" t="str">
        <x:v>BLOCKED_NO_ATTRIBUTE_VALUE</x:v>
      </x:c>
      <x:c r="K222" t="str">
        <x:v>Chỉ đoạn nội dung thực; loại trừ bảng, chú thích, chữ ký và các thành phần phần đầu</x:v>
      </x:c>
      <x:c r="L222" t="str">
        <x:v>Bảo toàn cấu trúc/nội dung; nếu khác loại văn bản, ưu tiên đúng mẫu của loại đó; không sửa khi thiếu căn cứ.</x:v>
      </x:c>
      <x:c r="M222"/>
      <x:c r="N222" t="str">
        <x:v>HD05, Phần II, I.6 và IV; Phụ lục 2 mục 6</x:v>
      </x:c>
      <x:c r="O222" t="str">
        <x:v>https://tulieuvankien.dangcongsan.vn/upload/2006988/20260529/HD_05_VPTW_e1550.pdf</x:v>
      </x:c>
      <x:c r="P222" t="str">
        <x:v>PLUGIN:HOA-TIEU-MIEN-BAC-PARTY-HD05-HEADER-2026 | NEEDS_REVIEW</x:v>
      </x:c>
      <x:c r="Q222" t="str">
        <x:v>CHECK_ONLY</x:v>
      </x:c>
      <x:c r="R222" t="str">
        <x:v>Kiểm tra từng thuộc tính có mặt; so sánh nguồn/role; không suy đoán từ kết quả render chưa có</x:v>
      </x:c>
      <x:c r="S222" t="str">
        <x:v>RULE_INFERENCE_NOT_MEASURED</x:v>
      </x:c>
      <x:c r="T222" t="str">
        <x:v>Xác minh căn cứ theo loại văn bản / tài liệu phát hành hoặc phê duyệt</x:v>
      </x:c>
      <x:c r="U222" t="str">
        <x:v>Paragraph/Run theo kiểu khối KET; preserve list numbering/table/drawing nếu có</x:v>
      </x:c>
    </x:row>
    <x:row r="223">
      <x:c r="A223" t="n">
        <x:v>222</x:v>
      </x:c>
      <x:c r="B223" t="str">
        <x:v>HD05.N.KET.DOAN_KET.KIEU_CHU</x:v>
      </x:c>
      <x:c r="C223" t="str">
        <x:v>HD05.N.KET.DOAN_KET</x:v>
      </x:c>
      <x:c r="D223" t="str">
        <x:v>N</x:v>
      </x:c>
      <x:c r="E223" t="str">
        <x:v>Đoạn kết nếu có</x:v>
      </x:c>
      <x:c r="F223" t="str">
        <x:v>KIEU_CHU</x:v>
      </x:c>
      <x:c r="G223" t="str">
        <x:v>In thường (trừ tiêu đề)</x:v>
      </x:c>
      <x:c r="H223"/>
      <x:c r="I223" t="str">
        <x:v>UNVERIFIED_ATTRIBUTE</x:v>
      </x:c>
      <x:c r="J223" t="str">
        <x:v>PROFILE_PRESET_UNAPPROVED</x:v>
      </x:c>
      <x:c r="K223" t="str">
        <x:v>Chỉ đoạn nội dung thực; loại trừ bảng, chú thích, chữ ký và các thành phần phần đầu</x:v>
      </x:c>
      <x:c r="L223" t="str">
        <x:v>Bảo toàn cấu trúc/nội dung; nếu khác loại văn bản, ưu tiên đúng mẫu của loại đó; không sửa khi thiếu căn cứ.</x:v>
      </x:c>
      <x:c r="M223"/>
      <x:c r="N223" t="str">
        <x:v>HD05, Phần II, I.6 và IV; Phụ lục 2 mục 6</x:v>
      </x:c>
      <x:c r="O223" t="str">
        <x:v>https://tulieuvankien.dangcongsan.vn/upload/2006988/20260529/HD_05_VPTW_e1550.pdf</x:v>
      </x:c>
      <x:c r="P223" t="str">
        <x:v>PLUGIN:HOA-TIEU-MIEN-BAC-PARTY-HD05-HEADER-2026 | NEEDS_REVIEW</x:v>
      </x:c>
      <x:c r="Q223" t="str">
        <x:v>CHECK_ONLY</x:v>
      </x:c>
      <x:c r="R223" t="str">
        <x:v>Kiểm tra từng thuộc tính có mặt; so sánh nguồn/role; không suy đoán từ kết quả render chưa có</x:v>
      </x:c>
      <x:c r="S223" t="str">
        <x:v>STRUCTURE_READ_EXISTING_WORKBOOK</x:v>
      </x:c>
      <x:c r="T223"/>
      <x:c r="U223" t="str">
        <x:v>Paragraph/Run theo kiểu khối KET; preserve list numbering/table/drawing nếu có</x:v>
      </x:c>
    </x:row>
    <x:row r="224">
      <x:c r="A224" t="n">
        <x:v>223</x:v>
      </x:c>
      <x:c r="B224" t="str">
        <x:v>HD05.N.KET.DOAN_KET.CAN_NGANG</x:v>
      </x:c>
      <x:c r="C224" t="str">
        <x:v>HD05.N.KET.DOAN_KET</x:v>
      </x:c>
      <x:c r="D224" t="str">
        <x:v>N</x:v>
      </x:c>
      <x:c r="E224" t="str">
        <x:v>Đoạn kết nếu có</x:v>
      </x:c>
      <x:c r="F224" t="str">
        <x:v>CAN_NGANG</x:v>
      </x:c>
      <x:c r="G224" t="str">
        <x:v>JUSTIFY</x:v>
      </x:c>
      <x:c r="H224"/>
      <x:c r="I224" t="str">
        <x:v>UNVERIFIED_ATTRIBUTE</x:v>
      </x:c>
      <x:c r="J224" t="str">
        <x:v>PROFILE_PRESET_UNAPPROVED</x:v>
      </x:c>
      <x:c r="K224" t="str">
        <x:v>Chỉ đoạn nội dung thực; loại trừ bảng, chú thích, chữ ký và các thành phần phần đầu</x:v>
      </x:c>
      <x:c r="L224" t="str">
        <x:v>Bảo toàn cấu trúc/nội dung; nếu khác loại văn bản, ưu tiên đúng mẫu của loại đó; không sửa khi thiếu căn cứ.</x:v>
      </x:c>
      <x:c r="M224"/>
      <x:c r="N224" t="str">
        <x:v>HD05, Phần II, I.6 và IV; Phụ lục 2 mục 6</x:v>
      </x:c>
      <x:c r="O224" t="str">
        <x:v>https://tulieuvankien.dangcongsan.vn/upload/2006988/20260529/HD_05_VPTW_e1550.pdf</x:v>
      </x:c>
      <x:c r="P224" t="str">
        <x:v>PLUGIN:HOA-TIEU-MIEN-BAC-PARTY-HD05-HEADER-2026 | NEEDS_REVIEW</x:v>
      </x:c>
      <x:c r="Q224" t="str">
        <x:v>CHECK_ONLY</x:v>
      </x:c>
      <x:c r="R224" t="str">
        <x:v>Kiểm tra từng thuộc tính có mặt; so sánh nguồn/role; không suy đoán từ kết quả render chưa có</x:v>
      </x:c>
      <x:c r="S224" t="str">
        <x:v>STRUCTURE_READ_EXISTING_WORKBOOK</x:v>
      </x:c>
      <x:c r="T224"/>
      <x:c r="U224" t="str">
        <x:v>Paragraph/Run theo kiểu khối KET; preserve list numbering/table/drawing nếu có</x:v>
      </x:c>
    </x:row>
    <x:row r="225">
      <x:c r="A225" t="n">
        <x:v>224</x:v>
      </x:c>
      <x:c r="B225" t="str">
        <x:v>HD05.N.KET.DOAN_KET.GIAN_DONG</x:v>
      </x:c>
      <x:c r="C225" t="str">
        <x:v>HD05.N.KET.DOAN_KET</x:v>
      </x:c>
      <x:c r="D225" t="str">
        <x:v>N</x:v>
      </x:c>
      <x:c r="E225" t="str">
        <x:v>Đoạn kết nếu có</x:v>
      </x:c>
      <x:c r="F225" t="str">
        <x:v>GIAN_DONG</x:v>
      </x:c>
      <x:c r="G225" t="n">
        <x:v>19</x:v>
      </x:c>
      <x:c r="H225"/>
      <x:c r="I225" t="str">
        <x:v>UNVERIFIED_ATTRIBUTE</x:v>
      </x:c>
      <x:c r="J225" t="str">
        <x:v>PROFILE_PRESET_UNAPPROVED</x:v>
      </x:c>
      <x:c r="K225" t="str">
        <x:v>Chỉ đoạn nội dung thực; loại trừ bảng, chú thích, chữ ký và các thành phần phần đầu</x:v>
      </x:c>
      <x:c r="L225" t="str">
        <x:v>Bảo toàn cấu trúc/nội dung; nếu khác loại văn bản, ưu tiên đúng mẫu của loại đó; không sửa khi thiếu căn cứ. HD05 phần thân: Exactly 18–22 pt theo HD05; nếu giá trị profile khác phải đánh cờ xung đột.</x:v>
      </x:c>
      <x:c r="M225" t="str">
        <x:v>pt</x:v>
      </x:c>
      <x:c r="N225" t="str">
        <x:v>HD05, Phần II, I.6 và IV; Phụ lục 2 mục 6</x:v>
      </x:c>
      <x:c r="O225" t="str">
        <x:v>https://tulieuvankien.dangcongsan.vn/upload/2006988/20260529/HD_05_VPTW_e1550.pdf</x:v>
      </x:c>
      <x:c r="P225" t="str">
        <x:v>PLUGIN:HOA-TIEU-MIEN-BAC-PARTY-HD05-HEADER-2026 | NEEDS_REVIEW</x:v>
      </x:c>
      <x:c r="Q225" t="str">
        <x:v>CHECK_ONLY</x:v>
      </x:c>
      <x:c r="R225" t="str">
        <x:v>Kiểm tra từng thuộc tính có mặt; so sánh nguồn/role; không suy đoán từ kết quả render chưa có</x:v>
      </x:c>
      <x:c r="S225" t="str">
        <x:v>STRUCTURE_READ_EXISTING_WORKBOOK</x:v>
      </x:c>
      <x:c r="T225"/>
      <x:c r="U225" t="str">
        <x:v>Paragraph/Run theo kiểu khối KET; preserve list numbering/table/drawing nếu có</x:v>
      </x:c>
    </x:row>
    <x:row r="226">
      <x:c r="A226" t="n">
        <x:v>225</x:v>
      </x:c>
      <x:c r="B226" t="str">
        <x:v>HD05.N.KET.DOAN_KET.CACH_TRUOC</x:v>
      </x:c>
      <x:c r="C226" t="str">
        <x:v>HD05.N.KET.DOAN_KET</x:v>
      </x:c>
      <x:c r="D226" t="str">
        <x:v>N</x:v>
      </x:c>
      <x:c r="E226" t="str">
        <x:v>Đoạn kết nếu có</x:v>
      </x:c>
      <x:c r="F226" t="str">
        <x:v>CACH_TRUOC</x:v>
      </x:c>
      <x:c r="G226" t="n">
        <x:v>0</x:v>
      </x:c>
      <x:c r="H226"/>
      <x:c r="I226" t="str">
        <x:v>UNVERIFIED_ATTRIBUTE</x:v>
      </x:c>
      <x:c r="J226" t="str">
        <x:v>PROFILE_PRESET_UNAPPROVED</x:v>
      </x:c>
      <x:c r="K226" t="str">
        <x:v>Chỉ đoạn nội dung thực; loại trừ bảng, chú thích, chữ ký và các thành phần phần đầu</x:v>
      </x:c>
      <x:c r="L226" t="str">
        <x:v>Bảo toàn cấu trúc/nội dung; nếu khác loại văn bản, ưu tiên đúng mẫu của loại đó; không sửa khi thiếu căn cứ.</x:v>
      </x:c>
      <x:c r="M226" t="str">
        <x:v>pt</x:v>
      </x:c>
      <x:c r="N226" t="str">
        <x:v>HD05, Phần II, I.6 và IV; Phụ lục 2 mục 6</x:v>
      </x:c>
      <x:c r="O226" t="str">
        <x:v>https://tulieuvankien.dangcongsan.vn/upload/2006988/20260529/HD_05_VPTW_e1550.pdf</x:v>
      </x:c>
      <x:c r="P226" t="str">
        <x:v>PLUGIN:HOA-TIEU-MIEN-BAC-PARTY-HD05-HEADER-2026 | NEEDS_REVIEW</x:v>
      </x:c>
      <x:c r="Q226" t="str">
        <x:v>CHECK_ONLY</x:v>
      </x:c>
      <x:c r="R226" t="str">
        <x:v>Kiểm tra từng thuộc tính có mặt; so sánh nguồn/role; không suy đoán từ kết quả render chưa có</x:v>
      </x:c>
      <x:c r="S226" t="str">
        <x:v>STRUCTURE_READ_EXISTING_WORKBOOK</x:v>
      </x:c>
      <x:c r="T226"/>
      <x:c r="U226" t="str">
        <x:v>Paragraph/Run theo kiểu khối KET; preserve list numbering/table/drawing nếu có</x:v>
      </x:c>
    </x:row>
    <x:row r="227">
      <x:c r="A227" t="n">
        <x:v>226</x:v>
      </x:c>
      <x:c r="B227" t="str">
        <x:v>HD05.N.KET.DOAN_KET.CACH_SAU</x:v>
      </x:c>
      <x:c r="C227" t="str">
        <x:v>HD05.N.KET.DOAN_KET</x:v>
      </x:c>
      <x:c r="D227" t="str">
        <x:v>N</x:v>
      </x:c>
      <x:c r="E227" t="str">
        <x:v>Đoạn kết nếu có</x:v>
      </x:c>
      <x:c r="F227" t="str">
        <x:v>CACH_SAU</x:v>
      </x:c>
      <x:c r="G227" t="n">
        <x:v>6</x:v>
      </x:c>
      <x:c r="H227"/>
      <x:c r="I227" t="str">
        <x:v>UNVERIFIED_ATTRIBUTE</x:v>
      </x:c>
      <x:c r="J227" t="str">
        <x:v>PROFILE_PRESET_UNAPPROVED</x:v>
      </x:c>
      <x:c r="K227" t="str">
        <x:v>Chỉ đoạn nội dung thực; loại trừ bảng, chú thích, chữ ký và các thành phần phần đầu</x:v>
      </x:c>
      <x:c r="L227" t="str">
        <x:v>Bảo toàn cấu trúc/nội dung; nếu khác loại văn bản, ưu tiên đúng mẫu của loại đó; không sửa khi thiếu căn cứ.</x:v>
      </x:c>
      <x:c r="M227" t="str">
        <x:v>pt</x:v>
      </x:c>
      <x:c r="N227" t="str">
        <x:v>HD05, Phần II, I.6 và IV; Phụ lục 2 mục 6</x:v>
      </x:c>
      <x:c r="O227" t="str">
        <x:v>https://tulieuvankien.dangcongsan.vn/upload/2006988/20260529/HD_05_VPTW_e1550.pdf</x:v>
      </x:c>
      <x:c r="P227" t="str">
        <x:v>PLUGIN:HOA-TIEU-MIEN-BAC-PARTY-HD05-HEADER-2026 | NEEDS_REVIEW</x:v>
      </x:c>
      <x:c r="Q227" t="str">
        <x:v>CHECK_ONLY</x:v>
      </x:c>
      <x:c r="R227" t="str">
        <x:v>Kiểm tra từng thuộc tính có mặt; so sánh nguồn/role; không suy đoán từ kết quả render chưa có</x:v>
      </x:c>
      <x:c r="S227" t="str">
        <x:v>STRUCTURE_READ_EXISTING_WORKBOOK</x:v>
      </x:c>
      <x:c r="T227"/>
      <x:c r="U227" t="str">
        <x:v>Paragraph/Run theo kiểu khối KET; preserve list numbering/table/drawing nếu có</x:v>
      </x:c>
    </x:row>
    <x:row r="228">
      <x:c r="A228" t="n">
        <x:v>227</x:v>
      </x:c>
      <x:c r="B228" t="str">
        <x:v>HD05.N.KET.DOAN_KET.THUT_DONG_DAU</x:v>
      </x:c>
      <x:c r="C228" t="str">
        <x:v>HD05.N.KET.DOAN_KET</x:v>
      </x:c>
      <x:c r="D228" t="str">
        <x:v>N</x:v>
      </x:c>
      <x:c r="E228" t="str">
        <x:v>Đoạn kết nếu có</x:v>
      </x:c>
      <x:c r="F228" t="str">
        <x:v>THUT_DONG_DAU</x:v>
      </x:c>
      <x:c r="G228" t="n">
        <x:v>10</x:v>
      </x:c>
      <x:c r="H228"/>
      <x:c r="I228" t="str">
        <x:v>UNVERIFIED_ATTRIBUTE</x:v>
      </x:c>
      <x:c r="J228" t="str">
        <x:v>PROFILE_PRESET_UNAPPROVED</x:v>
      </x:c>
      <x:c r="K228" t="str">
        <x:v>Chỉ đoạn nội dung thực; loại trừ bảng, chú thích, chữ ký và các thành phần phần đầu</x:v>
      </x:c>
      <x:c r="L228" t="str">
        <x:v>Bảo toàn cấu trúc/nội dung; nếu khác loại văn bản, ưu tiên đúng mẫu của loại đó; không sửa khi thiếu căn cứ.</x:v>
      </x:c>
      <x:c r="M228" t="str">
        <x:v>mm</x:v>
      </x:c>
      <x:c r="N228" t="str">
        <x:v>HD05, Phần II, I.6 và IV; Phụ lục 2 mục 6</x:v>
      </x:c>
      <x:c r="O228" t="str">
        <x:v>https://tulieuvankien.dangcongsan.vn/upload/2006988/20260529/HD_05_VPTW_e1550.pdf</x:v>
      </x:c>
      <x:c r="P228" t="str">
        <x:v>PLUGIN:HOA-TIEU-MIEN-BAC-PARTY-HD05-HEADER-2026 | NEEDS_REVIEW</x:v>
      </x:c>
      <x:c r="Q228" t="str">
        <x:v>CHECK_ONLY</x:v>
      </x:c>
      <x:c r="R228" t="str">
        <x:v>Kiểm tra từng thuộc tính có mặt; so sánh nguồn/role; không suy đoán từ kết quả render chưa có</x:v>
      </x:c>
      <x:c r="S228" t="str">
        <x:v>STRUCTURE_READ_EXISTING_WORKBOOK</x:v>
      </x:c>
      <x:c r="T228"/>
      <x:c r="U228" t="str">
        <x:v>Paragraph/Run theo kiểu khối KET; preserve list numbering/table/drawing nếu có</x:v>
      </x:c>
    </x:row>
    <x:row r="229">
      <x:c r="A229" t="n">
        <x:v>228</x:v>
      </x:c>
      <x:c r="B229" t="str">
        <x:v>HD05.N.KET.DOAN_KET.DAU_CAU</x:v>
      </x:c>
      <x:c r="C229" t="str">
        <x:v>HD05.N.KET.DOAN_KET</x:v>
      </x:c>
      <x:c r="D229" t="str">
        <x:v>N</x:v>
      </x:c>
      <x:c r="E229" t="str">
        <x:v>Đoạn kết nếu có</x:v>
      </x:c>
      <x:c r="F229" t="str">
        <x:v>DAU_CAU</x:v>
      </x:c>
      <x:c r="G229"/>
      <x:c r="H229"/>
      <x:c r="I229" t="str">
        <x:v>UNVERIFIED_ATTRIBUTE</x:v>
      </x:c>
      <x:c r="J229" t="str">
        <x:v>BLOCKED_NO_ATTRIBUTE_VALUE</x:v>
      </x:c>
      <x:c r="K229" t="str">
        <x:v>Chỉ đoạn nội dung thực; loại trừ bảng, chú thích, chữ ký và các thành phần phần đầu</x:v>
      </x:c>
      <x:c r="L229" t="str">
        <x:v>Bảo toàn cấu trúc/nội dung; nếu khác loại văn bản, ưu tiên đúng mẫu của loại đó; không sửa khi thiếu căn cứ.</x:v>
      </x:c>
      <x:c r="M229"/>
      <x:c r="N229" t="str">
        <x:v>HD05, Phần II, I.6 và IV; Phụ lục 2 mục 6</x:v>
      </x:c>
      <x:c r="O229" t="str">
        <x:v>https://tulieuvankien.dangcongsan.vn/upload/2006988/20260529/HD_05_VPTW_e1550.pdf</x:v>
      </x:c>
      <x:c r="P229" t="str">
        <x:v>PLUGIN:HOA-TIEU-MIEN-BAC-PARTY-HD05-HEADER-2026 | NEEDS_REVIEW</x:v>
      </x:c>
      <x:c r="Q229" t="str">
        <x:v>CHECK_ONLY</x:v>
      </x:c>
      <x:c r="R229" t="str">
        <x:v>Kiểm tra từng thuộc tính có mặt; so sánh nguồn/role; không suy đoán từ kết quả render chưa có</x:v>
      </x:c>
      <x:c r="S229" t="str">
        <x:v>RULE_INFERENCE_NOT_MEASURED</x:v>
      </x:c>
      <x:c r="T229" t="str">
        <x:v>Xác minh căn cứ theo loại văn bản / tài liệu phát hành hoặc phê duyệt</x:v>
      </x:c>
      <x:c r="U229" t="str">
        <x:v>Paragraph/Run theo kiểu khối KET; preserve list numbering/table/drawing nếu có</x:v>
      </x:c>
    </x:row>
  </x:sheetData>
  <x:pageMargins left="0.7" right="0.7" top="0.75" bottom="0.75" header="0.3" footer="0.3"/>
</x:worksheet>
</file>

<file path=xl/worksheets/sheet3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 hidden="0" customWidth="1"/>
    <x:col min="2" max="2" width="37" hidden="0" customWidth="1"/>
    <x:col min="3" max="3" width="32" hidden="0" customWidth="1"/>
    <x:col min="4" max="4" width="12" hidden="0" customWidth="1"/>
    <x:col min="5" max="5" width="26" hidden="0" customWidth="1"/>
    <x:col min="6" max="6" width="17" hidden="0" customWidth="1"/>
    <x:col min="7" max="7" width="25" hidden="0" customWidth="1"/>
    <x:col min="8" max="8" width="20" hidden="0" customWidth="1"/>
    <x:col min="9" max="9" width="22" hidden="0" customWidth="1"/>
    <x:col min="10" max="10" width="25" hidden="0" customWidth="1"/>
    <x:col min="11" max="11" width="38" hidden="0" customWidth="1"/>
    <x:col min="12" max="12" width="44" hidden="0" customWidth="1"/>
    <x:col min="13" max="13" width="10" hidden="0" customWidth="1"/>
    <x:col min="14" max="14" width="27" hidden="0" customWidth="1"/>
    <x:col min="15" max="15" width="25" hidden="0" customWidth="1"/>
    <x:col min="16" max="16" width="28" hidden="0" customWidth="1"/>
    <x:col min="17" max="17" width="14" hidden="0" customWidth="1"/>
    <x:col min="18" max="18" width="38" hidden="0" customWidth="1"/>
    <x:col min="19" max="19" width="22" hidden="0" customWidth="1"/>
    <x:col min="20" max="20" width="30" hidden="0" customWidth="1"/>
    <x:col min="21" max="21" width="24" hidden="0" customWidth="1"/>
  </x:cols>
  <x:sheetData>
    <x:row r="1" ht="28" customHeight="1">
      <x:c r="A1" s="305" t="str">
        <x:v>STT</x:v>
      </x:c>
      <x:c r="B1" s="305" t="str">
        <x:v>Mã rule con</x:v>
      </x:c>
      <x:c r="C1" s="305" t="str">
        <x:v>Mã cha gốc</x:v>
      </x:c>
      <x:c r="D1" s="305" t="str">
        <x:v>Nhóm</x:v>
      </x:c>
      <x:c r="E1" s="305" t="str">
        <x:v>Tên thành phần</x:v>
      </x:c>
      <x:c r="F1" s="305" t="str">
        <x:v>Thuộc tính</x:v>
      </x:c>
      <x:c r="G1" s="305" t="str">
        <x:v>Giá trị profile đang có</x:v>
      </x:c>
      <x:c r="H1" s="305" t="str">
        <x:v>Giá trị pháp lý kiểm chứng</x:v>
      </x:c>
      <x:c r="I1" s="305" t="str">
        <x:v>Trạng thái pháp lý thuộc tính</x:v>
      </x:c>
      <x:c r="J1" s="305" t="str">
        <x:v>Trạng thái quyết định profile</x:v>
      </x:c>
      <x:c r="K1" s="305" t="str">
        <x:v>Điều kiện áp dụng</x:v>
      </x:c>
      <x:c r="L1" s="305" t="str">
        <x:v>Ngoại lệ/phân nhánh</x:v>
      </x:c>
      <x:c r="M1" s="305" t="str">
        <x:v>Đơn vị</x:v>
      </x:c>
      <x:c r="N1" s="305" t="str">
        <x:v>Nguồn/định vị</x:v>
      </x:c>
      <x:c r="O1" s="305" t="str">
        <x:v>URL nguồn</x:v>
      </x:c>
      <x:c r="P1" s="305" t="str">
        <x:v>Nguồn profile/ghi chú</x:v>
      </x:c>
      <x:c r="Q1" s="305" t="str">
        <x:v>Quyền xử lý</x:v>
      </x:c>
      <x:c r="R1" s="305" t="str">
        <x:v>Cách kiểm tra offline</x:v>
      </x:c>
      <x:c r="S1" s="305" t="str">
        <x:v>Phân loại bằng chứng TQA-NR</x:v>
      </x:c>
      <x:c r="T1" s="305" t="str">
        <x:v>Giá trị cần bổ sung</x:v>
      </x:c>
      <x:c r="U1" s="305" t="str">
        <x:v>Đối tượng</x:v>
      </x:c>
    </x:row>
    <x:row r="2">
      <x:c r="A2" t="n">
        <x:v>1</x:v>
      </x:c>
      <x:c r="B2" t="str">
        <x:v>HD05.C.NN.NHAN_NOI_NHAN.HIEN_DIEN</x:v>
      </x:c>
      <x:c r="C2" t="str">
        <x:v>HD05.C.NN.NHAN_NOI_NHAN</x:v>
      </x:c>
      <x:c r="D2" t="str">
        <x:v>C</x:v>
      </x:c>
      <x:c r="E2" t="str">
        <x:v>Nhãn Nơi nhận:</x:v>
      </x:c>
      <x:c r="F2" t="str">
        <x:v>HIEN_DIEN</x:v>
      </x:c>
      <x:c r="G2" t="str">
        <x:v>Cần có nơi nhận theo loại/đối tượng</x:v>
      </x:c>
      <x:c r="H2"/>
      <x:c r="I2" t="str">
        <x:v>UNVERIFIED_ATTRIBUTE</x:v>
      </x:c>
      <x:c r="J2" t="str">
        <x:v>SOURCE_DESCRIPTION_NOT_APPROVAL</x:v>
      </x:c>
      <x:c r="K2" t="str">
        <x:v>Chỉ khi có danh sách nơi nhận cuối văn bản; giữ nguyên người nhận, nơi lưu, dòng Như trên</x:v>
      </x:c>
      <x:c r="L2" t="str">
        <x:v>Không tạo nhân thân/chức vụ/dấu/chữ ký; bảo toàn nơi nhận và thẩm quyền.</x:v>
      </x:c>
      <x:c r="M2"/>
      <x:c r="N2" t="str">
        <x:v>HD05, Phần II, I.9; Phụ lục 2 mục 9</x:v>
      </x:c>
      <x:c r="O2" t="str">
        <x:v>https://tulieuvankien.dangcongsan.vn/upload/2006988/20260529/HD_05_VPTW_e1550.pdf</x:v>
      </x:c>
      <x:c r="P2" t="str">
        <x:v>PLUGIN:HOA-TIEU-MIEN-BAC-PARTY-HD05-HEADER-2026 | NEEDS_REVIEW</x:v>
      </x:c>
      <x:c r="Q2" t="str">
        <x:v>CHECK_ONLY</x:v>
      </x:c>
      <x:c r="R2" t="str">
        <x:v>Kiểm tra từng thuộc tính có mặt; so sánh nguồn/role; không suy đoán từ kết quả render chưa có</x:v>
      </x:c>
      <x:c r="S2" t="str">
        <x:v>STRUCTURE_READ_EXISTING_WORKBOOK</x:v>
      </x:c>
      <x:c r="T2"/>
      <x:c r="U2" t="str">
        <x:v>Text run trên dòng riêng</x:v>
      </x:c>
    </x:row>
    <x:row r="3">
      <x:c r="A3" t="n">
        <x:v>2</x:v>
      </x:c>
      <x:c r="B3" t="str">
        <x:v>HD05.C.NN.NHAN_NOI_NHAN.NOI_DUNG</x:v>
      </x:c>
      <x:c r="C3" t="str">
        <x:v>HD05.C.NN.NHAN_NOI_NHAN</x:v>
      </x:c>
      <x:c r="D3" t="str">
        <x:v>C</x:v>
      </x:c>
      <x:c r="E3" t="str">
        <x:v>Nhãn Nơi nhận:</x:v>
      </x:c>
      <x:c r="F3" t="str">
        <x:v>NOI_DUNG</x:v>
      </x:c>
      <x:c r="G3" t="str">
        <x:v>Nhãn Nơi nhận:</x:v>
      </x:c>
      <x:c r="H3"/>
      <x:c r="I3" t="str">
        <x:v>UNVERIFIED_ATTRIBUTE</x:v>
      </x:c>
      <x:c r="J3" t="str">
        <x:v>SOURCE_DESCRIPTION_NOT_APPROVAL</x:v>
      </x:c>
      <x:c r="K3" t="str">
        <x:v>Chỉ khi có danh sách nơi nhận cuối văn bản; giữ nguyên người nhận, nơi lưu, dòng Như trên</x:v>
      </x:c>
      <x:c r="L3" t="str">
        <x:v>Không tạo nhân thân/chức vụ/dấu/chữ ký; bảo toàn nơi nhận và thẩm quyền.</x:v>
      </x:c>
      <x:c r="M3"/>
      <x:c r="N3" t="str">
        <x:v>HD05, Phần II, I.9; Phụ lục 2 mục 9</x:v>
      </x:c>
      <x:c r="O3" t="str">
        <x:v>https://tulieuvankien.dangcongsan.vn/upload/2006988/20260529/HD_05_VPTW_e1550.pdf</x:v>
      </x:c>
      <x:c r="P3" t="str">
        <x:v>PLUGIN:HOA-TIEU-MIEN-BAC-PARTY-HD05-HEADER-2026 | NEEDS_REVIEW</x:v>
      </x:c>
      <x:c r="Q3" t="str">
        <x:v>CHECK_ONLY</x:v>
      </x:c>
      <x:c r="R3" t="str">
        <x:v>Kiểm tra từng thuộc tính có mặt; so sánh nguồn/role; không suy đoán từ kết quả render chưa có</x:v>
      </x:c>
      <x:c r="S3" t="str">
        <x:v>STRUCTURE_READ_EXISTING_WORKBOOK</x:v>
      </x:c>
      <x:c r="T3"/>
      <x:c r="U3" t="str">
        <x:v>Text run trên dòng riêng</x:v>
      </x:c>
    </x:row>
    <x:row r="4">
      <x:c r="A4" t="n">
        <x:v>3</x:v>
      </x:c>
      <x:c r="B4" t="str">
        <x:v>HD05.C.NN.NHAN_NOI_NHAN.PHONG_CHU</x:v>
      </x:c>
      <x:c r="C4" t="str">
        <x:v>HD05.C.NN.NHAN_NOI_NHAN</x:v>
      </x:c>
      <x:c r="D4" t="str">
        <x:v>C</x:v>
      </x:c>
      <x:c r="E4" t="str">
        <x:v>Nhãn Nơi nhận:</x:v>
      </x:c>
      <x:c r="F4" t="str">
        <x:v>PHONG_CHU</x:v>
      </x:c>
      <x:c r="G4" t="str">
        <x:v>Times New Roman</x:v>
      </x:c>
      <x:c r="H4"/>
      <x:c r="I4" t="str">
        <x:v>UNVERIFIED_ATTRIBUTE</x:v>
      </x:c>
      <x:c r="J4" t="str">
        <x:v>PROFILE_PRESET_UNAPPROVED</x:v>
      </x:c>
      <x:c r="K4" t="str">
        <x:v>Chỉ khi có danh sách nơi nhận cuối văn bản; giữ nguyên người nhận, nơi lưu, dòng Như trên</x:v>
      </x:c>
      <x:c r="L4" t="str">
        <x:v>Không tạo nhân thân/chức vụ/dấu/chữ ký; bảo toàn nơi nhận và thẩm quyền.</x:v>
      </x:c>
      <x:c r="M4"/>
      <x:c r="N4" t="str">
        <x:v>HD05, Phần II, I.9; Phụ lục 2 mục 9</x:v>
      </x:c>
      <x:c r="O4" t="str">
        <x:v>https://tulieuvankien.dangcongsan.vn/upload/2006988/20260529/HD_05_VPTW_e1550.pdf</x:v>
      </x:c>
      <x:c r="P4" t="str">
        <x:v>PLUGIN:HOA-TIEU-MIEN-BAC-PARTY-HD05-HEADER-2026 | NEEDS_REVIEW</x:v>
      </x:c>
      <x:c r="Q4" t="str">
        <x:v>CHECK_ONLY</x:v>
      </x:c>
      <x:c r="R4" t="str">
        <x:v>Kiểm tra từng thuộc tính có mặt; so sánh nguồn/role; không suy đoán từ kết quả render chưa có</x:v>
      </x:c>
      <x:c r="S4" t="str">
        <x:v>STRUCTURE_READ_EXISTING_WORKBOOK</x:v>
      </x:c>
      <x:c r="T4"/>
      <x:c r="U4" t="str">
        <x:v>Text run trên dòng riêng</x:v>
      </x:c>
    </x:row>
    <x:row r="5">
      <x:c r="A5" t="n">
        <x:v>4</x:v>
      </x:c>
      <x:c r="B5" t="str">
        <x:v>HD05.C.NN.NHAN_NOI_NHAN.CO_CHU</x:v>
      </x:c>
      <x:c r="C5" t="str">
        <x:v>HD05.C.NN.NHAN_NOI_NHAN</x:v>
      </x:c>
      <x:c r="D5" t="str">
        <x:v>C</x:v>
      </x:c>
      <x:c r="E5" t="str">
        <x:v>Nhãn Nơi nhận:</x:v>
      </x:c>
      <x:c r="F5" t="str">
        <x:v>CO_CHU</x:v>
      </x:c>
      <x:c r="G5" t="n">
        <x:v>14</x:v>
      </x:c>
      <x:c r="H5" t="n">
        <x:v>14</x:v>
      </x:c>
      <x:c r="I5" t="str">
        <x:v>LEGAL_EXPLICIT_CHECKED</x:v>
      </x:c>
      <x:c r="J5" t="str">
        <x:v>PROFILE_PRESET_UNAPPROVED</x:v>
      </x:c>
      <x:c r="K5" t="str">
        <x:v>Chỉ khi có danh sách nơi nhận cuối văn bản; giữ nguyên người nhận, nơi lưu, dòng Như trên</x:v>
      </x:c>
      <x:c r="L5" t="str">
        <x:v>Không tạo nhân thân/chức vụ/dấu/chữ ký; bảo toàn nơi nhận và thẩm quyền.</x:v>
      </x:c>
      <x:c r="M5" t="str">
        <x:v>pt</x:v>
      </x:c>
      <x:c r="N5" t="str">
        <x:v>Phụ lục 2, mục 9</x:v>
      </x:c>
      <x:c r="O5" t="str">
        <x:v>https://tulieuvankien.dangcongsan.vn/upload/2006988/20260529/HD_05_VPTW_e1550.pdf</x:v>
      </x:c>
      <x:c r="P5" t="str">
        <x:v>PLUGIN:HOA-TIEU-MIEN-BAC-PARTY-HD05-HEADER-2026 | NEEDS_REVIEW</x:v>
      </x:c>
      <x:c r="Q5" t="str">
        <x:v>CHECK_ONLY</x:v>
      </x:c>
      <x:c r="R5" t="str">
        <x:v>Kiểm tra từng thuộc tính có mặt; so sánh nguồn/role; không suy đoán từ kết quả render chưa có</x:v>
      </x:c>
      <x:c r="S5" t="str">
        <x:v>OFFICIAL_TEXT_VERIFIED</x:v>
      </x:c>
      <x:c r="T5"/>
      <x:c r="U5" t="str">
        <x:v>Text run trên dòng riêng</x:v>
      </x:c>
    </x:row>
    <x:row r="6">
      <x:c r="A6" t="n">
        <x:v>5</x:v>
      </x:c>
      <x:c r="B6" t="str">
        <x:v>HD05.C.NN.NHAN_NOI_NHAN.DAM</x:v>
      </x:c>
      <x:c r="C6" t="str">
        <x:v>HD05.C.NN.NHAN_NOI_NHAN</x:v>
      </x:c>
      <x:c r="D6" t="str">
        <x:v>C</x:v>
      </x:c>
      <x:c r="E6" t="str">
        <x:v>Nhãn Nơi nhận:</x:v>
      </x:c>
      <x:c r="F6" t="str">
        <x:v>DAM</x:v>
      </x:c>
      <x:c r="G6" t="str">
        <x:v>KHÔNG</x:v>
      </x:c>
      <x:c r="H6"/>
      <x:c r="I6" t="str">
        <x:v>UNVERIFIED_ATTRIBUTE</x:v>
      </x:c>
      <x:c r="J6" t="str">
        <x:v>PROFILE_PRESET_UNAPPROVED</x:v>
      </x:c>
      <x:c r="K6" t="str">
        <x:v>Chỉ khi có danh sách nơi nhận cuối văn bản; giữ nguyên người nhận, nơi lưu, dòng Như trên</x:v>
      </x:c>
      <x:c r="L6" t="str">
        <x:v>Không tạo nhân thân/chức vụ/dấu/chữ ký; bảo toàn nơi nhận và thẩm quyền.</x:v>
      </x:c>
      <x:c r="M6"/>
      <x:c r="N6" t="str">
        <x:v>HD05, Phần II, I.9; Phụ lục 2 mục 9</x:v>
      </x:c>
      <x:c r="O6" t="str">
        <x:v>https://tulieuvankien.dangcongsan.vn/upload/2006988/20260529/HD_05_VPTW_e1550.pdf</x:v>
      </x:c>
      <x:c r="P6" t="str">
        <x:v>PLUGIN:HOA-TIEU-MIEN-BAC-PARTY-HD05-HEADER-2026 | NEEDS_REVIEW</x:v>
      </x:c>
      <x:c r="Q6" t="str">
        <x:v>CHECK_ONLY</x:v>
      </x:c>
      <x:c r="R6" t="str">
        <x:v>Kiểm tra từng thuộc tính có mặt; so sánh nguồn/role; không suy đoán từ kết quả render chưa có</x:v>
      </x:c>
      <x:c r="S6" t="str">
        <x:v>STRUCTURE_READ_EXISTING_WORKBOOK</x:v>
      </x:c>
      <x:c r="T6"/>
      <x:c r="U6" t="str">
        <x:v>Text run trên dòng riêng</x:v>
      </x:c>
    </x:row>
    <x:row r="7">
      <x:c r="A7" t="n">
        <x:v>6</x:v>
      </x:c>
      <x:c r="B7" t="str">
        <x:v>HD05.C.NN.NHAN_NOI_NHAN.NGHIENG</x:v>
      </x:c>
      <x:c r="C7" t="str">
        <x:v>HD05.C.NN.NHAN_NOI_NHAN</x:v>
      </x:c>
      <x:c r="D7" t="str">
        <x:v>C</x:v>
      </x:c>
      <x:c r="E7" t="str">
        <x:v>Nhãn Nơi nhận:</x:v>
      </x:c>
      <x:c r="F7" t="str">
        <x:v>NGHIENG</x:v>
      </x:c>
      <x:c r="G7" t="str">
        <x:v>KHÔNG</x:v>
      </x:c>
      <x:c r="H7"/>
      <x:c r="I7" t="str">
        <x:v>UNVERIFIED_ATTRIBUTE</x:v>
      </x:c>
      <x:c r="J7" t="str">
        <x:v>PROFILE_PRESET_UNAPPROVED</x:v>
      </x:c>
      <x:c r="K7" t="str">
        <x:v>Chỉ khi có danh sách nơi nhận cuối văn bản; giữ nguyên người nhận, nơi lưu, dòng Như trên</x:v>
      </x:c>
      <x:c r="L7" t="str">
        <x:v>Không tạo nhân thân/chức vụ/dấu/chữ ký; bảo toàn nơi nhận và thẩm quyền.</x:v>
      </x:c>
      <x:c r="M7"/>
      <x:c r="N7" t="str">
        <x:v>HD05, Phần II, I.9; Phụ lục 2 mục 9</x:v>
      </x:c>
      <x:c r="O7" t="str">
        <x:v>https://tulieuvankien.dangcongsan.vn/upload/2006988/20260529/HD_05_VPTW_e1550.pdf</x:v>
      </x:c>
      <x:c r="P7" t="str">
        <x:v>PLUGIN:HOA-TIEU-MIEN-BAC-PARTY-HD05-HEADER-2026 | NEEDS_REVIEW</x:v>
      </x:c>
      <x:c r="Q7" t="str">
        <x:v>CHECK_ONLY</x:v>
      </x:c>
      <x:c r="R7" t="str">
        <x:v>Kiểm tra từng thuộc tính có mặt; so sánh nguồn/role; không suy đoán từ kết quả render chưa có</x:v>
      </x:c>
      <x:c r="S7" t="str">
        <x:v>STRUCTURE_READ_EXISTING_WORKBOOK</x:v>
      </x:c>
      <x:c r="T7"/>
      <x:c r="U7" t="str">
        <x:v>Text run trên dòng riêng</x:v>
      </x:c>
    </x:row>
    <x:row r="8">
      <x:c r="A8" t="n">
        <x:v>7</x:v>
      </x:c>
      <x:c r="B8" t="str">
        <x:v>HD05.C.NN.NHAN_NOI_NHAN.KIEU_CHU</x:v>
      </x:c>
      <x:c r="C8" t="str">
        <x:v>HD05.C.NN.NHAN_NOI_NHAN</x:v>
      </x:c>
      <x:c r="D8" t="str">
        <x:v>C</x:v>
      </x:c>
      <x:c r="E8" t="str">
        <x:v>Nhãn Nơi nhận:</x:v>
      </x:c>
      <x:c r="F8" t="str">
        <x:v>KIEU_CHU</x:v>
      </x:c>
      <x:c r="G8"/>
      <x:c r="H8"/>
      <x:c r="I8" t="str">
        <x:v>UNVERIFIED_ATTRIBUTE</x:v>
      </x:c>
      <x:c r="J8" t="str">
        <x:v>BLOCKED_NO_ATTRIBUTE_VALUE</x:v>
      </x:c>
      <x:c r="K8" t="str">
        <x:v>Chỉ khi có danh sách nơi nhận cuối văn bản; giữ nguyên người nhận, nơi lưu, dòng Như trên</x:v>
      </x:c>
      <x:c r="L8" t="str">
        <x:v>Không tạo nhân thân/chức vụ/dấu/chữ ký; bảo toàn nơi nhận và thẩm quyền.</x:v>
      </x:c>
      <x:c r="M8"/>
      <x:c r="N8" t="str">
        <x:v>HD05, Phần II, I.9; Phụ lục 2 mục 9</x:v>
      </x:c>
      <x:c r="O8" t="str">
        <x:v>https://tulieuvankien.dangcongsan.vn/upload/2006988/20260529/HD_05_VPTW_e1550.pdf</x:v>
      </x:c>
      <x:c r="P8" t="str">
        <x:v>PLUGIN:HOA-TIEU-MIEN-BAC-PARTY-HD05-HEADER-2026 | NEEDS_REVIEW</x:v>
      </x:c>
      <x:c r="Q8" t="str">
        <x:v>CHECK_ONLY</x:v>
      </x:c>
      <x:c r="R8" t="str">
        <x:v>Kiểm tra từng thuộc tính có mặt; so sánh nguồn/role; không suy đoán từ kết quả render chưa có</x:v>
      </x:c>
      <x:c r="S8" t="str">
        <x:v>RULE_INFERENCE_NOT_MEASURED</x:v>
      </x:c>
      <x:c r="T8" t="str">
        <x:v>Xác minh căn cứ theo loại văn bản / tài liệu phát hành hoặc phê duyệt</x:v>
      </x:c>
      <x:c r="U8" t="str">
        <x:v>Text run trên dòng riêng</x:v>
      </x:c>
    </x:row>
    <x:row r="9">
      <x:c r="A9" t="n">
        <x:v>8</x:v>
      </x:c>
      <x:c r="B9" t="str">
        <x:v>HD05.C.NN.NHAN_NOI_NHAN.CAN_NGANG</x:v>
      </x:c>
      <x:c r="C9" t="str">
        <x:v>HD05.C.NN.NHAN_NOI_NHAN</x:v>
      </x:c>
      <x:c r="D9" t="str">
        <x:v>C</x:v>
      </x:c>
      <x:c r="E9" t="str">
        <x:v>Nhãn Nơi nhận:</x:v>
      </x:c>
      <x:c r="F9" t="str">
        <x:v>CAN_NGANG</x:v>
      </x:c>
      <x:c r="G9" t="str">
        <x:v>LEFT</x:v>
      </x:c>
      <x:c r="H9"/>
      <x:c r="I9" t="str">
        <x:v>UNVERIFIED_ATTRIBUTE</x:v>
      </x:c>
      <x:c r="J9" t="str">
        <x:v>PROFILE_PRESET_UNAPPROVED</x:v>
      </x:c>
      <x:c r="K9" t="str">
        <x:v>Chỉ khi có danh sách nơi nhận cuối văn bản; giữ nguyên người nhận, nơi lưu, dòng Như trên</x:v>
      </x:c>
      <x:c r="L9" t="str">
        <x:v>Không tạo nhân thân/chức vụ/dấu/chữ ký; bảo toàn nơi nhận và thẩm quyền.</x:v>
      </x:c>
      <x:c r="M9"/>
      <x:c r="N9" t="str">
        <x:v>HD05, Phần II, I.9; Phụ lục 2 mục 9</x:v>
      </x:c>
      <x:c r="O9" t="str">
        <x:v>https://tulieuvankien.dangcongsan.vn/upload/2006988/20260529/HD_05_VPTW_e1550.pdf</x:v>
      </x:c>
      <x:c r="P9" t="str">
        <x:v>PLUGIN:HOA-TIEU-MIEN-BAC-PARTY-HD05-HEADER-2026 | NEEDS_REVIEW</x:v>
      </x:c>
      <x:c r="Q9" t="str">
        <x:v>CHECK_ONLY</x:v>
      </x:c>
      <x:c r="R9" t="str">
        <x:v>Kiểm tra từng thuộc tính có mặt; so sánh nguồn/role; không suy đoán từ kết quả render chưa có</x:v>
      </x:c>
      <x:c r="S9" t="str">
        <x:v>STRUCTURE_READ_EXISTING_WORKBOOK</x:v>
      </x:c>
      <x:c r="T9"/>
      <x:c r="U9" t="str">
        <x:v>Text run trên dòng riêng</x:v>
      </x:c>
    </x:row>
    <x:row r="10">
      <x:c r="A10" t="n">
        <x:v>9</x:v>
      </x:c>
      <x:c r="B10" t="str">
        <x:v>HD05.C.NN.NHAN_NOI_NHAN.GIAN_DONG</x:v>
      </x:c>
      <x:c r="C10" t="str">
        <x:v>HD05.C.NN.NHAN_NOI_NHAN</x:v>
      </x:c>
      <x:c r="D10" t="str">
        <x:v>C</x:v>
      </x:c>
      <x:c r="E10" t="str">
        <x:v>Nhãn Nơi nhận:</x:v>
      </x:c>
      <x:c r="F10" t="str">
        <x:v>GIAN_DONG</x:v>
      </x:c>
      <x:c r="G10" t="n">
        <x:v>1</x:v>
      </x:c>
      <x:c r="H10"/>
      <x:c r="I10" t="str">
        <x:v>UNVERIFIED_ATTRIBUTE</x:v>
      </x:c>
      <x:c r="J10" t="str">
        <x:v>PROFILE_PRESET_UNAPPROVED</x:v>
      </x:c>
      <x:c r="K10" t="str">
        <x:v>Chỉ khi có danh sách nơi nhận cuối văn bản; giữ nguyên người nhận, nơi lưu, dòng Như trên</x:v>
      </x:c>
      <x:c r="L10" t="str">
        <x:v>Không tạo nhân thân/chức vụ/dấu/chữ ký; bảo toàn nơi nhận và thẩm quyền.</x:v>
      </x:c>
      <x:c r="M10" t="str">
        <x:v>pt</x:v>
      </x:c>
      <x:c r="N10" t="str">
        <x:v>HD05, Phần II, I.9; Phụ lục 2 mục 9</x:v>
      </x:c>
      <x:c r="O10" t="str">
        <x:v>https://tulieuvankien.dangcongsan.vn/upload/2006988/20260529/HD_05_VPTW_e1550.pdf</x:v>
      </x:c>
      <x:c r="P10" t="str">
        <x:v>PLUGIN:HOA-TIEU-MIEN-BAC-PARTY-HD05-HEADER-2026 | NEEDS_REVIEW</x:v>
      </x:c>
      <x:c r="Q10" t="str">
        <x:v>CHECK_ONLY</x:v>
      </x:c>
      <x:c r="R10" t="str">
        <x:v>Kiểm tra từng thuộc tính có mặt; so sánh nguồn/role; không suy đoán từ kết quả render chưa có</x:v>
      </x:c>
      <x:c r="S10" t="str">
        <x:v>STRUCTURE_READ_EXISTING_WORKBOOK</x:v>
      </x:c>
      <x:c r="T10"/>
      <x:c r="U10" t="str">
        <x:v>Text run trên dòng riêng</x:v>
      </x:c>
    </x:row>
    <x:row r="11">
      <x:c r="A11" t="n">
        <x:v>10</x:v>
      </x:c>
      <x:c r="B11" t="str">
        <x:v>HD05.C.NN.NHAN_NOI_NHAN.CACH_TRUOC</x:v>
      </x:c>
      <x:c r="C11" t="str">
        <x:v>HD05.C.NN.NHAN_NOI_NHAN</x:v>
      </x:c>
      <x:c r="D11" t="str">
        <x:v>C</x:v>
      </x:c>
      <x:c r="E11" t="str">
        <x:v>Nhãn Nơi nhận:</x:v>
      </x:c>
      <x:c r="F11" t="str">
        <x:v>CACH_TRUOC</x:v>
      </x:c>
      <x:c r="G11" t="n">
        <x:v>0</x:v>
      </x:c>
      <x:c r="H11"/>
      <x:c r="I11" t="str">
        <x:v>UNVERIFIED_ATTRIBUTE</x:v>
      </x:c>
      <x:c r="J11" t="str">
        <x:v>PROFILE_PRESET_UNAPPROVED</x:v>
      </x:c>
      <x:c r="K11" t="str">
        <x:v>Chỉ khi có danh sách nơi nhận cuối văn bản; giữ nguyên người nhận, nơi lưu, dòng Như trên</x:v>
      </x:c>
      <x:c r="L11" t="str">
        <x:v>Không tạo nhân thân/chức vụ/dấu/chữ ký; bảo toàn nơi nhận và thẩm quyền.</x:v>
      </x:c>
      <x:c r="M11" t="str">
        <x:v>pt</x:v>
      </x:c>
      <x:c r="N11" t="str">
        <x:v>HD05, Phần II, I.9; Phụ lục 2 mục 9</x:v>
      </x:c>
      <x:c r="O11" t="str">
        <x:v>https://tulieuvankien.dangcongsan.vn/upload/2006988/20260529/HD_05_VPTW_e1550.pdf</x:v>
      </x:c>
      <x:c r="P11" t="str">
        <x:v>PLUGIN:HOA-TIEU-MIEN-BAC-PARTY-HD05-HEADER-2026 | NEEDS_REVIEW</x:v>
      </x:c>
      <x:c r="Q11" t="str">
        <x:v>CHECK_ONLY</x:v>
      </x:c>
      <x:c r="R11" t="str">
        <x:v>Kiểm tra từng thuộc tính có mặt; so sánh nguồn/role; không suy đoán từ kết quả render chưa có</x:v>
      </x:c>
      <x:c r="S11" t="str">
        <x:v>STRUCTURE_READ_EXISTING_WORKBOOK</x:v>
      </x:c>
      <x:c r="T11"/>
      <x:c r="U11" t="str">
        <x:v>Text run trên dòng riêng</x:v>
      </x:c>
    </x:row>
    <x:row r="12">
      <x:c r="A12" t="n">
        <x:v>11</x:v>
      </x:c>
      <x:c r="B12" t="str">
        <x:v>HD05.C.NN.NHAN_NOI_NHAN.CACH_SAU</x:v>
      </x:c>
      <x:c r="C12" t="str">
        <x:v>HD05.C.NN.NHAN_NOI_NHAN</x:v>
      </x:c>
      <x:c r="D12" t="str">
        <x:v>C</x:v>
      </x:c>
      <x:c r="E12" t="str">
        <x:v>Nhãn Nơi nhận:</x:v>
      </x:c>
      <x:c r="F12" t="str">
        <x:v>CACH_SAU</x:v>
      </x:c>
      <x:c r="G12" t="n">
        <x:v>0</x:v>
      </x:c>
      <x:c r="H12"/>
      <x:c r="I12" t="str">
        <x:v>UNVERIFIED_ATTRIBUTE</x:v>
      </x:c>
      <x:c r="J12" t="str">
        <x:v>PROFILE_PRESET_UNAPPROVED</x:v>
      </x:c>
      <x:c r="K12" t="str">
        <x:v>Chỉ khi có danh sách nơi nhận cuối văn bản; giữ nguyên người nhận, nơi lưu, dòng Như trên</x:v>
      </x:c>
      <x:c r="L12" t="str">
        <x:v>Không tạo nhân thân/chức vụ/dấu/chữ ký; bảo toàn nơi nhận và thẩm quyền.</x:v>
      </x:c>
      <x:c r="M12" t="str">
        <x:v>pt</x:v>
      </x:c>
      <x:c r="N12" t="str">
        <x:v>HD05, Phần II, I.9; Phụ lục 2 mục 9</x:v>
      </x:c>
      <x:c r="O12" t="str">
        <x:v>https://tulieuvankien.dangcongsan.vn/upload/2006988/20260529/HD_05_VPTW_e1550.pdf</x:v>
      </x:c>
      <x:c r="P12" t="str">
        <x:v>PLUGIN:HOA-TIEU-MIEN-BAC-PARTY-HD05-HEADER-2026 | NEEDS_REVIEW</x:v>
      </x:c>
      <x:c r="Q12" t="str">
        <x:v>CHECK_ONLY</x:v>
      </x:c>
      <x:c r="R12" t="str">
        <x:v>Kiểm tra từng thuộc tính có mặt; so sánh nguồn/role; không suy đoán từ kết quả render chưa có</x:v>
      </x:c>
      <x:c r="S12" t="str">
        <x:v>STRUCTURE_READ_EXISTING_WORKBOOK</x:v>
      </x:c>
      <x:c r="T12"/>
      <x:c r="U12" t="str">
        <x:v>Text run trên dòng riêng</x:v>
      </x:c>
    </x:row>
    <x:row r="13">
      <x:c r="A13" t="n">
        <x:v>12</x:v>
      </x:c>
      <x:c r="B13" t="str">
        <x:v>HD05.C.NN.NHAN_NOI_NHAN.VI_TRI</x:v>
      </x:c>
      <x:c r="C13" t="str">
        <x:v>HD05.C.NN.NHAN_NOI_NHAN</x:v>
      </x:c>
      <x:c r="D13" t="str">
        <x:v>C</x:v>
      </x:c>
      <x:c r="E13" t="str">
        <x:v>Nhãn Nơi nhận:</x:v>
      </x:c>
      <x:c r="F13" t="str">
        <x:v>VI_TRI</x:v>
      </x:c>
      <x:c r="G13" t="str">
        <x:v>KHỐI/CỘT TRÁI</x:v>
      </x:c>
      <x:c r="H13"/>
      <x:c r="I13" t="str">
        <x:v>UNVERIFIED_ATTRIBUTE</x:v>
      </x:c>
      <x:c r="J13" t="str">
        <x:v>PROFILE_PRESET_UNAPPROVED</x:v>
      </x:c>
      <x:c r="K13" t="str">
        <x:v>Chỉ khi có danh sách nơi nhận cuối văn bản; giữ nguyên người nhận, nơi lưu, dòng Như trên</x:v>
      </x:c>
      <x:c r="L13" t="str">
        <x:v>Không tạo nhân thân/chức vụ/dấu/chữ ký; bảo toàn nơi nhận và thẩm quyền.</x:v>
      </x:c>
      <x:c r="M13"/>
      <x:c r="N13" t="str">
        <x:v>HD05, Phần II, I.9; Phụ lục 2 mục 9</x:v>
      </x:c>
      <x:c r="O13" t="str">
        <x:v>https://tulieuvankien.dangcongsan.vn/upload/2006988/20260529/HD_05_VPTW_e1550.pdf</x:v>
      </x:c>
      <x:c r="P13" t="str">
        <x:v>PLUGIN:HOA-TIEU-MIEN-BAC-PARTY-HD05-HEADER-2026 | NEEDS_REVIEW</x:v>
      </x:c>
      <x:c r="Q13" t="str">
        <x:v>CHECK_ONLY</x:v>
      </x:c>
      <x:c r="R13" t="str">
        <x:v>Kiểm tra từng thuộc tính có mặt; so sánh nguồn/role; không suy đoán từ kết quả render chưa có</x:v>
      </x:c>
      <x:c r="S13" t="str">
        <x:v>STRUCTURE_READ_EXISTING_WORKBOOK</x:v>
      </x:c>
      <x:c r="T13"/>
      <x:c r="U13" t="str">
        <x:v>Text run trên dòng riêng</x:v>
      </x:c>
    </x:row>
    <x:row r="14">
      <x:c r="A14" t="n">
        <x:v>13</x:v>
      </x:c>
      <x:c r="B14" t="str">
        <x:v>HD05.C.NN.NHAN_NOI_NHAN.KEEP_NEXT</x:v>
      </x:c>
      <x:c r="C14" t="str">
        <x:v>HD05.C.NN.NHAN_NOI_NHAN</x:v>
      </x:c>
      <x:c r="D14" t="str">
        <x:v>C</x:v>
      </x:c>
      <x:c r="E14" t="str">
        <x:v>Nhãn Nơi nhận:</x:v>
      </x:c>
      <x:c r="F14" t="str">
        <x:v>KEEP_NEXT</x:v>
      </x:c>
      <x:c r="G14"/>
      <x:c r="H14"/>
      <x:c r="I14" t="str">
        <x:v>UNVERIFIED_ATTRIBUTE</x:v>
      </x:c>
      <x:c r="J14" t="str">
        <x:v>BLOCKED_NO_ATTRIBUTE_VALUE</x:v>
      </x:c>
      <x:c r="K14" t="str">
        <x:v>Chỉ khi có danh sách nơi nhận cuối văn bản; giữ nguyên người nhận, nơi lưu, dòng Như trên</x:v>
      </x:c>
      <x:c r="L14" t="str">
        <x:v>Không tạo nhân thân/chức vụ/dấu/chữ ký; bảo toàn nơi nhận và thẩm quyền.</x:v>
      </x:c>
      <x:c r="M14"/>
      <x:c r="N14" t="str">
        <x:v>HD05, Phần II, I.9; Phụ lục 2 mục 9</x:v>
      </x:c>
      <x:c r="O14" t="str">
        <x:v>https://tulieuvankien.dangcongsan.vn/upload/2006988/20260529/HD_05_VPTW_e1550.pdf</x:v>
      </x:c>
      <x:c r="P14" t="str">
        <x:v>PLUGIN:HOA-TIEU-MIEN-BAC-PARTY-HD05-HEADER-2026 | NEEDS_REVIEW</x:v>
      </x:c>
      <x:c r="Q14" t="str">
        <x:v>CHECK_ONLY</x:v>
      </x:c>
      <x:c r="R14" t="str">
        <x:v>Kiểm tra từng thuộc tính có mặt; so sánh nguồn/role; không suy đoán từ kết quả render chưa có</x:v>
      </x:c>
      <x:c r="S14" t="str">
        <x:v>RULE_INFERENCE_NOT_MEASURED</x:v>
      </x:c>
      <x:c r="T14" t="str">
        <x:v>Xác minh căn cứ theo loại văn bản / tài liệu phát hành hoặc phê duyệt</x:v>
      </x:c>
      <x:c r="U14" t="str">
        <x:v>Text run trên dòng riêng</x:v>
      </x:c>
    </x:row>
    <x:row r="15">
      <x:c r="A15" t="n">
        <x:v>14</x:v>
      </x:c>
      <x:c r="B15" t="str">
        <x:v>HD05.C.NN.NHAN_NOI_NHAN.GACH_CHAN</x:v>
      </x:c>
      <x:c r="C15" t="str">
        <x:v>HD05.C.NN.NHAN_NOI_NHAN</x:v>
      </x:c>
      <x:c r="D15" t="str">
        <x:v>C</x:v>
      </x:c>
      <x:c r="E15" t="str">
        <x:v>Nhãn Nơi nhận:</x:v>
      </x:c>
      <x:c r="F15" t="str">
        <x:v>GACH_CHAN</x:v>
      </x:c>
      <x:c r="G15" t="str">
        <x:v>CÓ</x:v>
      </x:c>
      <x:c r="H15" t="str">
        <x:v>CÓ</x:v>
      </x:c>
      <x:c r="I15" t="str">
        <x:v>LEGAL_EXPLICIT_CHECKED</x:v>
      </x:c>
      <x:c r="J15" t="str">
        <x:v>PROFILE_PRESET_UNAPPROVED</x:v>
      </x:c>
      <x:c r="K15" t="str">
        <x:v>Chỉ khi có danh sách nơi nhận cuối văn bản; giữ nguyên người nhận, nơi lưu, dòng Như trên</x:v>
      </x:c>
      <x:c r="L15" t="str">
        <x:v>Không tạo nhân thân/chức vụ/dấu/chữ ký; bảo toàn nơi nhận và thẩm quyền.</x:v>
      </x:c>
      <x:c r="M15"/>
      <x:c r="N15" t="str">
        <x:v>Phụ lục 2, mục 9</x:v>
      </x:c>
      <x:c r="O15" t="str">
        <x:v>https://tulieuvankien.dangcongsan.vn/upload/2006988/20260529/HD_05_VPTW_e1550.pdf</x:v>
      </x:c>
      <x:c r="P15" t="str">
        <x:v>PLUGIN:HOA-TIEU-MIEN-BAC-PARTY-HD05-HEADER-2026 | NEEDS_REVIEW</x:v>
      </x:c>
      <x:c r="Q15" t="str">
        <x:v>CHECK_ONLY</x:v>
      </x:c>
      <x:c r="R15" t="str">
        <x:v>Kiểm tra từng thuộc tính có mặt; so sánh nguồn/role; không suy đoán từ kết quả render chưa có</x:v>
      </x:c>
      <x:c r="S15" t="str">
        <x:v>OFFICIAL_TEXT_VERIFIED</x:v>
      </x:c>
      <x:c r="T15"/>
      <x:c r="U15" t="str">
        <x:v>Text run trên dòng riêng</x:v>
      </x:c>
    </x:row>
    <x:row r="16">
      <x:c r="A16" t="n">
        <x:v>15</x:v>
      </x:c>
      <x:c r="B16" t="str">
        <x:v>HD05.C.NN.DUONG_KE.HIEN_DIEN</x:v>
      </x:c>
      <x:c r="C16" t="str">
        <x:v>HD05.C.NN.DUONG_KE</x:v>
      </x:c>
      <x:c r="D16" t="str">
        <x:v>C</x:v>
      </x:c>
      <x:c r="E16" t="str">
        <x:v>Đường kẻ dưới nhãn Nơi nhận</x:v>
      </x:c>
      <x:c r="F16" t="str">
        <x:v>HIEN_DIEN</x:v>
      </x:c>
      <x:c r="G16" t="str">
        <x:v>Cần có nơi nhận theo loại/đối tượng</x:v>
      </x:c>
      <x:c r="H16"/>
      <x:c r="I16" t="str">
        <x:v>UNVERIFIED_ATTRIBUTE</x:v>
      </x:c>
      <x:c r="J16" t="str">
        <x:v>SOURCE_DESCRIPTION_NOT_APPROVAL</x:v>
      </x:c>
      <x:c r="K16" t="str">
        <x:v>Chỉ khi có danh sách nơi nhận cuối văn bản; giữ nguyên người nhận, nơi lưu, dòng Như trên</x:v>
      </x:c>
      <x:c r="L16" t="str">
        <x:v>Không tạo nhân thân/chức vụ/dấu/chữ ký; bảo toàn nơi nhận và thẩm quyền.</x:v>
      </x:c>
      <x:c r="M16"/>
      <x:c r="N16" t="str">
        <x:v>HD05, Phần II, I.9.2.1</x:v>
      </x:c>
      <x:c r="O16" t="str">
        <x:v>https://tulieuvankien.dangcongsan.vn/upload/2006988/20260529/HD_05_VPTW_e1550.pdf</x:v>
      </x:c>
      <x:c r="P16" t="str">
        <x:v>PLUGIN:HOA-TIEU-MIEN-BAC-PARTY-HD05-HEADER-2026 | NEEDS_REVIEW</x:v>
      </x:c>
      <x:c r="Q16" t="str">
        <x:v>CHECK_ONLY</x:v>
      </x:c>
      <x:c r="R16" t="str">
        <x:v>Kiểm tra từng thuộc tính có mặt; so sánh nguồn/role; không suy đoán từ kết quả render chưa có</x:v>
      </x:c>
      <x:c r="S16" t="str">
        <x:v>STRUCTURE_READ_EXISTING_WORKBOOK</x:v>
      </x:c>
      <x:c r="T16"/>
      <x:c r="U16" t="str">
        <x:v>Đường kẻ tách khỏi ký tự; render kiểm tra</x:v>
      </x:c>
    </x:row>
    <x:row r="17">
      <x:c r="A17" t="n">
        <x:v>16</x:v>
      </x:c>
      <x:c r="B17" t="str">
        <x:v>HD05.C.NN.DUONG_KE.NOI_DUNG</x:v>
      </x:c>
      <x:c r="C17" t="str">
        <x:v>HD05.C.NN.DUONG_KE</x:v>
      </x:c>
      <x:c r="D17" t="str">
        <x:v>C</x:v>
      </x:c>
      <x:c r="E17" t="str">
        <x:v>Đường kẻ dưới nhãn Nơi nhận</x:v>
      </x:c>
      <x:c r="F17" t="str">
        <x:v>NOI_DUNG</x:v>
      </x:c>
      <x:c r="G17" t="str">
        <x:v>Đường kẻ dưới nhãn Nơi nhận</x:v>
      </x:c>
      <x:c r="H17"/>
      <x:c r="I17" t="str">
        <x:v>UNVERIFIED_ATTRIBUTE</x:v>
      </x:c>
      <x:c r="J17" t="str">
        <x:v>SOURCE_DESCRIPTION_NOT_APPROVAL</x:v>
      </x:c>
      <x:c r="K17" t="str">
        <x:v>Chỉ khi có danh sách nơi nhận cuối văn bản; giữ nguyên người nhận, nơi lưu, dòng Như trên</x:v>
      </x:c>
      <x:c r="L17" t="str">
        <x:v>Không tạo nhân thân/chức vụ/dấu/chữ ký; bảo toàn nơi nhận và thẩm quyền.</x:v>
      </x:c>
      <x:c r="M17"/>
      <x:c r="N17" t="str">
        <x:v>HD05, Phần II, I.9.2.1</x:v>
      </x:c>
      <x:c r="O17" t="str">
        <x:v>https://tulieuvankien.dangcongsan.vn/upload/2006988/20260529/HD_05_VPTW_e1550.pdf</x:v>
      </x:c>
      <x:c r="P17" t="str">
        <x:v>PLUGIN:HOA-TIEU-MIEN-BAC-PARTY-HD05-HEADER-2026 | NEEDS_REVIEW</x:v>
      </x:c>
      <x:c r="Q17" t="str">
        <x:v>CHECK_ONLY</x:v>
      </x:c>
      <x:c r="R17" t="str">
        <x:v>Kiểm tra từng thuộc tính có mặt; so sánh nguồn/role; không suy đoán từ kết quả render chưa có</x:v>
      </x:c>
      <x:c r="S17" t="str">
        <x:v>STRUCTURE_READ_EXISTING_WORKBOOK</x:v>
      </x:c>
      <x:c r="T17"/>
      <x:c r="U17" t="str">
        <x:v>Đường kẻ tách khỏi ký tự; render kiểm tra</x:v>
      </x:c>
    </x:row>
    <x:row r="18">
      <x:c r="A18" t="n">
        <x:v>17</x:v>
      </x:c>
      <x:c r="B18" t="str">
        <x:v>HD05.C.NN.DUONG_KE.HINH_ANH</x:v>
      </x:c>
      <x:c r="C18" t="str">
        <x:v>HD05.C.NN.DUONG_KE</x:v>
      </x:c>
      <x:c r="D18" t="str">
        <x:v>C</x:v>
      </x:c>
      <x:c r="E18" t="str">
        <x:v>Đường kẻ dưới nhãn Nơi nhận</x:v>
      </x:c>
      <x:c r="F18" t="str">
        <x:v>HINH_ANH</x:v>
      </x:c>
      <x:c r="G18"/>
      <x:c r="H18"/>
      <x:c r="I18" t="str">
        <x:v>UNVERIFIED_ATTRIBUTE</x:v>
      </x:c>
      <x:c r="J18" t="str">
        <x:v>BLOCKED_DOCUMENT_OR_AUTHORITY</x:v>
      </x:c>
      <x:c r="K18" t="str">
        <x:v>Chỉ khi có danh sách nơi nhận cuối văn bản; giữ nguyên người nhận, nơi lưu, dòng Như trên</x:v>
      </x:c>
      <x:c r="L18" t="str">
        <x:v>Không tạo nhân thân/chức vụ/dấu/chữ ký; bảo toàn nơi nhận và thẩm quyền.</x:v>
      </x:c>
      <x:c r="M18"/>
      <x:c r="N18" t="str">
        <x:v>HD05, Phần II, I.9.2.1</x:v>
      </x:c>
      <x:c r="O18" t="str">
        <x:v>https://tulieuvankien.dangcongsan.vn/upload/2006988/20260529/HD_05_VPTW_e1550.pdf</x:v>
      </x:c>
      <x:c r="P18" t="str">
        <x:v>PLUGIN:HOA-TIEU-MIEN-BAC-PARTY-HD05-HEADER-2026 | NEEDS_REVIEW</x:v>
      </x:c>
      <x:c r="Q18" t="str">
        <x:v>CHECK_ONLY</x:v>
      </x:c>
      <x:c r="R18" t="str">
        <x:v>Kiểm tra từng thuộc tính có mặt; so sánh nguồn/role; không suy đoán từ kết quả render chưa có</x:v>
      </x:c>
      <x:c r="S18" t="str">
        <x:v>RULE_INFERENCE_NOT_MEASURED</x:v>
      </x:c>
      <x:c r="T18" t="str">
        <x:v>Xác minh căn cứ theo loại văn bản / tài liệu phát hành hoặc phê duyệt</x:v>
      </x:c>
      <x:c r="U18" t="str">
        <x:v>Đường kẻ tách khỏi ký tự; render kiểm tra</x:v>
      </x:c>
    </x:row>
    <x:row r="19">
      <x:c r="A19" t="n">
        <x:v>18</x:v>
      </x:c>
      <x:c r="B19" t="str">
        <x:v>HD05.C.NN.DUONG_KE.VI_TRI</x:v>
      </x:c>
      <x:c r="C19" t="str">
        <x:v>HD05.C.NN.DUONG_KE</x:v>
      </x:c>
      <x:c r="D19" t="str">
        <x:v>C</x:v>
      </x:c>
      <x:c r="E19" t="str">
        <x:v>Đường kẻ dưới nhãn Nơi nhận</x:v>
      </x:c>
      <x:c r="F19" t="str">
        <x:v>VI_TRI</x:v>
      </x:c>
      <x:c r="G19" t="str">
        <x:v>KHỐI/CỘT TRÁI</x:v>
      </x:c>
      <x:c r="H19"/>
      <x:c r="I19" t="str">
        <x:v>UNVERIFIED_ATTRIBUTE</x:v>
      </x:c>
      <x:c r="J19" t="str">
        <x:v>PROFILE_PRESET_UNAPPROVED</x:v>
      </x:c>
      <x:c r="K19" t="str">
        <x:v>Chỉ khi có danh sách nơi nhận cuối văn bản; giữ nguyên người nhận, nơi lưu, dòng Như trên</x:v>
      </x:c>
      <x:c r="L19" t="str">
        <x:v>Không tạo nhân thân/chức vụ/dấu/chữ ký; bảo toàn nơi nhận và thẩm quyền.</x:v>
      </x:c>
      <x:c r="M19"/>
      <x:c r="N19" t="str">
        <x:v>HD05, Phần II, I.9.2.1</x:v>
      </x:c>
      <x:c r="O19" t="str">
        <x:v>https://tulieuvankien.dangcongsan.vn/upload/2006988/20260529/HD_05_VPTW_e1550.pdf</x:v>
      </x:c>
      <x:c r="P19" t="str">
        <x:v>PLUGIN:HOA-TIEU-MIEN-BAC-PARTY-HD05-HEADER-2026 | NEEDS_REVIEW</x:v>
      </x:c>
      <x:c r="Q19" t="str">
        <x:v>CHECK_ONLY</x:v>
      </x:c>
      <x:c r="R19" t="str">
        <x:v>Kiểm tra từng thuộc tính có mặt; so sánh nguồn/role; không suy đoán từ kết quả render chưa có</x:v>
      </x:c>
      <x:c r="S19" t="str">
        <x:v>STRUCTURE_READ_EXISTING_WORKBOOK</x:v>
      </x:c>
      <x:c r="T19"/>
      <x:c r="U19" t="str">
        <x:v>Đường kẻ tách khỏi ký tự; render kiểm tra</x:v>
      </x:c>
    </x:row>
    <x:row r="20">
      <x:c r="A20" t="n">
        <x:v>19</x:v>
      </x:c>
      <x:c r="B20" t="str">
        <x:v>HD05.C.NN.DANH_SACH.HIEN_DIEN</x:v>
      </x:c>
      <x:c r="C20" t="str">
        <x:v>HD05.C.NN.DANH_SACH</x:v>
      </x:c>
      <x:c r="D20" t="str">
        <x:v>C</x:v>
      </x:c>
      <x:c r="E20" t="str">
        <x:v>Danh sách người/cơ quan nhận</x:v>
      </x:c>
      <x:c r="F20" t="str">
        <x:v>HIEN_DIEN</x:v>
      </x:c>
      <x:c r="G20" t="str">
        <x:v>Cần có nơi nhận theo loại/đối tượng</x:v>
      </x:c>
      <x:c r="H20"/>
      <x:c r="I20" t="str">
        <x:v>UNVERIFIED_ATTRIBUTE</x:v>
      </x:c>
      <x:c r="J20" t="str">
        <x:v>SOURCE_DESCRIPTION_NOT_APPROVAL</x:v>
      </x:c>
      <x:c r="K20" t="str">
        <x:v>Chỉ khi có danh sách nơi nhận cuối văn bản; giữ nguyên người nhận, nơi lưu, dòng Như trên</x:v>
      </x:c>
      <x:c r="L20" t="str">
        <x:v>Không tạo nhân thân/chức vụ/dấu/chữ ký; bảo toàn nơi nhận và thẩm quyền.</x:v>
      </x:c>
      <x:c r="M20"/>
      <x:c r="N20" t="str">
        <x:v>HD05, Phần II, I.9; Phụ lục 2 mục 9</x:v>
      </x:c>
      <x:c r="O20" t="str">
        <x:v>https://tulieuvankien.dangcongsan.vn/upload/2006988/20260529/HD_05_VPTW_e1550.pdf</x:v>
      </x:c>
      <x:c r="P20" t="str">
        <x:v>PLUGIN:HOA-TIEU-MIEN-BAC-PARTY-HD05-HEADER-2026 | NEEDS_REVIEW</x:v>
      </x:c>
      <x:c r="Q20" t="str">
        <x:v>CHECK_ONLY</x:v>
      </x:c>
      <x:c r="R20" t="str">
        <x:v>Kiểm tra từng thuộc tính có mặt; so sánh nguồn/role; không suy đoán từ kết quả render chưa có</x:v>
      </x:c>
      <x:c r="S20" t="str">
        <x:v>STRUCTURE_READ_EXISTING_WORKBOOK</x:v>
      </x:c>
      <x:c r="T20"/>
      <x:c r="U20" t="str">
        <x:v>Văn bản/OOXML: xác định đối tượng trước khi sửa</x:v>
      </x:c>
    </x:row>
    <x:row r="21">
      <x:c r="A21" t="n">
        <x:v>20</x:v>
      </x:c>
      <x:c r="B21" t="str">
        <x:v>HD05.C.NN.DANH_SACH.NOI_DUNG</x:v>
      </x:c>
      <x:c r="C21" t="str">
        <x:v>HD05.C.NN.DANH_SACH</x:v>
      </x:c>
      <x:c r="D21" t="str">
        <x:v>C</x:v>
      </x:c>
      <x:c r="E21" t="str">
        <x:v>Danh sách người/cơ quan nhận</x:v>
      </x:c>
      <x:c r="F21" t="str">
        <x:v>NOI_DUNG</x:v>
      </x:c>
      <x:c r="G21" t="str">
        <x:v>Danh sách nơi nhận và nơi lưu theo đúng đối tượng đã xác minh</x:v>
      </x:c>
      <x:c r="H21"/>
      <x:c r="I21" t="str">
        <x:v>UNVERIFIED_ATTRIBUTE</x:v>
      </x:c>
      <x:c r="J21" t="str">
        <x:v>SOURCE_DESCRIPTION_NOT_APPROVAL</x:v>
      </x:c>
      <x:c r="K21" t="str">
        <x:v>Chỉ khi có danh sách nơi nhận cuối văn bản; giữ nguyên người nhận, nơi lưu, dòng Như trên</x:v>
      </x:c>
      <x:c r="L21" t="str">
        <x:v>Không tạo nhân thân/chức vụ/dấu/chữ ký; bảo toàn nơi nhận và thẩm quyền.</x:v>
      </x:c>
      <x:c r="M21"/>
      <x:c r="N21" t="str">
        <x:v>HD05, Phần II, I.9; Phụ lục 2 mục 9</x:v>
      </x:c>
      <x:c r="O21" t="str">
        <x:v>https://tulieuvankien.dangcongsan.vn/upload/2006988/20260529/HD_05_VPTW_e1550.pdf</x:v>
      </x:c>
      <x:c r="P21" t="str">
        <x:v>PLUGIN:HOA-TIEU-MIEN-BAC-PARTY-HD05-HEADER-2026 | NEEDS_REVIEW</x:v>
      </x:c>
      <x:c r="Q21" t="str">
        <x:v>CHECK_ONLY</x:v>
      </x:c>
      <x:c r="R21" t="str">
        <x:v>Kiểm tra từng thuộc tính có mặt; so sánh nguồn/role; không suy đoán từ kết quả render chưa có</x:v>
      </x:c>
      <x:c r="S21" t="str">
        <x:v>STRUCTURE_READ_EXISTING_WORKBOOK</x:v>
      </x:c>
      <x:c r="T21"/>
      <x:c r="U21" t="str">
        <x:v>Văn bản/OOXML: xác định đối tượng trước khi sửa</x:v>
      </x:c>
    </x:row>
    <x:row r="22">
      <x:c r="A22" t="n">
        <x:v>21</x:v>
      </x:c>
      <x:c r="B22" t="str">
        <x:v>HD05.C.NN.DANH_SACH.PHONG_CHU</x:v>
      </x:c>
      <x:c r="C22" t="str">
        <x:v>HD05.C.NN.DANH_SACH</x:v>
      </x:c>
      <x:c r="D22" t="str">
        <x:v>C</x:v>
      </x:c>
      <x:c r="E22" t="str">
        <x:v>Danh sách người/cơ quan nhận</x:v>
      </x:c>
      <x:c r="F22" t="str">
        <x:v>PHONG_CHU</x:v>
      </x:c>
      <x:c r="G22" t="str">
        <x:v>Times New Roman</x:v>
      </x:c>
      <x:c r="H22"/>
      <x:c r="I22" t="str">
        <x:v>UNVERIFIED_ATTRIBUTE</x:v>
      </x:c>
      <x:c r="J22" t="str">
        <x:v>PROFILE_PRESET_UNAPPROVED</x:v>
      </x:c>
      <x:c r="K22" t="str">
        <x:v>Chỉ khi có danh sách nơi nhận cuối văn bản; giữ nguyên người nhận, nơi lưu, dòng Như trên</x:v>
      </x:c>
      <x:c r="L22" t="str">
        <x:v>Không tạo nhân thân/chức vụ/dấu/chữ ký; bảo toàn nơi nhận và thẩm quyền.</x:v>
      </x:c>
      <x:c r="M22"/>
      <x:c r="N22" t="str">
        <x:v>HD05, Phần II, I.9; Phụ lục 2 mục 9</x:v>
      </x:c>
      <x:c r="O22" t="str">
        <x:v>https://tulieuvankien.dangcongsan.vn/upload/2006988/20260529/HD_05_VPTW_e1550.pdf</x:v>
      </x:c>
      <x:c r="P22" t="str">
        <x:v>PLUGIN:HOA-TIEU-MIEN-BAC-PARTY-HD05-HEADER-2026 | NEEDS_REVIEW</x:v>
      </x:c>
      <x:c r="Q22" t="str">
        <x:v>CHECK_ONLY</x:v>
      </x:c>
      <x:c r="R22" t="str">
        <x:v>Kiểm tra từng thuộc tính có mặt; so sánh nguồn/role; không suy đoán từ kết quả render chưa có</x:v>
      </x:c>
      <x:c r="S22" t="str">
        <x:v>STRUCTURE_READ_EXISTING_WORKBOOK</x:v>
      </x:c>
      <x:c r="T22"/>
      <x:c r="U22" t="str">
        <x:v>Văn bản/OOXML: xác định đối tượng trước khi sửa</x:v>
      </x:c>
    </x:row>
    <x:row r="23">
      <x:c r="A23" t="n">
        <x:v>22</x:v>
      </x:c>
      <x:c r="B23" t="str">
        <x:v>HD05.C.NN.DANH_SACH.CO_CHU</x:v>
      </x:c>
      <x:c r="C23" t="str">
        <x:v>HD05.C.NN.DANH_SACH</x:v>
      </x:c>
      <x:c r="D23" t="str">
        <x:v>C</x:v>
      </x:c>
      <x:c r="E23" t="str">
        <x:v>Danh sách người/cơ quan nhận</x:v>
      </x:c>
      <x:c r="F23" t="str">
        <x:v>CO_CHU</x:v>
      </x:c>
      <x:c r="G23" t="n">
        <x:v>12</x:v>
      </x:c>
      <x:c r="H23" t="n">
        <x:v>12</x:v>
      </x:c>
      <x:c r="I23" t="str">
        <x:v>LEGAL_EXPLICIT_CHECKED</x:v>
      </x:c>
      <x:c r="J23" t="str">
        <x:v>PROFILE_PRESET_UNAPPROVED</x:v>
      </x:c>
      <x:c r="K23" t="str">
        <x:v>Chỉ khi có danh sách nơi nhận cuối văn bản; giữ nguyên người nhận, nơi lưu, dòng Như trên</x:v>
      </x:c>
      <x:c r="L23" t="str">
        <x:v>Không tạo nhân thân/chức vụ/dấu/chữ ký; bảo toàn nơi nhận và thẩm quyền.</x:v>
      </x:c>
      <x:c r="M23" t="str">
        <x:v>pt</x:v>
      </x:c>
      <x:c r="N23" t="str">
        <x:v>Phụ lục 2, mục 9</x:v>
      </x:c>
      <x:c r="O23" t="str">
        <x:v>https://tulieuvankien.dangcongsan.vn/upload/2006988/20260529/HD_05_VPTW_e1550.pdf</x:v>
      </x:c>
      <x:c r="P23" t="str">
        <x:v>PLUGIN:HOA-TIEU-MIEN-BAC-PARTY-HD05-HEADER-2026 | NEEDS_REVIEW</x:v>
      </x:c>
      <x:c r="Q23" t="str">
        <x:v>CHECK_ONLY</x:v>
      </x:c>
      <x:c r="R23" t="str">
        <x:v>Kiểm tra từng thuộc tính có mặt; so sánh nguồn/role; không suy đoán từ kết quả render chưa có</x:v>
      </x:c>
      <x:c r="S23" t="str">
        <x:v>OFFICIAL_TEXT_VERIFIED</x:v>
      </x:c>
      <x:c r="T23"/>
      <x:c r="U23" t="str">
        <x:v>Văn bản/OOXML: xác định đối tượng trước khi sửa</x:v>
      </x:c>
    </x:row>
    <x:row r="24">
      <x:c r="A24" t="n">
        <x:v>23</x:v>
      </x:c>
      <x:c r="B24" t="str">
        <x:v>HD05.C.NN.DANH_SACH.DAM</x:v>
      </x:c>
      <x:c r="C24" t="str">
        <x:v>HD05.C.NN.DANH_SACH</x:v>
      </x:c>
      <x:c r="D24" t="str">
        <x:v>C</x:v>
      </x:c>
      <x:c r="E24" t="str">
        <x:v>Danh sách người/cơ quan nhận</x:v>
      </x:c>
      <x:c r="F24" t="str">
        <x:v>DAM</x:v>
      </x:c>
      <x:c r="G24" t="str">
        <x:v>KHÔNG</x:v>
      </x:c>
      <x:c r="H24"/>
      <x:c r="I24" t="str">
        <x:v>UNVERIFIED_ATTRIBUTE</x:v>
      </x:c>
      <x:c r="J24" t="str">
        <x:v>PROFILE_PRESET_UNAPPROVED</x:v>
      </x:c>
      <x:c r="K24" t="str">
        <x:v>Chỉ khi có danh sách nơi nhận cuối văn bản; giữ nguyên người nhận, nơi lưu, dòng Như trên</x:v>
      </x:c>
      <x:c r="L24" t="str">
        <x:v>Không tạo nhân thân/chức vụ/dấu/chữ ký; bảo toàn nơi nhận và thẩm quyền.</x:v>
      </x:c>
      <x:c r="M24"/>
      <x:c r="N24" t="str">
        <x:v>HD05, Phần II, I.9; Phụ lục 2 mục 9</x:v>
      </x:c>
      <x:c r="O24" t="str">
        <x:v>https://tulieuvankien.dangcongsan.vn/upload/2006988/20260529/HD_05_VPTW_e1550.pdf</x:v>
      </x:c>
      <x:c r="P24" t="str">
        <x:v>PLUGIN:HOA-TIEU-MIEN-BAC-PARTY-HD05-HEADER-2026 | NEEDS_REVIEW</x:v>
      </x:c>
      <x:c r="Q24" t="str">
        <x:v>CHECK_ONLY</x:v>
      </x:c>
      <x:c r="R24" t="str">
        <x:v>Kiểm tra từng thuộc tính có mặt; so sánh nguồn/role; không suy đoán từ kết quả render chưa có</x:v>
      </x:c>
      <x:c r="S24" t="str">
        <x:v>STRUCTURE_READ_EXISTING_WORKBOOK</x:v>
      </x:c>
      <x:c r="T24"/>
      <x:c r="U24" t="str">
        <x:v>Văn bản/OOXML: xác định đối tượng trước khi sửa</x:v>
      </x:c>
    </x:row>
    <x:row r="25">
      <x:c r="A25" t="n">
        <x:v>24</x:v>
      </x:c>
      <x:c r="B25" t="str">
        <x:v>HD05.C.NN.DANH_SACH.NGHIENG</x:v>
      </x:c>
      <x:c r="C25" t="str">
        <x:v>HD05.C.NN.DANH_SACH</x:v>
      </x:c>
      <x:c r="D25" t="str">
        <x:v>C</x:v>
      </x:c>
      <x:c r="E25" t="str">
        <x:v>Danh sách người/cơ quan nhận</x:v>
      </x:c>
      <x:c r="F25" t="str">
        <x:v>NGHIENG</x:v>
      </x:c>
      <x:c r="G25" t="str">
        <x:v>KHÔNG</x:v>
      </x:c>
      <x:c r="H25"/>
      <x:c r="I25" t="str">
        <x:v>UNVERIFIED_ATTRIBUTE</x:v>
      </x:c>
      <x:c r="J25" t="str">
        <x:v>PROFILE_PRESET_UNAPPROVED</x:v>
      </x:c>
      <x:c r="K25" t="str">
        <x:v>Chỉ khi có danh sách nơi nhận cuối văn bản; giữ nguyên người nhận, nơi lưu, dòng Như trên</x:v>
      </x:c>
      <x:c r="L25" t="str">
        <x:v>Không tạo nhân thân/chức vụ/dấu/chữ ký; bảo toàn nơi nhận và thẩm quyền.</x:v>
      </x:c>
      <x:c r="M25"/>
      <x:c r="N25" t="str">
        <x:v>HD05, Phần II, I.9; Phụ lục 2 mục 9</x:v>
      </x:c>
      <x:c r="O25" t="str">
        <x:v>https://tulieuvankien.dangcongsan.vn/upload/2006988/20260529/HD_05_VPTW_e1550.pdf</x:v>
      </x:c>
      <x:c r="P25" t="str">
        <x:v>PLUGIN:HOA-TIEU-MIEN-BAC-PARTY-HD05-HEADER-2026 | NEEDS_REVIEW</x:v>
      </x:c>
      <x:c r="Q25" t="str">
        <x:v>CHECK_ONLY</x:v>
      </x:c>
      <x:c r="R25" t="str">
        <x:v>Kiểm tra từng thuộc tính có mặt; so sánh nguồn/role; không suy đoán từ kết quả render chưa có</x:v>
      </x:c>
      <x:c r="S25" t="str">
        <x:v>STRUCTURE_READ_EXISTING_WORKBOOK</x:v>
      </x:c>
      <x:c r="T25"/>
      <x:c r="U25" t="str">
        <x:v>Văn bản/OOXML: xác định đối tượng trước khi sửa</x:v>
      </x:c>
    </x:row>
    <x:row r="26">
      <x:c r="A26" t="n">
        <x:v>25</x:v>
      </x:c>
      <x:c r="B26" t="str">
        <x:v>HD05.C.NN.DANH_SACH.KIEU_CHU</x:v>
      </x:c>
      <x:c r="C26" t="str">
        <x:v>HD05.C.NN.DANH_SACH</x:v>
      </x:c>
      <x:c r="D26" t="str">
        <x:v>C</x:v>
      </x:c>
      <x:c r="E26" t="str">
        <x:v>Danh sách người/cơ quan nhận</x:v>
      </x:c>
      <x:c r="F26" t="str">
        <x:v>KIEU_CHU</x:v>
      </x:c>
      <x:c r="G26" t="str">
        <x:v>In thường</x:v>
      </x:c>
      <x:c r="H26"/>
      <x:c r="I26" t="str">
        <x:v>UNVERIFIED_ATTRIBUTE</x:v>
      </x:c>
      <x:c r="J26" t="str">
        <x:v>PROFILE_PRESET_UNAPPROVED</x:v>
      </x:c>
      <x:c r="K26" t="str">
        <x:v>Chỉ khi có danh sách nơi nhận cuối văn bản; giữ nguyên người nhận, nơi lưu, dòng Như trên</x:v>
      </x:c>
      <x:c r="L26" t="str">
        <x:v>Không tạo nhân thân/chức vụ/dấu/chữ ký; bảo toàn nơi nhận và thẩm quyền.</x:v>
      </x:c>
      <x:c r="M26"/>
      <x:c r="N26" t="str">
        <x:v>HD05, Phần II, I.9; Phụ lục 2 mục 9</x:v>
      </x:c>
      <x:c r="O26" t="str">
        <x:v>https://tulieuvankien.dangcongsan.vn/upload/2006988/20260529/HD_05_VPTW_e1550.pdf</x:v>
      </x:c>
      <x:c r="P26" t="str">
        <x:v>PLUGIN:HOA-TIEU-MIEN-BAC-PARTY-HD05-HEADER-2026 | NEEDS_REVIEW</x:v>
      </x:c>
      <x:c r="Q26" t="str">
        <x:v>CHECK_ONLY</x:v>
      </x:c>
      <x:c r="R26" t="str">
        <x:v>Kiểm tra từng thuộc tính có mặt; so sánh nguồn/role; không suy đoán từ kết quả render chưa có</x:v>
      </x:c>
      <x:c r="S26" t="str">
        <x:v>STRUCTURE_READ_EXISTING_WORKBOOK</x:v>
      </x:c>
      <x:c r="T26"/>
      <x:c r="U26" t="str">
        <x:v>Văn bản/OOXML: xác định đối tượng trước khi sửa</x:v>
      </x:c>
    </x:row>
    <x:row r="27">
      <x:c r="A27" t="n">
        <x:v>26</x:v>
      </x:c>
      <x:c r="B27" t="str">
        <x:v>HD05.C.NN.DANH_SACH.CAN_NGANG</x:v>
      </x:c>
      <x:c r="C27" t="str">
        <x:v>HD05.C.NN.DANH_SACH</x:v>
      </x:c>
      <x:c r="D27" t="str">
        <x:v>C</x:v>
      </x:c>
      <x:c r="E27" t="str">
        <x:v>Danh sách người/cơ quan nhận</x:v>
      </x:c>
      <x:c r="F27" t="str">
        <x:v>CAN_NGANG</x:v>
      </x:c>
      <x:c r="G27" t="str">
        <x:v>LEFT</x:v>
      </x:c>
      <x:c r="H27"/>
      <x:c r="I27" t="str">
        <x:v>UNVERIFIED_ATTRIBUTE</x:v>
      </x:c>
      <x:c r="J27" t="str">
        <x:v>PROFILE_PRESET_UNAPPROVED</x:v>
      </x:c>
      <x:c r="K27" t="str">
        <x:v>Chỉ khi có danh sách nơi nhận cuối văn bản; giữ nguyên người nhận, nơi lưu, dòng Như trên</x:v>
      </x:c>
      <x:c r="L27" t="str">
        <x:v>Không tạo nhân thân/chức vụ/dấu/chữ ký; bảo toàn nơi nhận và thẩm quyền.</x:v>
      </x:c>
      <x:c r="M27"/>
      <x:c r="N27" t="str">
        <x:v>HD05, Phần II, I.9; Phụ lục 2 mục 9</x:v>
      </x:c>
      <x:c r="O27" t="str">
        <x:v>https://tulieuvankien.dangcongsan.vn/upload/2006988/20260529/HD_05_VPTW_e1550.pdf</x:v>
      </x:c>
      <x:c r="P27" t="str">
        <x:v>PLUGIN:HOA-TIEU-MIEN-BAC-PARTY-HD05-HEADER-2026 | NEEDS_REVIEW</x:v>
      </x:c>
      <x:c r="Q27" t="str">
        <x:v>CHECK_ONLY</x:v>
      </x:c>
      <x:c r="R27" t="str">
        <x:v>Kiểm tra từng thuộc tính có mặt; so sánh nguồn/role; không suy đoán từ kết quả render chưa có</x:v>
      </x:c>
      <x:c r="S27" t="str">
        <x:v>STRUCTURE_READ_EXISTING_WORKBOOK</x:v>
      </x:c>
      <x:c r="T27"/>
      <x:c r="U27" t="str">
        <x:v>Văn bản/OOXML: xác định đối tượng trước khi sửa</x:v>
      </x:c>
    </x:row>
    <x:row r="28">
      <x:c r="A28" t="n">
        <x:v>27</x:v>
      </x:c>
      <x:c r="B28" t="str">
        <x:v>HD05.C.NN.DANH_SACH.GIAN_DONG</x:v>
      </x:c>
      <x:c r="C28" t="str">
        <x:v>HD05.C.NN.DANH_SACH</x:v>
      </x:c>
      <x:c r="D28" t="str">
        <x:v>C</x:v>
      </x:c>
      <x:c r="E28" t="str">
        <x:v>Danh sách người/cơ quan nhận</x:v>
      </x:c>
      <x:c r="F28" t="str">
        <x:v>GIAN_DONG</x:v>
      </x:c>
      <x:c r="G28" t="n">
        <x:v>1</x:v>
      </x:c>
      <x:c r="H28"/>
      <x:c r="I28" t="str">
        <x:v>UNVERIFIED_ATTRIBUTE</x:v>
      </x:c>
      <x:c r="J28" t="str">
        <x:v>PROFILE_PRESET_UNAPPROVED</x:v>
      </x:c>
      <x:c r="K28" t="str">
        <x:v>Chỉ khi có danh sách nơi nhận cuối văn bản; giữ nguyên người nhận, nơi lưu, dòng Như trên</x:v>
      </x:c>
      <x:c r="L28" t="str">
        <x:v>Không tạo nhân thân/chức vụ/dấu/chữ ký; bảo toàn nơi nhận và thẩm quyền.</x:v>
      </x:c>
      <x:c r="M28" t="str">
        <x:v>pt</x:v>
      </x:c>
      <x:c r="N28" t="str">
        <x:v>HD05, Phần II, I.9; Phụ lục 2 mục 9</x:v>
      </x:c>
      <x:c r="O28" t="str">
        <x:v>https://tulieuvankien.dangcongsan.vn/upload/2006988/20260529/HD_05_VPTW_e1550.pdf</x:v>
      </x:c>
      <x:c r="P28" t="str">
        <x:v>PLUGIN:HOA-TIEU-MIEN-BAC-PARTY-HD05-HEADER-2026 | NEEDS_REVIEW</x:v>
      </x:c>
      <x:c r="Q28" t="str">
        <x:v>CHECK_ONLY</x:v>
      </x:c>
      <x:c r="R28" t="str">
        <x:v>Kiểm tra từng thuộc tính có mặt; so sánh nguồn/role; không suy đoán từ kết quả render chưa có</x:v>
      </x:c>
      <x:c r="S28" t="str">
        <x:v>STRUCTURE_READ_EXISTING_WORKBOOK</x:v>
      </x:c>
      <x:c r="T28"/>
      <x:c r="U28" t="str">
        <x:v>Văn bản/OOXML: xác định đối tượng trước khi sửa</x:v>
      </x:c>
    </x:row>
    <x:row r="29">
      <x:c r="A29" t="n">
        <x:v>28</x:v>
      </x:c>
      <x:c r="B29" t="str">
        <x:v>HD05.C.NN.DANH_SACH.CACH_TRUOC</x:v>
      </x:c>
      <x:c r="C29" t="str">
        <x:v>HD05.C.NN.DANH_SACH</x:v>
      </x:c>
      <x:c r="D29" t="str">
        <x:v>C</x:v>
      </x:c>
      <x:c r="E29" t="str">
        <x:v>Danh sách người/cơ quan nhận</x:v>
      </x:c>
      <x:c r="F29" t="str">
        <x:v>CACH_TRUOC</x:v>
      </x:c>
      <x:c r="G29" t="n">
        <x:v>0</x:v>
      </x:c>
      <x:c r="H29"/>
      <x:c r="I29" t="str">
        <x:v>UNVERIFIED_ATTRIBUTE</x:v>
      </x:c>
      <x:c r="J29" t="str">
        <x:v>PROFILE_PRESET_UNAPPROVED</x:v>
      </x:c>
      <x:c r="K29" t="str">
        <x:v>Chỉ khi có danh sách nơi nhận cuối văn bản; giữ nguyên người nhận, nơi lưu, dòng Như trên</x:v>
      </x:c>
      <x:c r="L29" t="str">
        <x:v>Không tạo nhân thân/chức vụ/dấu/chữ ký; bảo toàn nơi nhận và thẩm quyền.</x:v>
      </x:c>
      <x:c r="M29" t="str">
        <x:v>pt</x:v>
      </x:c>
      <x:c r="N29" t="str">
        <x:v>HD05, Phần II, I.9; Phụ lục 2 mục 9</x:v>
      </x:c>
      <x:c r="O29" t="str">
        <x:v>https://tulieuvankien.dangcongsan.vn/upload/2006988/20260529/HD_05_VPTW_e1550.pdf</x:v>
      </x:c>
      <x:c r="P29" t="str">
        <x:v>PLUGIN:HOA-TIEU-MIEN-BAC-PARTY-HD05-HEADER-2026 | NEEDS_REVIEW</x:v>
      </x:c>
      <x:c r="Q29" t="str">
        <x:v>CHECK_ONLY</x:v>
      </x:c>
      <x:c r="R29" t="str">
        <x:v>Kiểm tra từng thuộc tính có mặt; so sánh nguồn/role; không suy đoán từ kết quả render chưa có</x:v>
      </x:c>
      <x:c r="S29" t="str">
        <x:v>STRUCTURE_READ_EXISTING_WORKBOOK</x:v>
      </x:c>
      <x:c r="T29"/>
      <x:c r="U29" t="str">
        <x:v>Văn bản/OOXML: xác định đối tượng trước khi sửa</x:v>
      </x:c>
    </x:row>
    <x:row r="30">
      <x:c r="A30" t="n">
        <x:v>29</x:v>
      </x:c>
      <x:c r="B30" t="str">
        <x:v>HD05.C.NN.DANH_SACH.CACH_SAU</x:v>
      </x:c>
      <x:c r="C30" t="str">
        <x:v>HD05.C.NN.DANH_SACH</x:v>
      </x:c>
      <x:c r="D30" t="str">
        <x:v>C</x:v>
      </x:c>
      <x:c r="E30" t="str">
        <x:v>Danh sách người/cơ quan nhận</x:v>
      </x:c>
      <x:c r="F30" t="str">
        <x:v>CACH_SAU</x:v>
      </x:c>
      <x:c r="G30" t="n">
        <x:v>0</x:v>
      </x:c>
      <x:c r="H30"/>
      <x:c r="I30" t="str">
        <x:v>UNVERIFIED_ATTRIBUTE</x:v>
      </x:c>
      <x:c r="J30" t="str">
        <x:v>PROFILE_PRESET_UNAPPROVED</x:v>
      </x:c>
      <x:c r="K30" t="str">
        <x:v>Chỉ khi có danh sách nơi nhận cuối văn bản; giữ nguyên người nhận, nơi lưu, dòng Như trên</x:v>
      </x:c>
      <x:c r="L30" t="str">
        <x:v>Không tạo nhân thân/chức vụ/dấu/chữ ký; bảo toàn nơi nhận và thẩm quyền.</x:v>
      </x:c>
      <x:c r="M30" t="str">
        <x:v>pt</x:v>
      </x:c>
      <x:c r="N30" t="str">
        <x:v>HD05, Phần II, I.9; Phụ lục 2 mục 9</x:v>
      </x:c>
      <x:c r="O30" t="str">
        <x:v>https://tulieuvankien.dangcongsan.vn/upload/2006988/20260529/HD_05_VPTW_e1550.pdf</x:v>
      </x:c>
      <x:c r="P30" t="str">
        <x:v>PLUGIN:HOA-TIEU-MIEN-BAC-PARTY-HD05-HEADER-2026 | NEEDS_REVIEW</x:v>
      </x:c>
      <x:c r="Q30" t="str">
        <x:v>CHECK_ONLY</x:v>
      </x:c>
      <x:c r="R30" t="str">
        <x:v>Kiểm tra từng thuộc tính có mặt; so sánh nguồn/role; không suy đoán từ kết quả render chưa có</x:v>
      </x:c>
      <x:c r="S30" t="str">
        <x:v>STRUCTURE_READ_EXISTING_WORKBOOK</x:v>
      </x:c>
      <x:c r="T30"/>
      <x:c r="U30" t="str">
        <x:v>Văn bản/OOXML: xác định đối tượng trước khi sửa</x:v>
      </x:c>
    </x:row>
    <x:row r="31">
      <x:c r="A31" t="n">
        <x:v>30</x:v>
      </x:c>
      <x:c r="B31" t="str">
        <x:v>HD05.C.NN.DANH_SACH.VI_TRI</x:v>
      </x:c>
      <x:c r="C31" t="str">
        <x:v>HD05.C.NN.DANH_SACH</x:v>
      </x:c>
      <x:c r="D31" t="str">
        <x:v>C</x:v>
      </x:c>
      <x:c r="E31" t="str">
        <x:v>Danh sách người/cơ quan nhận</x:v>
      </x:c>
      <x:c r="F31" t="str">
        <x:v>VI_TRI</x:v>
      </x:c>
      <x:c r="G31" t="str">
        <x:v>KHỐI/CỘT TRÁI</x:v>
      </x:c>
      <x:c r="H31"/>
      <x:c r="I31" t="str">
        <x:v>UNVERIFIED_ATTRIBUTE</x:v>
      </x:c>
      <x:c r="J31" t="str">
        <x:v>PROFILE_PRESET_UNAPPROVED</x:v>
      </x:c>
      <x:c r="K31" t="str">
        <x:v>Chỉ khi có danh sách nơi nhận cuối văn bản; giữ nguyên người nhận, nơi lưu, dòng Như trên</x:v>
      </x:c>
      <x:c r="L31" t="str">
        <x:v>Không tạo nhân thân/chức vụ/dấu/chữ ký; bảo toàn nơi nhận và thẩm quyền.</x:v>
      </x:c>
      <x:c r="M31"/>
      <x:c r="N31" t="str">
        <x:v>HD05, Phần II, I.9; Phụ lục 2 mục 9</x:v>
      </x:c>
      <x:c r="O31" t="str">
        <x:v>https://tulieuvankien.dangcongsan.vn/upload/2006988/20260529/HD_05_VPTW_e1550.pdf</x:v>
      </x:c>
      <x:c r="P31" t="str">
        <x:v>PLUGIN:HOA-TIEU-MIEN-BAC-PARTY-HD05-HEADER-2026 | NEEDS_REVIEW</x:v>
      </x:c>
      <x:c r="Q31" t="str">
        <x:v>CHECK_ONLY</x:v>
      </x:c>
      <x:c r="R31" t="str">
        <x:v>Kiểm tra từng thuộc tính có mặt; so sánh nguồn/role; không suy đoán từ kết quả render chưa có</x:v>
      </x:c>
      <x:c r="S31" t="str">
        <x:v>STRUCTURE_READ_EXISTING_WORKBOOK</x:v>
      </x:c>
      <x:c r="T31"/>
      <x:c r="U31" t="str">
        <x:v>Văn bản/OOXML: xác định đối tượng trước khi sửa</x:v>
      </x:c>
    </x:row>
    <x:row r="32">
      <x:c r="A32" t="n">
        <x:v>31</x:v>
      </x:c>
      <x:c r="B32" t="str">
        <x:v>HD05.C.NN.DANH_SACH.KEEP_NEXT</x:v>
      </x:c>
      <x:c r="C32" t="str">
        <x:v>HD05.C.NN.DANH_SACH</x:v>
      </x:c>
      <x:c r="D32" t="str">
        <x:v>C</x:v>
      </x:c>
      <x:c r="E32" t="str">
        <x:v>Danh sách người/cơ quan nhận</x:v>
      </x:c>
      <x:c r="F32" t="str">
        <x:v>KEEP_NEXT</x:v>
      </x:c>
      <x:c r="G32"/>
      <x:c r="H32"/>
      <x:c r="I32" t="str">
        <x:v>UNVERIFIED_ATTRIBUTE</x:v>
      </x:c>
      <x:c r="J32" t="str">
        <x:v>BLOCKED_NO_ATTRIBUTE_VALUE</x:v>
      </x:c>
      <x:c r="K32" t="str">
        <x:v>Chỉ khi có danh sách nơi nhận cuối văn bản; giữ nguyên người nhận, nơi lưu, dòng Như trên</x:v>
      </x:c>
      <x:c r="L32" t="str">
        <x:v>Không tạo nhân thân/chức vụ/dấu/chữ ký; bảo toàn nơi nhận và thẩm quyền.</x:v>
      </x:c>
      <x:c r="M32"/>
      <x:c r="N32" t="str">
        <x:v>HD05, Phần II, I.9; Phụ lục 2 mục 9</x:v>
      </x:c>
      <x:c r="O32" t="str">
        <x:v>https://tulieuvankien.dangcongsan.vn/upload/2006988/20260529/HD_05_VPTW_e1550.pdf</x:v>
      </x:c>
      <x:c r="P32" t="str">
        <x:v>PLUGIN:HOA-TIEU-MIEN-BAC-PARTY-HD05-HEADER-2026 | NEEDS_REVIEW</x:v>
      </x:c>
      <x:c r="Q32" t="str">
        <x:v>CHECK_ONLY</x:v>
      </x:c>
      <x:c r="R32" t="str">
        <x:v>Kiểm tra từng thuộc tính có mặt; so sánh nguồn/role; không suy đoán từ kết quả render chưa có</x:v>
      </x:c>
      <x:c r="S32" t="str">
        <x:v>RULE_INFERENCE_NOT_MEASURED</x:v>
      </x:c>
      <x:c r="T32" t="str">
        <x:v>Xác minh căn cứ theo loại văn bản / tài liệu phát hành hoặc phê duyệt</x:v>
      </x:c>
      <x:c r="U32" t="str">
        <x:v>Văn bản/OOXML: xác định đối tượng trước khi sửa</x:v>
      </x:c>
    </x:row>
    <x:row r="33">
      <x:c r="A33" t="n">
        <x:v>32</x:v>
      </x:c>
      <x:c r="B33" t="str">
        <x:v>HD05.C.NN.NHU_TREN.HIEN_DIEN</x:v>
      </x:c>
      <x:c r="C33" t="str">
        <x:v>HD05.C.NN.NHU_TREN</x:v>
      </x:c>
      <x:c r="D33" t="str">
        <x:v>C</x:v>
      </x:c>
      <x:c r="E33" t="str">
        <x:v>Dòng Như trên theo điều kiện</x:v>
      </x:c>
      <x:c r="F33" t="str">
        <x:v>HIEN_DIEN</x:v>
      </x:c>
      <x:c r="G33" t="str">
        <x:v>Cần có nơi nhận theo loại/đối tượng</x:v>
      </x:c>
      <x:c r="H33"/>
      <x:c r="I33" t="str">
        <x:v>UNVERIFIED_ATTRIBUTE</x:v>
      </x:c>
      <x:c r="J33" t="str">
        <x:v>SOURCE_DESCRIPTION_NOT_APPROVAL</x:v>
      </x:c>
      <x:c r="K33" t="str">
        <x:v>Chỉ khi có danh sách nơi nhận cuối văn bản; giữ nguyên người nhận, nơi lưu, dòng Như trên</x:v>
      </x:c>
      <x:c r="L33" t="str">
        <x:v>Không tạo nhân thân/chức vụ/dấu/chữ ký; bảo toàn nơi nhận và thẩm quyền.</x:v>
      </x:c>
      <x:c r="M33"/>
      <x:c r="N33" t="str">
        <x:v>HD05, Phần II, I.9; Phụ lục 2 mục 9</x:v>
      </x:c>
      <x:c r="O33" t="str">
        <x:v>https://tulieuvankien.dangcongsan.vn/upload/2006988/20260529/HD_05_VPTW_e1550.pdf</x:v>
      </x:c>
      <x:c r="P33" t="str">
        <x:v>PLUGIN:HOA-TIEU-MIEN-BAC-PARTY-HD05-HEADER-2026 | NEEDS_REVIEW</x:v>
      </x:c>
      <x:c r="Q33" t="str">
        <x:v>CHECK_ONLY</x:v>
      </x:c>
      <x:c r="R33" t="str">
        <x:v>Kiểm tra từng thuộc tính có mặt; so sánh nguồn/role; không suy đoán từ kết quả render chưa có</x:v>
      </x:c>
      <x:c r="S33" t="str">
        <x:v>STRUCTURE_READ_EXISTING_WORKBOOK</x:v>
      </x:c>
      <x:c r="T33"/>
      <x:c r="U33" t="str">
        <x:v>Văn bản/OOXML: xác định đối tượng trước khi sửa</x:v>
      </x:c>
    </x:row>
    <x:row r="34">
      <x:c r="A34" t="n">
        <x:v>33</x:v>
      </x:c>
      <x:c r="B34" t="str">
        <x:v>HD05.C.NN.NHU_TREN.NOI_DUNG</x:v>
      </x:c>
      <x:c r="C34" t="str">
        <x:v>HD05.C.NN.NHU_TREN</x:v>
      </x:c>
      <x:c r="D34" t="str">
        <x:v>C</x:v>
      </x:c>
      <x:c r="E34" t="str">
        <x:v>Dòng Như trên theo điều kiện</x:v>
      </x:c>
      <x:c r="F34" t="str">
        <x:v>NOI_DUNG</x:v>
      </x:c>
      <x:c r="G34" t="str">
        <x:v>Danh sách nơi nhận và nơi lưu theo đúng đối tượng đã xác minh</x:v>
      </x:c>
      <x:c r="H34"/>
      <x:c r="I34" t="str">
        <x:v>UNVERIFIED_ATTRIBUTE</x:v>
      </x:c>
      <x:c r="J34" t="str">
        <x:v>SOURCE_DESCRIPTION_NOT_APPROVAL</x:v>
      </x:c>
      <x:c r="K34" t="str">
        <x:v>Chỉ khi có danh sách nơi nhận cuối văn bản; giữ nguyên người nhận, nơi lưu, dòng Như trên</x:v>
      </x:c>
      <x:c r="L34" t="str">
        <x:v>Không tạo nhân thân/chức vụ/dấu/chữ ký; bảo toàn nơi nhận và thẩm quyền.</x:v>
      </x:c>
      <x:c r="M34"/>
      <x:c r="N34" t="str">
        <x:v>HD05, Phần II, I.9; Phụ lục 2 mục 9</x:v>
      </x:c>
      <x:c r="O34" t="str">
        <x:v>https://tulieuvankien.dangcongsan.vn/upload/2006988/20260529/HD_05_VPTW_e1550.pdf</x:v>
      </x:c>
      <x:c r="P34" t="str">
        <x:v>PLUGIN:HOA-TIEU-MIEN-BAC-PARTY-HD05-HEADER-2026 | NEEDS_REVIEW</x:v>
      </x:c>
      <x:c r="Q34" t="str">
        <x:v>CHECK_ONLY</x:v>
      </x:c>
      <x:c r="R34" t="str">
        <x:v>Kiểm tra từng thuộc tính có mặt; so sánh nguồn/role; không suy đoán từ kết quả render chưa có</x:v>
      </x:c>
      <x:c r="S34" t="str">
        <x:v>STRUCTURE_READ_EXISTING_WORKBOOK</x:v>
      </x:c>
      <x:c r="T34"/>
      <x:c r="U34" t="str">
        <x:v>Văn bản/OOXML: xác định đối tượng trước khi sửa</x:v>
      </x:c>
    </x:row>
    <x:row r="35">
      <x:c r="A35" t="n">
        <x:v>34</x:v>
      </x:c>
      <x:c r="B35" t="str">
        <x:v>HD05.C.NN.NHU_TREN.PHONG_CHU</x:v>
      </x:c>
      <x:c r="C35" t="str">
        <x:v>HD05.C.NN.NHU_TREN</x:v>
      </x:c>
      <x:c r="D35" t="str">
        <x:v>C</x:v>
      </x:c>
      <x:c r="E35" t="str">
        <x:v>Dòng Như trên theo điều kiện</x:v>
      </x:c>
      <x:c r="F35" t="str">
        <x:v>PHONG_CHU</x:v>
      </x:c>
      <x:c r="G35" t="str">
        <x:v>Times New Roman</x:v>
      </x:c>
      <x:c r="H35"/>
      <x:c r="I35" t="str">
        <x:v>UNVERIFIED_ATTRIBUTE</x:v>
      </x:c>
      <x:c r="J35" t="str">
        <x:v>PROFILE_PRESET_UNAPPROVED</x:v>
      </x:c>
      <x:c r="K35" t="str">
        <x:v>Chỉ khi có danh sách nơi nhận cuối văn bản; giữ nguyên người nhận, nơi lưu, dòng Như trên</x:v>
      </x:c>
      <x:c r="L35" t="str">
        <x:v>Không tạo nhân thân/chức vụ/dấu/chữ ký; bảo toàn nơi nhận và thẩm quyền.</x:v>
      </x:c>
      <x:c r="M35"/>
      <x:c r="N35" t="str">
        <x:v>HD05, Phần II, I.9; Phụ lục 2 mục 9</x:v>
      </x:c>
      <x:c r="O35" t="str">
        <x:v>https://tulieuvankien.dangcongsan.vn/upload/2006988/20260529/HD_05_VPTW_e1550.pdf</x:v>
      </x:c>
      <x:c r="P35" t="str">
        <x:v>PLUGIN:HOA-TIEU-MIEN-BAC-PARTY-HD05-HEADER-2026 | NEEDS_REVIEW</x:v>
      </x:c>
      <x:c r="Q35" t="str">
        <x:v>CHECK_ONLY</x:v>
      </x:c>
      <x:c r="R35" t="str">
        <x:v>Kiểm tra từng thuộc tính có mặt; so sánh nguồn/role; không suy đoán từ kết quả render chưa có</x:v>
      </x:c>
      <x:c r="S35" t="str">
        <x:v>STRUCTURE_READ_EXISTING_WORKBOOK</x:v>
      </x:c>
      <x:c r="T35"/>
      <x:c r="U35" t="str">
        <x:v>Văn bản/OOXML: xác định đối tượng trước khi sửa</x:v>
      </x:c>
    </x:row>
    <x:row r="36">
      <x:c r="A36" t="n">
        <x:v>35</x:v>
      </x:c>
      <x:c r="B36" t="str">
        <x:v>HD05.C.NN.NHU_TREN.CO_CHU</x:v>
      </x:c>
      <x:c r="C36" t="str">
        <x:v>HD05.C.NN.NHU_TREN</x:v>
      </x:c>
      <x:c r="D36" t="str">
        <x:v>C</x:v>
      </x:c>
      <x:c r="E36" t="str">
        <x:v>Dòng Như trên theo điều kiện</x:v>
      </x:c>
      <x:c r="F36" t="str">
        <x:v>CO_CHU</x:v>
      </x:c>
      <x:c r="G36" t="n">
        <x:v>12</x:v>
      </x:c>
      <x:c r="H36"/>
      <x:c r="I36" t="str">
        <x:v>UNVERIFIED_ATTRIBUTE</x:v>
      </x:c>
      <x:c r="J36" t="str">
        <x:v>PROFILE_PRESET_UNAPPROVED</x:v>
      </x:c>
      <x:c r="K36" t="str">
        <x:v>Chỉ khi có danh sách nơi nhận cuối văn bản; giữ nguyên người nhận, nơi lưu, dòng Như trên</x:v>
      </x:c>
      <x:c r="L36" t="str">
        <x:v>Không tạo nhân thân/chức vụ/dấu/chữ ký; bảo toàn nơi nhận và thẩm quyền.</x:v>
      </x:c>
      <x:c r="M36" t="str">
        <x:v>pt</x:v>
      </x:c>
      <x:c r="N36" t="str">
        <x:v>HD05, Phần II, I.9; Phụ lục 2 mục 9</x:v>
      </x:c>
      <x:c r="O36" t="str">
        <x:v>https://tulieuvankien.dangcongsan.vn/upload/2006988/20260529/HD_05_VPTW_e1550.pdf</x:v>
      </x:c>
      <x:c r="P36" t="str">
        <x:v>PLUGIN:HOA-TIEU-MIEN-BAC-PARTY-HD05-HEADER-2026 | NEEDS_REVIEW</x:v>
      </x:c>
      <x:c r="Q36" t="str">
        <x:v>CHECK_ONLY</x:v>
      </x:c>
      <x:c r="R36" t="str">
        <x:v>Kiểm tra từng thuộc tính có mặt; so sánh nguồn/role; không suy đoán từ kết quả render chưa có</x:v>
      </x:c>
      <x:c r="S36" t="str">
        <x:v>STRUCTURE_READ_EXISTING_WORKBOOK</x:v>
      </x:c>
      <x:c r="T36"/>
      <x:c r="U36" t="str">
        <x:v>Văn bản/OOXML: xác định đối tượng trước khi sửa</x:v>
      </x:c>
    </x:row>
    <x:row r="37">
      <x:c r="A37" t="n">
        <x:v>36</x:v>
      </x:c>
      <x:c r="B37" t="str">
        <x:v>HD05.C.NN.NHU_TREN.DAM</x:v>
      </x:c>
      <x:c r="C37" t="str">
        <x:v>HD05.C.NN.NHU_TREN</x:v>
      </x:c>
      <x:c r="D37" t="str">
        <x:v>C</x:v>
      </x:c>
      <x:c r="E37" t="str">
        <x:v>Dòng Như trên theo điều kiện</x:v>
      </x:c>
      <x:c r="F37" t="str">
        <x:v>DAM</x:v>
      </x:c>
      <x:c r="G37" t="str">
        <x:v>KHÔNG</x:v>
      </x:c>
      <x:c r="H37"/>
      <x:c r="I37" t="str">
        <x:v>UNVERIFIED_ATTRIBUTE</x:v>
      </x:c>
      <x:c r="J37" t="str">
        <x:v>PROFILE_PRESET_UNAPPROVED</x:v>
      </x:c>
      <x:c r="K37" t="str">
        <x:v>Chỉ khi có danh sách nơi nhận cuối văn bản; giữ nguyên người nhận, nơi lưu, dòng Như trên</x:v>
      </x:c>
      <x:c r="L37" t="str">
        <x:v>Không tạo nhân thân/chức vụ/dấu/chữ ký; bảo toàn nơi nhận và thẩm quyền.</x:v>
      </x:c>
      <x:c r="M37"/>
      <x:c r="N37" t="str">
        <x:v>HD05, Phần II, I.9; Phụ lục 2 mục 9</x:v>
      </x:c>
      <x:c r="O37" t="str">
        <x:v>https://tulieuvankien.dangcongsan.vn/upload/2006988/20260529/HD_05_VPTW_e1550.pdf</x:v>
      </x:c>
      <x:c r="P37" t="str">
        <x:v>PLUGIN:HOA-TIEU-MIEN-BAC-PARTY-HD05-HEADER-2026 | NEEDS_REVIEW</x:v>
      </x:c>
      <x:c r="Q37" t="str">
        <x:v>CHECK_ONLY</x:v>
      </x:c>
      <x:c r="R37" t="str">
        <x:v>Kiểm tra từng thuộc tính có mặt; so sánh nguồn/role; không suy đoán từ kết quả render chưa có</x:v>
      </x:c>
      <x:c r="S37" t="str">
        <x:v>STRUCTURE_READ_EXISTING_WORKBOOK</x:v>
      </x:c>
      <x:c r="T37"/>
      <x:c r="U37" t="str">
        <x:v>Văn bản/OOXML: xác định đối tượng trước khi sửa</x:v>
      </x:c>
    </x:row>
    <x:row r="38">
      <x:c r="A38" t="n">
        <x:v>37</x:v>
      </x:c>
      <x:c r="B38" t="str">
        <x:v>HD05.C.NN.NHU_TREN.NGHIENG</x:v>
      </x:c>
      <x:c r="C38" t="str">
        <x:v>HD05.C.NN.NHU_TREN</x:v>
      </x:c>
      <x:c r="D38" t="str">
        <x:v>C</x:v>
      </x:c>
      <x:c r="E38" t="str">
        <x:v>Dòng Như trên theo điều kiện</x:v>
      </x:c>
      <x:c r="F38" t="str">
        <x:v>NGHIENG</x:v>
      </x:c>
      <x:c r="G38" t="str">
        <x:v>KHÔNG</x:v>
      </x:c>
      <x:c r="H38"/>
      <x:c r="I38" t="str">
        <x:v>UNVERIFIED_ATTRIBUTE</x:v>
      </x:c>
      <x:c r="J38" t="str">
        <x:v>PROFILE_PRESET_UNAPPROVED</x:v>
      </x:c>
      <x:c r="K38" t="str">
        <x:v>Chỉ khi có danh sách nơi nhận cuối văn bản; giữ nguyên người nhận, nơi lưu, dòng Như trên</x:v>
      </x:c>
      <x:c r="L38" t="str">
        <x:v>Không tạo nhân thân/chức vụ/dấu/chữ ký; bảo toàn nơi nhận và thẩm quyền.</x:v>
      </x:c>
      <x:c r="M38"/>
      <x:c r="N38" t="str">
        <x:v>HD05, Phần II, I.9; Phụ lục 2 mục 9</x:v>
      </x:c>
      <x:c r="O38" t="str">
        <x:v>https://tulieuvankien.dangcongsan.vn/upload/2006988/20260529/HD_05_VPTW_e1550.pdf</x:v>
      </x:c>
      <x:c r="P38" t="str">
        <x:v>PLUGIN:HOA-TIEU-MIEN-BAC-PARTY-HD05-HEADER-2026 | NEEDS_REVIEW</x:v>
      </x:c>
      <x:c r="Q38" t="str">
        <x:v>CHECK_ONLY</x:v>
      </x:c>
      <x:c r="R38" t="str">
        <x:v>Kiểm tra từng thuộc tính có mặt; so sánh nguồn/role; không suy đoán từ kết quả render chưa có</x:v>
      </x:c>
      <x:c r="S38" t="str">
        <x:v>STRUCTURE_READ_EXISTING_WORKBOOK</x:v>
      </x:c>
      <x:c r="T38"/>
      <x:c r="U38" t="str">
        <x:v>Văn bản/OOXML: xác định đối tượng trước khi sửa</x:v>
      </x:c>
    </x:row>
    <x:row r="39">
      <x:c r="A39" t="n">
        <x:v>38</x:v>
      </x:c>
      <x:c r="B39" t="str">
        <x:v>HD05.C.NN.NHU_TREN.KIEU_CHU</x:v>
      </x:c>
      <x:c r="C39" t="str">
        <x:v>HD05.C.NN.NHU_TREN</x:v>
      </x:c>
      <x:c r="D39" t="str">
        <x:v>C</x:v>
      </x:c>
      <x:c r="E39" t="str">
        <x:v>Dòng Như trên theo điều kiện</x:v>
      </x:c>
      <x:c r="F39" t="str">
        <x:v>KIEU_CHU</x:v>
      </x:c>
      <x:c r="G39" t="str">
        <x:v>In thường</x:v>
      </x:c>
      <x:c r="H39"/>
      <x:c r="I39" t="str">
        <x:v>UNVERIFIED_ATTRIBUTE</x:v>
      </x:c>
      <x:c r="J39" t="str">
        <x:v>PROFILE_PRESET_UNAPPROVED</x:v>
      </x:c>
      <x:c r="K39" t="str">
        <x:v>Chỉ khi có danh sách nơi nhận cuối văn bản; giữ nguyên người nhận, nơi lưu, dòng Như trên</x:v>
      </x:c>
      <x:c r="L39" t="str">
        <x:v>Không tạo nhân thân/chức vụ/dấu/chữ ký; bảo toàn nơi nhận và thẩm quyền.</x:v>
      </x:c>
      <x:c r="M39"/>
      <x:c r="N39" t="str">
        <x:v>HD05, Phần II, I.9; Phụ lục 2 mục 9</x:v>
      </x:c>
      <x:c r="O39" t="str">
        <x:v>https://tulieuvankien.dangcongsan.vn/upload/2006988/20260529/HD_05_VPTW_e1550.pdf</x:v>
      </x:c>
      <x:c r="P39" t="str">
        <x:v>PLUGIN:HOA-TIEU-MIEN-BAC-PARTY-HD05-HEADER-2026 | NEEDS_REVIEW</x:v>
      </x:c>
      <x:c r="Q39" t="str">
        <x:v>CHECK_ONLY</x:v>
      </x:c>
      <x:c r="R39" t="str">
        <x:v>Kiểm tra từng thuộc tính có mặt; so sánh nguồn/role; không suy đoán từ kết quả render chưa có</x:v>
      </x:c>
      <x:c r="S39" t="str">
        <x:v>STRUCTURE_READ_EXISTING_WORKBOOK</x:v>
      </x:c>
      <x:c r="T39"/>
      <x:c r="U39" t="str">
        <x:v>Văn bản/OOXML: xác định đối tượng trước khi sửa</x:v>
      </x:c>
    </x:row>
    <x:row r="40">
      <x:c r="A40" t="n">
        <x:v>39</x:v>
      </x:c>
      <x:c r="B40" t="str">
        <x:v>HD05.C.NN.NHU_TREN.CAN_NGANG</x:v>
      </x:c>
      <x:c r="C40" t="str">
        <x:v>HD05.C.NN.NHU_TREN</x:v>
      </x:c>
      <x:c r="D40" t="str">
        <x:v>C</x:v>
      </x:c>
      <x:c r="E40" t="str">
        <x:v>Dòng Như trên theo điều kiện</x:v>
      </x:c>
      <x:c r="F40" t="str">
        <x:v>CAN_NGANG</x:v>
      </x:c>
      <x:c r="G40" t="str">
        <x:v>LEFT</x:v>
      </x:c>
      <x:c r="H40"/>
      <x:c r="I40" t="str">
        <x:v>UNVERIFIED_ATTRIBUTE</x:v>
      </x:c>
      <x:c r="J40" t="str">
        <x:v>PROFILE_PRESET_UNAPPROVED</x:v>
      </x:c>
      <x:c r="K40" t="str">
        <x:v>Chỉ khi có danh sách nơi nhận cuối văn bản; giữ nguyên người nhận, nơi lưu, dòng Như trên</x:v>
      </x:c>
      <x:c r="L40" t="str">
        <x:v>Không tạo nhân thân/chức vụ/dấu/chữ ký; bảo toàn nơi nhận và thẩm quyền.</x:v>
      </x:c>
      <x:c r="M40"/>
      <x:c r="N40" t="str">
        <x:v>HD05, Phần II, I.9; Phụ lục 2 mục 9</x:v>
      </x:c>
      <x:c r="O40" t="str">
        <x:v>https://tulieuvankien.dangcongsan.vn/upload/2006988/20260529/HD_05_VPTW_e1550.pdf</x:v>
      </x:c>
      <x:c r="P40" t="str">
        <x:v>PLUGIN:HOA-TIEU-MIEN-BAC-PARTY-HD05-HEADER-2026 | NEEDS_REVIEW</x:v>
      </x:c>
      <x:c r="Q40" t="str">
        <x:v>CHECK_ONLY</x:v>
      </x:c>
      <x:c r="R40" t="str">
        <x:v>Kiểm tra từng thuộc tính có mặt; so sánh nguồn/role; không suy đoán từ kết quả render chưa có</x:v>
      </x:c>
      <x:c r="S40" t="str">
        <x:v>STRUCTURE_READ_EXISTING_WORKBOOK</x:v>
      </x:c>
      <x:c r="T40"/>
      <x:c r="U40" t="str">
        <x:v>Văn bản/OOXML: xác định đối tượng trước khi sửa</x:v>
      </x:c>
    </x:row>
    <x:row r="41">
      <x:c r="A41" t="n">
        <x:v>40</x:v>
      </x:c>
      <x:c r="B41" t="str">
        <x:v>HD05.C.NN.NHU_TREN.GIAN_DONG</x:v>
      </x:c>
      <x:c r="C41" t="str">
        <x:v>HD05.C.NN.NHU_TREN</x:v>
      </x:c>
      <x:c r="D41" t="str">
        <x:v>C</x:v>
      </x:c>
      <x:c r="E41" t="str">
        <x:v>Dòng Như trên theo điều kiện</x:v>
      </x:c>
      <x:c r="F41" t="str">
        <x:v>GIAN_DONG</x:v>
      </x:c>
      <x:c r="G41" t="n">
        <x:v>1</x:v>
      </x:c>
      <x:c r="H41"/>
      <x:c r="I41" t="str">
        <x:v>UNVERIFIED_ATTRIBUTE</x:v>
      </x:c>
      <x:c r="J41" t="str">
        <x:v>PROFILE_PRESET_UNAPPROVED</x:v>
      </x:c>
      <x:c r="K41" t="str">
        <x:v>Chỉ khi có danh sách nơi nhận cuối văn bản; giữ nguyên người nhận, nơi lưu, dòng Như trên</x:v>
      </x:c>
      <x:c r="L41" t="str">
        <x:v>Không tạo nhân thân/chức vụ/dấu/chữ ký; bảo toàn nơi nhận và thẩm quyền.</x:v>
      </x:c>
      <x:c r="M41" t="str">
        <x:v>pt</x:v>
      </x:c>
      <x:c r="N41" t="str">
        <x:v>HD05, Phần II, I.9; Phụ lục 2 mục 9</x:v>
      </x:c>
      <x:c r="O41" t="str">
        <x:v>https://tulieuvankien.dangcongsan.vn/upload/2006988/20260529/HD_05_VPTW_e1550.pdf</x:v>
      </x:c>
      <x:c r="P41" t="str">
        <x:v>PLUGIN:HOA-TIEU-MIEN-BAC-PARTY-HD05-HEADER-2026 | NEEDS_REVIEW</x:v>
      </x:c>
      <x:c r="Q41" t="str">
        <x:v>CHECK_ONLY</x:v>
      </x:c>
      <x:c r="R41" t="str">
        <x:v>Kiểm tra từng thuộc tính có mặt; so sánh nguồn/role; không suy đoán từ kết quả render chưa có</x:v>
      </x:c>
      <x:c r="S41" t="str">
        <x:v>STRUCTURE_READ_EXISTING_WORKBOOK</x:v>
      </x:c>
      <x:c r="T41"/>
      <x:c r="U41" t="str">
        <x:v>Văn bản/OOXML: xác định đối tượng trước khi sửa</x:v>
      </x:c>
    </x:row>
    <x:row r="42">
      <x:c r="A42" t="n">
        <x:v>41</x:v>
      </x:c>
      <x:c r="B42" t="str">
        <x:v>HD05.C.NN.NHU_TREN.CACH_TRUOC</x:v>
      </x:c>
      <x:c r="C42" t="str">
        <x:v>HD05.C.NN.NHU_TREN</x:v>
      </x:c>
      <x:c r="D42" t="str">
        <x:v>C</x:v>
      </x:c>
      <x:c r="E42" t="str">
        <x:v>Dòng Như trên theo điều kiện</x:v>
      </x:c>
      <x:c r="F42" t="str">
        <x:v>CACH_TRUOC</x:v>
      </x:c>
      <x:c r="G42" t="n">
        <x:v>0</x:v>
      </x:c>
      <x:c r="H42"/>
      <x:c r="I42" t="str">
        <x:v>UNVERIFIED_ATTRIBUTE</x:v>
      </x:c>
      <x:c r="J42" t="str">
        <x:v>PROFILE_PRESET_UNAPPROVED</x:v>
      </x:c>
      <x:c r="K42" t="str">
        <x:v>Chỉ khi có danh sách nơi nhận cuối văn bản; giữ nguyên người nhận, nơi lưu, dòng Như trên</x:v>
      </x:c>
      <x:c r="L42" t="str">
        <x:v>Không tạo nhân thân/chức vụ/dấu/chữ ký; bảo toàn nơi nhận và thẩm quyền.</x:v>
      </x:c>
      <x:c r="M42" t="str">
        <x:v>pt</x:v>
      </x:c>
      <x:c r="N42" t="str">
        <x:v>HD05, Phần II, I.9; Phụ lục 2 mục 9</x:v>
      </x:c>
      <x:c r="O42" t="str">
        <x:v>https://tulieuvankien.dangcongsan.vn/upload/2006988/20260529/HD_05_VPTW_e1550.pdf</x:v>
      </x:c>
      <x:c r="P42" t="str">
        <x:v>PLUGIN:HOA-TIEU-MIEN-BAC-PARTY-HD05-HEADER-2026 | NEEDS_REVIEW</x:v>
      </x:c>
      <x:c r="Q42" t="str">
        <x:v>CHECK_ONLY</x:v>
      </x:c>
      <x:c r="R42" t="str">
        <x:v>Kiểm tra từng thuộc tính có mặt; so sánh nguồn/role; không suy đoán từ kết quả render chưa có</x:v>
      </x:c>
      <x:c r="S42" t="str">
        <x:v>STRUCTURE_READ_EXISTING_WORKBOOK</x:v>
      </x:c>
      <x:c r="T42"/>
      <x:c r="U42" t="str">
        <x:v>Văn bản/OOXML: xác định đối tượng trước khi sửa</x:v>
      </x:c>
    </x:row>
    <x:row r="43">
      <x:c r="A43" t="n">
        <x:v>42</x:v>
      </x:c>
      <x:c r="B43" t="str">
        <x:v>HD05.C.NN.NHU_TREN.CACH_SAU</x:v>
      </x:c>
      <x:c r="C43" t="str">
        <x:v>HD05.C.NN.NHU_TREN</x:v>
      </x:c>
      <x:c r="D43" t="str">
        <x:v>C</x:v>
      </x:c>
      <x:c r="E43" t="str">
        <x:v>Dòng Như trên theo điều kiện</x:v>
      </x:c>
      <x:c r="F43" t="str">
        <x:v>CACH_SAU</x:v>
      </x:c>
      <x:c r="G43" t="n">
        <x:v>0</x:v>
      </x:c>
      <x:c r="H43"/>
      <x:c r="I43" t="str">
        <x:v>UNVERIFIED_ATTRIBUTE</x:v>
      </x:c>
      <x:c r="J43" t="str">
        <x:v>PROFILE_PRESET_UNAPPROVED</x:v>
      </x:c>
      <x:c r="K43" t="str">
        <x:v>Chỉ khi có danh sách nơi nhận cuối văn bản; giữ nguyên người nhận, nơi lưu, dòng Như trên</x:v>
      </x:c>
      <x:c r="L43" t="str">
        <x:v>Không tạo nhân thân/chức vụ/dấu/chữ ký; bảo toàn nơi nhận và thẩm quyền.</x:v>
      </x:c>
      <x:c r="M43" t="str">
        <x:v>pt</x:v>
      </x:c>
      <x:c r="N43" t="str">
        <x:v>HD05, Phần II, I.9; Phụ lục 2 mục 9</x:v>
      </x:c>
      <x:c r="O43" t="str">
        <x:v>https://tulieuvankien.dangcongsan.vn/upload/2006988/20260529/HD_05_VPTW_e1550.pdf</x:v>
      </x:c>
      <x:c r="P43" t="str">
        <x:v>PLUGIN:HOA-TIEU-MIEN-BAC-PARTY-HD05-HEADER-2026 | NEEDS_REVIEW</x:v>
      </x:c>
      <x:c r="Q43" t="str">
        <x:v>CHECK_ONLY</x:v>
      </x:c>
      <x:c r="R43" t="str">
        <x:v>Kiểm tra từng thuộc tính có mặt; so sánh nguồn/role; không suy đoán từ kết quả render chưa có</x:v>
      </x:c>
      <x:c r="S43" t="str">
        <x:v>STRUCTURE_READ_EXISTING_WORKBOOK</x:v>
      </x:c>
      <x:c r="T43"/>
      <x:c r="U43" t="str">
        <x:v>Văn bản/OOXML: xác định đối tượng trước khi sửa</x:v>
      </x:c>
    </x:row>
    <x:row r="44">
      <x:c r="A44" t="n">
        <x:v>43</x:v>
      </x:c>
      <x:c r="B44" t="str">
        <x:v>HD05.C.NN.NHU_TREN.VI_TRI</x:v>
      </x:c>
      <x:c r="C44" t="str">
        <x:v>HD05.C.NN.NHU_TREN</x:v>
      </x:c>
      <x:c r="D44" t="str">
        <x:v>C</x:v>
      </x:c>
      <x:c r="E44" t="str">
        <x:v>Dòng Như trên theo điều kiện</x:v>
      </x:c>
      <x:c r="F44" t="str">
        <x:v>VI_TRI</x:v>
      </x:c>
      <x:c r="G44" t="str">
        <x:v>KHỐI/CỘT TRÁI</x:v>
      </x:c>
      <x:c r="H44"/>
      <x:c r="I44" t="str">
        <x:v>UNVERIFIED_ATTRIBUTE</x:v>
      </x:c>
      <x:c r="J44" t="str">
        <x:v>PROFILE_PRESET_UNAPPROVED</x:v>
      </x:c>
      <x:c r="K44" t="str">
        <x:v>Chỉ khi có danh sách nơi nhận cuối văn bản; giữ nguyên người nhận, nơi lưu, dòng Như trên</x:v>
      </x:c>
      <x:c r="L44" t="str">
        <x:v>Không tạo nhân thân/chức vụ/dấu/chữ ký; bảo toàn nơi nhận và thẩm quyền.</x:v>
      </x:c>
      <x:c r="M44"/>
      <x:c r="N44" t="str">
        <x:v>HD05, Phần II, I.9; Phụ lục 2 mục 9</x:v>
      </x:c>
      <x:c r="O44" t="str">
        <x:v>https://tulieuvankien.dangcongsan.vn/upload/2006988/20260529/HD_05_VPTW_e1550.pdf</x:v>
      </x:c>
      <x:c r="P44" t="str">
        <x:v>PLUGIN:HOA-TIEU-MIEN-BAC-PARTY-HD05-HEADER-2026 | NEEDS_REVIEW</x:v>
      </x:c>
      <x:c r="Q44" t="str">
        <x:v>CHECK_ONLY</x:v>
      </x:c>
      <x:c r="R44" t="str">
        <x:v>Kiểm tra từng thuộc tính có mặt; so sánh nguồn/role; không suy đoán từ kết quả render chưa có</x:v>
      </x:c>
      <x:c r="S44" t="str">
        <x:v>STRUCTURE_READ_EXISTING_WORKBOOK</x:v>
      </x:c>
      <x:c r="T44"/>
      <x:c r="U44" t="str">
        <x:v>Văn bản/OOXML: xác định đối tượng trước khi sửa</x:v>
      </x:c>
    </x:row>
    <x:row r="45">
      <x:c r="A45" t="n">
        <x:v>44</x:v>
      </x:c>
      <x:c r="B45" t="str">
        <x:v>HD05.C.NN.NHU_TREN.KEEP_NEXT</x:v>
      </x:c>
      <x:c r="C45" t="str">
        <x:v>HD05.C.NN.NHU_TREN</x:v>
      </x:c>
      <x:c r="D45" t="str">
        <x:v>C</x:v>
      </x:c>
      <x:c r="E45" t="str">
        <x:v>Dòng Như trên theo điều kiện</x:v>
      </x:c>
      <x:c r="F45" t="str">
        <x:v>KEEP_NEXT</x:v>
      </x:c>
      <x:c r="G45"/>
      <x:c r="H45"/>
      <x:c r="I45" t="str">
        <x:v>UNVERIFIED_ATTRIBUTE</x:v>
      </x:c>
      <x:c r="J45" t="str">
        <x:v>BLOCKED_NO_ATTRIBUTE_VALUE</x:v>
      </x:c>
      <x:c r="K45" t="str">
        <x:v>Chỉ khi có danh sách nơi nhận cuối văn bản; giữ nguyên người nhận, nơi lưu, dòng Như trên</x:v>
      </x:c>
      <x:c r="L45" t="str">
        <x:v>Không tạo nhân thân/chức vụ/dấu/chữ ký; bảo toàn nơi nhận và thẩm quyền.</x:v>
      </x:c>
      <x:c r="M45"/>
      <x:c r="N45" t="str">
        <x:v>HD05, Phần II, I.9; Phụ lục 2 mục 9</x:v>
      </x:c>
      <x:c r="O45" t="str">
        <x:v>https://tulieuvankien.dangcongsan.vn/upload/2006988/20260529/HD_05_VPTW_e1550.pdf</x:v>
      </x:c>
      <x:c r="P45" t="str">
        <x:v>PLUGIN:HOA-TIEU-MIEN-BAC-PARTY-HD05-HEADER-2026 | NEEDS_REVIEW</x:v>
      </x:c>
      <x:c r="Q45" t="str">
        <x:v>CHECK_ONLY</x:v>
      </x:c>
      <x:c r="R45" t="str">
        <x:v>Kiểm tra từng thuộc tính có mặt; so sánh nguồn/role; không suy đoán từ kết quả render chưa có</x:v>
      </x:c>
      <x:c r="S45" t="str">
        <x:v>RULE_INFERENCE_NOT_MEASURED</x:v>
      </x:c>
      <x:c r="T45" t="str">
        <x:v>Xác minh căn cứ theo loại văn bản / tài liệu phát hành hoặc phê duyệt</x:v>
      </x:c>
      <x:c r="U45" t="str">
        <x:v>Văn bản/OOXML: xác định đối tượng trước khi sửa</x:v>
      </x:c>
    </x:row>
    <x:row r="46">
      <x:c r="A46" t="n">
        <x:v>45</x:v>
      </x:c>
      <x:c r="B46" t="str">
        <x:v>HD05.C.NN.NOI_LUU.HIEN_DIEN</x:v>
      </x:c>
      <x:c r="C46" t="str">
        <x:v>HD05.C.NN.NOI_LUU</x:v>
      </x:c>
      <x:c r="D46" t="str">
        <x:v>C</x:v>
      </x:c>
      <x:c r="E46" t="str">
        <x:v>Dòng lưu hồ sơ</x:v>
      </x:c>
      <x:c r="F46" t="str">
        <x:v>HIEN_DIEN</x:v>
      </x:c>
      <x:c r="G46" t="str">
        <x:v>Cần có nơi nhận theo loại/đối tượng</x:v>
      </x:c>
      <x:c r="H46"/>
      <x:c r="I46" t="str">
        <x:v>UNVERIFIED_ATTRIBUTE</x:v>
      </x:c>
      <x:c r="J46" t="str">
        <x:v>SOURCE_DESCRIPTION_NOT_APPROVAL</x:v>
      </x:c>
      <x:c r="K46" t="str">
        <x:v>Chỉ khi có danh sách nơi nhận cuối văn bản; giữ nguyên người nhận, nơi lưu, dòng Như trên</x:v>
      </x:c>
      <x:c r="L46" t="str">
        <x:v>Không tạo nhân thân/chức vụ/dấu/chữ ký; bảo toàn nơi nhận và thẩm quyền.</x:v>
      </x:c>
      <x:c r="M46"/>
      <x:c r="N46" t="str">
        <x:v>HD05, Phần II, I.9; Phụ lục 2 mục 9</x:v>
      </x:c>
      <x:c r="O46" t="str">
        <x:v>https://tulieuvankien.dangcongsan.vn/upload/2006988/20260529/HD_05_VPTW_e1550.pdf</x:v>
      </x:c>
      <x:c r="P46" t="str">
        <x:v>PLUGIN:HOA-TIEU-MIEN-BAC-PARTY-HD05-HEADER-2026 | NEEDS_REVIEW</x:v>
      </x:c>
      <x:c r="Q46" t="str">
        <x:v>CHECK_ONLY</x:v>
      </x:c>
      <x:c r="R46" t="str">
        <x:v>Kiểm tra từng thuộc tính có mặt; so sánh nguồn/role; không suy đoán từ kết quả render chưa có</x:v>
      </x:c>
      <x:c r="S46" t="str">
        <x:v>STRUCTURE_READ_EXISTING_WORKBOOK</x:v>
      </x:c>
      <x:c r="T46"/>
      <x:c r="U46" t="str">
        <x:v>Văn bản/OOXML: xác định đối tượng trước khi sửa</x:v>
      </x:c>
    </x:row>
    <x:row r="47">
      <x:c r="A47" t="n">
        <x:v>46</x:v>
      </x:c>
      <x:c r="B47" t="str">
        <x:v>HD05.C.NN.NOI_LUU.NOI_DUNG</x:v>
      </x:c>
      <x:c r="C47" t="str">
        <x:v>HD05.C.NN.NOI_LUU</x:v>
      </x:c>
      <x:c r="D47" t="str">
        <x:v>C</x:v>
      </x:c>
      <x:c r="E47" t="str">
        <x:v>Dòng lưu hồ sơ</x:v>
      </x:c>
      <x:c r="F47" t="str">
        <x:v>NOI_DUNG</x:v>
      </x:c>
      <x:c r="G47" t="str">
        <x:v>Danh sách nơi nhận và nơi lưu theo đúng đối tượng đã xác minh</x:v>
      </x:c>
      <x:c r="H47"/>
      <x:c r="I47" t="str">
        <x:v>UNVERIFIED_ATTRIBUTE</x:v>
      </x:c>
      <x:c r="J47" t="str">
        <x:v>SOURCE_DESCRIPTION_NOT_APPROVAL</x:v>
      </x:c>
      <x:c r="K47" t="str">
        <x:v>Chỉ khi có danh sách nơi nhận cuối văn bản; giữ nguyên người nhận, nơi lưu, dòng Như trên</x:v>
      </x:c>
      <x:c r="L47" t="str">
        <x:v>Không tạo nhân thân/chức vụ/dấu/chữ ký; bảo toàn nơi nhận và thẩm quyền.</x:v>
      </x:c>
      <x:c r="M47"/>
      <x:c r="N47" t="str">
        <x:v>HD05, Phần II, I.9; Phụ lục 2 mục 9</x:v>
      </x:c>
      <x:c r="O47" t="str">
        <x:v>https://tulieuvankien.dangcongsan.vn/upload/2006988/20260529/HD_05_VPTW_e1550.pdf</x:v>
      </x:c>
      <x:c r="P47" t="str">
        <x:v>PLUGIN:HOA-TIEU-MIEN-BAC-PARTY-HD05-HEADER-2026 | NEEDS_REVIEW</x:v>
      </x:c>
      <x:c r="Q47" t="str">
        <x:v>CHECK_ONLY</x:v>
      </x:c>
      <x:c r="R47" t="str">
        <x:v>Kiểm tra từng thuộc tính có mặt; so sánh nguồn/role; không suy đoán từ kết quả render chưa có</x:v>
      </x:c>
      <x:c r="S47" t="str">
        <x:v>STRUCTURE_READ_EXISTING_WORKBOOK</x:v>
      </x:c>
      <x:c r="T47"/>
      <x:c r="U47" t="str">
        <x:v>Văn bản/OOXML: xác định đối tượng trước khi sửa</x:v>
      </x:c>
    </x:row>
    <x:row r="48">
      <x:c r="A48" t="n">
        <x:v>47</x:v>
      </x:c>
      <x:c r="B48" t="str">
        <x:v>HD05.C.NN.NOI_LUU.PHONG_CHU</x:v>
      </x:c>
      <x:c r="C48" t="str">
        <x:v>HD05.C.NN.NOI_LUU</x:v>
      </x:c>
      <x:c r="D48" t="str">
        <x:v>C</x:v>
      </x:c>
      <x:c r="E48" t="str">
        <x:v>Dòng lưu hồ sơ</x:v>
      </x:c>
      <x:c r="F48" t="str">
        <x:v>PHONG_CHU</x:v>
      </x:c>
      <x:c r="G48" t="str">
        <x:v>Times New Roman</x:v>
      </x:c>
      <x:c r="H48"/>
      <x:c r="I48" t="str">
        <x:v>UNVERIFIED_ATTRIBUTE</x:v>
      </x:c>
      <x:c r="J48" t="str">
        <x:v>PROFILE_PRESET_UNAPPROVED</x:v>
      </x:c>
      <x:c r="K48" t="str">
        <x:v>Chỉ khi có danh sách nơi nhận cuối văn bản; giữ nguyên người nhận, nơi lưu, dòng Như trên</x:v>
      </x:c>
      <x:c r="L48" t="str">
        <x:v>Không tạo nhân thân/chức vụ/dấu/chữ ký; bảo toàn nơi nhận và thẩm quyền.</x:v>
      </x:c>
      <x:c r="M48"/>
      <x:c r="N48" t="str">
        <x:v>HD05, Phần II, I.9; Phụ lục 2 mục 9</x:v>
      </x:c>
      <x:c r="O48" t="str">
        <x:v>https://tulieuvankien.dangcongsan.vn/upload/2006988/20260529/HD_05_VPTW_e1550.pdf</x:v>
      </x:c>
      <x:c r="P48" t="str">
        <x:v>PLUGIN:HOA-TIEU-MIEN-BAC-PARTY-HD05-HEADER-2026 | NEEDS_REVIEW</x:v>
      </x:c>
      <x:c r="Q48" t="str">
        <x:v>CHECK_ONLY</x:v>
      </x:c>
      <x:c r="R48" t="str">
        <x:v>Kiểm tra từng thuộc tính có mặt; so sánh nguồn/role; không suy đoán từ kết quả render chưa có</x:v>
      </x:c>
      <x:c r="S48" t="str">
        <x:v>STRUCTURE_READ_EXISTING_WORKBOOK</x:v>
      </x:c>
      <x:c r="T48"/>
      <x:c r="U48" t="str">
        <x:v>Văn bản/OOXML: xác định đối tượng trước khi sửa</x:v>
      </x:c>
    </x:row>
    <x:row r="49">
      <x:c r="A49" t="n">
        <x:v>48</x:v>
      </x:c>
      <x:c r="B49" t="str">
        <x:v>HD05.C.NN.NOI_LUU.CO_CHU</x:v>
      </x:c>
      <x:c r="C49" t="str">
        <x:v>HD05.C.NN.NOI_LUU</x:v>
      </x:c>
      <x:c r="D49" t="str">
        <x:v>C</x:v>
      </x:c>
      <x:c r="E49" t="str">
        <x:v>Dòng lưu hồ sơ</x:v>
      </x:c>
      <x:c r="F49" t="str">
        <x:v>CO_CHU</x:v>
      </x:c>
      <x:c r="G49" t="n">
        <x:v>12</x:v>
      </x:c>
      <x:c r="H49"/>
      <x:c r="I49" t="str">
        <x:v>UNVERIFIED_ATTRIBUTE</x:v>
      </x:c>
      <x:c r="J49" t="str">
        <x:v>PROFILE_PRESET_UNAPPROVED</x:v>
      </x:c>
      <x:c r="K49" t="str">
        <x:v>Chỉ khi có danh sách nơi nhận cuối văn bản; giữ nguyên người nhận, nơi lưu, dòng Như trên</x:v>
      </x:c>
      <x:c r="L49" t="str">
        <x:v>Không tạo nhân thân/chức vụ/dấu/chữ ký; bảo toàn nơi nhận và thẩm quyền.</x:v>
      </x:c>
      <x:c r="M49" t="str">
        <x:v>pt</x:v>
      </x:c>
      <x:c r="N49" t="str">
        <x:v>HD05, Phần II, I.9; Phụ lục 2 mục 9</x:v>
      </x:c>
      <x:c r="O49" t="str">
        <x:v>https://tulieuvankien.dangcongsan.vn/upload/2006988/20260529/HD_05_VPTW_e1550.pdf</x:v>
      </x:c>
      <x:c r="P49" t="str">
        <x:v>PLUGIN:HOA-TIEU-MIEN-BAC-PARTY-HD05-HEADER-2026 | NEEDS_REVIEW</x:v>
      </x:c>
      <x:c r="Q49" t="str">
        <x:v>CHECK_ONLY</x:v>
      </x:c>
      <x:c r="R49" t="str">
        <x:v>Kiểm tra từng thuộc tính có mặt; so sánh nguồn/role; không suy đoán từ kết quả render chưa có</x:v>
      </x:c>
      <x:c r="S49" t="str">
        <x:v>STRUCTURE_READ_EXISTING_WORKBOOK</x:v>
      </x:c>
      <x:c r="T49"/>
      <x:c r="U49" t="str">
        <x:v>Văn bản/OOXML: xác định đối tượng trước khi sửa</x:v>
      </x:c>
    </x:row>
    <x:row r="50">
      <x:c r="A50" t="n">
        <x:v>49</x:v>
      </x:c>
      <x:c r="B50" t="str">
        <x:v>HD05.C.NN.NOI_LUU.DAM</x:v>
      </x:c>
      <x:c r="C50" t="str">
        <x:v>HD05.C.NN.NOI_LUU</x:v>
      </x:c>
      <x:c r="D50" t="str">
        <x:v>C</x:v>
      </x:c>
      <x:c r="E50" t="str">
        <x:v>Dòng lưu hồ sơ</x:v>
      </x:c>
      <x:c r="F50" t="str">
        <x:v>DAM</x:v>
      </x:c>
      <x:c r="G50" t="str">
        <x:v>KHÔNG</x:v>
      </x:c>
      <x:c r="H50"/>
      <x:c r="I50" t="str">
        <x:v>UNVERIFIED_ATTRIBUTE</x:v>
      </x:c>
      <x:c r="J50" t="str">
        <x:v>PROFILE_PRESET_UNAPPROVED</x:v>
      </x:c>
      <x:c r="K50" t="str">
        <x:v>Chỉ khi có danh sách nơi nhận cuối văn bản; giữ nguyên người nhận, nơi lưu, dòng Như trên</x:v>
      </x:c>
      <x:c r="L50" t="str">
        <x:v>Không tạo nhân thân/chức vụ/dấu/chữ ký; bảo toàn nơi nhận và thẩm quyền.</x:v>
      </x:c>
      <x:c r="M50"/>
      <x:c r="N50" t="str">
        <x:v>HD05, Phần II, I.9; Phụ lục 2 mục 9</x:v>
      </x:c>
      <x:c r="O50" t="str">
        <x:v>https://tulieuvankien.dangcongsan.vn/upload/2006988/20260529/HD_05_VPTW_e1550.pdf</x:v>
      </x:c>
      <x:c r="P50" t="str">
        <x:v>PLUGIN:HOA-TIEU-MIEN-BAC-PARTY-HD05-HEADER-2026 | NEEDS_REVIEW</x:v>
      </x:c>
      <x:c r="Q50" t="str">
        <x:v>CHECK_ONLY</x:v>
      </x:c>
      <x:c r="R50" t="str">
        <x:v>Kiểm tra từng thuộc tính có mặt; so sánh nguồn/role; không suy đoán từ kết quả render chưa có</x:v>
      </x:c>
      <x:c r="S50" t="str">
        <x:v>STRUCTURE_READ_EXISTING_WORKBOOK</x:v>
      </x:c>
      <x:c r="T50"/>
      <x:c r="U50" t="str">
        <x:v>Văn bản/OOXML: xác định đối tượng trước khi sửa</x:v>
      </x:c>
    </x:row>
    <x:row r="51">
      <x:c r="A51" t="n">
        <x:v>50</x:v>
      </x:c>
      <x:c r="B51" t="str">
        <x:v>HD05.C.NN.NOI_LUU.NGHIENG</x:v>
      </x:c>
      <x:c r="C51" t="str">
        <x:v>HD05.C.NN.NOI_LUU</x:v>
      </x:c>
      <x:c r="D51" t="str">
        <x:v>C</x:v>
      </x:c>
      <x:c r="E51" t="str">
        <x:v>Dòng lưu hồ sơ</x:v>
      </x:c>
      <x:c r="F51" t="str">
        <x:v>NGHIENG</x:v>
      </x:c>
      <x:c r="G51" t="str">
        <x:v>KHÔNG</x:v>
      </x:c>
      <x:c r="H51"/>
      <x:c r="I51" t="str">
        <x:v>UNVERIFIED_ATTRIBUTE</x:v>
      </x:c>
      <x:c r="J51" t="str">
        <x:v>PROFILE_PRESET_UNAPPROVED</x:v>
      </x:c>
      <x:c r="K51" t="str">
        <x:v>Chỉ khi có danh sách nơi nhận cuối văn bản; giữ nguyên người nhận, nơi lưu, dòng Như trên</x:v>
      </x:c>
      <x:c r="L51" t="str">
        <x:v>Không tạo nhân thân/chức vụ/dấu/chữ ký; bảo toàn nơi nhận và thẩm quyền.</x:v>
      </x:c>
      <x:c r="M51"/>
      <x:c r="N51" t="str">
        <x:v>HD05, Phần II, I.9; Phụ lục 2 mục 9</x:v>
      </x:c>
      <x:c r="O51" t="str">
        <x:v>https://tulieuvankien.dangcongsan.vn/upload/2006988/20260529/HD_05_VPTW_e1550.pdf</x:v>
      </x:c>
      <x:c r="P51" t="str">
        <x:v>PLUGIN:HOA-TIEU-MIEN-BAC-PARTY-HD05-HEADER-2026 | NEEDS_REVIEW</x:v>
      </x:c>
      <x:c r="Q51" t="str">
        <x:v>CHECK_ONLY</x:v>
      </x:c>
      <x:c r="R51" t="str">
        <x:v>Kiểm tra từng thuộc tính có mặt; so sánh nguồn/role; không suy đoán từ kết quả render chưa có</x:v>
      </x:c>
      <x:c r="S51" t="str">
        <x:v>STRUCTURE_READ_EXISTING_WORKBOOK</x:v>
      </x:c>
      <x:c r="T51"/>
      <x:c r="U51" t="str">
        <x:v>Văn bản/OOXML: xác định đối tượng trước khi sửa</x:v>
      </x:c>
    </x:row>
    <x:row r="52">
      <x:c r="A52" t="n">
        <x:v>51</x:v>
      </x:c>
      <x:c r="B52" t="str">
        <x:v>HD05.C.NN.NOI_LUU.KIEU_CHU</x:v>
      </x:c>
      <x:c r="C52" t="str">
        <x:v>HD05.C.NN.NOI_LUU</x:v>
      </x:c>
      <x:c r="D52" t="str">
        <x:v>C</x:v>
      </x:c>
      <x:c r="E52" t="str">
        <x:v>Dòng lưu hồ sơ</x:v>
      </x:c>
      <x:c r="F52" t="str">
        <x:v>KIEU_CHU</x:v>
      </x:c>
      <x:c r="G52" t="str">
        <x:v>In thường</x:v>
      </x:c>
      <x:c r="H52"/>
      <x:c r="I52" t="str">
        <x:v>UNVERIFIED_ATTRIBUTE</x:v>
      </x:c>
      <x:c r="J52" t="str">
        <x:v>PROFILE_PRESET_UNAPPROVED</x:v>
      </x:c>
      <x:c r="K52" t="str">
        <x:v>Chỉ khi có danh sách nơi nhận cuối văn bản; giữ nguyên người nhận, nơi lưu, dòng Như trên</x:v>
      </x:c>
      <x:c r="L52" t="str">
        <x:v>Không tạo nhân thân/chức vụ/dấu/chữ ký; bảo toàn nơi nhận và thẩm quyền.</x:v>
      </x:c>
      <x:c r="M52"/>
      <x:c r="N52" t="str">
        <x:v>HD05, Phần II, I.9; Phụ lục 2 mục 9</x:v>
      </x:c>
      <x:c r="O52" t="str">
        <x:v>https://tulieuvankien.dangcongsan.vn/upload/2006988/20260529/HD_05_VPTW_e1550.pdf</x:v>
      </x:c>
      <x:c r="P52" t="str">
        <x:v>PLUGIN:HOA-TIEU-MIEN-BAC-PARTY-HD05-HEADER-2026 | NEEDS_REVIEW</x:v>
      </x:c>
      <x:c r="Q52" t="str">
        <x:v>CHECK_ONLY</x:v>
      </x:c>
      <x:c r="R52" t="str">
        <x:v>Kiểm tra từng thuộc tính có mặt; so sánh nguồn/role; không suy đoán từ kết quả render chưa có</x:v>
      </x:c>
      <x:c r="S52" t="str">
        <x:v>STRUCTURE_READ_EXISTING_WORKBOOK</x:v>
      </x:c>
      <x:c r="T52"/>
      <x:c r="U52" t="str">
        <x:v>Văn bản/OOXML: xác định đối tượng trước khi sửa</x:v>
      </x:c>
    </x:row>
    <x:row r="53">
      <x:c r="A53" t="n">
        <x:v>52</x:v>
      </x:c>
      <x:c r="B53" t="str">
        <x:v>HD05.C.NN.NOI_LUU.CAN_NGANG</x:v>
      </x:c>
      <x:c r="C53" t="str">
        <x:v>HD05.C.NN.NOI_LUU</x:v>
      </x:c>
      <x:c r="D53" t="str">
        <x:v>C</x:v>
      </x:c>
      <x:c r="E53" t="str">
        <x:v>Dòng lưu hồ sơ</x:v>
      </x:c>
      <x:c r="F53" t="str">
        <x:v>CAN_NGANG</x:v>
      </x:c>
      <x:c r="G53" t="str">
        <x:v>LEFT</x:v>
      </x:c>
      <x:c r="H53"/>
      <x:c r="I53" t="str">
        <x:v>UNVERIFIED_ATTRIBUTE</x:v>
      </x:c>
      <x:c r="J53" t="str">
        <x:v>PROFILE_PRESET_UNAPPROVED</x:v>
      </x:c>
      <x:c r="K53" t="str">
        <x:v>Chỉ khi có danh sách nơi nhận cuối văn bản; giữ nguyên người nhận, nơi lưu, dòng Như trên</x:v>
      </x:c>
      <x:c r="L53" t="str">
        <x:v>Không tạo nhân thân/chức vụ/dấu/chữ ký; bảo toàn nơi nhận và thẩm quyền.</x:v>
      </x:c>
      <x:c r="M53"/>
      <x:c r="N53" t="str">
        <x:v>HD05, Phần II, I.9; Phụ lục 2 mục 9</x:v>
      </x:c>
      <x:c r="O53" t="str">
        <x:v>https://tulieuvankien.dangcongsan.vn/upload/2006988/20260529/HD_05_VPTW_e1550.pdf</x:v>
      </x:c>
      <x:c r="P53" t="str">
        <x:v>PLUGIN:HOA-TIEU-MIEN-BAC-PARTY-HD05-HEADER-2026 | NEEDS_REVIEW</x:v>
      </x:c>
      <x:c r="Q53" t="str">
        <x:v>CHECK_ONLY</x:v>
      </x:c>
      <x:c r="R53" t="str">
        <x:v>Kiểm tra từng thuộc tính có mặt; so sánh nguồn/role; không suy đoán từ kết quả render chưa có</x:v>
      </x:c>
      <x:c r="S53" t="str">
        <x:v>STRUCTURE_READ_EXISTING_WORKBOOK</x:v>
      </x:c>
      <x:c r="T53"/>
      <x:c r="U53" t="str">
        <x:v>Văn bản/OOXML: xác định đối tượng trước khi sửa</x:v>
      </x:c>
    </x:row>
    <x:row r="54">
      <x:c r="A54" t="n">
        <x:v>53</x:v>
      </x:c>
      <x:c r="B54" t="str">
        <x:v>HD05.C.NN.NOI_LUU.GIAN_DONG</x:v>
      </x:c>
      <x:c r="C54" t="str">
        <x:v>HD05.C.NN.NOI_LUU</x:v>
      </x:c>
      <x:c r="D54" t="str">
        <x:v>C</x:v>
      </x:c>
      <x:c r="E54" t="str">
        <x:v>Dòng lưu hồ sơ</x:v>
      </x:c>
      <x:c r="F54" t="str">
        <x:v>GIAN_DONG</x:v>
      </x:c>
      <x:c r="G54" t="n">
        <x:v>1</x:v>
      </x:c>
      <x:c r="H54"/>
      <x:c r="I54" t="str">
        <x:v>UNVERIFIED_ATTRIBUTE</x:v>
      </x:c>
      <x:c r="J54" t="str">
        <x:v>PROFILE_PRESET_UNAPPROVED</x:v>
      </x:c>
      <x:c r="K54" t="str">
        <x:v>Chỉ khi có danh sách nơi nhận cuối văn bản; giữ nguyên người nhận, nơi lưu, dòng Như trên</x:v>
      </x:c>
      <x:c r="L54" t="str">
        <x:v>Không tạo nhân thân/chức vụ/dấu/chữ ký; bảo toàn nơi nhận và thẩm quyền.</x:v>
      </x:c>
      <x:c r="M54" t="str">
        <x:v>pt</x:v>
      </x:c>
      <x:c r="N54" t="str">
        <x:v>HD05, Phần II, I.9; Phụ lục 2 mục 9</x:v>
      </x:c>
      <x:c r="O54" t="str">
        <x:v>https://tulieuvankien.dangcongsan.vn/upload/2006988/20260529/HD_05_VPTW_e1550.pdf</x:v>
      </x:c>
      <x:c r="P54" t="str">
        <x:v>PLUGIN:HOA-TIEU-MIEN-BAC-PARTY-HD05-HEADER-2026 | NEEDS_REVIEW</x:v>
      </x:c>
      <x:c r="Q54" t="str">
        <x:v>CHECK_ONLY</x:v>
      </x:c>
      <x:c r="R54" t="str">
        <x:v>Kiểm tra từng thuộc tính có mặt; so sánh nguồn/role; không suy đoán từ kết quả render chưa có</x:v>
      </x:c>
      <x:c r="S54" t="str">
        <x:v>STRUCTURE_READ_EXISTING_WORKBOOK</x:v>
      </x:c>
      <x:c r="T54"/>
      <x:c r="U54" t="str">
        <x:v>Văn bản/OOXML: xác định đối tượng trước khi sửa</x:v>
      </x:c>
    </x:row>
    <x:row r="55">
      <x:c r="A55" t="n">
        <x:v>54</x:v>
      </x:c>
      <x:c r="B55" t="str">
        <x:v>HD05.C.NN.NOI_LUU.CACH_TRUOC</x:v>
      </x:c>
      <x:c r="C55" t="str">
        <x:v>HD05.C.NN.NOI_LUU</x:v>
      </x:c>
      <x:c r="D55" t="str">
        <x:v>C</x:v>
      </x:c>
      <x:c r="E55" t="str">
        <x:v>Dòng lưu hồ sơ</x:v>
      </x:c>
      <x:c r="F55" t="str">
        <x:v>CACH_TRUOC</x:v>
      </x:c>
      <x:c r="G55" t="n">
        <x:v>0</x:v>
      </x:c>
      <x:c r="H55"/>
      <x:c r="I55" t="str">
        <x:v>UNVERIFIED_ATTRIBUTE</x:v>
      </x:c>
      <x:c r="J55" t="str">
        <x:v>PROFILE_PRESET_UNAPPROVED</x:v>
      </x:c>
      <x:c r="K55" t="str">
        <x:v>Chỉ khi có danh sách nơi nhận cuối văn bản; giữ nguyên người nhận, nơi lưu, dòng Như trên</x:v>
      </x:c>
      <x:c r="L55" t="str">
        <x:v>Không tạo nhân thân/chức vụ/dấu/chữ ký; bảo toàn nơi nhận và thẩm quyền.</x:v>
      </x:c>
      <x:c r="M55" t="str">
        <x:v>pt</x:v>
      </x:c>
      <x:c r="N55" t="str">
        <x:v>HD05, Phần II, I.9; Phụ lục 2 mục 9</x:v>
      </x:c>
      <x:c r="O55" t="str">
        <x:v>https://tulieuvankien.dangcongsan.vn/upload/2006988/20260529/HD_05_VPTW_e1550.pdf</x:v>
      </x:c>
      <x:c r="P55" t="str">
        <x:v>PLUGIN:HOA-TIEU-MIEN-BAC-PARTY-HD05-HEADER-2026 | NEEDS_REVIEW</x:v>
      </x:c>
      <x:c r="Q55" t="str">
        <x:v>CHECK_ONLY</x:v>
      </x:c>
      <x:c r="R55" t="str">
        <x:v>Kiểm tra từng thuộc tính có mặt; so sánh nguồn/role; không suy đoán từ kết quả render chưa có</x:v>
      </x:c>
      <x:c r="S55" t="str">
        <x:v>STRUCTURE_READ_EXISTING_WORKBOOK</x:v>
      </x:c>
      <x:c r="T55"/>
      <x:c r="U55" t="str">
        <x:v>Văn bản/OOXML: xác định đối tượng trước khi sửa</x:v>
      </x:c>
    </x:row>
    <x:row r="56">
      <x:c r="A56" t="n">
        <x:v>55</x:v>
      </x:c>
      <x:c r="B56" t="str">
        <x:v>HD05.C.NN.NOI_LUU.CACH_SAU</x:v>
      </x:c>
      <x:c r="C56" t="str">
        <x:v>HD05.C.NN.NOI_LUU</x:v>
      </x:c>
      <x:c r="D56" t="str">
        <x:v>C</x:v>
      </x:c>
      <x:c r="E56" t="str">
        <x:v>Dòng lưu hồ sơ</x:v>
      </x:c>
      <x:c r="F56" t="str">
        <x:v>CACH_SAU</x:v>
      </x:c>
      <x:c r="G56" t="n">
        <x:v>0</x:v>
      </x:c>
      <x:c r="H56"/>
      <x:c r="I56" t="str">
        <x:v>UNVERIFIED_ATTRIBUTE</x:v>
      </x:c>
      <x:c r="J56" t="str">
        <x:v>PROFILE_PRESET_UNAPPROVED</x:v>
      </x:c>
      <x:c r="K56" t="str">
        <x:v>Chỉ khi có danh sách nơi nhận cuối văn bản; giữ nguyên người nhận, nơi lưu, dòng Như trên</x:v>
      </x:c>
      <x:c r="L56" t="str">
        <x:v>Không tạo nhân thân/chức vụ/dấu/chữ ký; bảo toàn nơi nhận và thẩm quyền.</x:v>
      </x:c>
      <x:c r="M56" t="str">
        <x:v>pt</x:v>
      </x:c>
      <x:c r="N56" t="str">
        <x:v>HD05, Phần II, I.9; Phụ lục 2 mục 9</x:v>
      </x:c>
      <x:c r="O56" t="str">
        <x:v>https://tulieuvankien.dangcongsan.vn/upload/2006988/20260529/HD_05_VPTW_e1550.pdf</x:v>
      </x:c>
      <x:c r="P56" t="str">
        <x:v>PLUGIN:HOA-TIEU-MIEN-BAC-PARTY-HD05-HEADER-2026 | NEEDS_REVIEW</x:v>
      </x:c>
      <x:c r="Q56" t="str">
        <x:v>CHECK_ONLY</x:v>
      </x:c>
      <x:c r="R56" t="str">
        <x:v>Kiểm tra từng thuộc tính có mặt; so sánh nguồn/role; không suy đoán từ kết quả render chưa có</x:v>
      </x:c>
      <x:c r="S56" t="str">
        <x:v>STRUCTURE_READ_EXISTING_WORKBOOK</x:v>
      </x:c>
      <x:c r="T56"/>
      <x:c r="U56" t="str">
        <x:v>Văn bản/OOXML: xác định đối tượng trước khi sửa</x:v>
      </x:c>
    </x:row>
    <x:row r="57">
      <x:c r="A57" t="n">
        <x:v>56</x:v>
      </x:c>
      <x:c r="B57" t="str">
        <x:v>HD05.C.NN.NOI_LUU.VI_TRI</x:v>
      </x:c>
      <x:c r="C57" t="str">
        <x:v>HD05.C.NN.NOI_LUU</x:v>
      </x:c>
      <x:c r="D57" t="str">
        <x:v>C</x:v>
      </x:c>
      <x:c r="E57" t="str">
        <x:v>Dòng lưu hồ sơ</x:v>
      </x:c>
      <x:c r="F57" t="str">
        <x:v>VI_TRI</x:v>
      </x:c>
      <x:c r="G57" t="str">
        <x:v>KHỐI/CỘT TRÁI</x:v>
      </x:c>
      <x:c r="H57"/>
      <x:c r="I57" t="str">
        <x:v>UNVERIFIED_ATTRIBUTE</x:v>
      </x:c>
      <x:c r="J57" t="str">
        <x:v>PROFILE_PRESET_UNAPPROVED</x:v>
      </x:c>
      <x:c r="K57" t="str">
        <x:v>Chỉ khi có danh sách nơi nhận cuối văn bản; giữ nguyên người nhận, nơi lưu, dòng Như trên</x:v>
      </x:c>
      <x:c r="L57" t="str">
        <x:v>Không tạo nhân thân/chức vụ/dấu/chữ ký; bảo toàn nơi nhận và thẩm quyền.</x:v>
      </x:c>
      <x:c r="M57"/>
      <x:c r="N57" t="str">
        <x:v>HD05, Phần II, I.9; Phụ lục 2 mục 9</x:v>
      </x:c>
      <x:c r="O57" t="str">
        <x:v>https://tulieuvankien.dangcongsan.vn/upload/2006988/20260529/HD_05_VPTW_e1550.pdf</x:v>
      </x:c>
      <x:c r="P57" t="str">
        <x:v>PLUGIN:HOA-TIEU-MIEN-BAC-PARTY-HD05-HEADER-2026 | NEEDS_REVIEW</x:v>
      </x:c>
      <x:c r="Q57" t="str">
        <x:v>CHECK_ONLY</x:v>
      </x:c>
      <x:c r="R57" t="str">
        <x:v>Kiểm tra từng thuộc tính có mặt; so sánh nguồn/role; không suy đoán từ kết quả render chưa có</x:v>
      </x:c>
      <x:c r="S57" t="str">
        <x:v>STRUCTURE_READ_EXISTING_WORKBOOK</x:v>
      </x:c>
      <x:c r="T57"/>
      <x:c r="U57" t="str">
        <x:v>Văn bản/OOXML: xác định đối tượng trước khi sửa</x:v>
      </x:c>
    </x:row>
    <x:row r="58">
      <x:c r="A58" t="n">
        <x:v>57</x:v>
      </x:c>
      <x:c r="B58" t="str">
        <x:v>HD05.C.NN.NOI_LUU.KEEP_NEXT</x:v>
      </x:c>
      <x:c r="C58" t="str">
        <x:v>HD05.C.NN.NOI_LUU</x:v>
      </x:c>
      <x:c r="D58" t="str">
        <x:v>C</x:v>
      </x:c>
      <x:c r="E58" t="str">
        <x:v>Dòng lưu hồ sơ</x:v>
      </x:c>
      <x:c r="F58" t="str">
        <x:v>KEEP_NEXT</x:v>
      </x:c>
      <x:c r="G58"/>
      <x:c r="H58"/>
      <x:c r="I58" t="str">
        <x:v>UNVERIFIED_ATTRIBUTE</x:v>
      </x:c>
      <x:c r="J58" t="str">
        <x:v>BLOCKED_NO_ATTRIBUTE_VALUE</x:v>
      </x:c>
      <x:c r="K58" t="str">
        <x:v>Chỉ khi có danh sách nơi nhận cuối văn bản; giữ nguyên người nhận, nơi lưu, dòng Như trên</x:v>
      </x:c>
      <x:c r="L58" t="str">
        <x:v>Không tạo nhân thân/chức vụ/dấu/chữ ký; bảo toàn nơi nhận và thẩm quyền.</x:v>
      </x:c>
      <x:c r="M58"/>
      <x:c r="N58" t="str">
        <x:v>HD05, Phần II, I.9; Phụ lục 2 mục 9</x:v>
      </x:c>
      <x:c r="O58" t="str">
        <x:v>https://tulieuvankien.dangcongsan.vn/upload/2006988/20260529/HD_05_VPTW_e1550.pdf</x:v>
      </x:c>
      <x:c r="P58" t="str">
        <x:v>PLUGIN:HOA-TIEU-MIEN-BAC-PARTY-HD05-HEADER-2026 | NEEDS_REVIEW</x:v>
      </x:c>
      <x:c r="Q58" t="str">
        <x:v>CHECK_ONLY</x:v>
      </x:c>
      <x:c r="R58" t="str">
        <x:v>Kiểm tra từng thuộc tính có mặt; so sánh nguồn/role; không suy đoán từ kết quả render chưa có</x:v>
      </x:c>
      <x:c r="S58" t="str">
        <x:v>RULE_INFERENCE_NOT_MEASURED</x:v>
      </x:c>
      <x:c r="T58" t="str">
        <x:v>Xác minh căn cứ theo loại văn bản / tài liệu phát hành hoặc phê duyệt</x:v>
      </x:c>
      <x:c r="U58" t="str">
        <x:v>Văn bản/OOXML: xác định đối tượng trước khi sửa</x:v>
      </x:c>
    </x:row>
    <x:row r="59">
      <x:c r="A59" t="n">
        <x:v>58</x:v>
      </x:c>
      <x:c r="B59" t="str">
        <x:v>HD05.C.KY.QUYEN_HAN.HIEN_DIEN</x:v>
      </x:c>
      <x:c r="C59" t="str">
        <x:v>HD05.C.KY.QUYEN_HAN</x:v>
      </x:c>
      <x:c r="D59" t="str">
        <x:v>C</x:v>
      </x:c>
      <x:c r="E59" t="str">
        <x:v>Quyền hạn ký</x:v>
      </x:c>
      <x:c r="F59" t="str">
        <x:v>HIEN_DIEN</x:v>
      </x:c>
      <x:c r="G59" t="str">
        <x:v>Khối ký tùy thẩm quyền/loại văn bản</x:v>
      </x:c>
      <x:c r="H59"/>
      <x:c r="I59" t="str">
        <x:v>UNVERIFIED_ATTRIBUTE</x:v>
      </x:c>
      <x:c r="J59" t="str">
        <x:v>SOURCE_DESCRIPTION_NOT_APPROVAL</x:v>
      </x:c>
      <x:c r="K59" t="str">
        <x:v>Chỉ khi có khối người ký; cần chứng cứ thẩm quyền, chức vụ, người ký; tài liệu soạn thảo không tạo chữ ký</x:v>
      </x:c>
      <x:c r="L59" t="str">
        <x:v>Không tạo nhân thân/chức vụ/dấu/chữ ký; bảo toàn nơi nhận và thẩm quyền.</x:v>
      </x:c>
      <x:c r="M59"/>
      <x:c r="N59" t="str">
        <x:v>HD05, Phần II, I.7; Phụ lục 2 mục 7</x:v>
      </x:c>
      <x:c r="O59" t="str">
        <x:v>https://tulieuvankien.dangcongsan.vn/upload/2006988/20260529/HD_05_VPTW_e1550.pdf</x:v>
      </x:c>
      <x:c r="P59" t="str">
        <x:v>PLUGIN:HOA-TIEU-MIEN-BAC-PARTY-HD05-HEADER-2026 | NEEDS_REVIEW</x:v>
      </x:c>
      <x:c r="Q59" t="str">
        <x:v>CHECK_ONLY</x:v>
      </x:c>
      <x:c r="R59" t="str">
        <x:v>Kiểm tra từng thuộc tính có mặt; so sánh nguồn/role; không suy đoán từ kết quả render chưa có</x:v>
      </x:c>
      <x:c r="S59" t="str">
        <x:v>STRUCTURE_READ_EXISTING_WORKBOOK</x:v>
      </x:c>
      <x:c r="T59"/>
      <x:c r="U59" t="str">
        <x:v>Văn bản/OOXML: xác định đối tượng trước khi sửa</x:v>
      </x:c>
    </x:row>
    <x:row r="60">
      <x:c r="A60" t="n">
        <x:v>59</x:v>
      </x:c>
      <x:c r="B60" t="str">
        <x:v>HD05.C.KY.QUYEN_HAN.NOI_DUNG</x:v>
      </x:c>
      <x:c r="C60" t="str">
        <x:v>HD05.C.KY.QUYEN_HAN</x:v>
      </x:c>
      <x:c r="D60" t="str">
        <x:v>C</x:v>
      </x:c>
      <x:c r="E60" t="str">
        <x:v>Quyền hạn ký</x:v>
      </x:c>
      <x:c r="F60" t="str">
        <x:v>NOI_DUNG</x:v>
      </x:c>
      <x:c r="G60" t="str">
        <x:v>Quyền hạn ký</x:v>
      </x:c>
      <x:c r="H60"/>
      <x:c r="I60" t="str">
        <x:v>UNVERIFIED_ATTRIBUTE</x:v>
      </x:c>
      <x:c r="J60" t="str">
        <x:v>SOURCE_DESCRIPTION_NOT_APPROVAL</x:v>
      </x:c>
      <x:c r="K60" t="str">
        <x:v>Chỉ khi có khối người ký; cần chứng cứ thẩm quyền, chức vụ, người ký; tài liệu soạn thảo không tạo chữ ký</x:v>
      </x:c>
      <x:c r="L60" t="str">
        <x:v>Không tạo nhân thân/chức vụ/dấu/chữ ký; bảo toàn nơi nhận và thẩm quyền.</x:v>
      </x:c>
      <x:c r="M60"/>
      <x:c r="N60" t="str">
        <x:v>HD05, Phần II, I.7; Phụ lục 2 mục 7</x:v>
      </x:c>
      <x:c r="O60" t="str">
        <x:v>https://tulieuvankien.dangcongsan.vn/upload/2006988/20260529/HD_05_VPTW_e1550.pdf</x:v>
      </x:c>
      <x:c r="P60" t="str">
        <x:v>PLUGIN:HOA-TIEU-MIEN-BAC-PARTY-HD05-HEADER-2026 | NEEDS_REVIEW</x:v>
      </x:c>
      <x:c r="Q60" t="str">
        <x:v>CHECK_ONLY</x:v>
      </x:c>
      <x:c r="R60" t="str">
        <x:v>Kiểm tra từng thuộc tính có mặt; so sánh nguồn/role; không suy đoán từ kết quả render chưa có</x:v>
      </x:c>
      <x:c r="S60" t="str">
        <x:v>STRUCTURE_READ_EXISTING_WORKBOOK</x:v>
      </x:c>
      <x:c r="T60"/>
      <x:c r="U60" t="str">
        <x:v>Văn bản/OOXML: xác định đối tượng trước khi sửa</x:v>
      </x:c>
    </x:row>
    <x:row r="61">
      <x:c r="A61" t="n">
        <x:v>60</x:v>
      </x:c>
      <x:c r="B61" t="str">
        <x:v>HD05.C.KY.QUYEN_HAN.PHONG_CHU</x:v>
      </x:c>
      <x:c r="C61" t="str">
        <x:v>HD05.C.KY.QUYEN_HAN</x:v>
      </x:c>
      <x:c r="D61" t="str">
        <x:v>C</x:v>
      </x:c>
      <x:c r="E61" t="str">
        <x:v>Quyền hạn ký</x:v>
      </x:c>
      <x:c r="F61" t="str">
        <x:v>PHONG_CHU</x:v>
      </x:c>
      <x:c r="G61" t="str">
        <x:v>Times New Roman</x:v>
      </x:c>
      <x:c r="H61"/>
      <x:c r="I61" t="str">
        <x:v>UNVERIFIED_ATTRIBUTE</x:v>
      </x:c>
      <x:c r="J61" t="str">
        <x:v>PROFILE_PRESET_UNAPPROVED</x:v>
      </x:c>
      <x:c r="K61" t="str">
        <x:v>Chỉ khi có khối người ký; cần chứng cứ thẩm quyền, chức vụ, người ký; tài liệu soạn thảo không tạo chữ ký</x:v>
      </x:c>
      <x:c r="L61" t="str">
        <x:v>Không tạo nhân thân/chức vụ/dấu/chữ ký; bảo toàn nơi nhận và thẩm quyền.</x:v>
      </x:c>
      <x:c r="M61"/>
      <x:c r="N61" t="str">
        <x:v>HD05, Phần II, I.7; Phụ lục 2 mục 7</x:v>
      </x:c>
      <x:c r="O61" t="str">
        <x:v>https://tulieuvankien.dangcongsan.vn/upload/2006988/20260529/HD_05_VPTW_e1550.pdf</x:v>
      </x:c>
      <x:c r="P61" t="str">
        <x:v>PLUGIN:HOA-TIEU-MIEN-BAC-PARTY-HD05-HEADER-2026 | NEEDS_REVIEW</x:v>
      </x:c>
      <x:c r="Q61" t="str">
        <x:v>CHECK_ONLY</x:v>
      </x:c>
      <x:c r="R61" t="str">
        <x:v>Kiểm tra từng thuộc tính có mặt; so sánh nguồn/role; không suy đoán từ kết quả render chưa có</x:v>
      </x:c>
      <x:c r="S61" t="str">
        <x:v>STRUCTURE_READ_EXISTING_WORKBOOK</x:v>
      </x:c>
      <x:c r="T61"/>
      <x:c r="U61" t="str">
        <x:v>Văn bản/OOXML: xác định đối tượng trước khi sửa</x:v>
      </x:c>
    </x:row>
    <x:row r="62">
      <x:c r="A62" t="n">
        <x:v>61</x:v>
      </x:c>
      <x:c r="B62" t="str">
        <x:v>HD05.C.KY.QUYEN_HAN.CO_CHU</x:v>
      </x:c>
      <x:c r="C62" t="str">
        <x:v>HD05.C.KY.QUYEN_HAN</x:v>
      </x:c>
      <x:c r="D62" t="str">
        <x:v>C</x:v>
      </x:c>
      <x:c r="E62" t="str">
        <x:v>Quyền hạn ký</x:v>
      </x:c>
      <x:c r="F62" t="str">
        <x:v>CO_CHU</x:v>
      </x:c>
      <x:c r="G62" t="n">
        <x:v>14</x:v>
      </x:c>
      <x:c r="H62" t="n">
        <x:v>14</x:v>
      </x:c>
      <x:c r="I62" t="str">
        <x:v>LEGAL_EXPLICIT_CHECKED</x:v>
      </x:c>
      <x:c r="J62" t="str">
        <x:v>PROFILE_PRESET_UNAPPROVED</x:v>
      </x:c>
      <x:c r="K62" t="str">
        <x:v>Chỉ khi có khối người ký; cần chứng cứ thẩm quyền, chức vụ, người ký; tài liệu soạn thảo không tạo chữ ký</x:v>
      </x:c>
      <x:c r="L62" t="str">
        <x:v>Không tạo nhân thân/chức vụ/dấu/chữ ký; bảo toàn nơi nhận và thẩm quyền.</x:v>
      </x:c>
      <x:c r="M62" t="str">
        <x:v>pt</x:v>
      </x:c>
      <x:c r="N62" t="str">
        <x:v>Phụ lục 2, mục 7</x:v>
      </x:c>
      <x:c r="O62" t="str">
        <x:v>https://tulieuvankien.dangcongsan.vn/upload/2006988/20260529/HD_05_VPTW_e1550.pdf</x:v>
      </x:c>
      <x:c r="P62" t="str">
        <x:v>PLUGIN:HOA-TIEU-MIEN-BAC-PARTY-HD05-HEADER-2026 | NEEDS_REVIEW</x:v>
      </x:c>
      <x:c r="Q62" t="str">
        <x:v>CHECK_ONLY</x:v>
      </x:c>
      <x:c r="R62" t="str">
        <x:v>Kiểm tra từng thuộc tính có mặt; so sánh nguồn/role; không suy đoán từ kết quả render chưa có</x:v>
      </x:c>
      <x:c r="S62" t="str">
        <x:v>OFFICIAL_TEXT_VERIFIED</x:v>
      </x:c>
      <x:c r="T62"/>
      <x:c r="U62" t="str">
        <x:v>Văn bản/OOXML: xác định đối tượng trước khi sửa</x:v>
      </x:c>
    </x:row>
    <x:row r="63">
      <x:c r="A63" t="n">
        <x:v>62</x:v>
      </x:c>
      <x:c r="B63" t="str">
        <x:v>HD05.C.KY.QUYEN_HAN.DAM</x:v>
      </x:c>
      <x:c r="C63" t="str">
        <x:v>HD05.C.KY.QUYEN_HAN</x:v>
      </x:c>
      <x:c r="D63" t="str">
        <x:v>C</x:v>
      </x:c>
      <x:c r="E63" t="str">
        <x:v>Quyền hạn ký</x:v>
      </x:c>
      <x:c r="F63" t="str">
        <x:v>DAM</x:v>
      </x:c>
      <x:c r="G63" t="str">
        <x:v>CÓ</x:v>
      </x:c>
      <x:c r="H63"/>
      <x:c r="I63" t="str">
        <x:v>UNVERIFIED_ATTRIBUTE</x:v>
      </x:c>
      <x:c r="J63" t="str">
        <x:v>PROFILE_PRESET_UNAPPROVED</x:v>
      </x:c>
      <x:c r="K63" t="str">
        <x:v>Chỉ khi có khối người ký; cần chứng cứ thẩm quyền, chức vụ, người ký; tài liệu soạn thảo không tạo chữ ký</x:v>
      </x:c>
      <x:c r="L63" t="str">
        <x:v>Không tạo nhân thân/chức vụ/dấu/chữ ký; bảo toàn nơi nhận và thẩm quyền.</x:v>
      </x:c>
      <x:c r="M63"/>
      <x:c r="N63" t="str">
        <x:v>HD05, Phần II, I.7; Phụ lục 2 mục 7</x:v>
      </x:c>
      <x:c r="O63" t="str">
        <x:v>https://tulieuvankien.dangcongsan.vn/upload/2006988/20260529/HD_05_VPTW_e1550.pdf</x:v>
      </x:c>
      <x:c r="P63" t="str">
        <x:v>PLUGIN:HOA-TIEU-MIEN-BAC-PARTY-HD05-HEADER-2026 | NEEDS_REVIEW</x:v>
      </x:c>
      <x:c r="Q63" t="str">
        <x:v>CHECK_ONLY</x:v>
      </x:c>
      <x:c r="R63" t="str">
        <x:v>Kiểm tra từng thuộc tính có mặt; so sánh nguồn/role; không suy đoán từ kết quả render chưa có</x:v>
      </x:c>
      <x:c r="S63" t="str">
        <x:v>STRUCTURE_READ_EXISTING_WORKBOOK</x:v>
      </x:c>
      <x:c r="T63"/>
      <x:c r="U63" t="str">
        <x:v>Văn bản/OOXML: xác định đối tượng trước khi sửa</x:v>
      </x:c>
    </x:row>
    <x:row r="64">
      <x:c r="A64" t="n">
        <x:v>63</x:v>
      </x:c>
      <x:c r="B64" t="str">
        <x:v>HD05.C.KY.QUYEN_HAN.NGHIENG</x:v>
      </x:c>
      <x:c r="C64" t="str">
        <x:v>HD05.C.KY.QUYEN_HAN</x:v>
      </x:c>
      <x:c r="D64" t="str">
        <x:v>C</x:v>
      </x:c>
      <x:c r="E64" t="str">
        <x:v>Quyền hạn ký</x:v>
      </x:c>
      <x:c r="F64" t="str">
        <x:v>NGHIENG</x:v>
      </x:c>
      <x:c r="G64" t="str">
        <x:v>KHÔNG</x:v>
      </x:c>
      <x:c r="H64"/>
      <x:c r="I64" t="str">
        <x:v>UNVERIFIED_ATTRIBUTE</x:v>
      </x:c>
      <x:c r="J64" t="str">
        <x:v>PROFILE_PRESET_UNAPPROVED</x:v>
      </x:c>
      <x:c r="K64" t="str">
        <x:v>Chỉ khi có khối người ký; cần chứng cứ thẩm quyền, chức vụ, người ký; tài liệu soạn thảo không tạo chữ ký</x:v>
      </x:c>
      <x:c r="L64" t="str">
        <x:v>Không tạo nhân thân/chức vụ/dấu/chữ ký; bảo toàn nơi nhận và thẩm quyền.</x:v>
      </x:c>
      <x:c r="M64"/>
      <x:c r="N64" t="str">
        <x:v>HD05, Phần II, I.7; Phụ lục 2 mục 7</x:v>
      </x:c>
      <x:c r="O64" t="str">
        <x:v>https://tulieuvankien.dangcongsan.vn/upload/2006988/20260529/HD_05_VPTW_e1550.pdf</x:v>
      </x:c>
      <x:c r="P64" t="str">
        <x:v>PLUGIN:HOA-TIEU-MIEN-BAC-PARTY-HD05-HEADER-2026 | NEEDS_REVIEW</x:v>
      </x:c>
      <x:c r="Q64" t="str">
        <x:v>CHECK_ONLY</x:v>
      </x:c>
      <x:c r="R64" t="str">
        <x:v>Kiểm tra từng thuộc tính có mặt; so sánh nguồn/role; không suy đoán từ kết quả render chưa có</x:v>
      </x:c>
      <x:c r="S64" t="str">
        <x:v>STRUCTURE_READ_EXISTING_WORKBOOK</x:v>
      </x:c>
      <x:c r="T64"/>
      <x:c r="U64" t="str">
        <x:v>Văn bản/OOXML: xác định đối tượng trước khi sửa</x:v>
      </x:c>
    </x:row>
    <x:row r="65">
      <x:c r="A65" t="n">
        <x:v>64</x:v>
      </x:c>
      <x:c r="B65" t="str">
        <x:v>HD05.C.KY.QUYEN_HAN.KIEU_CHU</x:v>
      </x:c>
      <x:c r="C65" t="str">
        <x:v>HD05.C.KY.QUYEN_HAN</x:v>
      </x:c>
      <x:c r="D65" t="str">
        <x:v>C</x:v>
      </x:c>
      <x:c r="E65" t="str">
        <x:v>Quyền hạn ký</x:v>
      </x:c>
      <x:c r="F65" t="str">
        <x:v>KIEU_CHU</x:v>
      </x:c>
      <x:c r="G65" t="str">
        <x:v>IN HOA</x:v>
      </x:c>
      <x:c r="H65"/>
      <x:c r="I65" t="str">
        <x:v>UNVERIFIED_ATTRIBUTE</x:v>
      </x:c>
      <x:c r="J65" t="str">
        <x:v>PROFILE_PRESET_UNAPPROVED</x:v>
      </x:c>
      <x:c r="K65" t="str">
        <x:v>Chỉ khi có khối người ký; cần chứng cứ thẩm quyền, chức vụ, người ký; tài liệu soạn thảo không tạo chữ ký</x:v>
      </x:c>
      <x:c r="L65" t="str">
        <x:v>Không tạo nhân thân/chức vụ/dấu/chữ ký; bảo toàn nơi nhận và thẩm quyền.</x:v>
      </x:c>
      <x:c r="M65"/>
      <x:c r="N65" t="str">
        <x:v>HD05, Phần II, I.7; Phụ lục 2 mục 7</x:v>
      </x:c>
      <x:c r="O65" t="str">
        <x:v>https://tulieuvankien.dangcongsan.vn/upload/2006988/20260529/HD_05_VPTW_e1550.pdf</x:v>
      </x:c>
      <x:c r="P65" t="str">
        <x:v>PLUGIN:HOA-TIEU-MIEN-BAC-PARTY-HD05-HEADER-2026 | NEEDS_REVIEW</x:v>
      </x:c>
      <x:c r="Q65" t="str">
        <x:v>CHECK_ONLY</x:v>
      </x:c>
      <x:c r="R65" t="str">
        <x:v>Kiểm tra từng thuộc tính có mặt; so sánh nguồn/role; không suy đoán từ kết quả render chưa có</x:v>
      </x:c>
      <x:c r="S65" t="str">
        <x:v>STRUCTURE_READ_EXISTING_WORKBOOK</x:v>
      </x:c>
      <x:c r="T65"/>
      <x:c r="U65" t="str">
        <x:v>Văn bản/OOXML: xác định đối tượng trước khi sửa</x:v>
      </x:c>
    </x:row>
    <x:row r="66">
      <x:c r="A66" t="n">
        <x:v>65</x:v>
      </x:c>
      <x:c r="B66" t="str">
        <x:v>HD05.C.KY.QUYEN_HAN.CAN_NGANG</x:v>
      </x:c>
      <x:c r="C66" t="str">
        <x:v>HD05.C.KY.QUYEN_HAN</x:v>
      </x:c>
      <x:c r="D66" t="str">
        <x:v>C</x:v>
      </x:c>
      <x:c r="E66" t="str">
        <x:v>Quyền hạn ký</x:v>
      </x:c>
      <x:c r="F66" t="str">
        <x:v>CAN_NGANG</x:v>
      </x:c>
      <x:c r="G66" t="str">
        <x:v>CENTER</x:v>
      </x:c>
      <x:c r="H66"/>
      <x:c r="I66" t="str">
        <x:v>UNVERIFIED_ATTRIBUTE</x:v>
      </x:c>
      <x:c r="J66" t="str">
        <x:v>PROFILE_PRESET_UNAPPROVED</x:v>
      </x:c>
      <x:c r="K66" t="str">
        <x:v>Chỉ khi có khối người ký; cần chứng cứ thẩm quyền, chức vụ, người ký; tài liệu soạn thảo không tạo chữ ký</x:v>
      </x:c>
      <x:c r="L66" t="str">
        <x:v>Không tạo nhân thân/chức vụ/dấu/chữ ký; bảo toàn nơi nhận và thẩm quyền.</x:v>
      </x:c>
      <x:c r="M66"/>
      <x:c r="N66" t="str">
        <x:v>HD05, Phần II, I.7; Phụ lục 2 mục 7</x:v>
      </x:c>
      <x:c r="O66" t="str">
        <x:v>https://tulieuvankien.dangcongsan.vn/upload/2006988/20260529/HD_05_VPTW_e1550.pdf</x:v>
      </x:c>
      <x:c r="P66" t="str">
        <x:v>PLUGIN:HOA-TIEU-MIEN-BAC-PARTY-HD05-HEADER-2026 | NEEDS_REVIEW</x:v>
      </x:c>
      <x:c r="Q66" t="str">
        <x:v>CHECK_ONLY</x:v>
      </x:c>
      <x:c r="R66" t="str">
        <x:v>Kiểm tra từng thuộc tính có mặt; so sánh nguồn/role; không suy đoán từ kết quả render chưa có</x:v>
      </x:c>
      <x:c r="S66" t="str">
        <x:v>STRUCTURE_READ_EXISTING_WORKBOOK</x:v>
      </x:c>
      <x:c r="T66"/>
      <x:c r="U66" t="str">
        <x:v>Văn bản/OOXML: xác định đối tượng trước khi sửa</x:v>
      </x:c>
    </x:row>
    <x:row r="67">
      <x:c r="A67" t="n">
        <x:v>66</x:v>
      </x:c>
      <x:c r="B67" t="str">
        <x:v>HD05.C.KY.QUYEN_HAN.GIAN_DONG</x:v>
      </x:c>
      <x:c r="C67" t="str">
        <x:v>HD05.C.KY.QUYEN_HAN</x:v>
      </x:c>
      <x:c r="D67" t="str">
        <x:v>C</x:v>
      </x:c>
      <x:c r="E67" t="str">
        <x:v>Quyền hạn ký</x:v>
      </x:c>
      <x:c r="F67" t="str">
        <x:v>GIAN_DONG</x:v>
      </x:c>
      <x:c r="G67" t="n">
        <x:v>1</x:v>
      </x:c>
      <x:c r="H67"/>
      <x:c r="I67" t="str">
        <x:v>UNVERIFIED_ATTRIBUTE</x:v>
      </x:c>
      <x:c r="J67" t="str">
        <x:v>PROFILE_PRESET_UNAPPROVED</x:v>
      </x:c>
      <x:c r="K67" t="str">
        <x:v>Chỉ khi có khối người ký; cần chứng cứ thẩm quyền, chức vụ, người ký; tài liệu soạn thảo không tạo chữ ký</x:v>
      </x:c>
      <x:c r="L67" t="str">
        <x:v>Không tạo nhân thân/chức vụ/dấu/chữ ký; bảo toàn nơi nhận và thẩm quyền.</x:v>
      </x:c>
      <x:c r="M67" t="str">
        <x:v>pt</x:v>
      </x:c>
      <x:c r="N67" t="str">
        <x:v>HD05, Phần II, I.7; Phụ lục 2 mục 7</x:v>
      </x:c>
      <x:c r="O67" t="str">
        <x:v>https://tulieuvankien.dangcongsan.vn/upload/2006988/20260529/HD_05_VPTW_e1550.pdf</x:v>
      </x:c>
      <x:c r="P67" t="str">
        <x:v>PLUGIN:HOA-TIEU-MIEN-BAC-PARTY-HD05-HEADER-2026 | NEEDS_REVIEW</x:v>
      </x:c>
      <x:c r="Q67" t="str">
        <x:v>CHECK_ONLY</x:v>
      </x:c>
      <x:c r="R67" t="str">
        <x:v>Kiểm tra từng thuộc tính có mặt; so sánh nguồn/role; không suy đoán từ kết quả render chưa có</x:v>
      </x:c>
      <x:c r="S67" t="str">
        <x:v>STRUCTURE_READ_EXISTING_WORKBOOK</x:v>
      </x:c>
      <x:c r="T67"/>
      <x:c r="U67" t="str">
        <x:v>Văn bản/OOXML: xác định đối tượng trước khi sửa</x:v>
      </x:c>
    </x:row>
    <x:row r="68">
      <x:c r="A68" t="n">
        <x:v>67</x:v>
      </x:c>
      <x:c r="B68" t="str">
        <x:v>HD05.C.KY.QUYEN_HAN.CACH_TRUOC</x:v>
      </x:c>
      <x:c r="C68" t="str">
        <x:v>HD05.C.KY.QUYEN_HAN</x:v>
      </x:c>
      <x:c r="D68" t="str">
        <x:v>C</x:v>
      </x:c>
      <x:c r="E68" t="str">
        <x:v>Quyền hạn ký</x:v>
      </x:c>
      <x:c r="F68" t="str">
        <x:v>CACH_TRUOC</x:v>
      </x:c>
      <x:c r="G68" t="n">
        <x:v>0</x:v>
      </x:c>
      <x:c r="H68"/>
      <x:c r="I68" t="str">
        <x:v>UNVERIFIED_ATTRIBUTE</x:v>
      </x:c>
      <x:c r="J68" t="str">
        <x:v>PROFILE_PRESET_UNAPPROVED</x:v>
      </x:c>
      <x:c r="K68" t="str">
        <x:v>Chỉ khi có khối người ký; cần chứng cứ thẩm quyền, chức vụ, người ký; tài liệu soạn thảo không tạo chữ ký</x:v>
      </x:c>
      <x:c r="L68" t="str">
        <x:v>Không tạo nhân thân/chức vụ/dấu/chữ ký; bảo toàn nơi nhận và thẩm quyền.</x:v>
      </x:c>
      <x:c r="M68" t="str">
        <x:v>pt</x:v>
      </x:c>
      <x:c r="N68" t="str">
        <x:v>HD05, Phần II, I.7; Phụ lục 2 mục 7</x:v>
      </x:c>
      <x:c r="O68" t="str">
        <x:v>https://tulieuvankien.dangcongsan.vn/upload/2006988/20260529/HD_05_VPTW_e1550.pdf</x:v>
      </x:c>
      <x:c r="P68" t="str">
        <x:v>PLUGIN:HOA-TIEU-MIEN-BAC-PARTY-HD05-HEADER-2026 | NEEDS_REVIEW</x:v>
      </x:c>
      <x:c r="Q68" t="str">
        <x:v>CHECK_ONLY</x:v>
      </x:c>
      <x:c r="R68" t="str">
        <x:v>Kiểm tra từng thuộc tính có mặt; so sánh nguồn/role; không suy đoán từ kết quả render chưa có</x:v>
      </x:c>
      <x:c r="S68" t="str">
        <x:v>STRUCTURE_READ_EXISTING_WORKBOOK</x:v>
      </x:c>
      <x:c r="T68"/>
      <x:c r="U68" t="str">
        <x:v>Văn bản/OOXML: xác định đối tượng trước khi sửa</x:v>
      </x:c>
    </x:row>
    <x:row r="69">
      <x:c r="A69" t="n">
        <x:v>68</x:v>
      </x:c>
      <x:c r="B69" t="str">
        <x:v>HD05.C.KY.QUYEN_HAN.CACH_SAU</x:v>
      </x:c>
      <x:c r="C69" t="str">
        <x:v>HD05.C.KY.QUYEN_HAN</x:v>
      </x:c>
      <x:c r="D69" t="str">
        <x:v>C</x:v>
      </x:c>
      <x:c r="E69" t="str">
        <x:v>Quyền hạn ký</x:v>
      </x:c>
      <x:c r="F69" t="str">
        <x:v>CACH_SAU</x:v>
      </x:c>
      <x:c r="G69" t="n">
        <x:v>0</x:v>
      </x:c>
      <x:c r="H69"/>
      <x:c r="I69" t="str">
        <x:v>UNVERIFIED_ATTRIBUTE</x:v>
      </x:c>
      <x:c r="J69" t="str">
        <x:v>PROFILE_PRESET_UNAPPROVED</x:v>
      </x:c>
      <x:c r="K69" t="str">
        <x:v>Chỉ khi có khối người ký; cần chứng cứ thẩm quyền, chức vụ, người ký; tài liệu soạn thảo không tạo chữ ký</x:v>
      </x:c>
      <x:c r="L69" t="str">
        <x:v>Không tạo nhân thân/chức vụ/dấu/chữ ký; bảo toàn nơi nhận và thẩm quyền.</x:v>
      </x:c>
      <x:c r="M69" t="str">
        <x:v>pt</x:v>
      </x:c>
      <x:c r="N69" t="str">
        <x:v>HD05, Phần II, I.7; Phụ lục 2 mục 7</x:v>
      </x:c>
      <x:c r="O69" t="str">
        <x:v>https://tulieuvankien.dangcongsan.vn/upload/2006988/20260529/HD_05_VPTW_e1550.pdf</x:v>
      </x:c>
      <x:c r="P69" t="str">
        <x:v>PLUGIN:HOA-TIEU-MIEN-BAC-PARTY-HD05-HEADER-2026 | NEEDS_REVIEW</x:v>
      </x:c>
      <x:c r="Q69" t="str">
        <x:v>CHECK_ONLY</x:v>
      </x:c>
      <x:c r="R69" t="str">
        <x:v>Kiểm tra từng thuộc tính có mặt; so sánh nguồn/role; không suy đoán từ kết quả render chưa có</x:v>
      </x:c>
      <x:c r="S69" t="str">
        <x:v>STRUCTURE_READ_EXISTING_WORKBOOK</x:v>
      </x:c>
      <x:c r="T69"/>
      <x:c r="U69" t="str">
        <x:v>Văn bản/OOXML: xác định đối tượng trước khi sửa</x:v>
      </x:c>
    </x:row>
    <x:row r="70">
      <x:c r="A70" t="n">
        <x:v>69</x:v>
      </x:c>
      <x:c r="B70" t="str">
        <x:v>HD05.C.KY.QUYEN_HAN.VI_TRI</x:v>
      </x:c>
      <x:c r="C70" t="str">
        <x:v>HD05.C.KY.QUYEN_HAN</x:v>
      </x:c>
      <x:c r="D70" t="str">
        <x:v>C</x:v>
      </x:c>
      <x:c r="E70" t="str">
        <x:v>Quyền hạn ký</x:v>
      </x:c>
      <x:c r="F70" t="str">
        <x:v>VI_TRI</x:v>
      </x:c>
      <x:c r="G70" t="str">
        <x:v>KHỐI PHẢI</x:v>
      </x:c>
      <x:c r="H70"/>
      <x:c r="I70" t="str">
        <x:v>UNVERIFIED_ATTRIBUTE</x:v>
      </x:c>
      <x:c r="J70" t="str">
        <x:v>PROFILE_PRESET_UNAPPROVED</x:v>
      </x:c>
      <x:c r="K70" t="str">
        <x:v>Chỉ khi có khối người ký; cần chứng cứ thẩm quyền, chức vụ, người ký; tài liệu soạn thảo không tạo chữ ký</x:v>
      </x:c>
      <x:c r="L70" t="str">
        <x:v>Không tạo nhân thân/chức vụ/dấu/chữ ký; bảo toàn nơi nhận và thẩm quyền.</x:v>
      </x:c>
      <x:c r="M70"/>
      <x:c r="N70" t="str">
        <x:v>HD05, Phần II, I.7; Phụ lục 2 mục 7</x:v>
      </x:c>
      <x:c r="O70" t="str">
        <x:v>https://tulieuvankien.dangcongsan.vn/upload/2006988/20260529/HD_05_VPTW_e1550.pdf</x:v>
      </x:c>
      <x:c r="P70" t="str">
        <x:v>PLUGIN:HOA-TIEU-MIEN-BAC-PARTY-HD05-HEADER-2026 | NEEDS_REVIEW</x:v>
      </x:c>
      <x:c r="Q70" t="str">
        <x:v>CHECK_ONLY</x:v>
      </x:c>
      <x:c r="R70" t="str">
        <x:v>Kiểm tra từng thuộc tính có mặt; so sánh nguồn/role; không suy đoán từ kết quả render chưa có</x:v>
      </x:c>
      <x:c r="S70" t="str">
        <x:v>STRUCTURE_READ_EXISTING_WORKBOOK</x:v>
      </x:c>
      <x:c r="T70"/>
      <x:c r="U70" t="str">
        <x:v>Văn bản/OOXML: xác định đối tượng trước khi sửa</x:v>
      </x:c>
    </x:row>
    <x:row r="71">
      <x:c r="A71" t="n">
        <x:v>70</x:v>
      </x:c>
      <x:c r="B71" t="str">
        <x:v>HD05.C.KY.QUYEN_HAN.KEEP_NEXT</x:v>
      </x:c>
      <x:c r="C71" t="str">
        <x:v>HD05.C.KY.QUYEN_HAN</x:v>
      </x:c>
      <x:c r="D71" t="str">
        <x:v>C</x:v>
      </x:c>
      <x:c r="E71" t="str">
        <x:v>Quyền hạn ký</x:v>
      </x:c>
      <x:c r="F71" t="str">
        <x:v>KEEP_NEXT</x:v>
      </x:c>
      <x:c r="G71"/>
      <x:c r="H71"/>
      <x:c r="I71" t="str">
        <x:v>UNVERIFIED_ATTRIBUTE</x:v>
      </x:c>
      <x:c r="J71" t="str">
        <x:v>BLOCKED_NO_ATTRIBUTE_VALUE</x:v>
      </x:c>
      <x:c r="K71" t="str">
        <x:v>Chỉ khi có khối người ký; cần chứng cứ thẩm quyền, chức vụ, người ký; tài liệu soạn thảo không tạo chữ ký</x:v>
      </x:c>
      <x:c r="L71" t="str">
        <x:v>Không tạo nhân thân/chức vụ/dấu/chữ ký; bảo toàn nơi nhận và thẩm quyền.</x:v>
      </x:c>
      <x:c r="M71"/>
      <x:c r="N71" t="str">
        <x:v>HD05, Phần II, I.7; Phụ lục 2 mục 7</x:v>
      </x:c>
      <x:c r="O71" t="str">
        <x:v>https://tulieuvankien.dangcongsan.vn/upload/2006988/20260529/HD_05_VPTW_e1550.pdf</x:v>
      </x:c>
      <x:c r="P71" t="str">
        <x:v>PLUGIN:HOA-TIEU-MIEN-BAC-PARTY-HD05-HEADER-2026 | NEEDS_REVIEW</x:v>
      </x:c>
      <x:c r="Q71" t="str">
        <x:v>CHECK_ONLY</x:v>
      </x:c>
      <x:c r="R71" t="str">
        <x:v>Kiểm tra từng thuộc tính có mặt; so sánh nguồn/role; không suy đoán từ kết quả render chưa có</x:v>
      </x:c>
      <x:c r="S71" t="str">
        <x:v>RULE_INFERENCE_NOT_MEASURED</x:v>
      </x:c>
      <x:c r="T71" t="str">
        <x:v>Xác minh căn cứ theo loại văn bản / tài liệu phát hành hoặc phê duyệt</x:v>
      </x:c>
      <x:c r="U71" t="str">
        <x:v>Văn bản/OOXML: xác định đối tượng trước khi sửa</x:v>
      </x:c>
    </x:row>
    <x:row r="72">
      <x:c r="A72" t="n">
        <x:v>71</x:v>
      </x:c>
      <x:c r="B72" t="str">
        <x:v>HD05.C.KY.CHUC_VU.HIEN_DIEN</x:v>
      </x:c>
      <x:c r="C72" t="str">
        <x:v>HD05.C.KY.CHUC_VU</x:v>
      </x:c>
      <x:c r="D72" t="str">
        <x:v>C</x:v>
      </x:c>
      <x:c r="E72" t="str">
        <x:v>Chức vụ/chức danh người ký</x:v>
      </x:c>
      <x:c r="F72" t="str">
        <x:v>HIEN_DIEN</x:v>
      </x:c>
      <x:c r="G72" t="str">
        <x:v>Khối ký tùy thẩm quyền/loại văn bản</x:v>
      </x:c>
      <x:c r="H72"/>
      <x:c r="I72" t="str">
        <x:v>UNVERIFIED_ATTRIBUTE</x:v>
      </x:c>
      <x:c r="J72" t="str">
        <x:v>SOURCE_DESCRIPTION_NOT_APPROVAL</x:v>
      </x:c>
      <x:c r="K72" t="str">
        <x:v>Chỉ khi có khối người ký; cần chứng cứ thẩm quyền, chức vụ, người ký; tài liệu soạn thảo không tạo chữ ký</x:v>
      </x:c>
      <x:c r="L72" t="str">
        <x:v>Không tạo nhân thân/chức vụ/dấu/chữ ký; bảo toàn nơi nhận và thẩm quyền.</x:v>
      </x:c>
      <x:c r="M72"/>
      <x:c r="N72" t="str">
        <x:v>HD05, Phần II, I.7; Phụ lục 2 mục 7</x:v>
      </x:c>
      <x:c r="O72" t="str">
        <x:v>https://tulieuvankien.dangcongsan.vn/upload/2006988/20260529/HD_05_VPTW_e1550.pdf</x:v>
      </x:c>
      <x:c r="P72" t="str">
        <x:v>PLUGIN:HOA-TIEU-MIEN-BAC-PARTY-HD05-HEADER-2026 | NEEDS_REVIEW</x:v>
      </x:c>
      <x:c r="Q72" t="str">
        <x:v>CHECK_ONLY</x:v>
      </x:c>
      <x:c r="R72" t="str">
        <x:v>Kiểm tra từng thuộc tính có mặt; so sánh nguồn/role; không suy đoán từ kết quả render chưa có</x:v>
      </x:c>
      <x:c r="S72" t="str">
        <x:v>STRUCTURE_READ_EXISTING_WORKBOOK</x:v>
      </x:c>
      <x:c r="T72"/>
      <x:c r="U72" t="str">
        <x:v>Văn bản/OOXML: xác định đối tượng trước khi sửa</x:v>
      </x:c>
    </x:row>
    <x:row r="73">
      <x:c r="A73" t="n">
        <x:v>72</x:v>
      </x:c>
      <x:c r="B73" t="str">
        <x:v>HD05.C.KY.CHUC_VU.NOI_DUNG</x:v>
      </x:c>
      <x:c r="C73" t="str">
        <x:v>HD05.C.KY.CHUC_VU</x:v>
      </x:c>
      <x:c r="D73" t="str">
        <x:v>C</x:v>
      </x:c>
      <x:c r="E73" t="str">
        <x:v>Chức vụ/chức danh người ký</x:v>
      </x:c>
      <x:c r="F73" t="str">
        <x:v>NOI_DUNG</x:v>
      </x:c>
      <x:c r="G73" t="str">
        <x:v>Chức vụ/chức danh người ký</x:v>
      </x:c>
      <x:c r="H73"/>
      <x:c r="I73" t="str">
        <x:v>UNVERIFIED_ATTRIBUTE</x:v>
      </x:c>
      <x:c r="J73" t="str">
        <x:v>SOURCE_DESCRIPTION_NOT_APPROVAL</x:v>
      </x:c>
      <x:c r="K73" t="str">
        <x:v>Chỉ khi có khối người ký; cần chứng cứ thẩm quyền, chức vụ, người ký; tài liệu soạn thảo không tạo chữ ký</x:v>
      </x:c>
      <x:c r="L73" t="str">
        <x:v>Không tạo nhân thân/chức vụ/dấu/chữ ký; bảo toàn nơi nhận và thẩm quyền.</x:v>
      </x:c>
      <x:c r="M73"/>
      <x:c r="N73" t="str">
        <x:v>HD05, Phần II, I.7; Phụ lục 2 mục 7</x:v>
      </x:c>
      <x:c r="O73" t="str">
        <x:v>https://tulieuvankien.dangcongsan.vn/upload/2006988/20260529/HD_05_VPTW_e1550.pdf</x:v>
      </x:c>
      <x:c r="P73" t="str">
        <x:v>PLUGIN:HOA-TIEU-MIEN-BAC-PARTY-HD05-HEADER-2026 | NEEDS_REVIEW</x:v>
      </x:c>
      <x:c r="Q73" t="str">
        <x:v>CHECK_ONLY</x:v>
      </x:c>
      <x:c r="R73" t="str">
        <x:v>Kiểm tra từng thuộc tính có mặt; so sánh nguồn/role; không suy đoán từ kết quả render chưa có</x:v>
      </x:c>
      <x:c r="S73" t="str">
        <x:v>STRUCTURE_READ_EXISTING_WORKBOOK</x:v>
      </x:c>
      <x:c r="T73"/>
      <x:c r="U73" t="str">
        <x:v>Văn bản/OOXML: xác định đối tượng trước khi sửa</x:v>
      </x:c>
    </x:row>
    <x:row r="74">
      <x:c r="A74" t="n">
        <x:v>73</x:v>
      </x:c>
      <x:c r="B74" t="str">
        <x:v>HD05.C.KY.CHUC_VU.PHONG_CHU</x:v>
      </x:c>
      <x:c r="C74" t="str">
        <x:v>HD05.C.KY.CHUC_VU</x:v>
      </x:c>
      <x:c r="D74" t="str">
        <x:v>C</x:v>
      </x:c>
      <x:c r="E74" t="str">
        <x:v>Chức vụ/chức danh người ký</x:v>
      </x:c>
      <x:c r="F74" t="str">
        <x:v>PHONG_CHU</x:v>
      </x:c>
      <x:c r="G74" t="str">
        <x:v>Times New Roman</x:v>
      </x:c>
      <x:c r="H74"/>
      <x:c r="I74" t="str">
        <x:v>UNVERIFIED_ATTRIBUTE</x:v>
      </x:c>
      <x:c r="J74" t="str">
        <x:v>PROFILE_PRESET_UNAPPROVED</x:v>
      </x:c>
      <x:c r="K74" t="str">
        <x:v>Chỉ khi có khối người ký; cần chứng cứ thẩm quyền, chức vụ, người ký; tài liệu soạn thảo không tạo chữ ký</x:v>
      </x:c>
      <x:c r="L74" t="str">
        <x:v>Không tạo nhân thân/chức vụ/dấu/chữ ký; bảo toàn nơi nhận và thẩm quyền.</x:v>
      </x:c>
      <x:c r="M74"/>
      <x:c r="N74" t="str">
        <x:v>HD05, Phần II, I.7; Phụ lục 2 mục 7</x:v>
      </x:c>
      <x:c r="O74" t="str">
        <x:v>https://tulieuvankien.dangcongsan.vn/upload/2006988/20260529/HD_05_VPTW_e1550.pdf</x:v>
      </x:c>
      <x:c r="P74" t="str">
        <x:v>PLUGIN:HOA-TIEU-MIEN-BAC-PARTY-HD05-HEADER-2026 | NEEDS_REVIEW</x:v>
      </x:c>
      <x:c r="Q74" t="str">
        <x:v>CHECK_ONLY</x:v>
      </x:c>
      <x:c r="R74" t="str">
        <x:v>Kiểm tra từng thuộc tính có mặt; so sánh nguồn/role; không suy đoán từ kết quả render chưa có</x:v>
      </x:c>
      <x:c r="S74" t="str">
        <x:v>STRUCTURE_READ_EXISTING_WORKBOOK</x:v>
      </x:c>
      <x:c r="T74"/>
      <x:c r="U74" t="str">
        <x:v>Văn bản/OOXML: xác định đối tượng trước khi sửa</x:v>
      </x:c>
    </x:row>
    <x:row r="75">
      <x:c r="A75" t="n">
        <x:v>74</x:v>
      </x:c>
      <x:c r="B75" t="str">
        <x:v>HD05.C.KY.CHUC_VU.CO_CHU</x:v>
      </x:c>
      <x:c r="C75" t="str">
        <x:v>HD05.C.KY.CHUC_VU</x:v>
      </x:c>
      <x:c r="D75" t="str">
        <x:v>C</x:v>
      </x:c>
      <x:c r="E75" t="str">
        <x:v>Chức vụ/chức danh người ký</x:v>
      </x:c>
      <x:c r="F75" t="str">
        <x:v>CO_CHU</x:v>
      </x:c>
      <x:c r="G75" t="n">
        <x:v>14</x:v>
      </x:c>
      <x:c r="H75" t="n">
        <x:v>14</x:v>
      </x:c>
      <x:c r="I75" t="str">
        <x:v>LEGAL_EXPLICIT_CHECKED</x:v>
      </x:c>
      <x:c r="J75" t="str">
        <x:v>PROFILE_PRESET_UNAPPROVED</x:v>
      </x:c>
      <x:c r="K75" t="str">
        <x:v>Chỉ khi có khối người ký; cần chứng cứ thẩm quyền, chức vụ, người ký; tài liệu soạn thảo không tạo chữ ký</x:v>
      </x:c>
      <x:c r="L75" t="str">
        <x:v>Không tạo nhân thân/chức vụ/dấu/chữ ký; bảo toàn nơi nhận và thẩm quyền.</x:v>
      </x:c>
      <x:c r="M75" t="str">
        <x:v>pt</x:v>
      </x:c>
      <x:c r="N75" t="str">
        <x:v>Phụ lục 2, mục 7</x:v>
      </x:c>
      <x:c r="O75" t="str">
        <x:v>https://tulieuvankien.dangcongsan.vn/upload/2006988/20260529/HD_05_VPTW_e1550.pdf</x:v>
      </x:c>
      <x:c r="P75" t="str">
        <x:v>PLUGIN:HOA-TIEU-MIEN-BAC-PARTY-HD05-HEADER-2026 | NEEDS_REVIEW</x:v>
      </x:c>
      <x:c r="Q75" t="str">
        <x:v>CHECK_ONLY</x:v>
      </x:c>
      <x:c r="R75" t="str">
        <x:v>Kiểm tra từng thuộc tính có mặt; so sánh nguồn/role; không suy đoán từ kết quả render chưa có</x:v>
      </x:c>
      <x:c r="S75" t="str">
        <x:v>OFFICIAL_TEXT_VERIFIED</x:v>
      </x:c>
      <x:c r="T75"/>
      <x:c r="U75" t="str">
        <x:v>Văn bản/OOXML: xác định đối tượng trước khi sửa</x:v>
      </x:c>
    </x:row>
    <x:row r="76">
      <x:c r="A76" t="n">
        <x:v>75</x:v>
      </x:c>
      <x:c r="B76" t="str">
        <x:v>HD05.C.KY.CHUC_VU.DAM</x:v>
      </x:c>
      <x:c r="C76" t="str">
        <x:v>HD05.C.KY.CHUC_VU</x:v>
      </x:c>
      <x:c r="D76" t="str">
        <x:v>C</x:v>
      </x:c>
      <x:c r="E76" t="str">
        <x:v>Chức vụ/chức danh người ký</x:v>
      </x:c>
      <x:c r="F76" t="str">
        <x:v>DAM</x:v>
      </x:c>
      <x:c r="G76" t="str">
        <x:v>KHÔNG</x:v>
      </x:c>
      <x:c r="H76"/>
      <x:c r="I76" t="str">
        <x:v>UNVERIFIED_ATTRIBUTE</x:v>
      </x:c>
      <x:c r="J76" t="str">
        <x:v>PROFILE_PRESET_UNAPPROVED</x:v>
      </x:c>
      <x:c r="K76" t="str">
        <x:v>Chỉ khi có khối người ký; cần chứng cứ thẩm quyền, chức vụ, người ký; tài liệu soạn thảo không tạo chữ ký</x:v>
      </x:c>
      <x:c r="L76" t="str">
        <x:v>Không tạo nhân thân/chức vụ/dấu/chữ ký; bảo toàn nơi nhận và thẩm quyền.</x:v>
      </x:c>
      <x:c r="M76"/>
      <x:c r="N76" t="str">
        <x:v>HD05, Phần II, I.7; Phụ lục 2 mục 7</x:v>
      </x:c>
      <x:c r="O76" t="str">
        <x:v>https://tulieuvankien.dangcongsan.vn/upload/2006988/20260529/HD_05_VPTW_e1550.pdf</x:v>
      </x:c>
      <x:c r="P76" t="str">
        <x:v>PLUGIN:HOA-TIEU-MIEN-BAC-PARTY-HD05-HEADER-2026 | NEEDS_REVIEW</x:v>
      </x:c>
      <x:c r="Q76" t="str">
        <x:v>CHECK_ONLY</x:v>
      </x:c>
      <x:c r="R76" t="str">
        <x:v>Kiểm tra từng thuộc tính có mặt; so sánh nguồn/role; không suy đoán từ kết quả render chưa có</x:v>
      </x:c>
      <x:c r="S76" t="str">
        <x:v>STRUCTURE_READ_EXISTING_WORKBOOK</x:v>
      </x:c>
      <x:c r="T76"/>
      <x:c r="U76" t="str">
        <x:v>Văn bản/OOXML: xác định đối tượng trước khi sửa</x:v>
      </x:c>
    </x:row>
    <x:row r="77">
      <x:c r="A77" t="n">
        <x:v>76</x:v>
      </x:c>
      <x:c r="B77" t="str">
        <x:v>HD05.C.KY.CHUC_VU.NGHIENG</x:v>
      </x:c>
      <x:c r="C77" t="str">
        <x:v>HD05.C.KY.CHUC_VU</x:v>
      </x:c>
      <x:c r="D77" t="str">
        <x:v>C</x:v>
      </x:c>
      <x:c r="E77" t="str">
        <x:v>Chức vụ/chức danh người ký</x:v>
      </x:c>
      <x:c r="F77" t="str">
        <x:v>NGHIENG</x:v>
      </x:c>
      <x:c r="G77" t="str">
        <x:v>KHÔNG</x:v>
      </x:c>
      <x:c r="H77"/>
      <x:c r="I77" t="str">
        <x:v>UNVERIFIED_ATTRIBUTE</x:v>
      </x:c>
      <x:c r="J77" t="str">
        <x:v>PROFILE_PRESET_UNAPPROVED</x:v>
      </x:c>
      <x:c r="K77" t="str">
        <x:v>Chỉ khi có khối người ký; cần chứng cứ thẩm quyền, chức vụ, người ký; tài liệu soạn thảo không tạo chữ ký</x:v>
      </x:c>
      <x:c r="L77" t="str">
        <x:v>Không tạo nhân thân/chức vụ/dấu/chữ ký; bảo toàn nơi nhận và thẩm quyền.</x:v>
      </x:c>
      <x:c r="M77"/>
      <x:c r="N77" t="str">
        <x:v>HD05, Phần II, I.7; Phụ lục 2 mục 7</x:v>
      </x:c>
      <x:c r="O77" t="str">
        <x:v>https://tulieuvankien.dangcongsan.vn/upload/2006988/20260529/HD_05_VPTW_e1550.pdf</x:v>
      </x:c>
      <x:c r="P77" t="str">
        <x:v>PLUGIN:HOA-TIEU-MIEN-BAC-PARTY-HD05-HEADER-2026 | NEEDS_REVIEW</x:v>
      </x:c>
      <x:c r="Q77" t="str">
        <x:v>CHECK_ONLY</x:v>
      </x:c>
      <x:c r="R77" t="str">
        <x:v>Kiểm tra từng thuộc tính có mặt; so sánh nguồn/role; không suy đoán từ kết quả render chưa có</x:v>
      </x:c>
      <x:c r="S77" t="str">
        <x:v>STRUCTURE_READ_EXISTING_WORKBOOK</x:v>
      </x:c>
      <x:c r="T77"/>
      <x:c r="U77" t="str">
        <x:v>Văn bản/OOXML: xác định đối tượng trước khi sửa</x:v>
      </x:c>
    </x:row>
    <x:row r="78">
      <x:c r="A78" t="n">
        <x:v>77</x:v>
      </x:c>
      <x:c r="B78" t="str">
        <x:v>HD05.C.KY.CHUC_VU.KIEU_CHU</x:v>
      </x:c>
      <x:c r="C78" t="str">
        <x:v>HD05.C.KY.CHUC_VU</x:v>
      </x:c>
      <x:c r="D78" t="str">
        <x:v>C</x:v>
      </x:c>
      <x:c r="E78" t="str">
        <x:v>Chức vụ/chức danh người ký</x:v>
      </x:c>
      <x:c r="F78" t="str">
        <x:v>KIEU_CHU</x:v>
      </x:c>
      <x:c r="G78" t="str">
        <x:v>IN HOA</x:v>
      </x:c>
      <x:c r="H78"/>
      <x:c r="I78" t="str">
        <x:v>UNVERIFIED_ATTRIBUTE</x:v>
      </x:c>
      <x:c r="J78" t="str">
        <x:v>PROFILE_PRESET_UNAPPROVED</x:v>
      </x:c>
      <x:c r="K78" t="str">
        <x:v>Chỉ khi có khối người ký; cần chứng cứ thẩm quyền, chức vụ, người ký; tài liệu soạn thảo không tạo chữ ký</x:v>
      </x:c>
      <x:c r="L78" t="str">
        <x:v>Không tạo nhân thân/chức vụ/dấu/chữ ký; bảo toàn nơi nhận và thẩm quyền.</x:v>
      </x:c>
      <x:c r="M78"/>
      <x:c r="N78" t="str">
        <x:v>HD05, Phần II, I.7; Phụ lục 2 mục 7</x:v>
      </x:c>
      <x:c r="O78" t="str">
        <x:v>https://tulieuvankien.dangcongsan.vn/upload/2006988/20260529/HD_05_VPTW_e1550.pdf</x:v>
      </x:c>
      <x:c r="P78" t="str">
        <x:v>PLUGIN:HOA-TIEU-MIEN-BAC-PARTY-HD05-HEADER-2026 | NEEDS_REVIEW</x:v>
      </x:c>
      <x:c r="Q78" t="str">
        <x:v>CHECK_ONLY</x:v>
      </x:c>
      <x:c r="R78" t="str">
        <x:v>Kiểm tra từng thuộc tính có mặt; so sánh nguồn/role; không suy đoán từ kết quả render chưa có</x:v>
      </x:c>
      <x:c r="S78" t="str">
        <x:v>STRUCTURE_READ_EXISTING_WORKBOOK</x:v>
      </x:c>
      <x:c r="T78"/>
      <x:c r="U78" t="str">
        <x:v>Văn bản/OOXML: xác định đối tượng trước khi sửa</x:v>
      </x:c>
    </x:row>
    <x:row r="79">
      <x:c r="A79" t="n">
        <x:v>78</x:v>
      </x:c>
      <x:c r="B79" t="str">
        <x:v>HD05.C.KY.CHUC_VU.CAN_NGANG</x:v>
      </x:c>
      <x:c r="C79" t="str">
        <x:v>HD05.C.KY.CHUC_VU</x:v>
      </x:c>
      <x:c r="D79" t="str">
        <x:v>C</x:v>
      </x:c>
      <x:c r="E79" t="str">
        <x:v>Chức vụ/chức danh người ký</x:v>
      </x:c>
      <x:c r="F79" t="str">
        <x:v>CAN_NGANG</x:v>
      </x:c>
      <x:c r="G79" t="str">
        <x:v>CENTER</x:v>
      </x:c>
      <x:c r="H79"/>
      <x:c r="I79" t="str">
        <x:v>UNVERIFIED_ATTRIBUTE</x:v>
      </x:c>
      <x:c r="J79" t="str">
        <x:v>PROFILE_PRESET_UNAPPROVED</x:v>
      </x:c>
      <x:c r="K79" t="str">
        <x:v>Chỉ khi có khối người ký; cần chứng cứ thẩm quyền, chức vụ, người ký; tài liệu soạn thảo không tạo chữ ký</x:v>
      </x:c>
      <x:c r="L79" t="str">
        <x:v>Không tạo nhân thân/chức vụ/dấu/chữ ký; bảo toàn nơi nhận và thẩm quyền.</x:v>
      </x:c>
      <x:c r="M79"/>
      <x:c r="N79" t="str">
        <x:v>HD05, Phần II, I.7; Phụ lục 2 mục 7</x:v>
      </x:c>
      <x:c r="O79" t="str">
        <x:v>https://tulieuvankien.dangcongsan.vn/upload/2006988/20260529/HD_05_VPTW_e1550.pdf</x:v>
      </x:c>
      <x:c r="P79" t="str">
        <x:v>PLUGIN:HOA-TIEU-MIEN-BAC-PARTY-HD05-HEADER-2026 | NEEDS_REVIEW</x:v>
      </x:c>
      <x:c r="Q79" t="str">
        <x:v>CHECK_ONLY</x:v>
      </x:c>
      <x:c r="R79" t="str">
        <x:v>Kiểm tra từng thuộc tính có mặt; so sánh nguồn/role; không suy đoán từ kết quả render chưa có</x:v>
      </x:c>
      <x:c r="S79" t="str">
        <x:v>STRUCTURE_READ_EXISTING_WORKBOOK</x:v>
      </x:c>
      <x:c r="T79"/>
      <x:c r="U79" t="str">
        <x:v>Văn bản/OOXML: xác định đối tượng trước khi sửa</x:v>
      </x:c>
    </x:row>
    <x:row r="80">
      <x:c r="A80" t="n">
        <x:v>79</x:v>
      </x:c>
      <x:c r="B80" t="str">
        <x:v>HD05.C.KY.CHUC_VU.GIAN_DONG</x:v>
      </x:c>
      <x:c r="C80" t="str">
        <x:v>HD05.C.KY.CHUC_VU</x:v>
      </x:c>
      <x:c r="D80" t="str">
        <x:v>C</x:v>
      </x:c>
      <x:c r="E80" t="str">
        <x:v>Chức vụ/chức danh người ký</x:v>
      </x:c>
      <x:c r="F80" t="str">
        <x:v>GIAN_DONG</x:v>
      </x:c>
      <x:c r="G80" t="n">
        <x:v>1</x:v>
      </x:c>
      <x:c r="H80"/>
      <x:c r="I80" t="str">
        <x:v>UNVERIFIED_ATTRIBUTE</x:v>
      </x:c>
      <x:c r="J80" t="str">
        <x:v>PROFILE_PRESET_UNAPPROVED</x:v>
      </x:c>
      <x:c r="K80" t="str">
        <x:v>Chỉ khi có khối người ký; cần chứng cứ thẩm quyền, chức vụ, người ký; tài liệu soạn thảo không tạo chữ ký</x:v>
      </x:c>
      <x:c r="L80" t="str">
        <x:v>Không tạo nhân thân/chức vụ/dấu/chữ ký; bảo toàn nơi nhận và thẩm quyền.</x:v>
      </x:c>
      <x:c r="M80" t="str">
        <x:v>pt</x:v>
      </x:c>
      <x:c r="N80" t="str">
        <x:v>HD05, Phần II, I.7; Phụ lục 2 mục 7</x:v>
      </x:c>
      <x:c r="O80" t="str">
        <x:v>https://tulieuvankien.dangcongsan.vn/upload/2006988/20260529/HD_05_VPTW_e1550.pdf</x:v>
      </x:c>
      <x:c r="P80" t="str">
        <x:v>PLUGIN:HOA-TIEU-MIEN-BAC-PARTY-HD05-HEADER-2026 | NEEDS_REVIEW</x:v>
      </x:c>
      <x:c r="Q80" t="str">
        <x:v>CHECK_ONLY</x:v>
      </x:c>
      <x:c r="R80" t="str">
        <x:v>Kiểm tra từng thuộc tính có mặt; so sánh nguồn/role; không suy đoán từ kết quả render chưa có</x:v>
      </x:c>
      <x:c r="S80" t="str">
        <x:v>STRUCTURE_READ_EXISTING_WORKBOOK</x:v>
      </x:c>
      <x:c r="T80"/>
      <x:c r="U80" t="str">
        <x:v>Văn bản/OOXML: xác định đối tượng trước khi sửa</x:v>
      </x:c>
    </x:row>
    <x:row r="81">
      <x:c r="A81" t="n">
        <x:v>80</x:v>
      </x:c>
      <x:c r="B81" t="str">
        <x:v>HD05.C.KY.CHUC_VU.CACH_TRUOC</x:v>
      </x:c>
      <x:c r="C81" t="str">
        <x:v>HD05.C.KY.CHUC_VU</x:v>
      </x:c>
      <x:c r="D81" t="str">
        <x:v>C</x:v>
      </x:c>
      <x:c r="E81" t="str">
        <x:v>Chức vụ/chức danh người ký</x:v>
      </x:c>
      <x:c r="F81" t="str">
        <x:v>CACH_TRUOC</x:v>
      </x:c>
      <x:c r="G81" t="n">
        <x:v>0</x:v>
      </x:c>
      <x:c r="H81"/>
      <x:c r="I81" t="str">
        <x:v>UNVERIFIED_ATTRIBUTE</x:v>
      </x:c>
      <x:c r="J81" t="str">
        <x:v>PROFILE_PRESET_UNAPPROVED</x:v>
      </x:c>
      <x:c r="K81" t="str">
        <x:v>Chỉ khi có khối người ký; cần chứng cứ thẩm quyền, chức vụ, người ký; tài liệu soạn thảo không tạo chữ ký</x:v>
      </x:c>
      <x:c r="L81" t="str">
        <x:v>Không tạo nhân thân/chức vụ/dấu/chữ ký; bảo toàn nơi nhận và thẩm quyền.</x:v>
      </x:c>
      <x:c r="M81" t="str">
        <x:v>pt</x:v>
      </x:c>
      <x:c r="N81" t="str">
        <x:v>HD05, Phần II, I.7; Phụ lục 2 mục 7</x:v>
      </x:c>
      <x:c r="O81" t="str">
        <x:v>https://tulieuvankien.dangcongsan.vn/upload/2006988/20260529/HD_05_VPTW_e1550.pdf</x:v>
      </x:c>
      <x:c r="P81" t="str">
        <x:v>PLUGIN:HOA-TIEU-MIEN-BAC-PARTY-HD05-HEADER-2026 | NEEDS_REVIEW</x:v>
      </x:c>
      <x:c r="Q81" t="str">
        <x:v>CHECK_ONLY</x:v>
      </x:c>
      <x:c r="R81" t="str">
        <x:v>Kiểm tra từng thuộc tính có mặt; so sánh nguồn/role; không suy đoán từ kết quả render chưa có</x:v>
      </x:c>
      <x:c r="S81" t="str">
        <x:v>STRUCTURE_READ_EXISTING_WORKBOOK</x:v>
      </x:c>
      <x:c r="T81"/>
      <x:c r="U81" t="str">
        <x:v>Văn bản/OOXML: xác định đối tượng trước khi sửa</x:v>
      </x:c>
    </x:row>
    <x:row r="82">
      <x:c r="A82" t="n">
        <x:v>81</x:v>
      </x:c>
      <x:c r="B82" t="str">
        <x:v>HD05.C.KY.CHUC_VU.CACH_SAU</x:v>
      </x:c>
      <x:c r="C82" t="str">
        <x:v>HD05.C.KY.CHUC_VU</x:v>
      </x:c>
      <x:c r="D82" t="str">
        <x:v>C</x:v>
      </x:c>
      <x:c r="E82" t="str">
        <x:v>Chức vụ/chức danh người ký</x:v>
      </x:c>
      <x:c r="F82" t="str">
        <x:v>CACH_SAU</x:v>
      </x:c>
      <x:c r="G82" t="n">
        <x:v>0</x:v>
      </x:c>
      <x:c r="H82"/>
      <x:c r="I82" t="str">
        <x:v>UNVERIFIED_ATTRIBUTE</x:v>
      </x:c>
      <x:c r="J82" t="str">
        <x:v>PROFILE_PRESET_UNAPPROVED</x:v>
      </x:c>
      <x:c r="K82" t="str">
        <x:v>Chỉ khi có khối người ký; cần chứng cứ thẩm quyền, chức vụ, người ký; tài liệu soạn thảo không tạo chữ ký</x:v>
      </x:c>
      <x:c r="L82" t="str">
        <x:v>Không tạo nhân thân/chức vụ/dấu/chữ ký; bảo toàn nơi nhận và thẩm quyền.</x:v>
      </x:c>
      <x:c r="M82" t="str">
        <x:v>pt</x:v>
      </x:c>
      <x:c r="N82" t="str">
        <x:v>HD05, Phần II, I.7; Phụ lục 2 mục 7</x:v>
      </x:c>
      <x:c r="O82" t="str">
        <x:v>https://tulieuvankien.dangcongsan.vn/upload/2006988/20260529/HD_05_VPTW_e1550.pdf</x:v>
      </x:c>
      <x:c r="P82" t="str">
        <x:v>PLUGIN:HOA-TIEU-MIEN-BAC-PARTY-HD05-HEADER-2026 | NEEDS_REVIEW</x:v>
      </x:c>
      <x:c r="Q82" t="str">
        <x:v>CHECK_ONLY</x:v>
      </x:c>
      <x:c r="R82" t="str">
        <x:v>Kiểm tra từng thuộc tính có mặt; so sánh nguồn/role; không suy đoán từ kết quả render chưa có</x:v>
      </x:c>
      <x:c r="S82" t="str">
        <x:v>STRUCTURE_READ_EXISTING_WORKBOOK</x:v>
      </x:c>
      <x:c r="T82"/>
      <x:c r="U82" t="str">
        <x:v>Văn bản/OOXML: xác định đối tượng trước khi sửa</x:v>
      </x:c>
    </x:row>
    <x:row r="83">
      <x:c r="A83" t="n">
        <x:v>82</x:v>
      </x:c>
      <x:c r="B83" t="str">
        <x:v>HD05.C.KY.CHUC_VU.VI_TRI</x:v>
      </x:c>
      <x:c r="C83" t="str">
        <x:v>HD05.C.KY.CHUC_VU</x:v>
      </x:c>
      <x:c r="D83" t="str">
        <x:v>C</x:v>
      </x:c>
      <x:c r="E83" t="str">
        <x:v>Chức vụ/chức danh người ký</x:v>
      </x:c>
      <x:c r="F83" t="str">
        <x:v>VI_TRI</x:v>
      </x:c>
      <x:c r="G83" t="str">
        <x:v>KHỐI PHẢI</x:v>
      </x:c>
      <x:c r="H83"/>
      <x:c r="I83" t="str">
        <x:v>UNVERIFIED_ATTRIBUTE</x:v>
      </x:c>
      <x:c r="J83" t="str">
        <x:v>PROFILE_PRESET_UNAPPROVED</x:v>
      </x:c>
      <x:c r="K83" t="str">
        <x:v>Chỉ khi có khối người ký; cần chứng cứ thẩm quyền, chức vụ, người ký; tài liệu soạn thảo không tạo chữ ký</x:v>
      </x:c>
      <x:c r="L83" t="str">
        <x:v>Không tạo nhân thân/chức vụ/dấu/chữ ký; bảo toàn nơi nhận và thẩm quyền.</x:v>
      </x:c>
      <x:c r="M83"/>
      <x:c r="N83" t="str">
        <x:v>HD05, Phần II, I.7; Phụ lục 2 mục 7</x:v>
      </x:c>
      <x:c r="O83" t="str">
        <x:v>https://tulieuvankien.dangcongsan.vn/upload/2006988/20260529/HD_05_VPTW_e1550.pdf</x:v>
      </x:c>
      <x:c r="P83" t="str">
        <x:v>PLUGIN:HOA-TIEU-MIEN-BAC-PARTY-HD05-HEADER-2026 | NEEDS_REVIEW</x:v>
      </x:c>
      <x:c r="Q83" t="str">
        <x:v>CHECK_ONLY</x:v>
      </x:c>
      <x:c r="R83" t="str">
        <x:v>Kiểm tra từng thuộc tính có mặt; so sánh nguồn/role; không suy đoán từ kết quả render chưa có</x:v>
      </x:c>
      <x:c r="S83" t="str">
        <x:v>STRUCTURE_READ_EXISTING_WORKBOOK</x:v>
      </x:c>
      <x:c r="T83"/>
      <x:c r="U83" t="str">
        <x:v>Văn bản/OOXML: xác định đối tượng trước khi sửa</x:v>
      </x:c>
    </x:row>
    <x:row r="84">
      <x:c r="A84" t="n">
        <x:v>83</x:v>
      </x:c>
      <x:c r="B84" t="str">
        <x:v>HD05.C.KY.CHUC_VU.KEEP_NEXT</x:v>
      </x:c>
      <x:c r="C84" t="str">
        <x:v>HD05.C.KY.CHUC_VU</x:v>
      </x:c>
      <x:c r="D84" t="str">
        <x:v>C</x:v>
      </x:c>
      <x:c r="E84" t="str">
        <x:v>Chức vụ/chức danh người ký</x:v>
      </x:c>
      <x:c r="F84" t="str">
        <x:v>KEEP_NEXT</x:v>
      </x:c>
      <x:c r="G84"/>
      <x:c r="H84"/>
      <x:c r="I84" t="str">
        <x:v>UNVERIFIED_ATTRIBUTE</x:v>
      </x:c>
      <x:c r="J84" t="str">
        <x:v>BLOCKED_NO_ATTRIBUTE_VALUE</x:v>
      </x:c>
      <x:c r="K84" t="str">
        <x:v>Chỉ khi có khối người ký; cần chứng cứ thẩm quyền, chức vụ, người ký; tài liệu soạn thảo không tạo chữ ký</x:v>
      </x:c>
      <x:c r="L84" t="str">
        <x:v>Không tạo nhân thân/chức vụ/dấu/chữ ký; bảo toàn nơi nhận và thẩm quyền.</x:v>
      </x:c>
      <x:c r="M84"/>
      <x:c r="N84" t="str">
        <x:v>HD05, Phần II, I.7; Phụ lục 2 mục 7</x:v>
      </x:c>
      <x:c r="O84" t="str">
        <x:v>https://tulieuvankien.dangcongsan.vn/upload/2006988/20260529/HD_05_VPTW_e1550.pdf</x:v>
      </x:c>
      <x:c r="P84" t="str">
        <x:v>PLUGIN:HOA-TIEU-MIEN-BAC-PARTY-HD05-HEADER-2026 | NEEDS_REVIEW</x:v>
      </x:c>
      <x:c r="Q84" t="str">
        <x:v>CHECK_ONLY</x:v>
      </x:c>
      <x:c r="R84" t="str">
        <x:v>Kiểm tra từng thuộc tính có mặt; so sánh nguồn/role; không suy đoán từ kết quả render chưa có</x:v>
      </x:c>
      <x:c r="S84" t="str">
        <x:v>RULE_INFERENCE_NOT_MEASURED</x:v>
      </x:c>
      <x:c r="T84" t="str">
        <x:v>Xác minh căn cứ theo loại văn bản / tài liệu phát hành hoặc phê duyệt</x:v>
      </x:c>
      <x:c r="U84" t="str">
        <x:v>Văn bản/OOXML: xác định đối tượng trước khi sửa</x:v>
      </x:c>
    </x:row>
    <x:row r="85">
      <x:c r="A85" t="n">
        <x:v>84</x:v>
      </x:c>
      <x:c r="B85" t="str">
        <x:v>HD05.C.KY.CHU_KY.HIEN_DIEN</x:v>
      </x:c>
      <x:c r="C85" t="str">
        <x:v>HD05.C.KY.CHU_KY</x:v>
      </x:c>
      <x:c r="D85" t="str">
        <x:v>C</x:v>
      </x:c>
      <x:c r="E85" t="str">
        <x:v>Vị trí chữ ký của người có thẩm quyền</x:v>
      </x:c>
      <x:c r="F85" t="str">
        <x:v>HIEN_DIEN</x:v>
      </x:c>
      <x:c r="G85" t="str">
        <x:v>Khối ký tùy thẩm quyền/loại văn bản</x:v>
      </x:c>
      <x:c r="H85"/>
      <x:c r="I85" t="str">
        <x:v>UNVERIFIED_ATTRIBUTE</x:v>
      </x:c>
      <x:c r="J85" t="str">
        <x:v>CHECK_ONLY_PROTECTED</x:v>
      </x:c>
      <x:c r="K85" t="str">
        <x:v>Chỉ khi có khối người ký; cần chứng cứ thẩm quyền, chức vụ, người ký; tài liệu soạn thảo không tạo chữ ký</x:v>
      </x:c>
      <x:c r="L85" t="str">
        <x:v>Không tạo nhân thân/chức vụ/dấu/chữ ký; bảo toàn nơi nhận và thẩm quyền.</x:v>
      </x:c>
      <x:c r="M85"/>
      <x:c r="N85" t="str">
        <x:v>HD05, Phần II, I.7; Phụ lục 2 mục 7</x:v>
      </x:c>
      <x:c r="O85" t="str">
        <x:v>https://tulieuvankien.dangcongsan.vn/upload/2006988/20260529/HD_05_VPTW_e1550.pdf</x:v>
      </x:c>
      <x:c r="P85" t="str">
        <x:v>PLUGIN:HOA-TIEU-MIEN-BAC-PARTY-HD05-HEADER-2026 | NEEDS_REVIEW</x:v>
      </x:c>
      <x:c r="Q85" t="str">
        <x:v>CHECK_ONLY</x:v>
      </x:c>
      <x:c r="R85" t="str">
        <x:v>Kiểm tra từng thuộc tính có mặt; so sánh nguồn/role; không suy đoán từ kết quả render chưa có</x:v>
      </x:c>
      <x:c r="S85" t="str">
        <x:v>STRUCTURE_READ_EXISTING_WORKBOOK</x:v>
      </x:c>
      <x:c r="T85"/>
      <x:c r="U85" t="str">
        <x:v>Văn bản/OOXML: xác định đối tượng trước khi sửa</x:v>
      </x:c>
    </x:row>
    <x:row r="86">
      <x:c r="A86" t="n">
        <x:v>85</x:v>
      </x:c>
      <x:c r="B86" t="str">
        <x:v>HD05.C.KY.CHU_KY.NOI_DUNG</x:v>
      </x:c>
      <x:c r="C86" t="str">
        <x:v>HD05.C.KY.CHU_KY</x:v>
      </x:c>
      <x:c r="D86" t="str">
        <x:v>C</x:v>
      </x:c>
      <x:c r="E86" t="str">
        <x:v>Vị trí chữ ký của người có thẩm quyền</x:v>
      </x:c>
      <x:c r="F86" t="str">
        <x:v>NOI_DUNG</x:v>
      </x:c>
      <x:c r="G86" t="str">
        <x:v>Vị trí chữ ký của người có thẩm quyền</x:v>
      </x:c>
      <x:c r="H86"/>
      <x:c r="I86" t="str">
        <x:v>UNVERIFIED_ATTRIBUTE</x:v>
      </x:c>
      <x:c r="J86" t="str">
        <x:v>CHECK_ONLY_PROTECTED</x:v>
      </x:c>
      <x:c r="K86" t="str">
        <x:v>Chỉ khi có khối người ký; cần chứng cứ thẩm quyền, chức vụ, người ký; tài liệu soạn thảo không tạo chữ ký</x:v>
      </x:c>
      <x:c r="L86" t="str">
        <x:v>Không tạo nhân thân/chức vụ/dấu/chữ ký; bảo toàn nơi nhận và thẩm quyền.</x:v>
      </x:c>
      <x:c r="M86"/>
      <x:c r="N86" t="str">
        <x:v>HD05, Phần II, I.7; Phụ lục 2 mục 7</x:v>
      </x:c>
      <x:c r="O86" t="str">
        <x:v>https://tulieuvankien.dangcongsan.vn/upload/2006988/20260529/HD_05_VPTW_e1550.pdf</x:v>
      </x:c>
      <x:c r="P86" t="str">
        <x:v>PLUGIN:HOA-TIEU-MIEN-BAC-PARTY-HD05-HEADER-2026 | NEEDS_REVIEW</x:v>
      </x:c>
      <x:c r="Q86" t="str">
        <x:v>CHECK_ONLY</x:v>
      </x:c>
      <x:c r="R86" t="str">
        <x:v>Kiểm tra từng thuộc tính có mặt; so sánh nguồn/role; không suy đoán từ kết quả render chưa có</x:v>
      </x:c>
      <x:c r="S86" t="str">
        <x:v>STRUCTURE_READ_EXISTING_WORKBOOK</x:v>
      </x:c>
      <x:c r="T86"/>
      <x:c r="U86" t="str">
        <x:v>Văn bản/OOXML: xác định đối tượng trước khi sửa</x:v>
      </x:c>
    </x:row>
    <x:row r="87">
      <x:c r="A87" t="n">
        <x:v>86</x:v>
      </x:c>
      <x:c r="B87" t="str">
        <x:v>HD05.C.KY.CHU_KY.HINH_ANH</x:v>
      </x:c>
      <x:c r="C87" t="str">
        <x:v>HD05.C.KY.CHU_KY</x:v>
      </x:c>
      <x:c r="D87" t="str">
        <x:v>C</x:v>
      </x:c>
      <x:c r="E87" t="str">
        <x:v>Vị trí chữ ký của người có thẩm quyền</x:v>
      </x:c>
      <x:c r="F87" t="str">
        <x:v>HINH_ANH</x:v>
      </x:c>
      <x:c r="G87"/>
      <x:c r="H87"/>
      <x:c r="I87" t="str">
        <x:v>UNVERIFIED_ATTRIBUTE</x:v>
      </x:c>
      <x:c r="J87" t="str">
        <x:v>CHECK_ONLY_PROTECTED</x:v>
      </x:c>
      <x:c r="K87" t="str">
        <x:v>Chỉ khi có khối người ký; cần chứng cứ thẩm quyền, chức vụ, người ký; tài liệu soạn thảo không tạo chữ ký</x:v>
      </x:c>
      <x:c r="L87" t="str">
        <x:v>Không tạo nhân thân/chức vụ/dấu/chữ ký; bảo toàn nơi nhận và thẩm quyền.</x:v>
      </x:c>
      <x:c r="M87"/>
      <x:c r="N87" t="str">
        <x:v>HD05, Phần II, I.7; Phụ lục 2 mục 7</x:v>
      </x:c>
      <x:c r="O87" t="str">
        <x:v>https://tulieuvankien.dangcongsan.vn/upload/2006988/20260529/HD_05_VPTW_e1550.pdf</x:v>
      </x:c>
      <x:c r="P87" t="str">
        <x:v>PLUGIN:HOA-TIEU-MIEN-BAC-PARTY-HD05-HEADER-2026 | NEEDS_REVIEW</x:v>
      </x:c>
      <x:c r="Q87" t="str">
        <x:v>CHECK_ONLY</x:v>
      </x:c>
      <x:c r="R87" t="str">
        <x:v>Kiểm tra từng thuộc tính có mặt; so sánh nguồn/role; không suy đoán từ kết quả render chưa có</x:v>
      </x:c>
      <x:c r="S87" t="str">
        <x:v>RULE_INFERENCE_NOT_MEASURED</x:v>
      </x:c>
      <x:c r="T87"/>
      <x:c r="U87" t="str">
        <x:v>Văn bản/OOXML: xác định đối tượng trước khi sửa</x:v>
      </x:c>
    </x:row>
    <x:row r="88">
      <x:c r="A88" t="n">
        <x:v>87</x:v>
      </x:c>
      <x:c r="B88" t="str">
        <x:v>HD05.C.KY.CHU_KY.VI_TRI</x:v>
      </x:c>
      <x:c r="C88" t="str">
        <x:v>HD05.C.KY.CHU_KY</x:v>
      </x:c>
      <x:c r="D88" t="str">
        <x:v>C</x:v>
      </x:c>
      <x:c r="E88" t="str">
        <x:v>Vị trí chữ ký của người có thẩm quyền</x:v>
      </x:c>
      <x:c r="F88" t="str">
        <x:v>VI_TRI</x:v>
      </x:c>
      <x:c r="G88" t="str">
        <x:v>KHỐI PHẢI</x:v>
      </x:c>
      <x:c r="H88"/>
      <x:c r="I88" t="str">
        <x:v>UNVERIFIED_ATTRIBUTE</x:v>
      </x:c>
      <x:c r="J88" t="str">
        <x:v>CHECK_ONLY_PROTECTED</x:v>
      </x:c>
      <x:c r="K88" t="str">
        <x:v>Chỉ khi có khối người ký; cần chứng cứ thẩm quyền, chức vụ, người ký; tài liệu soạn thảo không tạo chữ ký</x:v>
      </x:c>
      <x:c r="L88" t="str">
        <x:v>Không tạo nhân thân/chức vụ/dấu/chữ ký; bảo toàn nơi nhận và thẩm quyền.</x:v>
      </x:c>
      <x:c r="M88"/>
      <x:c r="N88" t="str">
        <x:v>HD05, Phần II, I.7; Phụ lục 2 mục 7</x:v>
      </x:c>
      <x:c r="O88" t="str">
        <x:v>https://tulieuvankien.dangcongsan.vn/upload/2006988/20260529/HD_05_VPTW_e1550.pdf</x:v>
      </x:c>
      <x:c r="P88" t="str">
        <x:v>PLUGIN:HOA-TIEU-MIEN-BAC-PARTY-HD05-HEADER-2026 | NEEDS_REVIEW</x:v>
      </x:c>
      <x:c r="Q88" t="str">
        <x:v>CHECK_ONLY</x:v>
      </x:c>
      <x:c r="R88" t="str">
        <x:v>Kiểm tra từng thuộc tính có mặt; so sánh nguồn/role; không suy đoán từ kết quả render chưa có</x:v>
      </x:c>
      <x:c r="S88" t="str">
        <x:v>STRUCTURE_READ_EXISTING_WORKBOOK</x:v>
      </x:c>
      <x:c r="T88"/>
      <x:c r="U88" t="str">
        <x:v>Văn bản/OOXML: xác định đối tượng trước khi sửa</x:v>
      </x:c>
    </x:row>
    <x:row r="89">
      <x:c r="A89" t="n">
        <x:v>88</x:v>
      </x:c>
      <x:c r="B89" t="str">
        <x:v>HD05.C.KY.CHU_KY.TRANG_THAI_HIEN_THI</x:v>
      </x:c>
      <x:c r="C89" t="str">
        <x:v>HD05.C.KY.CHU_KY</x:v>
      </x:c>
      <x:c r="D89" t="str">
        <x:v>C</x:v>
      </x:c>
      <x:c r="E89" t="str">
        <x:v>Vị trí chữ ký của người có thẩm quyền</x:v>
      </x:c>
      <x:c r="F89" t="str">
        <x:v>TRANG_THAI_HIEN_THI</x:v>
      </x:c>
      <x:c r="G89"/>
      <x:c r="H89"/>
      <x:c r="I89" t="str">
        <x:v>UNVERIFIED_ATTRIBUTE</x:v>
      </x:c>
      <x:c r="J89" t="str">
        <x:v>CHECK_ONLY_PROTECTED</x:v>
      </x:c>
      <x:c r="K89" t="str">
        <x:v>Chỉ khi có khối người ký; cần chứng cứ thẩm quyền, chức vụ, người ký; tài liệu soạn thảo không tạo chữ ký</x:v>
      </x:c>
      <x:c r="L89" t="str">
        <x:v>Không tạo nhân thân/chức vụ/dấu/chữ ký; bảo toàn nơi nhận và thẩm quyền.</x:v>
      </x:c>
      <x:c r="M89"/>
      <x:c r="N89" t="str">
        <x:v>HD05, Phần II, I.7; Phụ lục 2 mục 7</x:v>
      </x:c>
      <x:c r="O89" t="str">
        <x:v>https://tulieuvankien.dangcongsan.vn/upload/2006988/20260529/HD_05_VPTW_e1550.pdf</x:v>
      </x:c>
      <x:c r="P89" t="str">
        <x:v>PLUGIN:HOA-TIEU-MIEN-BAC-PARTY-HD05-HEADER-2026 | NEEDS_REVIEW</x:v>
      </x:c>
      <x:c r="Q89" t="str">
        <x:v>CHECK_ONLY</x:v>
      </x:c>
      <x:c r="R89" t="str">
        <x:v>Kiểm tra từng thuộc tính có mặt; so sánh nguồn/role; không suy đoán từ kết quả render chưa có</x:v>
      </x:c>
      <x:c r="S89" t="str">
        <x:v>RULE_INFERENCE_NOT_MEASURED</x:v>
      </x:c>
      <x:c r="T89"/>
      <x:c r="U89" t="str">
        <x:v>Văn bản/OOXML: xác định đối tượng trước khi sửa</x:v>
      </x:c>
    </x:row>
    <x:row r="90">
      <x:c r="A90" t="n">
        <x:v>89</x:v>
      </x:c>
      <x:c r="B90" t="str">
        <x:v>HD05.C.KY.HO_TEN.HIEN_DIEN</x:v>
      </x:c>
      <x:c r="C90" t="str">
        <x:v>HD05.C.KY.HO_TEN</x:v>
      </x:c>
      <x:c r="D90" t="str">
        <x:v>C</x:v>
      </x:c>
      <x:c r="E90" t="str">
        <x:v>Họ tên người ký</x:v>
      </x:c>
      <x:c r="F90" t="str">
        <x:v>HIEN_DIEN</x:v>
      </x:c>
      <x:c r="G90" t="str">
        <x:v>Khối ký tùy thẩm quyền/loại văn bản</x:v>
      </x:c>
      <x:c r="H90"/>
      <x:c r="I90" t="str">
        <x:v>UNVERIFIED_ATTRIBUTE</x:v>
      </x:c>
      <x:c r="J90" t="str">
        <x:v>SOURCE_DESCRIPTION_NOT_APPROVAL</x:v>
      </x:c>
      <x:c r="K90" t="str">
        <x:v>Chỉ khi có khối người ký; cần chứng cứ thẩm quyền, chức vụ, người ký; tài liệu soạn thảo không tạo chữ ký</x:v>
      </x:c>
      <x:c r="L90" t="str">
        <x:v>Không tạo nhân thân/chức vụ/dấu/chữ ký; bảo toàn nơi nhận và thẩm quyền.</x:v>
      </x:c>
      <x:c r="M90"/>
      <x:c r="N90" t="str">
        <x:v>HD05, Phần II, I.7; Phụ lục 2 mục 7</x:v>
      </x:c>
      <x:c r="O90" t="str">
        <x:v>https://tulieuvankien.dangcongsan.vn/upload/2006988/20260529/HD_05_VPTW_e1550.pdf</x:v>
      </x:c>
      <x:c r="P90" t="str">
        <x:v>PLUGIN:HOA-TIEU-MIEN-BAC-PARTY-HD05-HEADER-2026 | NEEDS_REVIEW</x:v>
      </x:c>
      <x:c r="Q90" t="str">
        <x:v>CHECK_ONLY</x:v>
      </x:c>
      <x:c r="R90" t="str">
        <x:v>Kiểm tra từng thuộc tính có mặt; so sánh nguồn/role; không suy đoán từ kết quả render chưa có</x:v>
      </x:c>
      <x:c r="S90" t="str">
        <x:v>STRUCTURE_READ_EXISTING_WORKBOOK</x:v>
      </x:c>
      <x:c r="T90"/>
      <x:c r="U90" t="str">
        <x:v>Văn bản/OOXML: xác định đối tượng trước khi sửa</x:v>
      </x:c>
    </x:row>
    <x:row r="91">
      <x:c r="A91" t="n">
        <x:v>90</x:v>
      </x:c>
      <x:c r="B91" t="str">
        <x:v>HD05.C.KY.HO_TEN.NOI_DUNG</x:v>
      </x:c>
      <x:c r="C91" t="str">
        <x:v>HD05.C.KY.HO_TEN</x:v>
      </x:c>
      <x:c r="D91" t="str">
        <x:v>C</x:v>
      </x:c>
      <x:c r="E91" t="str">
        <x:v>Họ tên người ký</x:v>
      </x:c>
      <x:c r="F91" t="str">
        <x:v>NOI_DUNG</x:v>
      </x:c>
      <x:c r="G91" t="str">
        <x:v>Họ tên người ký</x:v>
      </x:c>
      <x:c r="H91"/>
      <x:c r="I91" t="str">
        <x:v>UNVERIFIED_ATTRIBUTE</x:v>
      </x:c>
      <x:c r="J91" t="str">
        <x:v>SOURCE_DESCRIPTION_NOT_APPROVAL</x:v>
      </x:c>
      <x:c r="K91" t="str">
        <x:v>Chỉ khi có khối người ký; cần chứng cứ thẩm quyền, chức vụ, người ký; tài liệu soạn thảo không tạo chữ ký</x:v>
      </x:c>
      <x:c r="L91" t="str">
        <x:v>Không tạo nhân thân/chức vụ/dấu/chữ ký; bảo toàn nơi nhận và thẩm quyền.</x:v>
      </x:c>
      <x:c r="M91"/>
      <x:c r="N91" t="str">
        <x:v>HD05, Phần II, I.7; Phụ lục 2 mục 7</x:v>
      </x:c>
      <x:c r="O91" t="str">
        <x:v>https://tulieuvankien.dangcongsan.vn/upload/2006988/20260529/HD_05_VPTW_e1550.pdf</x:v>
      </x:c>
      <x:c r="P91" t="str">
        <x:v>PLUGIN:HOA-TIEU-MIEN-BAC-PARTY-HD05-HEADER-2026 | NEEDS_REVIEW</x:v>
      </x:c>
      <x:c r="Q91" t="str">
        <x:v>CHECK_ONLY</x:v>
      </x:c>
      <x:c r="R91" t="str">
        <x:v>Kiểm tra từng thuộc tính có mặt; so sánh nguồn/role; không suy đoán từ kết quả render chưa có</x:v>
      </x:c>
      <x:c r="S91" t="str">
        <x:v>STRUCTURE_READ_EXISTING_WORKBOOK</x:v>
      </x:c>
      <x:c r="T91"/>
      <x:c r="U91" t="str">
        <x:v>Văn bản/OOXML: xác định đối tượng trước khi sửa</x:v>
      </x:c>
    </x:row>
    <x:row r="92">
      <x:c r="A92" t="n">
        <x:v>91</x:v>
      </x:c>
      <x:c r="B92" t="str">
        <x:v>HD05.C.KY.HO_TEN.PHONG_CHU</x:v>
      </x:c>
      <x:c r="C92" t="str">
        <x:v>HD05.C.KY.HO_TEN</x:v>
      </x:c>
      <x:c r="D92" t="str">
        <x:v>C</x:v>
      </x:c>
      <x:c r="E92" t="str">
        <x:v>Họ tên người ký</x:v>
      </x:c>
      <x:c r="F92" t="str">
        <x:v>PHONG_CHU</x:v>
      </x:c>
      <x:c r="G92" t="str">
        <x:v>Times New Roman</x:v>
      </x:c>
      <x:c r="H92"/>
      <x:c r="I92" t="str">
        <x:v>UNVERIFIED_ATTRIBUTE</x:v>
      </x:c>
      <x:c r="J92" t="str">
        <x:v>PROFILE_PRESET_UNAPPROVED</x:v>
      </x:c>
      <x:c r="K92" t="str">
        <x:v>Chỉ khi có khối người ký; cần chứng cứ thẩm quyền, chức vụ, người ký; tài liệu soạn thảo không tạo chữ ký</x:v>
      </x:c>
      <x:c r="L92" t="str">
        <x:v>Không tạo nhân thân/chức vụ/dấu/chữ ký; bảo toàn nơi nhận và thẩm quyền.</x:v>
      </x:c>
      <x:c r="M92"/>
      <x:c r="N92" t="str">
        <x:v>HD05, Phần II, I.7; Phụ lục 2 mục 7</x:v>
      </x:c>
      <x:c r="O92" t="str">
        <x:v>https://tulieuvankien.dangcongsan.vn/upload/2006988/20260529/HD_05_VPTW_e1550.pdf</x:v>
      </x:c>
      <x:c r="P92" t="str">
        <x:v>PLUGIN:HOA-TIEU-MIEN-BAC-PARTY-HD05-HEADER-2026 | NEEDS_REVIEW</x:v>
      </x:c>
      <x:c r="Q92" t="str">
        <x:v>CHECK_ONLY</x:v>
      </x:c>
      <x:c r="R92" t="str">
        <x:v>Kiểm tra từng thuộc tính có mặt; so sánh nguồn/role; không suy đoán từ kết quả render chưa có</x:v>
      </x:c>
      <x:c r="S92" t="str">
        <x:v>STRUCTURE_READ_EXISTING_WORKBOOK</x:v>
      </x:c>
      <x:c r="T92"/>
      <x:c r="U92" t="str">
        <x:v>Văn bản/OOXML: xác định đối tượng trước khi sửa</x:v>
      </x:c>
    </x:row>
    <x:row r="93">
      <x:c r="A93" t="n">
        <x:v>92</x:v>
      </x:c>
      <x:c r="B93" t="str">
        <x:v>HD05.C.KY.HO_TEN.CO_CHU</x:v>
      </x:c>
      <x:c r="C93" t="str">
        <x:v>HD05.C.KY.HO_TEN</x:v>
      </x:c>
      <x:c r="D93" t="str">
        <x:v>C</x:v>
      </x:c>
      <x:c r="E93" t="str">
        <x:v>Họ tên người ký</x:v>
      </x:c>
      <x:c r="F93" t="str">
        <x:v>CO_CHU</x:v>
      </x:c>
      <x:c r="G93" t="n">
        <x:v>14</x:v>
      </x:c>
      <x:c r="H93" t="n">
        <x:v>14</x:v>
      </x:c>
      <x:c r="I93" t="str">
        <x:v>LEGAL_EXPLICIT_CHECKED</x:v>
      </x:c>
      <x:c r="J93" t="str">
        <x:v>PROFILE_PRESET_UNAPPROVED</x:v>
      </x:c>
      <x:c r="K93" t="str">
        <x:v>Chỉ khi có khối người ký; cần chứng cứ thẩm quyền, chức vụ, người ký; tài liệu soạn thảo không tạo chữ ký</x:v>
      </x:c>
      <x:c r="L93" t="str">
        <x:v>Không tạo nhân thân/chức vụ/dấu/chữ ký; bảo toàn nơi nhận và thẩm quyền.</x:v>
      </x:c>
      <x:c r="M93" t="str">
        <x:v>pt</x:v>
      </x:c>
      <x:c r="N93" t="str">
        <x:v>Phụ lục 2, mục 7</x:v>
      </x:c>
      <x:c r="O93" t="str">
        <x:v>https://tulieuvankien.dangcongsan.vn/upload/2006988/20260529/HD_05_VPTW_e1550.pdf</x:v>
      </x:c>
      <x:c r="P93" t="str">
        <x:v>PLUGIN:HOA-TIEU-MIEN-BAC-PARTY-HD05-HEADER-2026 | NEEDS_REVIEW</x:v>
      </x:c>
      <x:c r="Q93" t="str">
        <x:v>CHECK_ONLY</x:v>
      </x:c>
      <x:c r="R93" t="str">
        <x:v>Kiểm tra từng thuộc tính có mặt; so sánh nguồn/role; không suy đoán từ kết quả render chưa có</x:v>
      </x:c>
      <x:c r="S93" t="str">
        <x:v>OFFICIAL_TEXT_VERIFIED</x:v>
      </x:c>
      <x:c r="T93"/>
      <x:c r="U93" t="str">
        <x:v>Văn bản/OOXML: xác định đối tượng trước khi sửa</x:v>
      </x:c>
    </x:row>
    <x:row r="94">
      <x:c r="A94" t="n">
        <x:v>93</x:v>
      </x:c>
      <x:c r="B94" t="str">
        <x:v>HD05.C.KY.HO_TEN.DAM</x:v>
      </x:c>
      <x:c r="C94" t="str">
        <x:v>HD05.C.KY.HO_TEN</x:v>
      </x:c>
      <x:c r="D94" t="str">
        <x:v>C</x:v>
      </x:c>
      <x:c r="E94" t="str">
        <x:v>Họ tên người ký</x:v>
      </x:c>
      <x:c r="F94" t="str">
        <x:v>DAM</x:v>
      </x:c>
      <x:c r="G94" t="str">
        <x:v>CÓ</x:v>
      </x:c>
      <x:c r="H94" t="str">
        <x:v>CÓ</x:v>
      </x:c>
      <x:c r="I94" t="str">
        <x:v>LEGAL_EXPLICIT_CHECKED</x:v>
      </x:c>
      <x:c r="J94" t="str">
        <x:v>PROFILE_PRESET_UNAPPROVED</x:v>
      </x:c>
      <x:c r="K94" t="str">
        <x:v>Chỉ khi có khối người ký; cần chứng cứ thẩm quyền, chức vụ, người ký; tài liệu soạn thảo không tạo chữ ký</x:v>
      </x:c>
      <x:c r="L94" t="str">
        <x:v>Không tạo nhân thân/chức vụ/dấu/chữ ký; bảo toàn nơi nhận và thẩm quyền.</x:v>
      </x:c>
      <x:c r="M94"/>
      <x:c r="N94" t="str">
        <x:v>Phụ lục 2, mục 7</x:v>
      </x:c>
      <x:c r="O94" t="str">
        <x:v>https://tulieuvankien.dangcongsan.vn/upload/2006988/20260529/HD_05_VPTW_e1550.pdf</x:v>
      </x:c>
      <x:c r="P94" t="str">
        <x:v>PLUGIN:HOA-TIEU-MIEN-BAC-PARTY-HD05-HEADER-2026 | NEEDS_REVIEW</x:v>
      </x:c>
      <x:c r="Q94" t="str">
        <x:v>CHECK_ONLY</x:v>
      </x:c>
      <x:c r="R94" t="str">
        <x:v>Kiểm tra từng thuộc tính có mặt; so sánh nguồn/role; không suy đoán từ kết quả render chưa có</x:v>
      </x:c>
      <x:c r="S94" t="str">
        <x:v>OFFICIAL_TEXT_VERIFIED</x:v>
      </x:c>
      <x:c r="T94"/>
      <x:c r="U94" t="str">
        <x:v>Văn bản/OOXML: xác định đối tượng trước khi sửa</x:v>
      </x:c>
    </x:row>
    <x:row r="95">
      <x:c r="A95" t="n">
        <x:v>94</x:v>
      </x:c>
      <x:c r="B95" t="str">
        <x:v>HD05.C.KY.HO_TEN.NGHIENG</x:v>
      </x:c>
      <x:c r="C95" t="str">
        <x:v>HD05.C.KY.HO_TEN</x:v>
      </x:c>
      <x:c r="D95" t="str">
        <x:v>C</x:v>
      </x:c>
      <x:c r="E95" t="str">
        <x:v>Họ tên người ký</x:v>
      </x:c>
      <x:c r="F95" t="str">
        <x:v>NGHIENG</x:v>
      </x:c>
      <x:c r="G95" t="str">
        <x:v>KHÔNG</x:v>
      </x:c>
      <x:c r="H95"/>
      <x:c r="I95" t="str">
        <x:v>UNVERIFIED_ATTRIBUTE</x:v>
      </x:c>
      <x:c r="J95" t="str">
        <x:v>PROFILE_PRESET_UNAPPROVED</x:v>
      </x:c>
      <x:c r="K95" t="str">
        <x:v>Chỉ khi có khối người ký; cần chứng cứ thẩm quyền, chức vụ, người ký; tài liệu soạn thảo không tạo chữ ký</x:v>
      </x:c>
      <x:c r="L95" t="str">
        <x:v>Không tạo nhân thân/chức vụ/dấu/chữ ký; bảo toàn nơi nhận và thẩm quyền.</x:v>
      </x:c>
      <x:c r="M95"/>
      <x:c r="N95" t="str">
        <x:v>HD05, Phần II, I.7; Phụ lục 2 mục 7</x:v>
      </x:c>
      <x:c r="O95" t="str">
        <x:v>https://tulieuvankien.dangcongsan.vn/upload/2006988/20260529/HD_05_VPTW_e1550.pdf</x:v>
      </x:c>
      <x:c r="P95" t="str">
        <x:v>PLUGIN:HOA-TIEU-MIEN-BAC-PARTY-HD05-HEADER-2026 | NEEDS_REVIEW</x:v>
      </x:c>
      <x:c r="Q95" t="str">
        <x:v>CHECK_ONLY</x:v>
      </x:c>
      <x:c r="R95" t="str">
        <x:v>Kiểm tra từng thuộc tính có mặt; so sánh nguồn/role; không suy đoán từ kết quả render chưa có</x:v>
      </x:c>
      <x:c r="S95" t="str">
        <x:v>STRUCTURE_READ_EXISTING_WORKBOOK</x:v>
      </x:c>
      <x:c r="T95"/>
      <x:c r="U95" t="str">
        <x:v>Văn bản/OOXML: xác định đối tượng trước khi sửa</x:v>
      </x:c>
    </x:row>
    <x:row r="96">
      <x:c r="A96" t="n">
        <x:v>95</x:v>
      </x:c>
      <x:c r="B96" t="str">
        <x:v>HD05.C.KY.HO_TEN.KIEU_CHU</x:v>
      </x:c>
      <x:c r="C96" t="str">
        <x:v>HD05.C.KY.HO_TEN</x:v>
      </x:c>
      <x:c r="D96" t="str">
        <x:v>C</x:v>
      </x:c>
      <x:c r="E96" t="str">
        <x:v>Họ tên người ký</x:v>
      </x:c>
      <x:c r="F96" t="str">
        <x:v>KIEU_CHU</x:v>
      </x:c>
      <x:c r="G96" t="str">
        <x:v>Theo tên người ký</x:v>
      </x:c>
      <x:c r="H96"/>
      <x:c r="I96" t="str">
        <x:v>UNVERIFIED_ATTRIBUTE</x:v>
      </x:c>
      <x:c r="J96" t="str">
        <x:v>PROFILE_PRESET_UNAPPROVED</x:v>
      </x:c>
      <x:c r="K96" t="str">
        <x:v>Chỉ khi có khối người ký; cần chứng cứ thẩm quyền, chức vụ, người ký; tài liệu soạn thảo không tạo chữ ký</x:v>
      </x:c>
      <x:c r="L96" t="str">
        <x:v>Không tạo nhân thân/chức vụ/dấu/chữ ký; bảo toàn nơi nhận và thẩm quyền.</x:v>
      </x:c>
      <x:c r="M96"/>
      <x:c r="N96" t="str">
        <x:v>HD05, Phần II, I.7; Phụ lục 2 mục 7</x:v>
      </x:c>
      <x:c r="O96" t="str">
        <x:v>https://tulieuvankien.dangcongsan.vn/upload/2006988/20260529/HD_05_VPTW_e1550.pdf</x:v>
      </x:c>
      <x:c r="P96" t="str">
        <x:v>PLUGIN:HOA-TIEU-MIEN-BAC-PARTY-HD05-HEADER-2026 | NEEDS_REVIEW</x:v>
      </x:c>
      <x:c r="Q96" t="str">
        <x:v>CHECK_ONLY</x:v>
      </x:c>
      <x:c r="R96" t="str">
        <x:v>Kiểm tra từng thuộc tính có mặt; so sánh nguồn/role; không suy đoán từ kết quả render chưa có</x:v>
      </x:c>
      <x:c r="S96" t="str">
        <x:v>STRUCTURE_READ_EXISTING_WORKBOOK</x:v>
      </x:c>
      <x:c r="T96"/>
      <x:c r="U96" t="str">
        <x:v>Văn bản/OOXML: xác định đối tượng trước khi sửa</x:v>
      </x:c>
    </x:row>
    <x:row r="97">
      <x:c r="A97" t="n">
        <x:v>96</x:v>
      </x:c>
      <x:c r="B97" t="str">
        <x:v>HD05.C.KY.HO_TEN.CAN_NGANG</x:v>
      </x:c>
      <x:c r="C97" t="str">
        <x:v>HD05.C.KY.HO_TEN</x:v>
      </x:c>
      <x:c r="D97" t="str">
        <x:v>C</x:v>
      </x:c>
      <x:c r="E97" t="str">
        <x:v>Họ tên người ký</x:v>
      </x:c>
      <x:c r="F97" t="str">
        <x:v>CAN_NGANG</x:v>
      </x:c>
      <x:c r="G97" t="str">
        <x:v>CENTER</x:v>
      </x:c>
      <x:c r="H97"/>
      <x:c r="I97" t="str">
        <x:v>UNVERIFIED_ATTRIBUTE</x:v>
      </x:c>
      <x:c r="J97" t="str">
        <x:v>PROFILE_PRESET_UNAPPROVED</x:v>
      </x:c>
      <x:c r="K97" t="str">
        <x:v>Chỉ khi có khối người ký; cần chứng cứ thẩm quyền, chức vụ, người ký; tài liệu soạn thảo không tạo chữ ký</x:v>
      </x:c>
      <x:c r="L97" t="str">
        <x:v>Không tạo nhân thân/chức vụ/dấu/chữ ký; bảo toàn nơi nhận và thẩm quyền.</x:v>
      </x:c>
      <x:c r="M97"/>
      <x:c r="N97" t="str">
        <x:v>HD05, Phần II, I.7; Phụ lục 2 mục 7</x:v>
      </x:c>
      <x:c r="O97" t="str">
        <x:v>https://tulieuvankien.dangcongsan.vn/upload/2006988/20260529/HD_05_VPTW_e1550.pdf</x:v>
      </x:c>
      <x:c r="P97" t="str">
        <x:v>PLUGIN:HOA-TIEU-MIEN-BAC-PARTY-HD05-HEADER-2026 | NEEDS_REVIEW</x:v>
      </x:c>
      <x:c r="Q97" t="str">
        <x:v>CHECK_ONLY</x:v>
      </x:c>
      <x:c r="R97" t="str">
        <x:v>Kiểm tra từng thuộc tính có mặt; so sánh nguồn/role; không suy đoán từ kết quả render chưa có</x:v>
      </x:c>
      <x:c r="S97" t="str">
        <x:v>STRUCTURE_READ_EXISTING_WORKBOOK</x:v>
      </x:c>
      <x:c r="T97"/>
      <x:c r="U97" t="str">
        <x:v>Văn bản/OOXML: xác định đối tượng trước khi sửa</x:v>
      </x:c>
    </x:row>
    <x:row r="98">
      <x:c r="A98" t="n">
        <x:v>97</x:v>
      </x:c>
      <x:c r="B98" t="str">
        <x:v>HD05.C.KY.HO_TEN.GIAN_DONG</x:v>
      </x:c>
      <x:c r="C98" t="str">
        <x:v>HD05.C.KY.HO_TEN</x:v>
      </x:c>
      <x:c r="D98" t="str">
        <x:v>C</x:v>
      </x:c>
      <x:c r="E98" t="str">
        <x:v>Họ tên người ký</x:v>
      </x:c>
      <x:c r="F98" t="str">
        <x:v>GIAN_DONG</x:v>
      </x:c>
      <x:c r="G98" t="n">
        <x:v>1</x:v>
      </x:c>
      <x:c r="H98"/>
      <x:c r="I98" t="str">
        <x:v>UNVERIFIED_ATTRIBUTE</x:v>
      </x:c>
      <x:c r="J98" t="str">
        <x:v>PROFILE_PRESET_UNAPPROVED</x:v>
      </x:c>
      <x:c r="K98" t="str">
        <x:v>Chỉ khi có khối người ký; cần chứng cứ thẩm quyền, chức vụ, người ký; tài liệu soạn thảo không tạo chữ ký</x:v>
      </x:c>
      <x:c r="L98" t="str">
        <x:v>Không tạo nhân thân/chức vụ/dấu/chữ ký; bảo toàn nơi nhận và thẩm quyền.</x:v>
      </x:c>
      <x:c r="M98" t="str">
        <x:v>pt</x:v>
      </x:c>
      <x:c r="N98" t="str">
        <x:v>HD05, Phần II, I.7; Phụ lục 2 mục 7</x:v>
      </x:c>
      <x:c r="O98" t="str">
        <x:v>https://tulieuvankien.dangcongsan.vn/upload/2006988/20260529/HD_05_VPTW_e1550.pdf</x:v>
      </x:c>
      <x:c r="P98" t="str">
        <x:v>PLUGIN:HOA-TIEU-MIEN-BAC-PARTY-HD05-HEADER-2026 | NEEDS_REVIEW</x:v>
      </x:c>
      <x:c r="Q98" t="str">
        <x:v>CHECK_ONLY</x:v>
      </x:c>
      <x:c r="R98" t="str">
        <x:v>Kiểm tra từng thuộc tính có mặt; so sánh nguồn/role; không suy đoán từ kết quả render chưa có</x:v>
      </x:c>
      <x:c r="S98" t="str">
        <x:v>STRUCTURE_READ_EXISTING_WORKBOOK</x:v>
      </x:c>
      <x:c r="T98"/>
      <x:c r="U98" t="str">
        <x:v>Văn bản/OOXML: xác định đối tượng trước khi sửa</x:v>
      </x:c>
    </x:row>
    <x:row r="99">
      <x:c r="A99" t="n">
        <x:v>98</x:v>
      </x:c>
      <x:c r="B99" t="str">
        <x:v>HD05.C.KY.HO_TEN.CACH_TRUOC</x:v>
      </x:c>
      <x:c r="C99" t="str">
        <x:v>HD05.C.KY.HO_TEN</x:v>
      </x:c>
      <x:c r="D99" t="str">
        <x:v>C</x:v>
      </x:c>
      <x:c r="E99" t="str">
        <x:v>Họ tên người ký</x:v>
      </x:c>
      <x:c r="F99" t="str">
        <x:v>CACH_TRUOC</x:v>
      </x:c>
      <x:c r="G99" t="n">
        <x:v>0</x:v>
      </x:c>
      <x:c r="H99"/>
      <x:c r="I99" t="str">
        <x:v>UNVERIFIED_ATTRIBUTE</x:v>
      </x:c>
      <x:c r="J99" t="str">
        <x:v>PROFILE_PRESET_UNAPPROVED</x:v>
      </x:c>
      <x:c r="K99" t="str">
        <x:v>Chỉ khi có khối người ký; cần chứng cứ thẩm quyền, chức vụ, người ký; tài liệu soạn thảo không tạo chữ ký</x:v>
      </x:c>
      <x:c r="L99" t="str">
        <x:v>Không tạo nhân thân/chức vụ/dấu/chữ ký; bảo toàn nơi nhận và thẩm quyền.</x:v>
      </x:c>
      <x:c r="M99" t="str">
        <x:v>pt</x:v>
      </x:c>
      <x:c r="N99" t="str">
        <x:v>HD05, Phần II, I.7; Phụ lục 2 mục 7</x:v>
      </x:c>
      <x:c r="O99" t="str">
        <x:v>https://tulieuvankien.dangcongsan.vn/upload/2006988/20260529/HD_05_VPTW_e1550.pdf</x:v>
      </x:c>
      <x:c r="P99" t="str">
        <x:v>PLUGIN:HOA-TIEU-MIEN-BAC-PARTY-HD05-HEADER-2026 | NEEDS_REVIEW</x:v>
      </x:c>
      <x:c r="Q99" t="str">
        <x:v>CHECK_ONLY</x:v>
      </x:c>
      <x:c r="R99" t="str">
        <x:v>Kiểm tra từng thuộc tính có mặt; so sánh nguồn/role; không suy đoán từ kết quả render chưa có</x:v>
      </x:c>
      <x:c r="S99" t="str">
        <x:v>STRUCTURE_READ_EXISTING_WORKBOOK</x:v>
      </x:c>
      <x:c r="T99"/>
      <x:c r="U99" t="str">
        <x:v>Văn bản/OOXML: xác định đối tượng trước khi sửa</x:v>
      </x:c>
    </x:row>
    <x:row r="100">
      <x:c r="A100" t="n">
        <x:v>99</x:v>
      </x:c>
      <x:c r="B100" t="str">
        <x:v>HD05.C.KY.HO_TEN.CACH_SAU</x:v>
      </x:c>
      <x:c r="C100" t="str">
        <x:v>HD05.C.KY.HO_TEN</x:v>
      </x:c>
      <x:c r="D100" t="str">
        <x:v>C</x:v>
      </x:c>
      <x:c r="E100" t="str">
        <x:v>Họ tên người ký</x:v>
      </x:c>
      <x:c r="F100" t="str">
        <x:v>CACH_SAU</x:v>
      </x:c>
      <x:c r="G100" t="n">
        <x:v>0</x:v>
      </x:c>
      <x:c r="H100"/>
      <x:c r="I100" t="str">
        <x:v>UNVERIFIED_ATTRIBUTE</x:v>
      </x:c>
      <x:c r="J100" t="str">
        <x:v>PROFILE_PRESET_UNAPPROVED</x:v>
      </x:c>
      <x:c r="K100" t="str">
        <x:v>Chỉ khi có khối người ký; cần chứng cứ thẩm quyền, chức vụ, người ký; tài liệu soạn thảo không tạo chữ ký</x:v>
      </x:c>
      <x:c r="L100" t="str">
        <x:v>Không tạo nhân thân/chức vụ/dấu/chữ ký; bảo toàn nơi nhận và thẩm quyền.</x:v>
      </x:c>
      <x:c r="M100" t="str">
        <x:v>pt</x:v>
      </x:c>
      <x:c r="N100" t="str">
        <x:v>HD05, Phần II, I.7; Phụ lục 2 mục 7</x:v>
      </x:c>
      <x:c r="O100" t="str">
        <x:v>https://tulieuvankien.dangcongsan.vn/upload/2006988/20260529/HD_05_VPTW_e1550.pdf</x:v>
      </x:c>
      <x:c r="P100" t="str">
        <x:v>PLUGIN:HOA-TIEU-MIEN-BAC-PARTY-HD05-HEADER-2026 | NEEDS_REVIEW</x:v>
      </x:c>
      <x:c r="Q100" t="str">
        <x:v>CHECK_ONLY</x:v>
      </x:c>
      <x:c r="R100" t="str">
        <x:v>Kiểm tra từng thuộc tính có mặt; so sánh nguồn/role; không suy đoán từ kết quả render chưa có</x:v>
      </x:c>
      <x:c r="S100" t="str">
        <x:v>STRUCTURE_READ_EXISTING_WORKBOOK</x:v>
      </x:c>
      <x:c r="T100"/>
      <x:c r="U100" t="str">
        <x:v>Văn bản/OOXML: xác định đối tượng trước khi sửa</x:v>
      </x:c>
    </x:row>
    <x:row r="101">
      <x:c r="A101" t="n">
        <x:v>100</x:v>
      </x:c>
      <x:c r="B101" t="str">
        <x:v>HD05.C.KY.HO_TEN.VI_TRI</x:v>
      </x:c>
      <x:c r="C101" t="str">
        <x:v>HD05.C.KY.HO_TEN</x:v>
      </x:c>
      <x:c r="D101" t="str">
        <x:v>C</x:v>
      </x:c>
      <x:c r="E101" t="str">
        <x:v>Họ tên người ký</x:v>
      </x:c>
      <x:c r="F101" t="str">
        <x:v>VI_TRI</x:v>
      </x:c>
      <x:c r="G101" t="str">
        <x:v>KHỐI PHẢI</x:v>
      </x:c>
      <x:c r="H101"/>
      <x:c r="I101" t="str">
        <x:v>UNVERIFIED_ATTRIBUTE</x:v>
      </x:c>
      <x:c r="J101" t="str">
        <x:v>PROFILE_PRESET_UNAPPROVED</x:v>
      </x:c>
      <x:c r="K101" t="str">
        <x:v>Chỉ khi có khối người ký; cần chứng cứ thẩm quyền, chức vụ, người ký; tài liệu soạn thảo không tạo chữ ký</x:v>
      </x:c>
      <x:c r="L101" t="str">
        <x:v>Không tạo nhân thân/chức vụ/dấu/chữ ký; bảo toàn nơi nhận và thẩm quyền.</x:v>
      </x:c>
      <x:c r="M101"/>
      <x:c r="N101" t="str">
        <x:v>HD05, Phần II, I.7; Phụ lục 2 mục 7</x:v>
      </x:c>
      <x:c r="O101" t="str">
        <x:v>https://tulieuvankien.dangcongsan.vn/upload/2006988/20260529/HD_05_VPTW_e1550.pdf</x:v>
      </x:c>
      <x:c r="P101" t="str">
        <x:v>PLUGIN:HOA-TIEU-MIEN-BAC-PARTY-HD05-HEADER-2026 | NEEDS_REVIEW</x:v>
      </x:c>
      <x:c r="Q101" t="str">
        <x:v>CHECK_ONLY</x:v>
      </x:c>
      <x:c r="R101" t="str">
        <x:v>Kiểm tra từng thuộc tính có mặt; so sánh nguồn/role; không suy đoán từ kết quả render chưa có</x:v>
      </x:c>
      <x:c r="S101" t="str">
        <x:v>STRUCTURE_READ_EXISTING_WORKBOOK</x:v>
      </x:c>
      <x:c r="T101"/>
      <x:c r="U101" t="str">
        <x:v>Văn bản/OOXML: xác định đối tượng trước khi sửa</x:v>
      </x:c>
    </x:row>
    <x:row r="102">
      <x:c r="A102" t="n">
        <x:v>101</x:v>
      </x:c>
      <x:c r="B102" t="str">
        <x:v>HD05.C.KY.HO_TEN.KEEP_NEXT</x:v>
      </x:c>
      <x:c r="C102" t="str">
        <x:v>HD05.C.KY.HO_TEN</x:v>
      </x:c>
      <x:c r="D102" t="str">
        <x:v>C</x:v>
      </x:c>
      <x:c r="E102" t="str">
        <x:v>Họ tên người ký</x:v>
      </x:c>
      <x:c r="F102" t="str">
        <x:v>KEEP_NEXT</x:v>
      </x:c>
      <x:c r="G102"/>
      <x:c r="H102"/>
      <x:c r="I102" t="str">
        <x:v>UNVERIFIED_ATTRIBUTE</x:v>
      </x:c>
      <x:c r="J102" t="str">
        <x:v>BLOCKED_NO_ATTRIBUTE_VALUE</x:v>
      </x:c>
      <x:c r="K102" t="str">
        <x:v>Chỉ khi có khối người ký; cần chứng cứ thẩm quyền, chức vụ, người ký; tài liệu soạn thảo không tạo chữ ký</x:v>
      </x:c>
      <x:c r="L102" t="str">
        <x:v>Không tạo nhân thân/chức vụ/dấu/chữ ký; bảo toàn nơi nhận và thẩm quyền.</x:v>
      </x:c>
      <x:c r="M102"/>
      <x:c r="N102" t="str">
        <x:v>HD05, Phần II, I.7; Phụ lục 2 mục 7</x:v>
      </x:c>
      <x:c r="O102" t="str">
        <x:v>https://tulieuvankien.dangcongsan.vn/upload/2006988/20260529/HD_05_VPTW_e1550.pdf</x:v>
      </x:c>
      <x:c r="P102" t="str">
        <x:v>PLUGIN:HOA-TIEU-MIEN-BAC-PARTY-HD05-HEADER-2026 | NEEDS_REVIEW</x:v>
      </x:c>
      <x:c r="Q102" t="str">
        <x:v>CHECK_ONLY</x:v>
      </x:c>
      <x:c r="R102" t="str">
        <x:v>Kiểm tra từng thuộc tính có mặt; so sánh nguồn/role; không suy đoán từ kết quả render chưa có</x:v>
      </x:c>
      <x:c r="S102" t="str">
        <x:v>RULE_INFERENCE_NOT_MEASURED</x:v>
      </x:c>
      <x:c r="T102" t="str">
        <x:v>Xác minh căn cứ theo loại văn bản / tài liệu phát hành hoặc phê duyệt</x:v>
      </x:c>
      <x:c r="U102" t="str">
        <x:v>Văn bản/OOXML: xác định đối tượng trước khi sửa</x:v>
      </x:c>
    </x:row>
    <x:row r="103">
      <x:c r="A103" t="n">
        <x:v>102</x:v>
      </x:c>
      <x:c r="B103" t="str">
        <x:v>HD05.C.KY.KHOI_KY.HIEN_DIEN</x:v>
      </x:c>
      <x:c r="C103" t="str">
        <x:v>HD05.C.KY.KHOI_KY</x:v>
      </x:c>
      <x:c r="D103" t="str">
        <x:v>C</x:v>
      </x:c>
      <x:c r="E103" t="str">
        <x:v>Một khối ký có thể lặp nhiều instance</x:v>
      </x:c>
      <x:c r="F103" t="str">
        <x:v>HIEN_DIEN</x:v>
      </x:c>
      <x:c r="G103" t="str">
        <x:v>Khối ký tùy thẩm quyền/loại văn bản</x:v>
      </x:c>
      <x:c r="H103"/>
      <x:c r="I103" t="str">
        <x:v>UNVERIFIED_ATTRIBUTE</x:v>
      </x:c>
      <x:c r="J103" t="str">
        <x:v>SOURCE_DESCRIPTION_NOT_APPROVAL</x:v>
      </x:c>
      <x:c r="K103" t="str">
        <x:v>Chỉ khi có khối người ký; cần chứng cứ thẩm quyền, chức vụ, người ký; tài liệu soạn thảo không tạo chữ ký</x:v>
      </x:c>
      <x:c r="L103" t="str">
        <x:v>Không tạo nhân thân/chức vụ/dấu/chữ ký; bảo toàn nơi nhận và thẩm quyền.</x:v>
      </x:c>
      <x:c r="M103"/>
      <x:c r="N103" t="str">
        <x:v>HD05, Phần II, I.7; Phụ lục 2 mục 7</x:v>
      </x:c>
      <x:c r="O103" t="str">
        <x:v>https://tulieuvankien.dangcongsan.vn/upload/2006988/20260529/HD_05_VPTW_e1550.pdf</x:v>
      </x:c>
      <x:c r="P103" t="str">
        <x:v>PLUGIN:HOA-TIEU-MIEN-BAC-PARTY-HD05-HEADER-2026 | NEEDS_REVIEW</x:v>
      </x:c>
      <x:c r="Q103" t="str">
        <x:v>CHECK_ONLY</x:v>
      </x:c>
      <x:c r="R103" t="str">
        <x:v>Kiểm tra từng thuộc tính có mặt; so sánh nguồn/role; không suy đoán từ kết quả render chưa có</x:v>
      </x:c>
      <x:c r="S103" t="str">
        <x:v>STRUCTURE_READ_EXISTING_WORKBOOK</x:v>
      </x:c>
      <x:c r="T103"/>
      <x:c r="U103" t="str">
        <x:v>Văn bản/OOXML: xác định đối tượng trước khi sửa</x:v>
      </x:c>
    </x:row>
    <x:row r="104">
      <x:c r="A104" t="n">
        <x:v>103</x:v>
      </x:c>
      <x:c r="B104" t="str">
        <x:v>HD05.C.KY.KHOI_KY.NOI_DUNG</x:v>
      </x:c>
      <x:c r="C104" t="str">
        <x:v>HD05.C.KY.KHOI_KY</x:v>
      </x:c>
      <x:c r="D104" t="str">
        <x:v>C</x:v>
      </x:c>
      <x:c r="E104" t="str">
        <x:v>Một khối ký có thể lặp nhiều instance</x:v>
      </x:c>
      <x:c r="F104" t="str">
        <x:v>NOI_DUNG</x:v>
      </x:c>
      <x:c r="G104" t="str">
        <x:v>Cụm signer lặp được; bố cục nhiều người ký/biên bản theo mẫu riêng</x:v>
      </x:c>
      <x:c r="H104"/>
      <x:c r="I104" t="str">
        <x:v>UNVERIFIED_ATTRIBUTE</x:v>
      </x:c>
      <x:c r="J104" t="str">
        <x:v>SOURCE_DESCRIPTION_NOT_APPROVAL</x:v>
      </x:c>
      <x:c r="K104" t="str">
        <x:v>Chỉ khi có khối người ký; cần chứng cứ thẩm quyền, chức vụ, người ký; tài liệu soạn thảo không tạo chữ ký</x:v>
      </x:c>
      <x:c r="L104" t="str">
        <x:v>Không tạo nhân thân/chức vụ/dấu/chữ ký; bảo toàn nơi nhận và thẩm quyền.</x:v>
      </x:c>
      <x:c r="M104"/>
      <x:c r="N104" t="str">
        <x:v>HD05, Phần II, I.7; Phụ lục 2 mục 7</x:v>
      </x:c>
      <x:c r="O104" t="str">
        <x:v>https://tulieuvankien.dangcongsan.vn/upload/2006988/20260529/HD_05_VPTW_e1550.pdf</x:v>
      </x:c>
      <x:c r="P104" t="str">
        <x:v>PLUGIN:HOA-TIEU-MIEN-BAC-PARTY-HD05-HEADER-2026 | NEEDS_REVIEW</x:v>
      </x:c>
      <x:c r="Q104" t="str">
        <x:v>CHECK_ONLY</x:v>
      </x:c>
      <x:c r="R104" t="str">
        <x:v>Kiểm tra từng thuộc tính có mặt; so sánh nguồn/role; không suy đoán từ kết quả render chưa có</x:v>
      </x:c>
      <x:c r="S104" t="str">
        <x:v>STRUCTURE_READ_EXISTING_WORKBOOK</x:v>
      </x:c>
      <x:c r="T104"/>
      <x:c r="U104" t="str">
        <x:v>Văn bản/OOXML: xác định đối tượng trước khi sửa</x:v>
      </x:c>
    </x:row>
    <x:row r="105">
      <x:c r="A105" t="n">
        <x:v>104</x:v>
      </x:c>
      <x:c r="B105" t="str">
        <x:v>HD05.C.KY.KHOI_KY.CAU_TRUC</x:v>
      </x:c>
      <x:c r="C105" t="str">
        <x:v>HD05.C.KY.KHOI_KY</x:v>
      </x:c>
      <x:c r="D105" t="str">
        <x:v>C</x:v>
      </x:c>
      <x:c r="E105" t="str">
        <x:v>Một khối ký có thể lặp nhiều instance</x:v>
      </x:c>
      <x:c r="F105" t="str">
        <x:v>CAU_TRUC</x:v>
      </x:c>
      <x:c r="G105"/>
      <x:c r="H105"/>
      <x:c r="I105" t="str">
        <x:v>UNVERIFIED_ATTRIBUTE</x:v>
      </x:c>
      <x:c r="J105" t="str">
        <x:v>BLOCKED_NO_ATTRIBUTE_VALUE</x:v>
      </x:c>
      <x:c r="K105" t="str">
        <x:v>Chỉ khi có khối người ký; cần chứng cứ thẩm quyền, chức vụ, người ký; tài liệu soạn thảo không tạo chữ ký</x:v>
      </x:c>
      <x:c r="L105" t="str">
        <x:v>Không tạo nhân thân/chức vụ/dấu/chữ ký; bảo toàn nơi nhận và thẩm quyền.</x:v>
      </x:c>
      <x:c r="M105"/>
      <x:c r="N105" t="str">
        <x:v>HD05, Phần II, I.7; Phụ lục 2 mục 7</x:v>
      </x:c>
      <x:c r="O105" t="str">
        <x:v>https://tulieuvankien.dangcongsan.vn/upload/2006988/20260529/HD_05_VPTW_e1550.pdf</x:v>
      </x:c>
      <x:c r="P105" t="str">
        <x:v>PLUGIN:HOA-TIEU-MIEN-BAC-PARTY-HD05-HEADER-2026 | NEEDS_REVIEW</x:v>
      </x:c>
      <x:c r="Q105" t="str">
        <x:v>CHECK_ONLY</x:v>
      </x:c>
      <x:c r="R105" t="str">
        <x:v>Kiểm tra từng thuộc tính có mặt; so sánh nguồn/role; không suy đoán từ kết quả render chưa có</x:v>
      </x:c>
      <x:c r="S105" t="str">
        <x:v>RULE_INFERENCE_NOT_MEASURED</x:v>
      </x:c>
      <x:c r="T105" t="str">
        <x:v>Xác minh căn cứ theo loại văn bản / tài liệu phát hành hoặc phê duyệt</x:v>
      </x:c>
      <x:c r="U105" t="str">
        <x:v>Văn bản/OOXML: xác định đối tượng trước khi sửa</x:v>
      </x:c>
    </x:row>
    <x:row r="106">
      <x:c r="A106" t="n">
        <x:v>105</x:v>
      </x:c>
      <x:c r="B106" t="str">
        <x:v>HD05.C.KY.KHOI_KY.VI_TRI</x:v>
      </x:c>
      <x:c r="C106" t="str">
        <x:v>HD05.C.KY.KHOI_KY</x:v>
      </x:c>
      <x:c r="D106" t="str">
        <x:v>C</x:v>
      </x:c>
      <x:c r="E106" t="str">
        <x:v>Một khối ký có thể lặp nhiều instance</x:v>
      </x:c>
      <x:c r="F106" t="str">
        <x:v>VI_TRI</x:v>
      </x:c>
      <x:c r="G106" t="str">
        <x:v>KHỐI PHẢI</x:v>
      </x:c>
      <x:c r="H106"/>
      <x:c r="I106" t="str">
        <x:v>UNVERIFIED_ATTRIBUTE</x:v>
      </x:c>
      <x:c r="J106" t="str">
        <x:v>PROFILE_PRESET_UNAPPROVED</x:v>
      </x:c>
      <x:c r="K106" t="str">
        <x:v>Chỉ khi có khối người ký; cần chứng cứ thẩm quyền, chức vụ, người ký; tài liệu soạn thảo không tạo chữ ký</x:v>
      </x:c>
      <x:c r="L106" t="str">
        <x:v>Không tạo nhân thân/chức vụ/dấu/chữ ký; bảo toàn nơi nhận và thẩm quyền.</x:v>
      </x:c>
      <x:c r="M106"/>
      <x:c r="N106" t="str">
        <x:v>HD05, Phần II, I.7; Phụ lục 2 mục 7</x:v>
      </x:c>
      <x:c r="O106" t="str">
        <x:v>https://tulieuvankien.dangcongsan.vn/upload/2006988/20260529/HD_05_VPTW_e1550.pdf</x:v>
      </x:c>
      <x:c r="P106" t="str">
        <x:v>PLUGIN:HOA-TIEU-MIEN-BAC-PARTY-HD05-HEADER-2026 | NEEDS_REVIEW</x:v>
      </x:c>
      <x:c r="Q106" t="str">
        <x:v>CHECK_ONLY</x:v>
      </x:c>
      <x:c r="R106" t="str">
        <x:v>Kiểm tra từng thuộc tính có mặt; so sánh nguồn/role; không suy đoán từ kết quả render chưa có</x:v>
      </x:c>
      <x:c r="S106" t="str">
        <x:v>STRUCTURE_READ_EXISTING_WORKBOOK</x:v>
      </x:c>
      <x:c r="T106"/>
      <x:c r="U106" t="str">
        <x:v>Văn bản/OOXML: xác định đối tượng trước khi sửa</x:v>
      </x:c>
    </x:row>
    <x:row r="107">
      <x:c r="A107" t="n">
        <x:v>106</x:v>
      </x:c>
      <x:c r="B107" t="str">
        <x:v>HD05.C.KY.KHOI_KY.KEEP_NEXT</x:v>
      </x:c>
      <x:c r="C107" t="str">
        <x:v>HD05.C.KY.KHOI_KY</x:v>
      </x:c>
      <x:c r="D107" t="str">
        <x:v>C</x:v>
      </x:c>
      <x:c r="E107" t="str">
        <x:v>Một khối ký có thể lặp nhiều instance</x:v>
      </x:c>
      <x:c r="F107" t="str">
        <x:v>KEEP_NEXT</x:v>
      </x:c>
      <x:c r="G107"/>
      <x:c r="H107"/>
      <x:c r="I107" t="str">
        <x:v>UNVERIFIED_ATTRIBUTE</x:v>
      </x:c>
      <x:c r="J107" t="str">
        <x:v>BLOCKED_NO_ATTRIBUTE_VALUE</x:v>
      </x:c>
      <x:c r="K107" t="str">
        <x:v>Chỉ khi có khối người ký; cần chứng cứ thẩm quyền, chức vụ, người ký; tài liệu soạn thảo không tạo chữ ký</x:v>
      </x:c>
      <x:c r="L107" t="str">
        <x:v>Không tạo nhân thân/chức vụ/dấu/chữ ký; bảo toàn nơi nhận và thẩm quyền.</x:v>
      </x:c>
      <x:c r="M107"/>
      <x:c r="N107" t="str">
        <x:v>HD05, Phần II, I.7; Phụ lục 2 mục 7</x:v>
      </x:c>
      <x:c r="O107" t="str">
        <x:v>https://tulieuvankien.dangcongsan.vn/upload/2006988/20260529/HD_05_VPTW_e1550.pdf</x:v>
      </x:c>
      <x:c r="P107" t="str">
        <x:v>PLUGIN:HOA-TIEU-MIEN-BAC-PARTY-HD05-HEADER-2026 | NEEDS_REVIEW</x:v>
      </x:c>
      <x:c r="Q107" t="str">
        <x:v>CHECK_ONLY</x:v>
      </x:c>
      <x:c r="R107" t="str">
        <x:v>Kiểm tra từng thuộc tính có mặt; so sánh nguồn/role; không suy đoán từ kết quả render chưa có</x:v>
      </x:c>
      <x:c r="S107" t="str">
        <x:v>RULE_INFERENCE_NOT_MEASURED</x:v>
      </x:c>
      <x:c r="T107" t="str">
        <x:v>Xác minh căn cứ theo loại văn bản / tài liệu phát hành hoặc phê duyệt</x:v>
      </x:c>
      <x:c r="U107" t="str">
        <x:v>Văn bản/OOXML: xác định đối tượng trước khi sửa</x:v>
      </x:c>
    </x:row>
    <x:row r="108">
      <x:c r="A108" t="n">
        <x:v>107</x:v>
      </x:c>
      <x:c r="B108" t="str">
        <x:v>HD05.C.DAU.DAU_CO_QUAN.HIEN_DIEN</x:v>
      </x:c>
      <x:c r="C108" t="str">
        <x:v>HD05.C.DAU.DAU_CO_QUAN</x:v>
      </x:c>
      <x:c r="D108" t="str">
        <x:v>C</x:v>
      </x:c>
      <x:c r="E108" t="str">
        <x:v>Vị trí dấu của cơ quan ban hành</x:v>
      </x:c>
      <x:c r="F108" t="str">
        <x:v>HIEN_DIEN</x:v>
      </x:c>
      <x:c r="G108" t="str">
        <x:v>Khi có khối ký/dấu trong văn bản gốc; không tự bổ sung</x:v>
      </x:c>
      <x:c r="H108"/>
      <x:c r="I108" t="str">
        <x:v>UNVERIFIED_ATTRIBUTE</x:v>
      </x:c>
      <x:c r="J108" t="str">
        <x:v>CHECK_ONLY_PROTECTED</x:v>
      </x:c>
      <x:c r="K108" t="str">
        <x:v>Chỉ bản phát hành phù hợp, không tự đóng dấu hay tạo chữ ký số; phải có quyền và nguồn hợp lệ</x:v>
      </x:c>
      <x:c r="L108" t="str">
        <x:v>Không tạo nhân thân/chức vụ/dấu/chữ ký; bảo toàn nơi nhận và thẩm quyền.</x:v>
      </x:c>
      <x:c r="M108"/>
      <x:c r="N108" t="str">
        <x:v>HD05, Phần II, I.8</x:v>
      </x:c>
      <x:c r="O108" t="str">
        <x:v>https://tulieuvankien.dangcongsan.vn/upload/2006988/20260529/HD_05_VPTW_e1550.pdf</x:v>
      </x:c>
      <x:c r="P108" t="str">
        <x:v>PLUGIN:HOA-TIEU-MIEN-BAC-PARTY-HD05-HEADER-2026 | NEEDS_REVIEW</x:v>
      </x:c>
      <x:c r="Q108" t="str">
        <x:v>CHECK_ONLY</x:v>
      </x:c>
      <x:c r="R108" t="str">
        <x:v>Kiểm tra từng thuộc tính có mặt; so sánh nguồn/role; không suy đoán từ kết quả render chưa có</x:v>
      </x:c>
      <x:c r="S108" t="str">
        <x:v>STRUCTURE_READ_EXISTING_WORKBOOK</x:v>
      </x:c>
      <x:c r="T108"/>
      <x:c r="U108" t="str">
        <x:v>Protected visual/signature anchor; không chèn hoặc xóa</x:v>
      </x:c>
    </x:row>
    <x:row r="109">
      <x:c r="A109" t="n">
        <x:v>108</x:v>
      </x:c>
      <x:c r="B109" t="str">
        <x:v>HD05.C.DAU.DAU_CO_QUAN.NOI_DUNG</x:v>
      </x:c>
      <x:c r="C109" t="str">
        <x:v>HD05.C.DAU.DAU_CO_QUAN</x:v>
      </x:c>
      <x:c r="D109" t="str">
        <x:v>C</x:v>
      </x:c>
      <x:c r="E109" t="str">
        <x:v>Vị trí dấu của cơ quan ban hành</x:v>
      </x:c>
      <x:c r="F109" t="str">
        <x:v>NOI_DUNG</x:v>
      </x:c>
      <x:c r="G109" t="str">
        <x:v>Vùng dấu hoặc chữ ký số của cơ quan trong bản chính; không phải thao tác soạn thảo</x:v>
      </x:c>
      <x:c r="H109"/>
      <x:c r="I109" t="str">
        <x:v>UNVERIFIED_ATTRIBUTE</x:v>
      </x:c>
      <x:c r="J109" t="str">
        <x:v>CHECK_ONLY_PROTECTED</x:v>
      </x:c>
      <x:c r="K109" t="str">
        <x:v>Chỉ bản phát hành phù hợp, không tự đóng dấu hay tạo chữ ký số; phải có quyền và nguồn hợp lệ</x:v>
      </x:c>
      <x:c r="L109" t="str">
        <x:v>Không tạo nhân thân/chức vụ/dấu/chữ ký; bảo toàn nơi nhận và thẩm quyền.</x:v>
      </x:c>
      <x:c r="M109"/>
      <x:c r="N109" t="str">
        <x:v>HD05, Phần II, I.8</x:v>
      </x:c>
      <x:c r="O109" t="str">
        <x:v>https://tulieuvankien.dangcongsan.vn/upload/2006988/20260529/HD_05_VPTW_e1550.pdf</x:v>
      </x:c>
      <x:c r="P109" t="str">
        <x:v>PLUGIN:HOA-TIEU-MIEN-BAC-PARTY-HD05-HEADER-2026 | NEEDS_REVIEW</x:v>
      </x:c>
      <x:c r="Q109" t="str">
        <x:v>CHECK_ONLY</x:v>
      </x:c>
      <x:c r="R109" t="str">
        <x:v>Kiểm tra từng thuộc tính có mặt; so sánh nguồn/role; không suy đoán từ kết quả render chưa có</x:v>
      </x:c>
      <x:c r="S109" t="str">
        <x:v>STRUCTURE_READ_EXISTING_WORKBOOK</x:v>
      </x:c>
      <x:c r="T109"/>
      <x:c r="U109" t="str">
        <x:v>Protected visual/signature anchor; không chèn hoặc xóa</x:v>
      </x:c>
    </x:row>
    <x:row r="110">
      <x:c r="A110" t="n">
        <x:v>109</x:v>
      </x:c>
      <x:c r="B110" t="str">
        <x:v>HD05.C.DAU.DAU_CO_QUAN.HINH_ANH</x:v>
      </x:c>
      <x:c r="C110" t="str">
        <x:v>HD05.C.DAU.DAU_CO_QUAN</x:v>
      </x:c>
      <x:c r="D110" t="str">
        <x:v>C</x:v>
      </x:c>
      <x:c r="E110" t="str">
        <x:v>Vị trí dấu của cơ quan ban hành</x:v>
      </x:c>
      <x:c r="F110" t="str">
        <x:v>HINH_ANH</x:v>
      </x:c>
      <x:c r="G110"/>
      <x:c r="H110"/>
      <x:c r="I110" t="str">
        <x:v>UNVERIFIED_ATTRIBUTE</x:v>
      </x:c>
      <x:c r="J110" t="str">
        <x:v>CHECK_ONLY_PROTECTED</x:v>
      </x:c>
      <x:c r="K110" t="str">
        <x:v>Chỉ bản phát hành phù hợp, không tự đóng dấu hay tạo chữ ký số; phải có quyền và nguồn hợp lệ</x:v>
      </x:c>
      <x:c r="L110" t="str">
        <x:v>Không tạo nhân thân/chức vụ/dấu/chữ ký; bảo toàn nơi nhận và thẩm quyền.</x:v>
      </x:c>
      <x:c r="M110"/>
      <x:c r="N110" t="str">
        <x:v>HD05, Phần II, I.8</x:v>
      </x:c>
      <x:c r="O110" t="str">
        <x:v>https://tulieuvankien.dangcongsan.vn/upload/2006988/20260529/HD_05_VPTW_e1550.pdf</x:v>
      </x:c>
      <x:c r="P110" t="str">
        <x:v>PLUGIN:HOA-TIEU-MIEN-BAC-PARTY-HD05-HEADER-2026 | NEEDS_REVIEW</x:v>
      </x:c>
      <x:c r="Q110" t="str">
        <x:v>CHECK_ONLY</x:v>
      </x:c>
      <x:c r="R110" t="str">
        <x:v>Kiểm tra từng thuộc tính có mặt; so sánh nguồn/role; không suy đoán từ kết quả render chưa có</x:v>
      </x:c>
      <x:c r="S110" t="str">
        <x:v>RULE_INFERENCE_NOT_MEASURED</x:v>
      </x:c>
      <x:c r="T110"/>
      <x:c r="U110" t="str">
        <x:v>Protected visual/signature anchor; không chèn hoặc xóa</x:v>
      </x:c>
    </x:row>
    <x:row r="111">
      <x:c r="A111" t="n">
        <x:v>110</x:v>
      </x:c>
      <x:c r="B111" t="str">
        <x:v>HD05.C.DAU.DAU_CO_QUAN.VI_TRI</x:v>
      </x:c>
      <x:c r="C111" t="str">
        <x:v>HD05.C.DAU.DAU_CO_QUAN</x:v>
      </x:c>
      <x:c r="D111" t="str">
        <x:v>C</x:v>
      </x:c>
      <x:c r="E111" t="str">
        <x:v>Vị trí dấu của cơ quan ban hành</x:v>
      </x:c>
      <x:c r="F111" t="str">
        <x:v>VI_TRI</x:v>
      </x:c>
      <x:c r="G111"/>
      <x:c r="H111"/>
      <x:c r="I111" t="str">
        <x:v>UNVERIFIED_ATTRIBUTE</x:v>
      </x:c>
      <x:c r="J111" t="str">
        <x:v>CHECK_ONLY_PROTECTED</x:v>
      </x:c>
      <x:c r="K111" t="str">
        <x:v>Chỉ bản phát hành phù hợp, không tự đóng dấu hay tạo chữ ký số; phải có quyền và nguồn hợp lệ</x:v>
      </x:c>
      <x:c r="L111" t="str">
        <x:v>Không tạo nhân thân/chức vụ/dấu/chữ ký; bảo toàn nơi nhận và thẩm quyền.</x:v>
      </x:c>
      <x:c r="M111"/>
      <x:c r="N111" t="str">
        <x:v>HD05, Phần II, I.8</x:v>
      </x:c>
      <x:c r="O111" t="str">
        <x:v>https://tulieuvankien.dangcongsan.vn/upload/2006988/20260529/HD_05_VPTW_e1550.pdf</x:v>
      </x:c>
      <x:c r="P111" t="str">
        <x:v>PLUGIN:HOA-TIEU-MIEN-BAC-PARTY-HD05-HEADER-2026 | NEEDS_REVIEW</x:v>
      </x:c>
      <x:c r="Q111" t="str">
        <x:v>CHECK_ONLY</x:v>
      </x:c>
      <x:c r="R111" t="str">
        <x:v>Kiểm tra từng thuộc tính có mặt; so sánh nguồn/role; không suy đoán từ kết quả render chưa có</x:v>
      </x:c>
      <x:c r="S111" t="str">
        <x:v>RULE_INFERENCE_NOT_MEASURED</x:v>
      </x:c>
      <x:c r="T111"/>
      <x:c r="U111" t="str">
        <x:v>Protected visual/signature anchor; không chèn hoặc xóa</x:v>
      </x:c>
    </x:row>
    <x:row r="112">
      <x:c r="A112" t="n">
        <x:v>111</x:v>
      </x:c>
      <x:c r="B112" t="str">
        <x:v>HD05.C.DAU.DAU_CO_QUAN.TRANG_THAI_HIEN_THI</x:v>
      </x:c>
      <x:c r="C112" t="str">
        <x:v>HD05.C.DAU.DAU_CO_QUAN</x:v>
      </x:c>
      <x:c r="D112" t="str">
        <x:v>C</x:v>
      </x:c>
      <x:c r="E112" t="str">
        <x:v>Vị trí dấu của cơ quan ban hành</x:v>
      </x:c>
      <x:c r="F112" t="str">
        <x:v>TRANG_THAI_HIEN_THI</x:v>
      </x:c>
      <x:c r="G112"/>
      <x:c r="H112"/>
      <x:c r="I112" t="str">
        <x:v>UNVERIFIED_ATTRIBUTE</x:v>
      </x:c>
      <x:c r="J112" t="str">
        <x:v>CHECK_ONLY_PROTECTED</x:v>
      </x:c>
      <x:c r="K112" t="str">
        <x:v>Chỉ bản phát hành phù hợp, không tự đóng dấu hay tạo chữ ký số; phải có quyền và nguồn hợp lệ</x:v>
      </x:c>
      <x:c r="L112" t="str">
        <x:v>Không tạo nhân thân/chức vụ/dấu/chữ ký; bảo toàn nơi nhận và thẩm quyền.</x:v>
      </x:c>
      <x:c r="M112"/>
      <x:c r="N112" t="str">
        <x:v>HD05, Phần II, I.8</x:v>
      </x:c>
      <x:c r="O112" t="str">
        <x:v>https://tulieuvankien.dangcongsan.vn/upload/2006988/20260529/HD_05_VPTW_e1550.pdf</x:v>
      </x:c>
      <x:c r="P112" t="str">
        <x:v>PLUGIN:HOA-TIEU-MIEN-BAC-PARTY-HD05-HEADER-2026 | NEEDS_REVIEW</x:v>
      </x:c>
      <x:c r="Q112" t="str">
        <x:v>CHECK_ONLY</x:v>
      </x:c>
      <x:c r="R112" t="str">
        <x:v>Kiểm tra từng thuộc tính có mặt; so sánh nguồn/role; không suy đoán từ kết quả render chưa có</x:v>
      </x:c>
      <x:c r="S112" t="str">
        <x:v>RULE_INFERENCE_NOT_MEASURED</x:v>
      </x:c>
      <x:c r="T112"/>
      <x:c r="U112" t="str">
        <x:v>Protected visual/signature anchor; không chèn hoặc xóa</x:v>
      </x:c>
    </x:row>
    <x:row r="113">
      <x:c r="A113" t="n">
        <x:v>112</x:v>
      </x:c>
      <x:c r="B113" t="str">
        <x:v>HD05.C.DAU.CHU_KY_SO.HIEN_DIEN</x:v>
      </x:c>
      <x:c r="C113" t="str">
        <x:v>HD05.C.DAU.CHU_KY_SO</x:v>
      </x:c>
      <x:c r="D113" t="str">
        <x:v>C</x:v>
      </x:c>
      <x:c r="E113" t="str">
        <x:v>Chữ ký số cơ quan trên bản văn bản điện tử</x:v>
      </x:c>
      <x:c r="F113" t="str">
        <x:v>HIEN_DIEN</x:v>
      </x:c>
      <x:c r="G113" t="str">
        <x:v>Khi có khối ký/dấu trong văn bản gốc; không tự bổ sung</x:v>
      </x:c>
      <x:c r="H113"/>
      <x:c r="I113" t="str">
        <x:v>UNVERIFIED_ATTRIBUTE</x:v>
      </x:c>
      <x:c r="J113" t="str">
        <x:v>CHECK_ONLY_PROTECTED</x:v>
      </x:c>
      <x:c r="K113" t="str">
        <x:v>Chỉ bản phát hành phù hợp, không tự đóng dấu hay tạo chữ ký số; phải có quyền và nguồn hợp lệ</x:v>
      </x:c>
      <x:c r="L113" t="str">
        <x:v>Không tạo nhân thân/chức vụ/dấu/chữ ký; bảo toàn nơi nhận và thẩm quyền.</x:v>
      </x:c>
      <x:c r="M113"/>
      <x:c r="N113" t="str">
        <x:v>HD05, Phần II, I.8</x:v>
      </x:c>
      <x:c r="O113" t="str">
        <x:v>https://tulieuvankien.dangcongsan.vn/upload/2006988/20260529/HD_05_VPTW_e1550.pdf</x:v>
      </x:c>
      <x:c r="P113" t="str">
        <x:v>PLUGIN:HOA-TIEU-MIEN-BAC-PARTY-HD05-HEADER-2026 | NEEDS_REVIEW</x:v>
      </x:c>
      <x:c r="Q113" t="str">
        <x:v>CHECK_ONLY</x:v>
      </x:c>
      <x:c r="R113" t="str">
        <x:v>Kiểm tra từng thuộc tính có mặt; so sánh nguồn/role; không suy đoán từ kết quả render chưa có</x:v>
      </x:c>
      <x:c r="S113" t="str">
        <x:v>STRUCTURE_READ_EXISTING_WORKBOOK</x:v>
      </x:c>
      <x:c r="T113"/>
      <x:c r="U113" t="str">
        <x:v>Protected visual/signature anchor; không chèn hoặc xóa</x:v>
      </x:c>
    </x:row>
    <x:row r="114">
      <x:c r="A114" t="n">
        <x:v>113</x:v>
      </x:c>
      <x:c r="B114" t="str">
        <x:v>HD05.C.DAU.CHU_KY_SO.NOI_DUNG</x:v>
      </x:c>
      <x:c r="C114" t="str">
        <x:v>HD05.C.DAU.CHU_KY_SO</x:v>
      </x:c>
      <x:c r="D114" t="str">
        <x:v>C</x:v>
      </x:c>
      <x:c r="E114" t="str">
        <x:v>Chữ ký số cơ quan trên bản văn bản điện tử</x:v>
      </x:c>
      <x:c r="F114" t="str">
        <x:v>NOI_DUNG</x:v>
      </x:c>
      <x:c r="G114" t="str">
        <x:v>Vùng dấu hoặc chữ ký số của cơ quan trong bản chính; không phải thao tác soạn thảo</x:v>
      </x:c>
      <x:c r="H114"/>
      <x:c r="I114" t="str">
        <x:v>UNVERIFIED_ATTRIBUTE</x:v>
      </x:c>
      <x:c r="J114" t="str">
        <x:v>CHECK_ONLY_PROTECTED</x:v>
      </x:c>
      <x:c r="K114" t="str">
        <x:v>Chỉ bản phát hành phù hợp, không tự đóng dấu hay tạo chữ ký số; phải có quyền và nguồn hợp lệ</x:v>
      </x:c>
      <x:c r="L114" t="str">
        <x:v>Không tạo nhân thân/chức vụ/dấu/chữ ký; bảo toàn nơi nhận và thẩm quyền.</x:v>
      </x:c>
      <x:c r="M114"/>
      <x:c r="N114" t="str">
        <x:v>HD05, Phần II, I.8</x:v>
      </x:c>
      <x:c r="O114" t="str">
        <x:v>https://tulieuvankien.dangcongsan.vn/upload/2006988/20260529/HD_05_VPTW_e1550.pdf</x:v>
      </x:c>
      <x:c r="P114" t="str">
        <x:v>PLUGIN:HOA-TIEU-MIEN-BAC-PARTY-HD05-HEADER-2026 | NEEDS_REVIEW</x:v>
      </x:c>
      <x:c r="Q114" t="str">
        <x:v>CHECK_ONLY</x:v>
      </x:c>
      <x:c r="R114" t="str">
        <x:v>Kiểm tra từng thuộc tính có mặt; so sánh nguồn/role; không suy đoán từ kết quả render chưa có</x:v>
      </x:c>
      <x:c r="S114" t="str">
        <x:v>STRUCTURE_READ_EXISTING_WORKBOOK</x:v>
      </x:c>
      <x:c r="T114"/>
      <x:c r="U114" t="str">
        <x:v>Protected visual/signature anchor; không chèn hoặc xóa</x:v>
      </x:c>
    </x:row>
    <x:row r="115">
      <x:c r="A115" t="n">
        <x:v>114</x:v>
      </x:c>
      <x:c r="B115" t="str">
        <x:v>HD05.C.DAU.CHU_KY_SO.HINH_ANH</x:v>
      </x:c>
      <x:c r="C115" t="str">
        <x:v>HD05.C.DAU.CHU_KY_SO</x:v>
      </x:c>
      <x:c r="D115" t="str">
        <x:v>C</x:v>
      </x:c>
      <x:c r="E115" t="str">
        <x:v>Chữ ký số cơ quan trên bản văn bản điện tử</x:v>
      </x:c>
      <x:c r="F115" t="str">
        <x:v>HINH_ANH</x:v>
      </x:c>
      <x:c r="G115"/>
      <x:c r="H115"/>
      <x:c r="I115" t="str">
        <x:v>UNVERIFIED_ATTRIBUTE</x:v>
      </x:c>
      <x:c r="J115" t="str">
        <x:v>CHECK_ONLY_PROTECTED</x:v>
      </x:c>
      <x:c r="K115" t="str">
        <x:v>Chỉ bản phát hành phù hợp, không tự đóng dấu hay tạo chữ ký số; phải có quyền và nguồn hợp lệ</x:v>
      </x:c>
      <x:c r="L115" t="str">
        <x:v>Không tạo nhân thân/chức vụ/dấu/chữ ký; bảo toàn nơi nhận và thẩm quyền.</x:v>
      </x:c>
      <x:c r="M115"/>
      <x:c r="N115" t="str">
        <x:v>HD05, Phần II, I.8</x:v>
      </x:c>
      <x:c r="O115" t="str">
        <x:v>https://tulieuvankien.dangcongsan.vn/upload/2006988/20260529/HD_05_VPTW_e1550.pdf</x:v>
      </x:c>
      <x:c r="P115" t="str">
        <x:v>PLUGIN:HOA-TIEU-MIEN-BAC-PARTY-HD05-HEADER-2026 | NEEDS_REVIEW</x:v>
      </x:c>
      <x:c r="Q115" t="str">
        <x:v>CHECK_ONLY</x:v>
      </x:c>
      <x:c r="R115" t="str">
        <x:v>Kiểm tra từng thuộc tính có mặt; so sánh nguồn/role; không suy đoán từ kết quả render chưa có</x:v>
      </x:c>
      <x:c r="S115" t="str">
        <x:v>RULE_INFERENCE_NOT_MEASURED</x:v>
      </x:c>
      <x:c r="T115"/>
      <x:c r="U115" t="str">
        <x:v>Protected visual/signature anchor; không chèn hoặc xóa</x:v>
      </x:c>
    </x:row>
    <x:row r="116">
      <x:c r="A116" t="n">
        <x:v>115</x:v>
      </x:c>
      <x:c r="B116" t="str">
        <x:v>HD05.C.DAU.CHU_KY_SO.VI_TRI</x:v>
      </x:c>
      <x:c r="C116" t="str">
        <x:v>HD05.C.DAU.CHU_KY_SO</x:v>
      </x:c>
      <x:c r="D116" t="str">
        <x:v>C</x:v>
      </x:c>
      <x:c r="E116" t="str">
        <x:v>Chữ ký số cơ quan trên bản văn bản điện tử</x:v>
      </x:c>
      <x:c r="F116" t="str">
        <x:v>VI_TRI</x:v>
      </x:c>
      <x:c r="G116"/>
      <x:c r="H116"/>
      <x:c r="I116" t="str">
        <x:v>UNVERIFIED_ATTRIBUTE</x:v>
      </x:c>
      <x:c r="J116" t="str">
        <x:v>CHECK_ONLY_PROTECTED</x:v>
      </x:c>
      <x:c r="K116" t="str">
        <x:v>Chỉ bản phát hành phù hợp, không tự đóng dấu hay tạo chữ ký số; phải có quyền và nguồn hợp lệ</x:v>
      </x:c>
      <x:c r="L116" t="str">
        <x:v>Không tạo nhân thân/chức vụ/dấu/chữ ký; bảo toàn nơi nhận và thẩm quyền.</x:v>
      </x:c>
      <x:c r="M116"/>
      <x:c r="N116" t="str">
        <x:v>HD05, Phần II, I.8</x:v>
      </x:c>
      <x:c r="O116" t="str">
        <x:v>https://tulieuvankien.dangcongsan.vn/upload/2006988/20260529/HD_05_VPTW_e1550.pdf</x:v>
      </x:c>
      <x:c r="P116" t="str">
        <x:v>PLUGIN:HOA-TIEU-MIEN-BAC-PARTY-HD05-HEADER-2026 | NEEDS_REVIEW</x:v>
      </x:c>
      <x:c r="Q116" t="str">
        <x:v>CHECK_ONLY</x:v>
      </x:c>
      <x:c r="R116" t="str">
        <x:v>Kiểm tra từng thuộc tính có mặt; so sánh nguồn/role; không suy đoán từ kết quả render chưa có</x:v>
      </x:c>
      <x:c r="S116" t="str">
        <x:v>RULE_INFERENCE_NOT_MEASURED</x:v>
      </x:c>
      <x:c r="T116"/>
      <x:c r="U116" t="str">
        <x:v>Protected visual/signature anchor; không chèn hoặc xóa</x:v>
      </x:c>
    </x:row>
    <x:row r="117">
      <x:c r="A117" t="n">
        <x:v>116</x:v>
      </x:c>
      <x:c r="B117" t="str">
        <x:v>HD05.C.DAU.CHU_KY_SO.TRANG_THAI_HIEN_THI</x:v>
      </x:c>
      <x:c r="C117" t="str">
        <x:v>HD05.C.DAU.CHU_KY_SO</x:v>
      </x:c>
      <x:c r="D117" t="str">
        <x:v>C</x:v>
      </x:c>
      <x:c r="E117" t="str">
        <x:v>Chữ ký số cơ quan trên bản văn bản điện tử</x:v>
      </x:c>
      <x:c r="F117" t="str">
        <x:v>TRANG_THAI_HIEN_THI</x:v>
      </x:c>
      <x:c r="G117"/>
      <x:c r="H117"/>
      <x:c r="I117" t="str">
        <x:v>UNVERIFIED_ATTRIBUTE</x:v>
      </x:c>
      <x:c r="J117" t="str">
        <x:v>CHECK_ONLY_PROTECTED</x:v>
      </x:c>
      <x:c r="K117" t="str">
        <x:v>Chỉ bản phát hành phù hợp, không tự đóng dấu hay tạo chữ ký số; phải có quyền và nguồn hợp lệ</x:v>
      </x:c>
      <x:c r="L117" t="str">
        <x:v>Không tạo nhân thân/chức vụ/dấu/chữ ký; bảo toàn nơi nhận và thẩm quyền.</x:v>
      </x:c>
      <x:c r="M117"/>
      <x:c r="N117" t="str">
        <x:v>HD05, Phần II, I.8</x:v>
      </x:c>
      <x:c r="O117" t="str">
        <x:v>https://tulieuvankien.dangcongsan.vn/upload/2006988/20260529/HD_05_VPTW_e1550.pdf</x:v>
      </x:c>
      <x:c r="P117" t="str">
        <x:v>PLUGIN:HOA-TIEU-MIEN-BAC-PARTY-HD05-HEADER-2026 | NEEDS_REVIEW</x:v>
      </x:c>
      <x:c r="Q117" t="str">
        <x:v>CHECK_ONLY</x:v>
      </x:c>
      <x:c r="R117" t="str">
        <x:v>Kiểm tra từng thuộc tính có mặt; so sánh nguồn/role; không suy đoán từ kết quả render chưa có</x:v>
      </x:c>
      <x:c r="S117" t="str">
        <x:v>RULE_INFERENCE_NOT_MEASURED</x:v>
      </x:c>
      <x:c r="T117"/>
      <x:c r="U117" t="str">
        <x:v>Protected visual/signature anchor; không chèn hoặc xóa</x:v>
      </x:c>
    </x:row>
  </x:sheetData>
  <x:pageMargins left="0.7" right="0.7" top="0.75" bottom="0.75" header="0.3" footer="0.3"/>
</x:worksheet>
</file>

<file path=xl/worksheets/sheet3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 hidden="0" customWidth="1"/>
    <x:col min="2" max="2" width="37" hidden="0" customWidth="1"/>
    <x:col min="3" max="3" width="32" hidden="0" customWidth="1"/>
    <x:col min="4" max="4" width="12" hidden="0" customWidth="1"/>
    <x:col min="5" max="5" width="26" hidden="0" customWidth="1"/>
    <x:col min="6" max="6" width="17" hidden="0" customWidth="1"/>
    <x:col min="7" max="7" width="25" hidden="0" customWidth="1"/>
    <x:col min="8" max="8" width="20" hidden="0" customWidth="1"/>
    <x:col min="9" max="9" width="22" hidden="0" customWidth="1"/>
    <x:col min="10" max="10" width="25" hidden="0" customWidth="1"/>
    <x:col min="11" max="11" width="38" hidden="0" customWidth="1"/>
    <x:col min="12" max="12" width="44" hidden="0" customWidth="1"/>
    <x:col min="13" max="13" width="10" hidden="0" customWidth="1"/>
    <x:col min="14" max="14" width="27" hidden="0" customWidth="1"/>
    <x:col min="15" max="15" width="25" hidden="0" customWidth="1"/>
    <x:col min="16" max="16" width="28" hidden="0" customWidth="1"/>
    <x:col min="17" max="17" width="14" hidden="0" customWidth="1"/>
    <x:col min="18" max="18" width="38" hidden="0" customWidth="1"/>
    <x:col min="19" max="19" width="22" hidden="0" customWidth="1"/>
    <x:col min="20" max="20" width="30" hidden="0" customWidth="1"/>
    <x:col min="21" max="21" width="24" hidden="0" customWidth="1"/>
  </x:cols>
  <x:sheetData>
    <x:row r="1" ht="28" customHeight="1">
      <x:c r="A1" s="305" t="str">
        <x:v>STT</x:v>
      </x:c>
      <x:c r="B1" s="305" t="str">
        <x:v>Mã rule con</x:v>
      </x:c>
      <x:c r="C1" s="305" t="str">
        <x:v>Mã cha gốc</x:v>
      </x:c>
      <x:c r="D1" s="305" t="str">
        <x:v>Nhóm</x:v>
      </x:c>
      <x:c r="E1" s="305" t="str">
        <x:v>Tên thành phần</x:v>
      </x:c>
      <x:c r="F1" s="305" t="str">
        <x:v>Thuộc tính</x:v>
      </x:c>
      <x:c r="G1" s="305" t="str">
        <x:v>Giá trị profile đang có</x:v>
      </x:c>
      <x:c r="H1" s="305" t="str">
        <x:v>Giá trị pháp lý kiểm chứng</x:v>
      </x:c>
      <x:c r="I1" s="305" t="str">
        <x:v>Trạng thái pháp lý thuộc tính</x:v>
      </x:c>
      <x:c r="J1" s="305" t="str">
        <x:v>Trạng thái quyết định profile</x:v>
      </x:c>
      <x:c r="K1" s="305" t="str">
        <x:v>Điều kiện áp dụng</x:v>
      </x:c>
      <x:c r="L1" s="305" t="str">
        <x:v>Ngoại lệ/phân nhánh</x:v>
      </x:c>
      <x:c r="M1" s="305" t="str">
        <x:v>Đơn vị</x:v>
      </x:c>
      <x:c r="N1" s="305" t="str">
        <x:v>Nguồn/định vị</x:v>
      </x:c>
      <x:c r="O1" s="305" t="str">
        <x:v>URL nguồn</x:v>
      </x:c>
      <x:c r="P1" s="305" t="str">
        <x:v>Nguồn profile/ghi chú</x:v>
      </x:c>
      <x:c r="Q1" s="305" t="str">
        <x:v>Quyền xử lý</x:v>
      </x:c>
      <x:c r="R1" s="305" t="str">
        <x:v>Cách kiểm tra offline</x:v>
      </x:c>
      <x:c r="S1" s="305" t="str">
        <x:v>Phân loại bằng chứng TQA-NR</x:v>
      </x:c>
      <x:c r="T1" s="305" t="str">
        <x:v>Giá trị cần bổ sung</x:v>
      </x:c>
      <x:c r="U1" s="305" t="str">
        <x:v>Đối tượng</x:v>
      </x:c>
    </x:row>
    <x:row r="2">
      <x:c r="A2" t="n">
        <x:v>1</x:v>
      </x:c>
      <x:c r="B2" t="str">
        <x:v>HD05.G.TRANG.KHO_GIAY.HIEN_DIEN</x:v>
      </x:c>
      <x:c r="C2" t="str">
        <x:v>HD05.G.TRANG.KHO_GIAY</x:v>
      </x:c>
      <x:c r="D2" t="str">
        <x:v>G</x:v>
      </x:c>
      <x:c r="E2" t="str">
        <x:v>Khổ giấy</x:v>
      </x:c>
      <x:c r="F2" t="str">
        <x:v>HIEN_DIEN</x:v>
      </x:c>
      <x:c r="G2" t="str">
        <x:v>Dùng cho văn bản chính theo profile; loại trừ bản sao/phụ lục riêng khi chưa có route</x:v>
      </x:c>
      <x:c r="H2"/>
      <x:c r="I2" t="str">
        <x:v>UNVERIFIED_ATTRIBUTE</x:v>
      </x:c>
      <x:c r="J2" t="str">
        <x:v>SOURCE_DESCRIPTION_NOT_APPROVAL</x:v>
      </x:c>
      <x:c r="K2" t="str">
        <x:v>Chỉ sau xác định chế độ NĐ30/HD05, section và loại văn bản; phần chung không ghi đè thuộc tính đặc thù</x:v>
      </x:c>
      <x:c r="L2" t="str">
        <x:v>Phần G là mặc định; D/N/C/X cụ thể và quy định nguồn được ưu tiên. Giữ section, header, footer nếu không có chứng cứ thay đổi.</x:v>
      </x:c>
      <x:c r="M2"/>
      <x:c r="N2" t="str">
        <x:v>HD05, Phần II, IV; Phụ lục 2</x:v>
      </x:c>
      <x:c r="O2" t="str">
        <x:v>https://tulieuvankien.dangcongsan.vn/upload/2006988/20260529/HD_05_VPTW_e1550.pdf</x:v>
      </x:c>
      <x:c r="P2" t="str">
        <x:v>PLUGIN:HOA-TIEU-MIEN-BAC-PARTY-HD05-HEADER-2026 | NEEDS_REVIEW</x:v>
      </x:c>
      <x:c r="Q2" t="str">
        <x:v>CHECK_ONLY</x:v>
      </x:c>
      <x:c r="R2" t="str">
        <x:v>Kiểm tra từng thuộc tính có mặt; so sánh nguồn/role; không suy đoán từ kết quả render chưa có</x:v>
      </x:c>
      <x:c r="S2" t="str">
        <x:v>STRUCTURE_READ_EXISTING_WORKBOOK</x:v>
      </x:c>
      <x:c r="T2"/>
      <x:c r="U2" t="str">
        <x:v>Word settings | w:pgSz = 11906 × 16838 twip</x:v>
      </x:c>
    </x:row>
    <x:row r="3">
      <x:c r="A3" t="n">
        <x:v>2</x:v>
      </x:c>
      <x:c r="B3" t="str">
        <x:v>HD05.G.TRANG.KHO_GIAY.KHO_GIAY</x:v>
      </x:c>
      <x:c r="C3" t="str">
        <x:v>HD05.G.TRANG.KHO_GIAY</x:v>
      </x:c>
      <x:c r="D3" t="str">
        <x:v>G</x:v>
      </x:c>
      <x:c r="E3" t="str">
        <x:v>Khổ giấy</x:v>
      </x:c>
      <x:c r="F3" t="str">
        <x:v>KHO_GIAY</x:v>
      </x:c>
      <x:c r="G3" t="str">
        <x:v>A4 (210 x 297 mm)</x:v>
      </x:c>
      <x:c r="H3" t="str">
        <x:v>A4 (210 x 297 mm)</x:v>
      </x:c>
      <x:c r="I3" t="str">
        <x:v>LEGAL_EXPLICIT_CHECKED</x:v>
      </x:c>
      <x:c r="J3" t="str">
        <x:v>PROFILE_PRESET_UNAPPROVED</x:v>
      </x:c>
      <x:c r="K3" t="str">
        <x:v>Chỉ sau xác định chế độ NĐ30/HD05, section và loại văn bản; phần chung không ghi đè thuộc tính đặc thù</x:v>
      </x:c>
      <x:c r="L3" t="str">
        <x:v>Phần G là mặc định; D/N/C/X cụ thể và quy định nguồn được ưu tiên. Giữ section, header, footer nếu không có chứng cứ thay đổi.</x:v>
      </x:c>
      <x:c r="M3"/>
      <x:c r="N3" t="str">
        <x:v>Phần II.IV.3</x:v>
      </x:c>
      <x:c r="O3" t="str">
        <x:v>https://tulieuvankien.dangcongsan.vn/upload/2006988/20260529/HD_05_VPTW_e1550.pdf</x:v>
      </x:c>
      <x:c r="P3" t="str">
        <x:v>PLUGIN:HOA-TIEU-MIEN-BAC-PARTY-HD05-HEADER-2026 | NEEDS_REVIEW</x:v>
      </x:c>
      <x:c r="Q3" t="str">
        <x:v>CHECK_ONLY</x:v>
      </x:c>
      <x:c r="R3" t="str">
        <x:v>Kiểm tra từng thuộc tính có mặt; so sánh nguồn/role; không suy đoán từ kết quả render chưa có</x:v>
      </x:c>
      <x:c r="S3" t="str">
        <x:v>OFFICIAL_TEXT_VERIFIED</x:v>
      </x:c>
      <x:c r="T3"/>
      <x:c r="U3" t="str">
        <x:v>Word settings | w:pgSz = 11906 × 16838 twip</x:v>
      </x:c>
    </x:row>
    <x:row r="4">
      <x:c r="A4" t="n">
        <x:v>3</x:v>
      </x:c>
      <x:c r="B4" t="str">
        <x:v>HD05.G.TRANG.HUONG_GIAY.HIEN_DIEN</x:v>
      </x:c>
      <x:c r="C4" t="str">
        <x:v>HD05.G.TRANG.HUONG_GIAY</x:v>
      </x:c>
      <x:c r="D4" t="str">
        <x:v>G</x:v>
      </x:c>
      <x:c r="E4" t="str">
        <x:v>Hướng giấy</x:v>
      </x:c>
      <x:c r="F4" t="str">
        <x:v>HIEN_DIEN</x:v>
      </x:c>
      <x:c r="G4" t="str">
        <x:v>Dùng cho văn bản chính theo profile; loại trừ bản sao/phụ lục riêng khi chưa có route</x:v>
      </x:c>
      <x:c r="H4"/>
      <x:c r="I4" t="str">
        <x:v>UNVERIFIED_ATTRIBUTE</x:v>
      </x:c>
      <x:c r="J4" t="str">
        <x:v>SOURCE_DESCRIPTION_NOT_APPROVAL</x:v>
      </x:c>
      <x:c r="K4" t="str">
        <x:v>Chỉ sau xác định chế độ NĐ30/HD05, section và loại văn bản; phần chung không ghi đè thuộc tính đặc thù</x:v>
      </x:c>
      <x:c r="L4" t="str">
        <x:v>Phần G là mặc định; D/N/C/X cụ thể và quy định nguồn được ưu tiên. Giữ section, header, footer nếu không có chứng cứ thay đổi.</x:v>
      </x:c>
      <x:c r="M4"/>
      <x:c r="N4" t="str">
        <x:v>HD05, Phần II, IV; Phụ lục 2</x:v>
      </x:c>
      <x:c r="O4" t="str">
        <x:v>https://tulieuvankien.dangcongsan.vn/upload/2006988/20260529/HD_05_VPTW_e1550.pdf</x:v>
      </x:c>
      <x:c r="P4" t="str">
        <x:v>PLUGIN:HOA-TIEU-MIEN-BAC-PARTY-HD05-HEADER-2026 | NEEDS_REVIEW</x:v>
      </x:c>
      <x:c r="Q4" t="str">
        <x:v>CHECK_ONLY</x:v>
      </x:c>
      <x:c r="R4" t="str">
        <x:v>Kiểm tra từng thuộc tính có mặt; so sánh nguồn/role; không suy đoán từ kết quả render chưa có</x:v>
      </x:c>
      <x:c r="S4" t="str">
        <x:v>STRUCTURE_READ_EXISTING_WORKBOOK</x:v>
      </x:c>
      <x:c r="T4"/>
      <x:c r="U4" t="str">
        <x:v>Word settings | w:pgSz orient=portrait</x:v>
      </x:c>
    </x:row>
    <x:row r="5">
      <x:c r="A5" t="n">
        <x:v>4</x:v>
      </x:c>
      <x:c r="B5" t="str">
        <x:v>HD05.G.TRANG.HUONG_GIAY.HUONG_GIAY</x:v>
      </x:c>
      <x:c r="C5" t="str">
        <x:v>HD05.G.TRANG.HUONG_GIAY</x:v>
      </x:c>
      <x:c r="D5" t="str">
        <x:v>G</x:v>
      </x:c>
      <x:c r="E5" t="str">
        <x:v>Hướng giấy</x:v>
      </x:c>
      <x:c r="F5" t="str">
        <x:v>HUONG_GIAY</x:v>
      </x:c>
      <x:c r="G5" t="str">
        <x:v>Portrait | dọc; bảng rộng được tách section ngang khi duyệt</x:v>
      </x:c>
      <x:c r="H5" t="str">
        <x:v>PORTRAIT; LANDSCAPE_CONDITIONAL_TABLE</x:v>
      </x:c>
      <x:c r="I5" t="str">
        <x:v>LEGAL_EXPLICIT_CHECKED</x:v>
      </x:c>
      <x:c r="J5" t="str">
        <x:v>PROFILE_PRESET_UNAPPROVED</x:v>
      </x:c>
      <x:c r="K5" t="str">
        <x:v>Chỉ sau xác định chế độ NĐ30/HD05, section và loại văn bản; phần chung không ghi đè thuộc tính đặc thù</x:v>
      </x:c>
      <x:c r="L5" t="str">
        <x:v>Phần G là mặc định; D/N/C/X cụ thể và quy định nguồn được ưu tiên. Giữ section, header, footer nếu không có chứng cứ thay đổi.</x:v>
      </x:c>
      <x:c r="M5"/>
      <x:c r="N5" t="str">
        <x:v>Phần II.IV.4.1, IV.4.3</x:v>
      </x:c>
      <x:c r="O5" t="str">
        <x:v>https://tulieuvankien.dangcongsan.vn/upload/2006988/20260529/HD_05_VPTW_e1550.pdf</x:v>
      </x:c>
      <x:c r="P5" t="str">
        <x:v>PLUGIN:HOA-TIEU-MIEN-BAC-PARTY-HD05-HEADER-2026 | NEEDS_REVIEW</x:v>
      </x:c>
      <x:c r="Q5" t="str">
        <x:v>CHECK_ONLY</x:v>
      </x:c>
      <x:c r="R5" t="str">
        <x:v>Kiểm tra từng thuộc tính có mặt; so sánh nguồn/role; không suy đoán từ kết quả render chưa có</x:v>
      </x:c>
      <x:c r="S5" t="str">
        <x:v>OFFICIAL_TEXT_VERIFIED</x:v>
      </x:c>
      <x:c r="T5"/>
      <x:c r="U5" t="str">
        <x:v>Word settings | w:pgSz orient=portrait</x:v>
      </x:c>
    </x:row>
    <x:row r="6">
      <x:c r="A6" t="n">
        <x:v>5</x:v>
      </x:c>
      <x:c r="B6" t="str">
        <x:v>HD05.G.TRANG.LE_TRANG.HIEN_DIEN</x:v>
      </x:c>
      <x:c r="C6" t="str">
        <x:v>HD05.G.TRANG.LE_TRANG</x:v>
      </x:c>
      <x:c r="D6" t="str">
        <x:v>G</x:v>
      </x:c>
      <x:c r="E6" t="str">
        <x:v>Lề trang</x:v>
      </x:c>
      <x:c r="F6" t="str">
        <x:v>HIEN_DIEN</x:v>
      </x:c>
      <x:c r="G6" t="str">
        <x:v>Dùng cho văn bản chính theo profile; loại trừ bản sao/phụ lục riêng khi chưa có route</x:v>
      </x:c>
      <x:c r="H6"/>
      <x:c r="I6" t="str">
        <x:v>UNVERIFIED_ATTRIBUTE</x:v>
      </x:c>
      <x:c r="J6" t="str">
        <x:v>SOURCE_DESCRIPTION_NOT_APPROVAL</x:v>
      </x:c>
      <x:c r="K6" t="str">
        <x:v>Chỉ sau xác định chế độ NĐ30/HD05, section và loại văn bản; phần chung không ghi đè thuộc tính đặc thù</x:v>
      </x:c>
      <x:c r="L6" t="str">
        <x:v>Phần G là mặc định; D/N/C/X cụ thể và quy định nguồn được ưu tiên. Giữ section, header, footer nếu không có chứng cứ thay đổi.</x:v>
      </x:c>
      <x:c r="M6"/>
      <x:c r="N6" t="str">
        <x:v>HD05, Phần II, IV; Phụ lục 2</x:v>
      </x:c>
      <x:c r="O6" t="str">
        <x:v>https://tulieuvankien.dangcongsan.vn/upload/2006988/20260529/HD_05_VPTW_e1550.pdf</x:v>
      </x:c>
      <x:c r="P6" t="str">
        <x:v>PLUGIN:HOA-TIEU-MIEN-BAC-PARTY-HD05-HEADER-2026 | NEEDS_REVIEW</x:v>
      </x:c>
      <x:c r="Q6" t="str">
        <x:v>CHECK_ONLY</x:v>
      </x:c>
      <x:c r="R6" t="str">
        <x:v>Kiểm tra từng thuộc tính có mặt; so sánh nguồn/role; không suy đoán từ kết quả render chưa có</x:v>
      </x:c>
      <x:c r="S6" t="str">
        <x:v>STRUCTURE_READ_EXISTING_WORKBOOK</x:v>
      </x:c>
      <x:c r="T6"/>
      <x:c r="U6" t="str">
        <x:v>Word settings | w:pgMar t=1134 b=1134 l=1701 r=850 twip</x:v>
      </x:c>
    </x:row>
    <x:row r="7">
      <x:c r="A7" t="n">
        <x:v>6</x:v>
      </x:c>
      <x:c r="B7" t="str">
        <x:v>HD05.G.TRANG.LE_TRANG.LE_TREN</x:v>
      </x:c>
      <x:c r="C7" t="str">
        <x:v>HD05.G.TRANG.LE_TRANG</x:v>
      </x:c>
      <x:c r="D7" t="str">
        <x:v>G</x:v>
      </x:c>
      <x:c r="E7" t="str">
        <x:v>Lề trang</x:v>
      </x:c>
      <x:c r="F7" t="str">
        <x:v>LE_TREN</x:v>
      </x:c>
      <x:c r="G7" t="n">
        <x:v>20</x:v>
      </x:c>
      <x:c r="H7" t="n">
        <x:v>20</x:v>
      </x:c>
      <x:c r="I7" t="str">
        <x:v>LEGAL_EXPLICIT_CHECKED</x:v>
      </x:c>
      <x:c r="J7" t="str">
        <x:v>PROFILE_PRESET_UNAPPROVED</x:v>
      </x:c>
      <x:c r="K7" t="str">
        <x:v>Chỉ sau xác định chế độ NĐ30/HD05, section và loại văn bản; phần chung không ghi đè thuộc tính đặc thù</x:v>
      </x:c>
      <x:c r="L7" t="str">
        <x:v>Phần G là mặc định; D/N/C/X cụ thể và quy định nguồn được ưu tiên. Giữ section, header, footer nếu không có chứng cứ thay đổi.</x:v>
      </x:c>
      <x:c r="M7" t="str">
        <x:v>mm</x:v>
      </x:c>
      <x:c r="N7" t="str">
        <x:v>Phần II.IV.4.1.1</x:v>
      </x:c>
      <x:c r="O7" t="str">
        <x:v>https://tulieuvankien.dangcongsan.vn/upload/2006988/20260529/HD_05_VPTW_e1550.pdf</x:v>
      </x:c>
      <x:c r="P7" t="str">
        <x:v>PLUGIN:HOA-TIEU-MIEN-BAC-PARTY-HD05-HEADER-2026 | NEEDS_REVIEW</x:v>
      </x:c>
      <x:c r="Q7" t="str">
        <x:v>CHECK_ONLY</x:v>
      </x:c>
      <x:c r="R7" t="str">
        <x:v>Kiểm tra từng thuộc tính có mặt; so sánh nguồn/role; không suy đoán từ kết quả render chưa có</x:v>
      </x:c>
      <x:c r="S7" t="str">
        <x:v>OFFICIAL_TEXT_VERIFIED</x:v>
      </x:c>
      <x:c r="T7"/>
      <x:c r="U7" t="str">
        <x:v>Word settings | w:pgMar t=1134 b=1134 l=1701 r=850 twip</x:v>
      </x:c>
    </x:row>
    <x:row r="8">
      <x:c r="A8" t="n">
        <x:v>7</x:v>
      </x:c>
      <x:c r="B8" t="str">
        <x:v>HD05.G.TRANG.LE_TRANG.LE_DUOI</x:v>
      </x:c>
      <x:c r="C8" t="str">
        <x:v>HD05.G.TRANG.LE_TRANG</x:v>
      </x:c>
      <x:c r="D8" t="str">
        <x:v>G</x:v>
      </x:c>
      <x:c r="E8" t="str">
        <x:v>Lề trang</x:v>
      </x:c>
      <x:c r="F8" t="str">
        <x:v>LE_DUOI</x:v>
      </x:c>
      <x:c r="G8" t="n">
        <x:v>20</x:v>
      </x:c>
      <x:c r="H8" t="n">
        <x:v>20</x:v>
      </x:c>
      <x:c r="I8" t="str">
        <x:v>LEGAL_EXPLICIT_CHECKED</x:v>
      </x:c>
      <x:c r="J8" t="str">
        <x:v>PROFILE_PRESET_UNAPPROVED</x:v>
      </x:c>
      <x:c r="K8" t="str">
        <x:v>Chỉ sau xác định chế độ NĐ30/HD05, section và loại văn bản; phần chung không ghi đè thuộc tính đặc thù</x:v>
      </x:c>
      <x:c r="L8" t="str">
        <x:v>Phần G là mặc định; D/N/C/X cụ thể và quy định nguồn được ưu tiên. Giữ section, header, footer nếu không có chứng cứ thay đổi.</x:v>
      </x:c>
      <x:c r="M8" t="str">
        <x:v>mm</x:v>
      </x:c>
      <x:c r="N8" t="str">
        <x:v>Phần II.IV.4.1.2</x:v>
      </x:c>
      <x:c r="O8" t="str">
        <x:v>https://tulieuvankien.dangcongsan.vn/upload/2006988/20260529/HD_05_VPTW_e1550.pdf</x:v>
      </x:c>
      <x:c r="P8" t="str">
        <x:v>PLUGIN:HOA-TIEU-MIEN-BAC-PARTY-HD05-HEADER-2026 | NEEDS_REVIEW</x:v>
      </x:c>
      <x:c r="Q8" t="str">
        <x:v>CHECK_ONLY</x:v>
      </x:c>
      <x:c r="R8" t="str">
        <x:v>Kiểm tra từng thuộc tính có mặt; so sánh nguồn/role; không suy đoán từ kết quả render chưa có</x:v>
      </x:c>
      <x:c r="S8" t="str">
        <x:v>OFFICIAL_TEXT_VERIFIED</x:v>
      </x:c>
      <x:c r="T8"/>
      <x:c r="U8" t="str">
        <x:v>Word settings | w:pgMar t=1134 b=1134 l=1701 r=850 twip</x:v>
      </x:c>
    </x:row>
    <x:row r="9">
      <x:c r="A9" t="n">
        <x:v>8</x:v>
      </x:c>
      <x:c r="B9" t="str">
        <x:v>HD05.G.TRANG.LE_TRANG.LE_TRAI</x:v>
      </x:c>
      <x:c r="C9" t="str">
        <x:v>HD05.G.TRANG.LE_TRANG</x:v>
      </x:c>
      <x:c r="D9" t="str">
        <x:v>G</x:v>
      </x:c>
      <x:c r="E9" t="str">
        <x:v>Lề trang</x:v>
      </x:c>
      <x:c r="F9" t="str">
        <x:v>LE_TRAI</x:v>
      </x:c>
      <x:c r="G9" t="n">
        <x:v>30</x:v>
      </x:c>
      <x:c r="H9" t="n">
        <x:v>30</x:v>
      </x:c>
      <x:c r="I9" t="str">
        <x:v>LEGAL_EXPLICIT_CHECKED</x:v>
      </x:c>
      <x:c r="J9" t="str">
        <x:v>PROFILE_PRESET_UNAPPROVED</x:v>
      </x:c>
      <x:c r="K9" t="str">
        <x:v>Chỉ sau xác định chế độ NĐ30/HD05, section và loại văn bản; phần chung không ghi đè thuộc tính đặc thù</x:v>
      </x:c>
      <x:c r="L9" t="str">
        <x:v>Phần G là mặc định; D/N/C/X cụ thể và quy định nguồn được ưu tiên. Giữ section, header, footer nếu không có chứng cứ thay đổi.</x:v>
      </x:c>
      <x:c r="M9" t="str">
        <x:v>mm</x:v>
      </x:c>
      <x:c r="N9" t="str">
        <x:v>Phần II.IV.4.1.3</x:v>
      </x:c>
      <x:c r="O9" t="str">
        <x:v>https://tulieuvankien.dangcongsan.vn/upload/2006988/20260529/HD_05_VPTW_e1550.pdf</x:v>
      </x:c>
      <x:c r="P9" t="str">
        <x:v>PLUGIN:HOA-TIEU-MIEN-BAC-PARTY-HD05-HEADER-2026 | NEEDS_REVIEW</x:v>
      </x:c>
      <x:c r="Q9" t="str">
        <x:v>CHECK_ONLY</x:v>
      </x:c>
      <x:c r="R9" t="str">
        <x:v>Kiểm tra từng thuộc tính có mặt; so sánh nguồn/role; không suy đoán từ kết quả render chưa có</x:v>
      </x:c>
      <x:c r="S9" t="str">
        <x:v>OFFICIAL_TEXT_VERIFIED</x:v>
      </x:c>
      <x:c r="T9"/>
      <x:c r="U9" t="str">
        <x:v>Word settings | w:pgMar t=1134 b=1134 l=1701 r=850 twip</x:v>
      </x:c>
    </x:row>
    <x:row r="10">
      <x:c r="A10" t="n">
        <x:v>9</x:v>
      </x:c>
      <x:c r="B10" t="str">
        <x:v>HD05.G.TRANG.LE_TRANG.LE_PHAI</x:v>
      </x:c>
      <x:c r="C10" t="str">
        <x:v>HD05.G.TRANG.LE_TRANG</x:v>
      </x:c>
      <x:c r="D10" t="str">
        <x:v>G</x:v>
      </x:c>
      <x:c r="E10" t="str">
        <x:v>Lề trang</x:v>
      </x:c>
      <x:c r="F10" t="str">
        <x:v>LE_PHAI</x:v>
      </x:c>
      <x:c r="G10" t="n">
        <x:v>15</x:v>
      </x:c>
      <x:c r="H10" t="n">
        <x:v>15</x:v>
      </x:c>
      <x:c r="I10" t="str">
        <x:v>LEGAL_EXPLICIT_CHECKED</x:v>
      </x:c>
      <x:c r="J10" t="str">
        <x:v>PROFILE_PRESET_UNAPPROVED</x:v>
      </x:c>
      <x:c r="K10" t="str">
        <x:v>Chỉ sau xác định chế độ NĐ30/HD05, section và loại văn bản; phần chung không ghi đè thuộc tính đặc thù</x:v>
      </x:c>
      <x:c r="L10" t="str">
        <x:v>Phần G là mặc định; D/N/C/X cụ thể và quy định nguồn được ưu tiên. Giữ section, header, footer nếu không có chứng cứ thay đổi.</x:v>
      </x:c>
      <x:c r="M10" t="str">
        <x:v>mm</x:v>
      </x:c>
      <x:c r="N10" t="str">
        <x:v>Phần II.IV.4.1.4</x:v>
      </x:c>
      <x:c r="O10" t="str">
        <x:v>https://tulieuvankien.dangcongsan.vn/upload/2006988/20260529/HD_05_VPTW_e1550.pdf</x:v>
      </x:c>
      <x:c r="P10" t="str">
        <x:v>PLUGIN:HOA-TIEU-MIEN-BAC-PARTY-HD05-HEADER-2026 | NEEDS_REVIEW</x:v>
      </x:c>
      <x:c r="Q10" t="str">
        <x:v>CHECK_ONLY</x:v>
      </x:c>
      <x:c r="R10" t="str">
        <x:v>Kiểm tra từng thuộc tính có mặt; so sánh nguồn/role; không suy đoán từ kết quả render chưa có</x:v>
      </x:c>
      <x:c r="S10" t="str">
        <x:v>OFFICIAL_TEXT_VERIFIED</x:v>
      </x:c>
      <x:c r="T10"/>
      <x:c r="U10" t="str">
        <x:v>Word settings | w:pgMar t=1134 b=1134 l=1701 r=850 twip</x:v>
      </x:c>
    </x:row>
    <x:row r="11">
      <x:c r="A11" t="n">
        <x:v>10</x:v>
      </x:c>
      <x:c r="B11" t="str">
        <x:v>HD05.G.CHU.PHONG.HIEN_DIEN</x:v>
      </x:c>
      <x:c r="C11" t="str">
        <x:v>HD05.G.CHU.PHONG</x:v>
      </x:c>
      <x:c r="D11" t="str">
        <x:v>G</x:v>
      </x:c>
      <x:c r="E11" t="str">
        <x:v>Phông chữ</x:v>
      </x:c>
      <x:c r="F11" t="str">
        <x:v>HIEN_DIEN</x:v>
      </x:c>
      <x:c r="G11" t="str">
        <x:v>Dùng cho văn bản chính theo profile; loại trừ bản sao/phụ lục riêng khi chưa có route</x:v>
      </x:c>
      <x:c r="H11"/>
      <x:c r="I11" t="str">
        <x:v>UNVERIFIED_ATTRIBUTE</x:v>
      </x:c>
      <x:c r="J11" t="str">
        <x:v>SOURCE_DESCRIPTION_NOT_APPROVAL</x:v>
      </x:c>
      <x:c r="K11" t="str">
        <x:v>Chỉ sau xác định chế độ NĐ30/HD05, section và loại văn bản; phần chung không ghi đè thuộc tính đặc thù</x:v>
      </x:c>
      <x:c r="L11" t="str">
        <x:v>Phần G là mặc định; D/N/C/X cụ thể và quy định nguồn được ưu tiên. Giữ section, header, footer nếu không có chứng cứ thay đổi.</x:v>
      </x:c>
      <x:c r="M11"/>
      <x:c r="N11" t="str">
        <x:v>HD05, Phần II, IV; Phụ lục 2</x:v>
      </x:c>
      <x:c r="O11" t="str">
        <x:v>https://tulieuvankien.dangcongsan.vn/upload/2006988/20260529/HD_05_VPTW_e1550.pdf</x:v>
      </x:c>
      <x:c r="P11" t="str">
        <x:v>PLUGIN:HOA-TIEU-MIEN-BAC-PARTY-HD05-HEADER-2026 | NEEDS_REVIEW</x:v>
      </x:c>
      <x:c r="Q11" t="str">
        <x:v>CHECK_ONLY</x:v>
      </x:c>
      <x:c r="R11" t="str">
        <x:v>Kiểm tra từng thuộc tính có mặt; so sánh nguồn/role; không suy đoán từ kết quả render chưa có</x:v>
      </x:c>
      <x:c r="S11" t="str">
        <x:v>STRUCTURE_READ_EXISTING_WORKBOOK</x:v>
      </x:c>
      <x:c r="T11"/>
      <x:c r="U11" t="str">
        <x:v>Word settings | w:rFonts=Times New Roman</x:v>
      </x:c>
    </x:row>
    <x:row r="12">
      <x:c r="A12" t="n">
        <x:v>11</x:v>
      </x:c>
      <x:c r="B12" t="str">
        <x:v>HD05.G.CHU.PHONG.PHONG_CHU</x:v>
      </x:c>
      <x:c r="C12" t="str">
        <x:v>HD05.G.CHU.PHONG</x:v>
      </x:c>
      <x:c r="D12" t="str">
        <x:v>G</x:v>
      </x:c>
      <x:c r="E12" t="str">
        <x:v>Phông chữ</x:v>
      </x:c>
      <x:c r="F12" t="str">
        <x:v>PHONG_CHU</x:v>
      </x:c>
      <x:c r="G12" t="str">
        <x:v>Times New Roman</x:v>
      </x:c>
      <x:c r="H12" t="str">
        <x:v>Times New Roman</x:v>
      </x:c>
      <x:c r="I12" t="str">
        <x:v>LEGAL_EXPLICIT_CHECKED</x:v>
      </x:c>
      <x:c r="J12" t="str">
        <x:v>PROFILE_PRESET_UNAPPROVED</x:v>
      </x:c>
      <x:c r="K12" t="str">
        <x:v>Chỉ sau xác định chế độ NĐ30/HD05, section và loại văn bản; phần chung không ghi đè thuộc tính đặc thù</x:v>
      </x:c>
      <x:c r="L12" t="str">
        <x:v>Phần G là mặc định; D/N/C/X cụ thể và quy định nguồn được ưu tiên. Giữ section, header, footer nếu không có chứng cứ thay đổi.</x:v>
      </x:c>
      <x:c r="M12"/>
      <x:c r="N12" t="str">
        <x:v>Phần II.IV.1</x:v>
      </x:c>
      <x:c r="O12" t="str">
        <x:v>https://tulieuvankien.dangcongsan.vn/upload/2006988/20260529/HD_05_VPTW_e1550.pdf</x:v>
      </x:c>
      <x:c r="P12" t="str">
        <x:v>PLUGIN:HOA-TIEU-MIEN-BAC-PARTY-HD05-HEADER-2026 | NEEDS_REVIEW</x:v>
      </x:c>
      <x:c r="Q12" t="str">
        <x:v>CHECK_ONLY</x:v>
      </x:c>
      <x:c r="R12" t="str">
        <x:v>Kiểm tra từng thuộc tính có mặt; so sánh nguồn/role; không suy đoán từ kết quả render chưa có</x:v>
      </x:c>
      <x:c r="S12" t="str">
        <x:v>OFFICIAL_TEXT_VERIFIED</x:v>
      </x:c>
      <x:c r="T12"/>
      <x:c r="U12" t="str">
        <x:v>Word settings | w:rFonts=Times New Roman</x:v>
      </x:c>
    </x:row>
    <x:row r="13">
      <x:c r="A13" t="n">
        <x:v>12</x:v>
      </x:c>
      <x:c r="B13" t="str">
        <x:v>HD05.G.CHU.PHONG.MAU_CHU</x:v>
      </x:c>
      <x:c r="C13" t="str">
        <x:v>HD05.G.CHU.PHONG</x:v>
      </x:c>
      <x:c r="D13" t="str">
        <x:v>G</x:v>
      </x:c>
      <x:c r="E13" t="str">
        <x:v>Phông chữ</x:v>
      </x:c>
      <x:c r="F13" t="str">
        <x:v>MAU_CHU</x:v>
      </x:c>
      <x:c r="G13" t="str">
        <x:v>#000000</x:v>
      </x:c>
      <x:c r="H13" t="str">
        <x:v>#000000</x:v>
      </x:c>
      <x:c r="I13" t="str">
        <x:v>LEGAL_EXPLICIT_CHECKED</x:v>
      </x:c>
      <x:c r="J13" t="str">
        <x:v>PROFILE_PRESET_UNAPPROVED</x:v>
      </x:c>
      <x:c r="K13" t="str">
        <x:v>Chỉ sau xác định chế độ NĐ30/HD05, section và loại văn bản; phần chung không ghi đè thuộc tính đặc thù</x:v>
      </x:c>
      <x:c r="L13" t="str">
        <x:v>Phần G là mặc định; D/N/C/X cụ thể và quy định nguồn được ưu tiên. Giữ section, header, footer nếu không có chứng cứ thay đổi.</x:v>
      </x:c>
      <x:c r="M13"/>
      <x:c r="N13" t="str">
        <x:v>Phần II.IV.1</x:v>
      </x:c>
      <x:c r="O13" t="str">
        <x:v>https://tulieuvankien.dangcongsan.vn/upload/2006988/20260529/HD_05_VPTW_e1550.pdf</x:v>
      </x:c>
      <x:c r="P13" t="str">
        <x:v>PLUGIN:HOA-TIEU-MIEN-BAC-PARTY-HD05-HEADER-2026 | NEEDS_REVIEW</x:v>
      </x:c>
      <x:c r="Q13" t="str">
        <x:v>CHECK_ONLY</x:v>
      </x:c>
      <x:c r="R13" t="str">
        <x:v>Kiểm tra từng thuộc tính có mặt; so sánh nguồn/role; không suy đoán từ kết quả render chưa có</x:v>
      </x:c>
      <x:c r="S13" t="str">
        <x:v>OFFICIAL_TEXT_VERIFIED</x:v>
      </x:c>
      <x:c r="T13"/>
      <x:c r="U13" t="str">
        <x:v>Word settings | w:rFonts=Times New Roman</x:v>
      </x:c>
    </x:row>
    <x:row r="14">
      <x:c r="A14" t="n">
        <x:v>13</x:v>
      </x:c>
      <x:c r="B14" t="str">
        <x:v>HD05.G.CHU.CO_CHU.HIEN_DIEN</x:v>
      </x:c>
      <x:c r="C14" t="str">
        <x:v>HD05.G.CHU.CO_CHU</x:v>
      </x:c>
      <x:c r="D14" t="str">
        <x:v>G</x:v>
      </x:c>
      <x:c r="E14" t="str">
        <x:v>Cỡ chữ</x:v>
      </x:c>
      <x:c r="F14" t="str">
        <x:v>HIEN_DIEN</x:v>
      </x:c>
      <x:c r="G14" t="str">
        <x:v>Dùng cho văn bản chính theo profile; loại trừ bản sao/phụ lục riêng khi chưa có route</x:v>
      </x:c>
      <x:c r="H14"/>
      <x:c r="I14" t="str">
        <x:v>UNVERIFIED_ATTRIBUTE</x:v>
      </x:c>
      <x:c r="J14" t="str">
        <x:v>SOURCE_DESCRIPTION_NOT_APPROVAL</x:v>
      </x:c>
      <x:c r="K14" t="str">
        <x:v>Chỉ sau xác định chế độ NĐ30/HD05, section và loại văn bản; phần chung không ghi đè thuộc tính đặc thù</x:v>
      </x:c>
      <x:c r="L14" t="str">
        <x:v>Phần G là mặc định; D/N/C/X cụ thể và quy định nguồn được ưu tiên. Giữ section, header, footer nếu không có chứng cứ thay đổi.</x:v>
      </x:c>
      <x:c r="M14"/>
      <x:c r="N14" t="str">
        <x:v>HD05, Phần II, IV; Phụ lục 2</x:v>
      </x:c>
      <x:c r="O14" t="str">
        <x:v>https://tulieuvankien.dangcongsan.vn/upload/2006988/20260529/HD_05_VPTW_e1550.pdf</x:v>
      </x:c>
      <x:c r="P14" t="str">
        <x:v>PLUGIN:HOA-TIEU-MIEN-BAC-PARTY-HD05-HEADER-2026 | NEEDS_REVIEW</x:v>
      </x:c>
      <x:c r="Q14" t="str">
        <x:v>CHECK_ONLY</x:v>
      </x:c>
      <x:c r="R14" t="str">
        <x:v>Kiểm tra từng thuộc tính có mặt; so sánh nguồn/role; không suy đoán từ kết quả render chưa có</x:v>
      </x:c>
      <x:c r="S14" t="str">
        <x:v>STRUCTURE_READ_EXISTING_WORKBOOK</x:v>
      </x:c>
      <x:c r="T14"/>
      <x:c r="U14" t="str">
        <x:v>Word settings | w:sz 28 half-points cho thân bài</x:v>
      </x:c>
    </x:row>
    <x:row r="15">
      <x:c r="A15" t="n">
        <x:v>14</x:v>
      </x:c>
      <x:c r="B15" t="str">
        <x:v>HD05.G.CHU.CO_CHU.CO_CHU</x:v>
      </x:c>
      <x:c r="C15" t="str">
        <x:v>HD05.G.CHU.CO_CHU</x:v>
      </x:c>
      <x:c r="D15" t="str">
        <x:v>G</x:v>
      </x:c>
      <x:c r="E15" t="str">
        <x:v>Cỡ chữ</x:v>
      </x:c>
      <x:c r="F15" t="str">
        <x:v>CO_CHU</x:v>
      </x:c>
      <x:c r="G15" t="n">
        <x:v>14</x:v>
      </x:c>
      <x:c r="H15"/>
      <x:c r="I15" t="str">
        <x:v>UNVERIFIED_ATTRIBUTE</x:v>
      </x:c>
      <x:c r="J15" t="str">
        <x:v>PROFILE_PRESET_UNAPPROVED</x:v>
      </x:c>
      <x:c r="K15" t="str">
        <x:v>Chỉ sau xác định chế độ NĐ30/HD05, section và loại văn bản; phần chung không ghi đè thuộc tính đặc thù</x:v>
      </x:c>
      <x:c r="L15" t="str">
        <x:v>Phần G là mặc định; D/N/C/X cụ thể và quy định nguồn được ưu tiên. Giữ section, header, footer nếu không có chứng cứ thay đổi.</x:v>
      </x:c>
      <x:c r="M15" t="str">
        <x:v>pt</x:v>
      </x:c>
      <x:c r="N15" t="str">
        <x:v>HD05, Phần II, IV; Phụ lục 2</x:v>
      </x:c>
      <x:c r="O15" t="str">
        <x:v>https://tulieuvankien.dangcongsan.vn/upload/2006988/20260529/HD_05_VPTW_e1550.pdf</x:v>
      </x:c>
      <x:c r="P15" t="str">
        <x:v>PLUGIN:HOA-TIEU-MIEN-BAC-PARTY-HD05-HEADER-2026 | NEEDS_REVIEW</x:v>
      </x:c>
      <x:c r="Q15" t="str">
        <x:v>CHECK_ONLY</x:v>
      </x:c>
      <x:c r="R15" t="str">
        <x:v>Kiểm tra từng thuộc tính có mặt; so sánh nguồn/role; không suy đoán từ kết quả render chưa có</x:v>
      </x:c>
      <x:c r="S15" t="str">
        <x:v>STRUCTURE_READ_EXISTING_WORKBOOK</x:v>
      </x:c>
      <x:c r="T15"/>
      <x:c r="U15" t="str">
        <x:v>Word settings | w:sz 28 half-points cho thân bài</x:v>
      </x:c>
    </x:row>
    <x:row r="16">
      <x:c r="A16" t="n">
        <x:v>15</x:v>
      </x:c>
      <x:c r="B16" t="str">
        <x:v>HD05.G.CHU.KIEU_CHU.HIEN_DIEN</x:v>
      </x:c>
      <x:c r="C16" t="str">
        <x:v>HD05.G.CHU.KIEU_CHU</x:v>
      </x:c>
      <x:c r="D16" t="str">
        <x:v>G</x:v>
      </x:c>
      <x:c r="E16" t="str">
        <x:v>Kiểu chữ</x:v>
      </x:c>
      <x:c r="F16" t="str">
        <x:v>HIEN_DIEN</x:v>
      </x:c>
      <x:c r="G16" t="str">
        <x:v>Dùng cho văn bản chính theo profile; loại trừ bản sao/phụ lục riêng khi chưa có route</x:v>
      </x:c>
      <x:c r="H16"/>
      <x:c r="I16" t="str">
        <x:v>UNVERIFIED_ATTRIBUTE</x:v>
      </x:c>
      <x:c r="J16" t="str">
        <x:v>SOURCE_DESCRIPTION_NOT_APPROVAL</x:v>
      </x:c>
      <x:c r="K16" t="str">
        <x:v>Chỉ sau xác định chế độ NĐ30/HD05, section và loại văn bản; phần chung không ghi đè thuộc tính đặc thù</x:v>
      </x:c>
      <x:c r="L16" t="str">
        <x:v>Phần G là mặc định; D/N/C/X cụ thể và quy định nguồn được ưu tiên. Giữ section, header, footer nếu không có chứng cứ thay đổi.</x:v>
      </x:c>
      <x:c r="M16"/>
      <x:c r="N16" t="str">
        <x:v>HD05, Phần II, IV; Phụ lục 2</x:v>
      </x:c>
      <x:c r="O16" t="str">
        <x:v>https://tulieuvankien.dangcongsan.vn/upload/2006988/20260529/HD_05_VPTW_e1550.pdf</x:v>
      </x:c>
      <x:c r="P16" t="str">
        <x:v>PLUGIN:HOA-TIEU-MIEN-BAC-PARTY-HD05-HEADER-2026 | NEEDS_REVIEW</x:v>
      </x:c>
      <x:c r="Q16" t="str">
        <x:v>CHECK_ONLY</x:v>
      </x:c>
      <x:c r="R16" t="str">
        <x:v>Kiểm tra từng thuộc tính có mặt; so sánh nguồn/role; không suy đoán từ kết quả render chưa có</x:v>
      </x:c>
      <x:c r="S16" t="str">
        <x:v>STRUCTURE_READ_EXISTING_WORKBOOK</x:v>
      </x:c>
      <x:c r="T16"/>
      <x:c r="U16" t="str">
        <x:v>Word settings | w:rPr/w:b/w:i + text case</x:v>
      </x:c>
    </x:row>
    <x:row r="17">
      <x:c r="A17" t="n">
        <x:v>16</x:v>
      </x:c>
      <x:c r="B17" t="str">
        <x:v>HD05.G.CHU.KIEU_CHU.KIEU_CHU</x:v>
      </x:c>
      <x:c r="C17" t="str">
        <x:v>HD05.G.CHU.KIEU_CHU</x:v>
      </x:c>
      <x:c r="D17" t="str">
        <x:v>G</x:v>
      </x:c>
      <x:c r="E17" t="str">
        <x:v>Kiểu chữ</x:v>
      </x:c>
      <x:c r="F17" t="str">
        <x:v>KIEU_CHU</x:v>
      </x:c>
      <x:c r="G17"/>
      <x:c r="H17"/>
      <x:c r="I17" t="str">
        <x:v>UNVERIFIED_ATTRIBUTE</x:v>
      </x:c>
      <x:c r="J17" t="str">
        <x:v>BLOCKED_NO_ATTRIBUTE_VALUE</x:v>
      </x:c>
      <x:c r="K17" t="str">
        <x:v>Chỉ sau xác định chế độ NĐ30/HD05, section và loại văn bản; phần chung không ghi đè thuộc tính đặc thù</x:v>
      </x:c>
      <x:c r="L17" t="str">
        <x:v>Phần G là mặc định; D/N/C/X cụ thể và quy định nguồn được ưu tiên. Giữ section, header, footer nếu không có chứng cứ thay đổi.</x:v>
      </x:c>
      <x:c r="M17"/>
      <x:c r="N17" t="str">
        <x:v>HD05, Phần II, IV; Phụ lục 2</x:v>
      </x:c>
      <x:c r="O17" t="str">
        <x:v>https://tulieuvankien.dangcongsan.vn/upload/2006988/20260529/HD_05_VPTW_e1550.pdf</x:v>
      </x:c>
      <x:c r="P17" t="str">
        <x:v>PLUGIN:HOA-TIEU-MIEN-BAC-PARTY-HD05-HEADER-2026 | NEEDS_REVIEW</x:v>
      </x:c>
      <x:c r="Q17" t="str">
        <x:v>CHECK_ONLY</x:v>
      </x:c>
      <x:c r="R17" t="str">
        <x:v>Kiểm tra từng thuộc tính có mặt; so sánh nguồn/role; không suy đoán từ kết quả render chưa có</x:v>
      </x:c>
      <x:c r="S17" t="str">
        <x:v>RULE_INFERENCE_NOT_MEASURED</x:v>
      </x:c>
      <x:c r="T17" t="str">
        <x:v>Xác minh căn cứ theo loại văn bản / tài liệu phát hành hoặc phê duyệt</x:v>
      </x:c>
      <x:c r="U17" t="str">
        <x:v>Word settings | w:rPr/w:b/w:i + text case</x:v>
      </x:c>
    </x:row>
    <x:row r="18">
      <x:c r="A18" t="n">
        <x:v>17</x:v>
      </x:c>
      <x:c r="B18" t="str">
        <x:v>HD05.G.DOAN.CAN_LE.HIEN_DIEN</x:v>
      </x:c>
      <x:c r="C18" t="str">
        <x:v>HD05.G.DOAN.CAN_LE</x:v>
      </x:c>
      <x:c r="D18" t="str">
        <x:v>G</x:v>
      </x:c>
      <x:c r="E18" t="str">
        <x:v>Căn lề</x:v>
      </x:c>
      <x:c r="F18" t="str">
        <x:v>HIEN_DIEN</x:v>
      </x:c>
      <x:c r="G18" t="str">
        <x:v>Dùng cho văn bản chính theo profile; loại trừ bản sao/phụ lục riêng khi chưa có route</x:v>
      </x:c>
      <x:c r="H18"/>
      <x:c r="I18" t="str">
        <x:v>UNVERIFIED_ATTRIBUTE</x:v>
      </x:c>
      <x:c r="J18" t="str">
        <x:v>SOURCE_DESCRIPTION_NOT_APPROVAL</x:v>
      </x:c>
      <x:c r="K18" t="str">
        <x:v>Chỉ sau xác định chế độ NĐ30/HD05, section và loại văn bản; phần chung không ghi đè thuộc tính đặc thù</x:v>
      </x:c>
      <x:c r="L18" t="str">
        <x:v>Phần G là mặc định; D/N/C/X cụ thể và quy định nguồn được ưu tiên. Giữ section, header, footer nếu không có chứng cứ thay đổi.</x:v>
      </x:c>
      <x:c r="M18"/>
      <x:c r="N18" t="str">
        <x:v>HD05, Phần II, IV; Phụ lục 2</x:v>
      </x:c>
      <x:c r="O18" t="str">
        <x:v>https://tulieuvankien.dangcongsan.vn/upload/2006988/20260529/HD_05_VPTW_e1550.pdf</x:v>
      </x:c>
      <x:c r="P18" t="str">
        <x:v>PLUGIN:HOA-TIEU-MIEN-BAC-PARTY-HD05-HEADER-2026 | NEEDS_REVIEW</x:v>
      </x:c>
      <x:c r="Q18" t="str">
        <x:v>CHECK_ONLY</x:v>
      </x:c>
      <x:c r="R18" t="str">
        <x:v>Kiểm tra từng thuộc tính có mặt; so sánh nguồn/role; không suy đoán từ kết quả render chưa có</x:v>
      </x:c>
      <x:c r="S18" t="str">
        <x:v>STRUCTURE_READ_EXISTING_WORKBOOK</x:v>
      </x:c>
      <x:c r="T18"/>
      <x:c r="U18" t="str">
        <x:v>Word settings | w:jc=both (body)</x:v>
      </x:c>
    </x:row>
    <x:row r="19">
      <x:c r="A19" t="n">
        <x:v>18</x:v>
      </x:c>
      <x:c r="B19" t="str">
        <x:v>HD05.G.DOAN.CAN_LE.CAN_NGANG</x:v>
      </x:c>
      <x:c r="C19" t="str">
        <x:v>HD05.G.DOAN.CAN_LE</x:v>
      </x:c>
      <x:c r="D19" t="str">
        <x:v>G</x:v>
      </x:c>
      <x:c r="E19" t="str">
        <x:v>Căn lề</x:v>
      </x:c>
      <x:c r="F19" t="str">
        <x:v>CAN_NGANG</x:v>
      </x:c>
      <x:c r="G19" t="str">
        <x:v>JUSTIFY</x:v>
      </x:c>
      <x:c r="H19"/>
      <x:c r="I19" t="str">
        <x:v>UNVERIFIED_ATTRIBUTE</x:v>
      </x:c>
      <x:c r="J19" t="str">
        <x:v>PROFILE_PRESET_UNAPPROVED</x:v>
      </x:c>
      <x:c r="K19" t="str">
        <x:v>Chỉ sau xác định chế độ NĐ30/HD05, section và loại văn bản; phần chung không ghi đè thuộc tính đặc thù</x:v>
      </x:c>
      <x:c r="L19" t="str">
        <x:v>Phần G là mặc định; D/N/C/X cụ thể và quy định nguồn được ưu tiên. Giữ section, header, footer nếu không có chứng cứ thay đổi.</x:v>
      </x:c>
      <x:c r="M19"/>
      <x:c r="N19" t="str">
        <x:v>HD05, Phần II, IV; Phụ lục 2</x:v>
      </x:c>
      <x:c r="O19" t="str">
        <x:v>https://tulieuvankien.dangcongsan.vn/upload/2006988/20260529/HD_05_VPTW_e1550.pdf</x:v>
      </x:c>
      <x:c r="P19" t="str">
        <x:v>PLUGIN:HOA-TIEU-MIEN-BAC-PARTY-HD05-HEADER-2026 | NEEDS_REVIEW</x:v>
      </x:c>
      <x:c r="Q19" t="str">
        <x:v>CHECK_ONLY</x:v>
      </x:c>
      <x:c r="R19" t="str">
        <x:v>Kiểm tra từng thuộc tính có mặt; so sánh nguồn/role; không suy đoán từ kết quả render chưa có</x:v>
      </x:c>
      <x:c r="S19" t="str">
        <x:v>STRUCTURE_READ_EXISTING_WORKBOOK</x:v>
      </x:c>
      <x:c r="T19"/>
      <x:c r="U19" t="str">
        <x:v>Word settings | w:jc=both (body)</x:v>
      </x:c>
    </x:row>
    <x:row r="20">
      <x:c r="A20" t="n">
        <x:v>19</x:v>
      </x:c>
      <x:c r="B20" t="str">
        <x:v>HD05.G.DOAN.GIUA_DONG.HIEN_DIEN</x:v>
      </x:c>
      <x:c r="C20" t="str">
        <x:v>HD05.G.DOAN.GIUA_DONG</x:v>
      </x:c>
      <x:c r="D20" t="str">
        <x:v>G</x:v>
      </x:c>
      <x:c r="E20" t="str">
        <x:v>Khoảng cách dòng</x:v>
      </x:c>
      <x:c r="F20" t="str">
        <x:v>HIEN_DIEN</x:v>
      </x:c>
      <x:c r="G20" t="str">
        <x:v>Dùng cho văn bản chính theo profile; loại trừ bản sao/phụ lục riêng khi chưa có route</x:v>
      </x:c>
      <x:c r="H20"/>
      <x:c r="I20" t="str">
        <x:v>UNVERIFIED_ATTRIBUTE</x:v>
      </x:c>
      <x:c r="J20" t="str">
        <x:v>SOURCE_DESCRIPTION_NOT_APPROVAL</x:v>
      </x:c>
      <x:c r="K20" t="str">
        <x:v>Chỉ sau xác định chế độ NĐ30/HD05, section và loại văn bản; phần chung không ghi đè thuộc tính đặc thù</x:v>
      </x:c>
      <x:c r="L20" t="str">
        <x:v>Phần G là mặc định; D/N/C/X cụ thể và quy định nguồn được ưu tiên. Giữ section, header, footer nếu không có chứng cứ thay đổi.</x:v>
      </x:c>
      <x:c r="M20"/>
      <x:c r="N20" t="str">
        <x:v>HD05, Phần II, IV; Phụ lục 2</x:v>
      </x:c>
      <x:c r="O20" t="str">
        <x:v>https://tulieuvankien.dangcongsan.vn/upload/2006988/20260529/HD_05_VPTW_e1550.pdf</x:v>
      </x:c>
      <x:c r="P20" t="str">
        <x:v>PLUGIN:HOA-TIEU-MIEN-BAC-PARTY-HD05-HEADER-2026 | NEEDS_REVIEW</x:v>
      </x:c>
      <x:c r="Q20" t="str">
        <x:v>CHECK_ONLY</x:v>
      </x:c>
      <x:c r="R20" t="str">
        <x:v>Kiểm tra từng thuộc tính có mặt; so sánh nguồn/role; không suy đoán từ kết quả render chưa có</x:v>
      </x:c>
      <x:c r="S20" t="str">
        <x:v>STRUCTURE_READ_EXISTING_WORKBOOK</x:v>
      </x:c>
      <x:c r="T20"/>
      <x:c r="U20" t="str">
        <x:v>Word settings | w:spacing line=380; lineRule=exact</x:v>
      </x:c>
    </x:row>
    <x:row r="21">
      <x:c r="A21" t="n">
        <x:v>20</x:v>
      </x:c>
      <x:c r="B21" t="str">
        <x:v>HD05.G.DOAN.GIUA_DONG.GIAN_DONG</x:v>
      </x:c>
      <x:c r="C21" t="str">
        <x:v>HD05.G.DOAN.GIUA_DONG</x:v>
      </x:c>
      <x:c r="D21" t="str">
        <x:v>G</x:v>
      </x:c>
      <x:c r="E21" t="str">
        <x:v>Khoảng cách dòng</x:v>
      </x:c>
      <x:c r="F21" t="str">
        <x:v>GIAN_DONG</x:v>
      </x:c>
      <x:c r="G21" t="n">
        <x:v>19</x:v>
      </x:c>
      <x:c r="H21"/>
      <x:c r="I21" t="str">
        <x:v>UNVERIFIED_ATTRIBUTE</x:v>
      </x:c>
      <x:c r="J21" t="str">
        <x:v>PROFILE_PRESET_UNAPPROVED</x:v>
      </x:c>
      <x:c r="K21" t="str">
        <x:v>Chỉ sau xác định chế độ NĐ30/HD05, section và loại văn bản; phần chung không ghi đè thuộc tính đặc thù</x:v>
      </x:c>
      <x:c r="L21" t="str">
        <x:v>Phần G là mặc định; D/N/C/X cụ thể và quy định nguồn được ưu tiên. Giữ section, header, footer nếu không có chứng cứ thay đổi.</x:v>
      </x:c>
      <x:c r="M21" t="str">
        <x:v>pt</x:v>
      </x:c>
      <x:c r="N21" t="str">
        <x:v>HD05, Phần II, IV; Phụ lục 2</x:v>
      </x:c>
      <x:c r="O21" t="str">
        <x:v>https://tulieuvankien.dangcongsan.vn/upload/2006988/20260529/HD_05_VPTW_e1550.pdf</x:v>
      </x:c>
      <x:c r="P21" t="str">
        <x:v>PLUGIN:HOA-TIEU-MIEN-BAC-PARTY-HD05-HEADER-2026 | NEEDS_REVIEW</x:v>
      </x:c>
      <x:c r="Q21" t="str">
        <x:v>CHECK_ONLY</x:v>
      </x:c>
      <x:c r="R21" t="str">
        <x:v>Kiểm tra từng thuộc tính có mặt; so sánh nguồn/role; không suy đoán từ kết quả render chưa có</x:v>
      </x:c>
      <x:c r="S21" t="str">
        <x:v>STRUCTURE_READ_EXISTING_WORKBOOK</x:v>
      </x:c>
      <x:c r="T21"/>
      <x:c r="U21" t="str">
        <x:v>Word settings | w:spacing line=380; lineRule=exact</x:v>
      </x:c>
    </x:row>
    <x:row r="22">
      <x:c r="A22" t="n">
        <x:v>21</x:v>
      </x:c>
      <x:c r="B22" t="str">
        <x:v>HD05.G.DOAN.GIUA_DOAN.HIEN_DIEN</x:v>
      </x:c>
      <x:c r="C22" t="str">
        <x:v>HD05.G.DOAN.GIUA_DOAN</x:v>
      </x:c>
      <x:c r="D22" t="str">
        <x:v>G</x:v>
      </x:c>
      <x:c r="E22" t="str">
        <x:v>Khoảng cách đoạn</x:v>
      </x:c>
      <x:c r="F22" t="str">
        <x:v>HIEN_DIEN</x:v>
      </x:c>
      <x:c r="G22" t="str">
        <x:v>Dùng cho văn bản chính theo profile; loại trừ bản sao/phụ lục riêng khi chưa có route</x:v>
      </x:c>
      <x:c r="H22"/>
      <x:c r="I22" t="str">
        <x:v>UNVERIFIED_ATTRIBUTE</x:v>
      </x:c>
      <x:c r="J22" t="str">
        <x:v>SOURCE_DESCRIPTION_NOT_APPROVAL</x:v>
      </x:c>
      <x:c r="K22" t="str">
        <x:v>Chỉ sau xác định chế độ NĐ30/HD05, section và loại văn bản; phần chung không ghi đè thuộc tính đặc thù</x:v>
      </x:c>
      <x:c r="L22" t="str">
        <x:v>Phần G là mặc định; D/N/C/X cụ thể và quy định nguồn được ưu tiên. Giữ section, header, footer nếu không có chứng cứ thay đổi.</x:v>
      </x:c>
      <x:c r="M22"/>
      <x:c r="N22" t="str">
        <x:v>HD05, Phần II, IV; Phụ lục 2</x:v>
      </x:c>
      <x:c r="O22" t="str">
        <x:v>https://tulieuvankien.dangcongsan.vn/upload/2006988/20260529/HD_05_VPTW_e1550.pdf</x:v>
      </x:c>
      <x:c r="P22" t="str">
        <x:v>PLUGIN:HOA-TIEU-MIEN-BAC-PARTY-HD05-HEADER-2026 | NEEDS_REVIEW</x:v>
      </x:c>
      <x:c r="Q22" t="str">
        <x:v>CHECK_ONLY</x:v>
      </x:c>
      <x:c r="R22" t="str">
        <x:v>Kiểm tra từng thuộc tính có mặt; so sánh nguồn/role; không suy đoán từ kết quả render chưa có</x:v>
      </x:c>
      <x:c r="S22" t="str">
        <x:v>STRUCTURE_READ_EXISTING_WORKBOOK</x:v>
      </x:c>
      <x:c r="T22"/>
      <x:c r="U22" t="str">
        <x:v>Word settings | w:spacing before=0 after=120</x:v>
      </x:c>
    </x:row>
    <x:row r="23">
      <x:c r="A23" t="n">
        <x:v>22</x:v>
      </x:c>
      <x:c r="B23" t="str">
        <x:v>HD05.G.DOAN.GIUA_DOAN.CACH_TRUOC</x:v>
      </x:c>
      <x:c r="C23" t="str">
        <x:v>HD05.G.DOAN.GIUA_DOAN</x:v>
      </x:c>
      <x:c r="D23" t="str">
        <x:v>G</x:v>
      </x:c>
      <x:c r="E23" t="str">
        <x:v>Khoảng cách đoạn</x:v>
      </x:c>
      <x:c r="F23" t="str">
        <x:v>CACH_TRUOC</x:v>
      </x:c>
      <x:c r="G23" t="n">
        <x:v>0</x:v>
      </x:c>
      <x:c r="H23"/>
      <x:c r="I23" t="str">
        <x:v>UNVERIFIED_ATTRIBUTE</x:v>
      </x:c>
      <x:c r="J23" t="str">
        <x:v>PROFILE_PRESET_UNAPPROVED</x:v>
      </x:c>
      <x:c r="K23" t="str">
        <x:v>Chỉ sau xác định chế độ NĐ30/HD05, section và loại văn bản; phần chung không ghi đè thuộc tính đặc thù</x:v>
      </x:c>
      <x:c r="L23" t="str">
        <x:v>Phần G là mặc định; D/N/C/X cụ thể và quy định nguồn được ưu tiên. Giữ section, header, footer nếu không có chứng cứ thay đổi.</x:v>
      </x:c>
      <x:c r="M23" t="str">
        <x:v>pt</x:v>
      </x:c>
      <x:c r="N23" t="str">
        <x:v>HD05, Phần II, IV; Phụ lục 2</x:v>
      </x:c>
      <x:c r="O23" t="str">
        <x:v>https://tulieuvankien.dangcongsan.vn/upload/2006988/20260529/HD_05_VPTW_e1550.pdf</x:v>
      </x:c>
      <x:c r="P23" t="str">
        <x:v>PLUGIN:HOA-TIEU-MIEN-BAC-PARTY-HD05-HEADER-2026 | NEEDS_REVIEW</x:v>
      </x:c>
      <x:c r="Q23" t="str">
        <x:v>CHECK_ONLY</x:v>
      </x:c>
      <x:c r="R23" t="str">
        <x:v>Kiểm tra từng thuộc tính có mặt; so sánh nguồn/role; không suy đoán từ kết quả render chưa có</x:v>
      </x:c>
      <x:c r="S23" t="str">
        <x:v>STRUCTURE_READ_EXISTING_WORKBOOK</x:v>
      </x:c>
      <x:c r="T23"/>
      <x:c r="U23" t="str">
        <x:v>Word settings | w:spacing before=0 after=120</x:v>
      </x:c>
    </x:row>
    <x:row r="24">
      <x:c r="A24" t="n">
        <x:v>23</x:v>
      </x:c>
      <x:c r="B24" t="str">
        <x:v>HD05.G.DOAN.GIUA_DOAN.CACH_SAU</x:v>
      </x:c>
      <x:c r="C24" t="str">
        <x:v>HD05.G.DOAN.GIUA_DOAN</x:v>
      </x:c>
      <x:c r="D24" t="str">
        <x:v>G</x:v>
      </x:c>
      <x:c r="E24" t="str">
        <x:v>Khoảng cách đoạn</x:v>
      </x:c>
      <x:c r="F24" t="str">
        <x:v>CACH_SAU</x:v>
      </x:c>
      <x:c r="G24" t="n">
        <x:v>6</x:v>
      </x:c>
      <x:c r="H24"/>
      <x:c r="I24" t="str">
        <x:v>UNVERIFIED_ATTRIBUTE</x:v>
      </x:c>
      <x:c r="J24" t="str">
        <x:v>PROFILE_PRESET_UNAPPROVED</x:v>
      </x:c>
      <x:c r="K24" t="str">
        <x:v>Chỉ sau xác định chế độ NĐ30/HD05, section và loại văn bản; phần chung không ghi đè thuộc tính đặc thù</x:v>
      </x:c>
      <x:c r="L24" t="str">
        <x:v>Phần G là mặc định; D/N/C/X cụ thể và quy định nguồn được ưu tiên. Giữ section, header, footer nếu không có chứng cứ thay đổi.</x:v>
      </x:c>
      <x:c r="M24" t="str">
        <x:v>pt</x:v>
      </x:c>
      <x:c r="N24" t="str">
        <x:v>HD05, Phần II, IV; Phụ lục 2</x:v>
      </x:c>
      <x:c r="O24" t="str">
        <x:v>https://tulieuvankien.dangcongsan.vn/upload/2006988/20260529/HD_05_VPTW_e1550.pdf</x:v>
      </x:c>
      <x:c r="P24" t="str">
        <x:v>PLUGIN:HOA-TIEU-MIEN-BAC-PARTY-HD05-HEADER-2026 | NEEDS_REVIEW</x:v>
      </x:c>
      <x:c r="Q24" t="str">
        <x:v>CHECK_ONLY</x:v>
      </x:c>
      <x:c r="R24" t="str">
        <x:v>Kiểm tra từng thuộc tính có mặt; so sánh nguồn/role; không suy đoán từ kết quả render chưa có</x:v>
      </x:c>
      <x:c r="S24" t="str">
        <x:v>STRUCTURE_READ_EXISTING_WORKBOOK</x:v>
      </x:c>
      <x:c r="T24"/>
      <x:c r="U24" t="str">
        <x:v>Word settings | w:spacing before=0 after=120</x:v>
      </x:c>
    </x:row>
    <x:row r="25">
      <x:c r="A25" t="n">
        <x:v>24</x:v>
      </x:c>
      <x:c r="B25" t="str">
        <x:v>HD05.G.DOAN.THUT_DONG.HIEN_DIEN</x:v>
      </x:c>
      <x:c r="C25" t="str">
        <x:v>HD05.G.DOAN.THUT_DONG</x:v>
      </x:c>
      <x:c r="D25" t="str">
        <x:v>G</x:v>
      </x:c>
      <x:c r="E25" t="str">
        <x:v>Thụt đầu dòng</x:v>
      </x:c>
      <x:c r="F25" t="str">
        <x:v>HIEN_DIEN</x:v>
      </x:c>
      <x:c r="G25" t="str">
        <x:v>Dùng cho văn bản chính theo profile; loại trừ bản sao/phụ lục riêng khi chưa có route</x:v>
      </x:c>
      <x:c r="H25"/>
      <x:c r="I25" t="str">
        <x:v>UNVERIFIED_ATTRIBUTE</x:v>
      </x:c>
      <x:c r="J25" t="str">
        <x:v>SOURCE_DESCRIPTION_NOT_APPROVAL</x:v>
      </x:c>
      <x:c r="K25" t="str">
        <x:v>Chỉ sau xác định chế độ NĐ30/HD05, section và loại văn bản; phần chung không ghi đè thuộc tính đặc thù</x:v>
      </x:c>
      <x:c r="L25" t="str">
        <x:v>Phần G là mặc định; D/N/C/X cụ thể và quy định nguồn được ưu tiên. Giữ section, header, footer nếu không có chứng cứ thay đổi.</x:v>
      </x:c>
      <x:c r="M25"/>
      <x:c r="N25" t="str">
        <x:v>HD05, Phần II, IV; Phụ lục 2</x:v>
      </x:c>
      <x:c r="O25" t="str">
        <x:v>https://tulieuvankien.dangcongsan.vn/upload/2006988/20260529/HD_05_VPTW_e1550.pdf</x:v>
      </x:c>
      <x:c r="P25" t="str">
        <x:v>PLUGIN:HOA-TIEU-MIEN-BAC-PARTY-HD05-HEADER-2026 | NEEDS_REVIEW</x:v>
      </x:c>
      <x:c r="Q25" t="str">
        <x:v>CHECK_ONLY</x:v>
      </x:c>
      <x:c r="R25" t="str">
        <x:v>Kiểm tra từng thuộc tính có mặt; so sánh nguồn/role; không suy đoán từ kết quả render chưa có</x:v>
      </x:c>
      <x:c r="S25" t="str">
        <x:v>STRUCTURE_READ_EXISTING_WORKBOOK</x:v>
      </x:c>
      <x:c r="T25"/>
      <x:c r="U25" t="str">
        <x:v>Word settings | w:ind w:firstLine=567</x:v>
      </x:c>
    </x:row>
    <x:row r="26">
      <x:c r="A26" t="n">
        <x:v>25</x:v>
      </x:c>
      <x:c r="B26" t="str">
        <x:v>HD05.G.DOAN.THUT_DONG.THUT_DONG_DAU</x:v>
      </x:c>
      <x:c r="C26" t="str">
        <x:v>HD05.G.DOAN.THUT_DONG</x:v>
      </x:c>
      <x:c r="D26" t="str">
        <x:v>G</x:v>
      </x:c>
      <x:c r="E26" t="str">
        <x:v>Thụt đầu dòng</x:v>
      </x:c>
      <x:c r="F26" t="str">
        <x:v>THUT_DONG_DAU</x:v>
      </x:c>
      <x:c r="G26" t="n">
        <x:v>10</x:v>
      </x:c>
      <x:c r="H26"/>
      <x:c r="I26" t="str">
        <x:v>UNVERIFIED_ATTRIBUTE</x:v>
      </x:c>
      <x:c r="J26" t="str">
        <x:v>PROFILE_PRESET_UNAPPROVED</x:v>
      </x:c>
      <x:c r="K26" t="str">
        <x:v>Chỉ sau xác định chế độ NĐ30/HD05, section và loại văn bản; phần chung không ghi đè thuộc tính đặc thù</x:v>
      </x:c>
      <x:c r="L26" t="str">
        <x:v>Phần G là mặc định; D/N/C/X cụ thể và quy định nguồn được ưu tiên. Giữ section, header, footer nếu không có chứng cứ thay đổi.</x:v>
      </x:c>
      <x:c r="M26" t="str">
        <x:v>mm</x:v>
      </x:c>
      <x:c r="N26" t="str">
        <x:v>HD05, Phần II, IV; Phụ lục 2</x:v>
      </x:c>
      <x:c r="O26" t="str">
        <x:v>https://tulieuvankien.dangcongsan.vn/upload/2006988/20260529/HD_05_VPTW_e1550.pdf</x:v>
      </x:c>
      <x:c r="P26" t="str">
        <x:v>PLUGIN:HOA-TIEU-MIEN-BAC-PARTY-HD05-HEADER-2026 | NEEDS_REVIEW</x:v>
      </x:c>
      <x:c r="Q26" t="str">
        <x:v>CHECK_ONLY</x:v>
      </x:c>
      <x:c r="R26" t="str">
        <x:v>Kiểm tra từng thuộc tính có mặt; so sánh nguồn/role; không suy đoán từ kết quả render chưa có</x:v>
      </x:c>
      <x:c r="S26" t="str">
        <x:v>STRUCTURE_READ_EXISTING_WORKBOOK</x:v>
      </x:c>
      <x:c r="T26"/>
      <x:c r="U26" t="str">
        <x:v>Word settings | w:ind w:firstLine=567</x:v>
      </x:c>
    </x:row>
    <x:row r="27">
      <x:c r="A27" t="n">
        <x:v>26</x:v>
      </x:c>
      <x:c r="B27" t="str">
        <x:v>HD05.G.PHAN_TRANG.SECTION.HIEN_DIEN</x:v>
      </x:c>
      <x:c r="C27" t="str">
        <x:v>HD05.G.PHAN_TRANG.SECTION</x:v>
      </x:c>
      <x:c r="D27" t="str">
        <x:v>G</x:v>
      </x:c>
      <x:c r="E27" t="str">
        <x:v>Section</x:v>
      </x:c>
      <x:c r="F27" t="str">
        <x:v>HIEN_DIEN</x:v>
      </x:c>
      <x:c r="G27" t="str">
        <x:v>Dùng cho văn bản chính theo profile; loại trừ bản sao/phụ lục riêng khi chưa có route</x:v>
      </x:c>
      <x:c r="H27"/>
      <x:c r="I27" t="str">
        <x:v>UNVERIFIED_ATTRIBUTE</x:v>
      </x:c>
      <x:c r="J27" t="str">
        <x:v>SOURCE_DESCRIPTION_NOT_APPROVAL</x:v>
      </x:c>
      <x:c r="K27" t="str">
        <x:v>Chỉ sau xác định chế độ NĐ30/HD05, section và loại văn bản; phần chung không ghi đè thuộc tính đặc thù</x:v>
      </x:c>
      <x:c r="L27" t="str">
        <x:v>Phần G là mặc định; D/N/C/X cụ thể và quy định nguồn được ưu tiên. Giữ section, header, footer nếu không có chứng cứ thay đổi.</x:v>
      </x:c>
      <x:c r="M27"/>
      <x:c r="N27" t="str">
        <x:v>HD05, Phần II, IV; Phụ lục 2</x:v>
      </x:c>
      <x:c r="O27" t="str">
        <x:v>https://tulieuvankien.dangcongsan.vn/upload/2006988/20260529/HD_05_VPTW_e1550.pdf</x:v>
      </x:c>
      <x:c r="P27" t="str">
        <x:v>PLUGIN:HOA-TIEU-MIEN-BAC-PARTY-HD05-HEADER-2026 | NEEDS_REVIEW</x:v>
      </x:c>
      <x:c r="Q27" t="str">
        <x:v>CHECK_ONLY</x:v>
      </x:c>
      <x:c r="R27" t="str">
        <x:v>Kiểm tra từng thuộc tính có mặt; so sánh nguồn/role; không suy đoán từ kết quả render chưa có</x:v>
      </x:c>
      <x:c r="S27" t="str">
        <x:v>STRUCTURE_READ_EXISTING_WORKBOOK</x:v>
      </x:c>
      <x:c r="T27"/>
      <x:c r="U27" t="str">
        <x:v>Word settings | sectPr, preserve original</x:v>
      </x:c>
    </x:row>
    <x:row r="28">
      <x:c r="A28" t="n">
        <x:v>27</x:v>
      </x:c>
      <x:c r="B28" t="str">
        <x:v>HD05.G.PHAN_TRANG.SECTION.SECTION</x:v>
      </x:c>
      <x:c r="C28" t="str">
        <x:v>HD05.G.PHAN_TRANG.SECTION</x:v>
      </x:c>
      <x:c r="D28" t="str">
        <x:v>G</x:v>
      </x:c>
      <x:c r="E28" t="str">
        <x:v>Section</x:v>
      </x:c>
      <x:c r="F28" t="str">
        <x:v>SECTION</x:v>
      </x:c>
      <x:c r="G28"/>
      <x:c r="H28"/>
      <x:c r="I28" t="str">
        <x:v>UNVERIFIED_ATTRIBUTE</x:v>
      </x:c>
      <x:c r="J28" t="str">
        <x:v>BLOCKED_NO_ATTRIBUTE_VALUE</x:v>
      </x:c>
      <x:c r="K28" t="str">
        <x:v>Chỉ sau xác định chế độ NĐ30/HD05, section và loại văn bản; phần chung không ghi đè thuộc tính đặc thù</x:v>
      </x:c>
      <x:c r="L28" t="str">
        <x:v>Phần G là mặc định; D/N/C/X cụ thể và quy định nguồn được ưu tiên. Giữ section, header, footer nếu không có chứng cứ thay đổi.</x:v>
      </x:c>
      <x:c r="M28"/>
      <x:c r="N28" t="str">
        <x:v>HD05, Phần II, IV; Phụ lục 2</x:v>
      </x:c>
      <x:c r="O28" t="str">
        <x:v>https://tulieuvankien.dangcongsan.vn/upload/2006988/20260529/HD_05_VPTW_e1550.pdf</x:v>
      </x:c>
      <x:c r="P28" t="str">
        <x:v>PLUGIN:HOA-TIEU-MIEN-BAC-PARTY-HD05-HEADER-2026 | NEEDS_REVIEW</x:v>
      </x:c>
      <x:c r="Q28" t="str">
        <x:v>CHECK_ONLY</x:v>
      </x:c>
      <x:c r="R28" t="str">
        <x:v>Kiểm tra từng thuộc tính có mặt; so sánh nguồn/role; không suy đoán từ kết quả render chưa có</x:v>
      </x:c>
      <x:c r="S28" t="str">
        <x:v>RULE_INFERENCE_NOT_MEASURED</x:v>
      </x:c>
      <x:c r="T28" t="str">
        <x:v>Xác minh căn cứ theo loại văn bản / tài liệu phát hành hoặc phê duyệt</x:v>
      </x:c>
      <x:c r="U28" t="str">
        <x:v>Word settings | sectPr, preserve original</x:v>
      </x:c>
    </x:row>
    <x:row r="29">
      <x:c r="A29" t="n">
        <x:v>28</x:v>
      </x:c>
      <x:c r="B29" t="str">
        <x:v>HD05.G.PHAN_TRANG.NGAT_TRANG.HIEN_DIEN</x:v>
      </x:c>
      <x:c r="C29" t="str">
        <x:v>HD05.G.PHAN_TRANG.NGAT_TRANG</x:v>
      </x:c>
      <x:c r="D29" t="str">
        <x:v>G</x:v>
      </x:c>
      <x:c r="E29" t="str">
        <x:v>Ngắt trang</x:v>
      </x:c>
      <x:c r="F29" t="str">
        <x:v>HIEN_DIEN</x:v>
      </x:c>
      <x:c r="G29" t="str">
        <x:v>Dùng cho văn bản chính theo profile; loại trừ bản sao/phụ lục riêng khi chưa có route</x:v>
      </x:c>
      <x:c r="H29"/>
      <x:c r="I29" t="str">
        <x:v>UNVERIFIED_ATTRIBUTE</x:v>
      </x:c>
      <x:c r="J29" t="str">
        <x:v>SOURCE_DESCRIPTION_NOT_APPROVAL</x:v>
      </x:c>
      <x:c r="K29" t="str">
        <x:v>Chỉ sau xác định chế độ NĐ30/HD05, section và loại văn bản; phần chung không ghi đè thuộc tính đặc thù</x:v>
      </x:c>
      <x:c r="L29" t="str">
        <x:v>Phần G là mặc định; D/N/C/X cụ thể và quy định nguồn được ưu tiên. Giữ section, header, footer nếu không có chứng cứ thay đổi.</x:v>
      </x:c>
      <x:c r="M29"/>
      <x:c r="N29" t="str">
        <x:v>HD05, Phần II, IV; Phụ lục 2</x:v>
      </x:c>
      <x:c r="O29" t="str">
        <x:v>https://tulieuvankien.dangcongsan.vn/upload/2006988/20260529/HD_05_VPTW_e1550.pdf</x:v>
      </x:c>
      <x:c r="P29" t="str">
        <x:v>PLUGIN:HOA-TIEU-MIEN-BAC-PARTY-HD05-HEADER-2026 | NEEDS_REVIEW</x:v>
      </x:c>
      <x:c r="Q29" t="str">
        <x:v>CHECK_ONLY</x:v>
      </x:c>
      <x:c r="R29" t="str">
        <x:v>Kiểm tra từng thuộc tính có mặt; so sánh nguồn/role; không suy đoán từ kết quả render chưa có</x:v>
      </x:c>
      <x:c r="S29" t="str">
        <x:v>STRUCTURE_READ_EXISTING_WORKBOOK</x:v>
      </x:c>
      <x:c r="T29"/>
      <x:c r="U29" t="str">
        <x:v>Word settings | w:br type=page (check-only)</x:v>
      </x:c>
    </x:row>
    <x:row r="30">
      <x:c r="A30" t="n">
        <x:v>29</x:v>
      </x:c>
      <x:c r="B30" t="str">
        <x:v>HD05.G.PHAN_TRANG.NGAT_TRANG.NGAT_TRANG</x:v>
      </x:c>
      <x:c r="C30" t="str">
        <x:v>HD05.G.PHAN_TRANG.NGAT_TRANG</x:v>
      </x:c>
      <x:c r="D30" t="str">
        <x:v>G</x:v>
      </x:c>
      <x:c r="E30" t="str">
        <x:v>Ngắt trang</x:v>
      </x:c>
      <x:c r="F30" t="str">
        <x:v>NGAT_TRANG</x:v>
      </x:c>
      <x:c r="G30"/>
      <x:c r="H30"/>
      <x:c r="I30" t="str">
        <x:v>UNVERIFIED_ATTRIBUTE</x:v>
      </x:c>
      <x:c r="J30" t="str">
        <x:v>BLOCKED_NO_ATTRIBUTE_VALUE</x:v>
      </x:c>
      <x:c r="K30" t="str">
        <x:v>Chỉ sau xác định chế độ NĐ30/HD05, section và loại văn bản; phần chung không ghi đè thuộc tính đặc thù</x:v>
      </x:c>
      <x:c r="L30" t="str">
        <x:v>Phần G là mặc định; D/N/C/X cụ thể và quy định nguồn được ưu tiên. Giữ section, header, footer nếu không có chứng cứ thay đổi.</x:v>
      </x:c>
      <x:c r="M30"/>
      <x:c r="N30" t="str">
        <x:v>HD05, Phần II, IV; Phụ lục 2</x:v>
      </x:c>
      <x:c r="O30" t="str">
        <x:v>https://tulieuvankien.dangcongsan.vn/upload/2006988/20260529/HD_05_VPTW_e1550.pdf</x:v>
      </x:c>
      <x:c r="P30" t="str">
        <x:v>PLUGIN:HOA-TIEU-MIEN-BAC-PARTY-HD05-HEADER-2026 | NEEDS_REVIEW</x:v>
      </x:c>
      <x:c r="Q30" t="str">
        <x:v>CHECK_ONLY</x:v>
      </x:c>
      <x:c r="R30" t="str">
        <x:v>Kiểm tra từng thuộc tính có mặt; so sánh nguồn/role; không suy đoán từ kết quả render chưa có</x:v>
      </x:c>
      <x:c r="S30" t="str">
        <x:v>RULE_INFERENCE_NOT_MEASURED</x:v>
      </x:c>
      <x:c r="T30" t="str">
        <x:v>Xác minh căn cứ theo loại văn bản / tài liệu phát hành hoặc phê duyệt</x:v>
      </x:c>
      <x:c r="U30" t="str">
        <x:v>Word settings | w:br type=page (check-only)</x:v>
      </x:c>
    </x:row>
    <x:row r="31">
      <x:c r="A31" t="n">
        <x:v>30</x:v>
      </x:c>
      <x:c r="B31" t="str">
        <x:v>HD05.G.PHAN_TRANG.KEEP_WITH_NEXT.HIEN_DIEN</x:v>
      </x:c>
      <x:c r="C31" t="str">
        <x:v>HD05.G.PHAN_TRANG.KEEP_WITH_NEXT</x:v>
      </x:c>
      <x:c r="D31" t="str">
        <x:v>G</x:v>
      </x:c>
      <x:c r="E31" t="str">
        <x:v>Giữ cùng đoạn tiếp</x:v>
      </x:c>
      <x:c r="F31" t="str">
        <x:v>HIEN_DIEN</x:v>
      </x:c>
      <x:c r="G31" t="str">
        <x:v>Dùng cho văn bản chính theo profile; loại trừ bản sao/phụ lục riêng khi chưa có route</x:v>
      </x:c>
      <x:c r="H31"/>
      <x:c r="I31" t="str">
        <x:v>UNVERIFIED_ATTRIBUTE</x:v>
      </x:c>
      <x:c r="J31" t="str">
        <x:v>SOURCE_DESCRIPTION_NOT_APPROVAL</x:v>
      </x:c>
      <x:c r="K31" t="str">
        <x:v>Chỉ sau xác định chế độ NĐ30/HD05, section và loại văn bản; phần chung không ghi đè thuộc tính đặc thù</x:v>
      </x:c>
      <x:c r="L31" t="str">
        <x:v>Phần G là mặc định; D/N/C/X cụ thể và quy định nguồn được ưu tiên. Giữ section, header, footer nếu không có chứng cứ thay đổi.</x:v>
      </x:c>
      <x:c r="M31"/>
      <x:c r="N31" t="str">
        <x:v>HD05, Phần II, IV; Phụ lục 2</x:v>
      </x:c>
      <x:c r="O31" t="str">
        <x:v>https://tulieuvankien.dangcongsan.vn/upload/2006988/20260529/HD_05_VPTW_e1550.pdf</x:v>
      </x:c>
      <x:c r="P31" t="str">
        <x:v>PLUGIN:HOA-TIEU-MIEN-BAC-PARTY-HD05-HEADER-2026 | NEEDS_REVIEW</x:v>
      </x:c>
      <x:c r="Q31" t="str">
        <x:v>CHECK_ONLY</x:v>
      </x:c>
      <x:c r="R31" t="str">
        <x:v>Kiểm tra từng thuộc tính có mặt; so sánh nguồn/role; không suy đoán từ kết quả render chưa có</x:v>
      </x:c>
      <x:c r="S31" t="str">
        <x:v>STRUCTURE_READ_EXISTING_WORKBOOK</x:v>
      </x:c>
      <x:c r="T31"/>
      <x:c r="U31" t="str">
        <x:v>Word settings | w:keepNext</x:v>
      </x:c>
    </x:row>
    <x:row r="32">
      <x:c r="A32" t="n">
        <x:v>31</x:v>
      </x:c>
      <x:c r="B32" t="str">
        <x:v>HD05.G.PHAN_TRANG.KEEP_WITH_NEXT.KEEP_NEXT</x:v>
      </x:c>
      <x:c r="C32" t="str">
        <x:v>HD05.G.PHAN_TRANG.KEEP_WITH_NEXT</x:v>
      </x:c>
      <x:c r="D32" t="str">
        <x:v>G</x:v>
      </x:c>
      <x:c r="E32" t="str">
        <x:v>Giữ cùng đoạn tiếp</x:v>
      </x:c>
      <x:c r="F32" t="str">
        <x:v>KEEP_NEXT</x:v>
      </x:c>
      <x:c r="G32" t="str">
        <x:v>CÓ VỚI TIÊU ĐỀ; KHÔNG VỚI LỜI VĂN</x:v>
      </x:c>
      <x:c r="H32"/>
      <x:c r="I32" t="str">
        <x:v>UNVERIFIED_ATTRIBUTE</x:v>
      </x:c>
      <x:c r="J32" t="str">
        <x:v>PROFILE_PRESET_UNAPPROVED</x:v>
      </x:c>
      <x:c r="K32" t="str">
        <x:v>Chỉ sau xác định chế độ NĐ30/HD05, section và loại văn bản; phần chung không ghi đè thuộc tính đặc thù</x:v>
      </x:c>
      <x:c r="L32" t="str">
        <x:v>Phần G là mặc định; D/N/C/X cụ thể và quy định nguồn được ưu tiên. Giữ section, header, footer nếu không có chứng cứ thay đổi.</x:v>
      </x:c>
      <x:c r="M32"/>
      <x:c r="N32" t="str">
        <x:v>HD05, Phần II, IV; Phụ lục 2</x:v>
      </x:c>
      <x:c r="O32" t="str">
        <x:v>https://tulieuvankien.dangcongsan.vn/upload/2006988/20260529/HD_05_VPTW_e1550.pdf</x:v>
      </x:c>
      <x:c r="P32" t="str">
        <x:v>PLUGIN:HOA-TIEU-MIEN-BAC-PARTY-HD05-HEADER-2026 | NEEDS_REVIEW</x:v>
      </x:c>
      <x:c r="Q32" t="str">
        <x:v>CHECK_ONLY</x:v>
      </x:c>
      <x:c r="R32" t="str">
        <x:v>Kiểm tra từng thuộc tính có mặt; so sánh nguồn/role; không suy đoán từ kết quả render chưa có</x:v>
      </x:c>
      <x:c r="S32" t="str">
        <x:v>STRUCTURE_READ_EXISTING_WORKBOOK</x:v>
      </x:c>
      <x:c r="T32"/>
      <x:c r="U32" t="str">
        <x:v>Word settings | w:keepNext</x:v>
      </x:c>
    </x:row>
    <x:row r="33">
      <x:c r="A33" t="n">
        <x:v>32</x:v>
      </x:c>
      <x:c r="B33" t="str">
        <x:v>HD05.G.SO_TRANG.VI_TRI.HIEN_DIEN</x:v>
      </x:c>
      <x:c r="C33" t="str">
        <x:v>HD05.G.SO_TRANG.VI_TRI</x:v>
      </x:c>
      <x:c r="D33" t="str">
        <x:v>G</x:v>
      </x:c>
      <x:c r="E33" t="str">
        <x:v>Vị trí số trang</x:v>
      </x:c>
      <x:c r="F33" t="str">
        <x:v>HIEN_DIEN</x:v>
      </x:c>
      <x:c r="G33" t="str">
        <x:v>Dùng cho văn bản chính theo profile; loại trừ bản sao/phụ lục riêng khi chưa có route</x:v>
      </x:c>
      <x:c r="H33"/>
      <x:c r="I33" t="str">
        <x:v>UNVERIFIED_ATTRIBUTE</x:v>
      </x:c>
      <x:c r="J33" t="str">
        <x:v>SOURCE_DESCRIPTION_NOT_APPROVAL</x:v>
      </x:c>
      <x:c r="K33" t="str">
        <x:v>Chỉ sau xác định chế độ NĐ30/HD05, section và loại văn bản; phần chung không ghi đè thuộc tính đặc thù</x:v>
      </x:c>
      <x:c r="L33" t="str">
        <x:v>Phần G là mặc định; D/N/C/X cụ thể và quy định nguồn được ưu tiên. Giữ section, header, footer nếu không có chứng cứ thay đổi.</x:v>
      </x:c>
      <x:c r="M33"/>
      <x:c r="N33" t="str">
        <x:v>HD05, Phần II, IV; Phụ lục 2</x:v>
      </x:c>
      <x:c r="O33" t="str">
        <x:v>https://tulieuvankien.dangcongsan.vn/upload/2006988/20260529/HD_05_VPTW_e1550.pdf</x:v>
      </x:c>
      <x:c r="P33" t="str">
        <x:v>PLUGIN:HOA-TIEU-MIEN-BAC-PARTY-HD05-HEADER-2026 | NEEDS_REVIEW</x:v>
      </x:c>
      <x:c r="Q33" t="str">
        <x:v>CHECK_ONLY</x:v>
      </x:c>
      <x:c r="R33" t="str">
        <x:v>Kiểm tra từng thuộc tính có mặt; so sánh nguồn/role; không suy đoán từ kết quả render chưa có</x:v>
      </x:c>
      <x:c r="S33" t="str">
        <x:v>STRUCTURE_READ_EXISTING_WORKBOOK</x:v>
      </x:c>
      <x:c r="T33"/>
      <x:c r="U33" t="str">
        <x:v>Word settings | Header footer settings + PAGE field</x:v>
      </x:c>
    </x:row>
    <x:row r="34">
      <x:c r="A34" t="n">
        <x:v>33</x:v>
      </x:c>
      <x:c r="B34" t="str">
        <x:v>HD05.G.SO_TRANG.VI_TRI.VI_TRI</x:v>
      </x:c>
      <x:c r="C34" t="str">
        <x:v>HD05.G.SO_TRANG.VI_TRI</x:v>
      </x:c>
      <x:c r="D34" t="str">
        <x:v>G</x:v>
      </x:c>
      <x:c r="E34" t="str">
        <x:v>Vị trí số trang</x:v>
      </x:c>
      <x:c r="F34" t="str">
        <x:v>VI_TRI</x:v>
      </x:c>
      <x:c r="G34" t="str">
        <x:v>Giữa lề trên; cách mép trên 10 mm</x:v>
      </x:c>
      <x:c r="H34" t="str">
        <x:v>Giữa lề trên, cách mép trên 10 mm</x:v>
      </x:c>
      <x:c r="I34" t="str">
        <x:v>LEGAL_EXPLICIT_CHECKED</x:v>
      </x:c>
      <x:c r="J34" t="str">
        <x:v>PROFILE_PRESET_UNAPPROVED</x:v>
      </x:c>
      <x:c r="K34" t="str">
        <x:v>Chỉ sau xác định chế độ NĐ30/HD05, section và loại văn bản; phần chung không ghi đè thuộc tính đặc thù</x:v>
      </x:c>
      <x:c r="L34" t="str">
        <x:v>Phần G là mặc định; D/N/C/X cụ thể và quy định nguồn được ưu tiên. Giữ section, header, footer nếu không có chứng cứ thay đổi.</x:v>
      </x:c>
      <x:c r="M34"/>
      <x:c r="N34" t="str">
        <x:v>Phần II.IV.5.1</x:v>
      </x:c>
      <x:c r="O34" t="str">
        <x:v>https://tulieuvankien.dangcongsan.vn/upload/2006988/20260529/HD_05_VPTW_e1550.pdf</x:v>
      </x:c>
      <x:c r="P34" t="str">
        <x:v>PLUGIN:HOA-TIEU-MIEN-BAC-PARTY-HD05-HEADER-2026 | NEEDS_REVIEW</x:v>
      </x:c>
      <x:c r="Q34" t="str">
        <x:v>CHECK_ONLY</x:v>
      </x:c>
      <x:c r="R34" t="str">
        <x:v>Kiểm tra từng thuộc tính có mặt; so sánh nguồn/role; không suy đoán từ kết quả render chưa có</x:v>
      </x:c>
      <x:c r="S34" t="str">
        <x:v>OFFICIAL_TEXT_VERIFIED</x:v>
      </x:c>
      <x:c r="T34"/>
      <x:c r="U34" t="str">
        <x:v>Word settings | Header footer settings + PAGE field</x:v>
      </x:c>
    </x:row>
    <x:row r="35">
      <x:c r="A35" t="n">
        <x:v>34</x:v>
      </x:c>
      <x:c r="B35" t="str">
        <x:v>HD05.G.SO_TRANG.VI_TRI.AN_TRANG_DAU</x:v>
      </x:c>
      <x:c r="C35" t="str">
        <x:v>HD05.G.SO_TRANG.VI_TRI</x:v>
      </x:c>
      <x:c r="D35" t="str">
        <x:v>G</x:v>
      </x:c>
      <x:c r="E35" t="str">
        <x:v>Vị trí số trang</x:v>
      </x:c>
      <x:c r="F35" t="str">
        <x:v>AN_TRANG_DAU</x:v>
      </x:c>
      <x:c r="G35" t="str">
        <x:v>CÓ</x:v>
      </x:c>
      <x:c r="H35" t="str">
        <x:v>CÓ</x:v>
      </x:c>
      <x:c r="I35" t="str">
        <x:v>LEGAL_EXPLICIT_CHECKED</x:v>
      </x:c>
      <x:c r="J35" t="str">
        <x:v>LEGAL_CONFIRMED</x:v>
      </x:c>
      <x:c r="K35" t="str">
        <x:v>Chỉ sau xác định chế độ NĐ30/HD05, section và loại văn bản; phần chung không ghi đè thuộc tính đặc thù</x:v>
      </x:c>
      <x:c r="L35" t="str">
        <x:v>Phần G là mặc định; D/N/C/X cụ thể và quy định nguồn được ưu tiên. Giữ section, header, footer nếu không có chứng cứ thay đổi.</x:v>
      </x:c>
      <x:c r="M35"/>
      <x:c r="N35" t="str">
        <x:v>Phần II.IV.5.1</x:v>
      </x:c>
      <x:c r="O35" t="str">
        <x:v>https://tulieuvankien.dangcongsan.vn/upload/2006988/20260529/HD_05_VPTW_e1550.pdf</x:v>
      </x:c>
      <x:c r="P35" t="str">
        <x:v>PLUGIN:HOA-TIEU-MIEN-BAC-PARTY-HD05-HEADER-2026 | NEEDS_REVIEW</x:v>
      </x:c>
      <x:c r="Q35" t="str">
        <x:v>CHECK_ONLY</x:v>
      </x:c>
      <x:c r="R35" t="str">
        <x:v>Kiểm tra từng thuộc tính có mặt; so sánh nguồn/role; không suy đoán từ kết quả render chưa có</x:v>
      </x:c>
      <x:c r="S35" t="str">
        <x:v>OFFICIAL_TEXT_VERIFIED</x:v>
      </x:c>
      <x:c r="T35"/>
      <x:c r="U35" t="str">
        <x:v>Word settings | Header footer settings + PAGE field</x:v>
      </x:c>
    </x:row>
    <x:row r="36">
      <x:c r="A36" t="n">
        <x:v>35</x:v>
      </x:c>
      <x:c r="B36" t="str">
        <x:v>HD05.G.SO_TRANG.DINH_DANG.HIEN_DIEN</x:v>
      </x:c>
      <x:c r="C36" t="str">
        <x:v>HD05.G.SO_TRANG.DINH_DANG</x:v>
      </x:c>
      <x:c r="D36" t="str">
        <x:v>G</x:v>
      </x:c>
      <x:c r="E36" t="str">
        <x:v>Định dạng số trang</x:v>
      </x:c>
      <x:c r="F36" t="str">
        <x:v>HIEN_DIEN</x:v>
      </x:c>
      <x:c r="G36" t="str">
        <x:v>Dùng cho văn bản chính theo profile; loại trừ bản sao/phụ lục riêng khi chưa có route</x:v>
      </x:c>
      <x:c r="H36"/>
      <x:c r="I36" t="str">
        <x:v>UNVERIFIED_ATTRIBUTE</x:v>
      </x:c>
      <x:c r="J36" t="str">
        <x:v>SOURCE_DESCRIPTION_NOT_APPROVAL</x:v>
      </x:c>
      <x:c r="K36" t="str">
        <x:v>Chỉ sau xác định chế độ NĐ30/HD05, section và loại văn bản; phần chung không ghi đè thuộc tính đặc thù</x:v>
      </x:c>
      <x:c r="L36" t="str">
        <x:v>Phần G là mặc định; D/N/C/X cụ thể và quy định nguồn được ưu tiên. Giữ section, header, footer nếu không có chứng cứ thay đổi.</x:v>
      </x:c>
      <x:c r="M36"/>
      <x:c r="N36" t="str">
        <x:v>HD05, Phần II, IV; Phụ lục 2</x:v>
      </x:c>
      <x:c r="O36" t="str">
        <x:v>https://tulieuvankien.dangcongsan.vn/upload/2006988/20260529/HD_05_VPTW_e1550.pdf</x:v>
      </x:c>
      <x:c r="P36" t="str">
        <x:v>PLUGIN:HOA-TIEU-MIEN-BAC-PARTY-HD05-HEADER-2026 | NEEDS_REVIEW</x:v>
      </x:c>
      <x:c r="Q36" t="str">
        <x:v>CHECK_ONLY</x:v>
      </x:c>
      <x:c r="R36" t="str">
        <x:v>Kiểm tra từng thuộc tính có mặt; so sánh nguồn/role; không suy đoán từ kết quả render chưa có</x:v>
      </x:c>
      <x:c r="S36" t="str">
        <x:v>STRUCTURE_READ_EXISTING_WORKBOOK</x:v>
      </x:c>
      <x:c r="T36"/>
      <x:c r="U36" t="str">
        <x:v>PAGE field / header pagination; khác HEAD logic</x:v>
      </x:c>
    </x:row>
    <x:row r="37">
      <x:c r="A37" t="n">
        <x:v>36</x:v>
      </x:c>
      <x:c r="B37" t="str">
        <x:v>HD05.G.SO_TRANG.DINH_DANG.CO_CHU</x:v>
      </x:c>
      <x:c r="C37" t="str">
        <x:v>HD05.G.SO_TRANG.DINH_DANG</x:v>
      </x:c>
      <x:c r="D37" t="str">
        <x:v>G</x:v>
      </x:c>
      <x:c r="E37" t="str">
        <x:v>Định dạng số trang</x:v>
      </x:c>
      <x:c r="F37" t="str">
        <x:v>CO_CHU</x:v>
      </x:c>
      <x:c r="G37"/>
      <x:c r="H37"/>
      <x:c r="I37" t="str">
        <x:v>UNVERIFIED_ATTRIBUTE</x:v>
      </x:c>
      <x:c r="J37" t="str">
        <x:v>BLOCKED_NO_ATTRIBUTE_VALUE</x:v>
      </x:c>
      <x:c r="K37" t="str">
        <x:v>Chỉ sau xác định chế độ NĐ30/HD05, section và loại văn bản; phần chung không ghi đè thuộc tính đặc thù</x:v>
      </x:c>
      <x:c r="L37" t="str">
        <x:v>Phần G là mặc định; D/N/C/X cụ thể và quy định nguồn được ưu tiên. Giữ section, header, footer nếu không có chứng cứ thay đổi.</x:v>
      </x:c>
      <x:c r="M37" t="str">
        <x:v>pt</x:v>
      </x:c>
      <x:c r="N37" t="str">
        <x:v>HD05, Phần II, IV; Phụ lục 2</x:v>
      </x:c>
      <x:c r="O37" t="str">
        <x:v>https://tulieuvankien.dangcongsan.vn/upload/2006988/20260529/HD_05_VPTW_e1550.pdf</x:v>
      </x:c>
      <x:c r="P37" t="str">
        <x:v>PLUGIN:HOA-TIEU-MIEN-BAC-PARTY-HD05-HEADER-2026 | NEEDS_REVIEW</x:v>
      </x:c>
      <x:c r="Q37" t="str">
        <x:v>CHECK_ONLY</x:v>
      </x:c>
      <x:c r="R37" t="str">
        <x:v>Kiểm tra từng thuộc tính có mặt; so sánh nguồn/role; không suy đoán từ kết quả render chưa có</x:v>
      </x:c>
      <x:c r="S37" t="str">
        <x:v>RULE_INFERENCE_NOT_MEASURED</x:v>
      </x:c>
      <x:c r="T37" t="str">
        <x:v>Xác minh căn cứ theo loại văn bản / tài liệu phát hành hoặc phê duyệt</x:v>
      </x:c>
      <x:c r="U37" t="str">
        <x:v>PAGE field / header pagination; khác HEAD logic</x:v>
      </x:c>
    </x:row>
    <x:row r="38">
      <x:c r="A38" t="n">
        <x:v>37</x:v>
      </x:c>
      <x:c r="B38" t="str">
        <x:v>HD05.G.SO_TRANG.DINH_DANG.KIEU_CHU</x:v>
      </x:c>
      <x:c r="C38" t="str">
        <x:v>HD05.G.SO_TRANG.DINH_DANG</x:v>
      </x:c>
      <x:c r="D38" t="str">
        <x:v>G</x:v>
      </x:c>
      <x:c r="E38" t="str">
        <x:v>Định dạng số trang</x:v>
      </x:c>
      <x:c r="F38" t="str">
        <x:v>KIEU_CHU</x:v>
      </x:c>
      <x:c r="G38"/>
      <x:c r="H38"/>
      <x:c r="I38" t="str">
        <x:v>UNVERIFIED_ATTRIBUTE</x:v>
      </x:c>
      <x:c r="J38" t="str">
        <x:v>BLOCKED_NO_ATTRIBUTE_VALUE</x:v>
      </x:c>
      <x:c r="K38" t="str">
        <x:v>Chỉ sau xác định chế độ NĐ30/HD05, section và loại văn bản; phần chung không ghi đè thuộc tính đặc thù</x:v>
      </x:c>
      <x:c r="L38" t="str">
        <x:v>Phần G là mặc định; D/N/C/X cụ thể và quy định nguồn được ưu tiên. Giữ section, header, footer nếu không có chứng cứ thay đổi.</x:v>
      </x:c>
      <x:c r="M38"/>
      <x:c r="N38" t="str">
        <x:v>HD05, Phần II, IV; Phụ lục 2</x:v>
      </x:c>
      <x:c r="O38" t="str">
        <x:v>https://tulieuvankien.dangcongsan.vn/upload/2006988/20260529/HD_05_VPTW_e1550.pdf</x:v>
      </x:c>
      <x:c r="P38" t="str">
        <x:v>PLUGIN:HOA-TIEU-MIEN-BAC-PARTY-HD05-HEADER-2026 | NEEDS_REVIEW</x:v>
      </x:c>
      <x:c r="Q38" t="str">
        <x:v>CHECK_ONLY</x:v>
      </x:c>
      <x:c r="R38" t="str">
        <x:v>Kiểm tra từng thuộc tính có mặt; so sánh nguồn/role; không suy đoán từ kết quả render chưa có</x:v>
      </x:c>
      <x:c r="S38" t="str">
        <x:v>RULE_INFERENCE_NOT_MEASURED</x:v>
      </x:c>
      <x:c r="T38" t="str">
        <x:v>Xác minh căn cứ theo loại văn bản / tài liệu phát hành hoặc phê duyệt</x:v>
      </x:c>
      <x:c r="U38" t="str">
        <x:v>PAGE field / header pagination; khác HEAD logic</x:v>
      </x:c>
    </x:row>
    <x:row r="39">
      <x:c r="A39" t="n">
        <x:v>38</x:v>
      </x:c>
      <x:c r="B39" t="str">
        <x:v>HD05.G.IN.HAI_MAT.HIEN_DIEN</x:v>
      </x:c>
      <x:c r="C39" t="str">
        <x:v>HD05.G.IN.HAI_MAT</x:v>
      </x:c>
      <x:c r="D39" t="str">
        <x:v>G</x:v>
      </x:c>
      <x:c r="E39" t="str">
        <x:v>In hai mặt/đối xứng lề theo HD05</x:v>
      </x:c>
      <x:c r="F39" t="str">
        <x:v>HIEN_DIEN</x:v>
      </x:c>
      <x:c r="G39" t="str">
        <x:v>Dùng cho văn bản chính theo profile; loại trừ bản sao/phụ lục riêng khi chưa có route</x:v>
      </x:c>
      <x:c r="H39"/>
      <x:c r="I39" t="str">
        <x:v>UNVERIFIED_ATTRIBUTE</x:v>
      </x:c>
      <x:c r="J39" t="str">
        <x:v>SOURCE_DESCRIPTION_NOT_APPROVAL</x:v>
      </x:c>
      <x:c r="K39" t="str">
        <x:v>Chỉ sau xác định chế độ NĐ30/HD05, section và loại văn bản; phần chung không ghi đè thuộc tính đặc thù</x:v>
      </x:c>
      <x:c r="L39" t="str">
        <x:v>Phần G là mặc định; D/N/C/X cụ thể và quy định nguồn được ưu tiên. Giữ section, header, footer nếu không có chứng cứ thay đổi.</x:v>
      </x:c>
      <x:c r="M39"/>
      <x:c r="N39" t="str">
        <x:v>HD05, Phần II, IV; Phụ lục 2</x:v>
      </x:c>
      <x:c r="O39" t="str">
        <x:v>https://tulieuvankien.dangcongsan.vn/upload/2006988/20260529/HD_05_VPTW_e1550.pdf</x:v>
      </x:c>
      <x:c r="P39" t="str">
        <x:v>PLUGIN:HOA-TIEU-MIEN-BAC-PARTY-HD05-HEADER-2026 | NEEDS_REVIEW</x:v>
      </x:c>
      <x:c r="Q39" t="str">
        <x:v>CHECK_ONLY</x:v>
      </x:c>
      <x:c r="R39" t="str">
        <x:v>Kiểm tra từng thuộc tính có mặt; so sánh nguồn/role; không suy đoán từ kết quả render chưa có</x:v>
      </x:c>
      <x:c r="S39" t="str">
        <x:v>STRUCTURE_READ_EXISTING_WORKBOOK</x:v>
      </x:c>
      <x:c r="T39"/>
      <x:c r="U39" t="str">
        <x:v>Word settings | w:mirrorMargins nếu in hai mặt</x:v>
      </x:c>
    </x:row>
    <x:row r="40">
      <x:c r="A40" t="n">
        <x:v>39</x:v>
      </x:c>
      <x:c r="B40" t="str">
        <x:v>HD05.G.IN.HAI_MAT.IN_HAI_MAT</x:v>
      </x:c>
      <x:c r="C40" t="str">
        <x:v>HD05.G.IN.HAI_MAT</x:v>
      </x:c>
      <x:c r="D40" t="str">
        <x:v>G</x:v>
      </x:c>
      <x:c r="E40" t="str">
        <x:v>In hai mặt/đối xứng lề theo HD05</x:v>
      </x:c>
      <x:c r="F40" t="str">
        <x:v>IN_HAI_MAT</x:v>
      </x:c>
      <x:c r="G40"/>
      <x:c r="H40"/>
      <x:c r="I40" t="str">
        <x:v>UNVERIFIED_ATTRIBUTE</x:v>
      </x:c>
      <x:c r="J40" t="str">
        <x:v>BLOCKED_NO_ATTRIBUTE_VALUE</x:v>
      </x:c>
      <x:c r="K40" t="str">
        <x:v>Chỉ sau xác định chế độ NĐ30/HD05, section và loại văn bản; phần chung không ghi đè thuộc tính đặc thù</x:v>
      </x:c>
      <x:c r="L40" t="str">
        <x:v>Phần G là mặc định; D/N/C/X cụ thể và quy định nguồn được ưu tiên. Giữ section, header, footer nếu không có chứng cứ thay đổi.</x:v>
      </x:c>
      <x:c r="M40"/>
      <x:c r="N40" t="str">
        <x:v>HD05, Phần II, IV; Phụ lục 2</x:v>
      </x:c>
      <x:c r="O40" t="str">
        <x:v>https://tulieuvankien.dangcongsan.vn/upload/2006988/20260529/HD_05_VPTW_e1550.pdf</x:v>
      </x:c>
      <x:c r="P40" t="str">
        <x:v>PLUGIN:HOA-TIEU-MIEN-BAC-PARTY-HD05-HEADER-2026 | NEEDS_REVIEW</x:v>
      </x:c>
      <x:c r="Q40" t="str">
        <x:v>CHECK_ONLY</x:v>
      </x:c>
      <x:c r="R40" t="str">
        <x:v>Kiểm tra từng thuộc tính có mặt; so sánh nguồn/role; không suy đoán từ kết quả render chưa có</x:v>
      </x:c>
      <x:c r="S40" t="str">
        <x:v>RULE_INFERENCE_NOT_MEASURED</x:v>
      </x:c>
      <x:c r="T40" t="str">
        <x:v>Xác minh căn cứ theo loại văn bản / tài liệu phát hành hoặc phê duyệt</x:v>
      </x:c>
      <x:c r="U40" t="str">
        <x:v>Word settings | w:mirrorMargins nếu in hai mặt</x:v>
      </x:c>
    </x:row>
    <x:row r="41">
      <x:c r="A41" t="n">
        <x:v>40</x:v>
      </x:c>
      <x:c r="B41" t="str">
        <x:v>HD05.G.IN.HAI_MAT.LE_TRAI</x:v>
      </x:c>
      <x:c r="C41" t="str">
        <x:v>HD05.G.IN.HAI_MAT</x:v>
      </x:c>
      <x:c r="D41" t="str">
        <x:v>G</x:v>
      </x:c>
      <x:c r="E41" t="str">
        <x:v>In hai mặt/đối xứng lề theo HD05</x:v>
      </x:c>
      <x:c r="F41" t="str">
        <x:v>LE_TRAI</x:v>
      </x:c>
      <x:c r="G41"/>
      <x:c r="H41"/>
      <x:c r="I41" t="str">
        <x:v>UNVERIFIED_ATTRIBUTE</x:v>
      </x:c>
      <x:c r="J41" t="str">
        <x:v>BLOCKED_NO_ATTRIBUTE_VALUE</x:v>
      </x:c>
      <x:c r="K41" t="str">
        <x:v>Chỉ sau xác định chế độ NĐ30/HD05, section và loại văn bản; phần chung không ghi đè thuộc tính đặc thù</x:v>
      </x:c>
      <x:c r="L41" t="str">
        <x:v>Phần G là mặc định; D/N/C/X cụ thể và quy định nguồn được ưu tiên. Giữ section, header, footer nếu không có chứng cứ thay đổi.</x:v>
      </x:c>
      <x:c r="M41" t="str">
        <x:v>mm</x:v>
      </x:c>
      <x:c r="N41" t="str">
        <x:v>HD05, Phần II, IV; Phụ lục 2</x:v>
      </x:c>
      <x:c r="O41" t="str">
        <x:v>https://tulieuvankien.dangcongsan.vn/upload/2006988/20260529/HD_05_VPTW_e1550.pdf</x:v>
      </x:c>
      <x:c r="P41" t="str">
        <x:v>PLUGIN:HOA-TIEU-MIEN-BAC-PARTY-HD05-HEADER-2026 | NEEDS_REVIEW</x:v>
      </x:c>
      <x:c r="Q41" t="str">
        <x:v>CHECK_ONLY</x:v>
      </x:c>
      <x:c r="R41" t="str">
        <x:v>Kiểm tra từng thuộc tính có mặt; so sánh nguồn/role; không suy đoán từ kết quả render chưa có</x:v>
      </x:c>
      <x:c r="S41" t="str">
        <x:v>RULE_INFERENCE_NOT_MEASURED</x:v>
      </x:c>
      <x:c r="T41" t="str">
        <x:v>Xác minh căn cứ theo loại văn bản / tài liệu phát hành hoặc phê duyệt</x:v>
      </x:c>
      <x:c r="U41" t="str">
        <x:v>Word settings | w:mirrorMargins nếu in hai mặt</x:v>
      </x:c>
    </x:row>
    <x:row r="42">
      <x:c r="A42" t="n">
        <x:v>41</x:v>
      </x:c>
      <x:c r="B42" t="str">
        <x:v>HD05.G.IN.HAI_MAT.LE_PHAI</x:v>
      </x:c>
      <x:c r="C42" t="str">
        <x:v>HD05.G.IN.HAI_MAT</x:v>
      </x:c>
      <x:c r="D42" t="str">
        <x:v>G</x:v>
      </x:c>
      <x:c r="E42" t="str">
        <x:v>In hai mặt/đối xứng lề theo HD05</x:v>
      </x:c>
      <x:c r="F42" t="str">
        <x:v>LE_PHAI</x:v>
      </x:c>
      <x:c r="G42"/>
      <x:c r="H42"/>
      <x:c r="I42" t="str">
        <x:v>UNVERIFIED_ATTRIBUTE</x:v>
      </x:c>
      <x:c r="J42" t="str">
        <x:v>BLOCKED_NO_ATTRIBUTE_VALUE</x:v>
      </x:c>
      <x:c r="K42" t="str">
        <x:v>Chỉ sau xác định chế độ NĐ30/HD05, section và loại văn bản; phần chung không ghi đè thuộc tính đặc thù</x:v>
      </x:c>
      <x:c r="L42" t="str">
        <x:v>Phần G là mặc định; D/N/C/X cụ thể và quy định nguồn được ưu tiên. Giữ section, header, footer nếu không có chứng cứ thay đổi.</x:v>
      </x:c>
      <x:c r="M42" t="str">
        <x:v>mm</x:v>
      </x:c>
      <x:c r="N42" t="str">
        <x:v>HD05, Phần II, IV; Phụ lục 2</x:v>
      </x:c>
      <x:c r="O42" t="str">
        <x:v>https://tulieuvankien.dangcongsan.vn/upload/2006988/20260529/HD_05_VPTW_e1550.pdf</x:v>
      </x:c>
      <x:c r="P42" t="str">
        <x:v>PLUGIN:HOA-TIEU-MIEN-BAC-PARTY-HD05-HEADER-2026 | NEEDS_REVIEW</x:v>
      </x:c>
      <x:c r="Q42" t="str">
        <x:v>CHECK_ONLY</x:v>
      </x:c>
      <x:c r="R42" t="str">
        <x:v>Kiểm tra từng thuộc tính có mặt; so sánh nguồn/role; không suy đoán từ kết quả render chưa có</x:v>
      </x:c>
      <x:c r="S42" t="str">
        <x:v>RULE_INFERENCE_NOT_MEASURED</x:v>
      </x:c>
      <x:c r="T42" t="str">
        <x:v>Xác minh căn cứ theo loại văn bản / tài liệu phát hành hoặc phê duyệt</x:v>
      </x:c>
      <x:c r="U42" t="str">
        <x:v>Word settings | w:mirrorMargins nếu in hai mặt</x:v>
      </x:c>
    </x:row>
  </x:sheetData>
  <x:pageMargins left="0.7" right="0.7" top="0.75" bottom="0.75" header="0.3" footer="0.3"/>
</x:worksheet>
</file>

<file path=xl/worksheets/sheet3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 hidden="0" customWidth="1"/>
    <x:col min="2" max="2" width="37" hidden="0" customWidth="1"/>
    <x:col min="3" max="3" width="32" hidden="0" customWidth="1"/>
    <x:col min="4" max="4" width="12" hidden="0" customWidth="1"/>
    <x:col min="5" max="5" width="26" hidden="0" customWidth="1"/>
    <x:col min="6" max="6" width="17" hidden="0" customWidth="1"/>
    <x:col min="7" max="7" width="25" hidden="0" customWidth="1"/>
    <x:col min="8" max="8" width="20" hidden="0" customWidth="1"/>
    <x:col min="9" max="9" width="22" hidden="0" customWidth="1"/>
    <x:col min="10" max="10" width="25" hidden="0" customWidth="1"/>
    <x:col min="11" max="11" width="38" hidden="0" customWidth="1"/>
    <x:col min="12" max="12" width="44" hidden="0" customWidth="1"/>
    <x:col min="13" max="13" width="10" hidden="0" customWidth="1"/>
    <x:col min="14" max="14" width="27" hidden="0" customWidth="1"/>
    <x:col min="15" max="15" width="25" hidden="0" customWidth="1"/>
    <x:col min="16" max="16" width="28" hidden="0" customWidth="1"/>
    <x:col min="17" max="17" width="14" hidden="0" customWidth="1"/>
    <x:col min="18" max="18" width="38" hidden="0" customWidth="1"/>
    <x:col min="19" max="19" width="22" hidden="0" customWidth="1"/>
    <x:col min="20" max="20" width="30" hidden="0" customWidth="1"/>
    <x:col min="21" max="21" width="24" hidden="0" customWidth="1"/>
  </x:cols>
  <x:sheetData>
    <x:row r="1" ht="28" customHeight="1">
      <x:c r="A1" s="305" t="str">
        <x:v>STT</x:v>
      </x:c>
      <x:c r="B1" s="305" t="str">
        <x:v>Mã rule con</x:v>
      </x:c>
      <x:c r="C1" s="305" t="str">
        <x:v>Mã cha gốc</x:v>
      </x:c>
      <x:c r="D1" s="305" t="str">
        <x:v>Nhóm</x:v>
      </x:c>
      <x:c r="E1" s="305" t="str">
        <x:v>Tên thành phần</x:v>
      </x:c>
      <x:c r="F1" s="305" t="str">
        <x:v>Thuộc tính</x:v>
      </x:c>
      <x:c r="G1" s="305" t="str">
        <x:v>Giá trị profile đang có</x:v>
      </x:c>
      <x:c r="H1" s="305" t="str">
        <x:v>Giá trị pháp lý kiểm chứng</x:v>
      </x:c>
      <x:c r="I1" s="305" t="str">
        <x:v>Trạng thái pháp lý thuộc tính</x:v>
      </x:c>
      <x:c r="J1" s="305" t="str">
        <x:v>Trạng thái quyết định profile</x:v>
      </x:c>
      <x:c r="K1" s="305" t="str">
        <x:v>Điều kiện áp dụng</x:v>
      </x:c>
      <x:c r="L1" s="305" t="str">
        <x:v>Ngoại lệ/phân nhánh</x:v>
      </x:c>
      <x:c r="M1" s="305" t="str">
        <x:v>Đơn vị</x:v>
      </x:c>
      <x:c r="N1" s="305" t="str">
        <x:v>Nguồn/định vị</x:v>
      </x:c>
      <x:c r="O1" s="305" t="str">
        <x:v>URL nguồn</x:v>
      </x:c>
      <x:c r="P1" s="305" t="str">
        <x:v>Nguồn profile/ghi chú</x:v>
      </x:c>
      <x:c r="Q1" s="305" t="str">
        <x:v>Quyền xử lý</x:v>
      </x:c>
      <x:c r="R1" s="305" t="str">
        <x:v>Cách kiểm tra offline</x:v>
      </x:c>
      <x:c r="S1" s="305" t="str">
        <x:v>Phân loại bằng chứng TQA-NR</x:v>
      </x:c>
      <x:c r="T1" s="305" t="str">
        <x:v>Giá trị cần bổ sung</x:v>
      </x:c>
      <x:c r="U1" s="305" t="str">
        <x:v>Đối tượng</x:v>
      </x:c>
    </x:row>
    <x:row r="2">
      <x:c r="A2" t="n">
        <x:v>1</x:v>
      </x:c>
      <x:c r="B2" t="str">
        <x:v>HD05.X.MAT.MUC_DO.HIEN_DIEN</x:v>
      </x:c>
      <x:c r="C2" t="str">
        <x:v>HD05.X.MAT.MUC_DO</x:v>
      </x:c>
      <x:c r="D2" t="str">
        <x:v>X</x:v>
      </x:c>
      <x:c r="E2" t="str">
        <x:v>Mức độ mật theo quy định bảo vệ bí mật có liên quan</x:v>
      </x:c>
      <x:c r="F2" t="str">
        <x:v>HIEN_DIEN</x:v>
      </x:c>
      <x:c r="G2" t="str">
        <x:v>Chỉ khi đủ chứng cứ/được phép hiện diện; không tự chèn giá trị</x:v>
      </x:c>
      <x:c r="H2"/>
      <x:c r="I2" t="str">
        <x:v>UNVERIFIED_ATTRIBUTE</x:v>
      </x:c>
      <x:c r="J2" t="str">
        <x:v>SOURCE_DESCRIPTION_NOT_APPROVAL</x:v>
      </x:c>
      <x:c r="K2" t="str">
        <x:v>Chỉ theo phân loại mật từ nguồn có thẩm quyền; không tự xác định dấu mật</x:v>
      </x:c>
      <x:c r="L2" t="str">
        <x:v>Mặc định ẩn khi không có điều kiện/căn cứ cho xuất hiện; không chèn tài liệu mật/dấu khẩn.</x:v>
      </x:c>
      <x:c r="M2"/>
      <x:c r="N2" t="str">
        <x:v>HD05, Phần II, II.2; quy định BV BMNN</x:v>
      </x:c>
      <x:c r="O2" t="str">
        <x:v>https://tulieuvankien.dangcongsan.vn/upload/2006988/20260529/HD_05_VPTW_e1550.pdf</x:v>
      </x:c>
      <x:c r="P2" t="str">
        <x:v>PLUGIN:HOA-TIEU-MIEN-BAC-PARTY-HD05-HEADER-2026 | NEEDS_REVIEW</x:v>
      </x:c>
      <x:c r="Q2" t="str">
        <x:v>CHECK_ONLY</x:v>
      </x:c>
      <x:c r="R2" t="str">
        <x:v>Kiểm tra từng thuộc tính có mặt; so sánh nguồn/role; không suy đoán từ kết quả render chưa có</x:v>
      </x:c>
      <x:c r="S2" t="str">
        <x:v>STRUCTURE_READ_EXISTING_WORKBOOK</x:v>
      </x:c>
      <x:c r="T2"/>
      <x:c r="U2" t="str">
        <x:v>Metadata + vùng trình bày có điều kiện; đánh giá thủ công trước sửa</x:v>
      </x:c>
    </x:row>
    <x:row r="3">
      <x:c r="A3" t="n">
        <x:v>2</x:v>
      </x:c>
      <x:c r="B3" t="str">
        <x:v>HD05.X.MAT.MUC_DO.MUC_DO</x:v>
      </x:c>
      <x:c r="C3" t="str">
        <x:v>HD05.X.MAT.MUC_DO</x:v>
      </x:c>
      <x:c r="D3" t="str">
        <x:v>X</x:v>
      </x:c>
      <x:c r="E3" t="str">
        <x:v>Mức độ mật theo quy định bảo vệ bí mật có liên quan</x:v>
      </x:c>
      <x:c r="F3" t="str">
        <x:v>MUC_DO</x:v>
      </x:c>
      <x:c r="G3"/>
      <x:c r="H3"/>
      <x:c r="I3" t="str">
        <x:v>UNVERIFIED_ATTRIBUTE</x:v>
      </x:c>
      <x:c r="J3" t="str">
        <x:v>BLOCKED_DOCUMENT_OR_AUTHORITY</x:v>
      </x:c>
      <x:c r="K3" t="str">
        <x:v>Chỉ theo phân loại mật từ nguồn có thẩm quyền; không tự xác định dấu mật</x:v>
      </x:c>
      <x:c r="L3" t="str">
        <x:v>Mặc định ẩn khi không có điều kiện/căn cứ cho xuất hiện; không chèn tài liệu mật/dấu khẩn.</x:v>
      </x:c>
      <x:c r="M3"/>
      <x:c r="N3" t="str">
        <x:v>HD05, Phần II, II.2; quy định BV BMNN</x:v>
      </x:c>
      <x:c r="O3" t="str">
        <x:v>https://tulieuvankien.dangcongsan.vn/upload/2006988/20260529/HD_05_VPTW_e1550.pdf</x:v>
      </x:c>
      <x:c r="P3" t="str">
        <x:v>PLUGIN:HOA-TIEU-MIEN-BAC-PARTY-HD05-HEADER-2026 | NEEDS_REVIEW</x:v>
      </x:c>
      <x:c r="Q3" t="str">
        <x:v>CHECK_ONLY</x:v>
      </x:c>
      <x:c r="R3" t="str">
        <x:v>Kiểm tra từng thuộc tính có mặt; so sánh nguồn/role; không suy đoán từ kết quả render chưa có</x:v>
      </x:c>
      <x:c r="S3" t="str">
        <x:v>RULE_INFERENCE_NOT_MEASURED</x:v>
      </x:c>
      <x:c r="T3" t="str">
        <x:v>Xác minh căn cứ theo loại văn bản / tài liệu phát hành hoặc phê duyệt</x:v>
      </x:c>
      <x:c r="U3" t="str">
        <x:v>Metadata + vùng trình bày có điều kiện; đánh giá thủ công trước sửa</x:v>
      </x:c>
    </x:row>
    <x:row r="4">
      <x:c r="A4" t="n">
        <x:v>3</x:v>
      </x:c>
      <x:c r="B4" t="str">
        <x:v>HD05.X.MAT.MUC_DO.TRANG_THAI_HIEN_THI</x:v>
      </x:c>
      <x:c r="C4" t="str">
        <x:v>HD05.X.MAT.MUC_DO</x:v>
      </x:c>
      <x:c r="D4" t="str">
        <x:v>X</x:v>
      </x:c>
      <x:c r="E4" t="str">
        <x:v>Mức độ mật theo quy định bảo vệ bí mật có liên quan</x:v>
      </x:c>
      <x:c r="F4" t="str">
        <x:v>TRANG_THAI_HIEN_THI</x:v>
      </x:c>
      <x:c r="G4"/>
      <x:c r="H4"/>
      <x:c r="I4" t="str">
        <x:v>UNVERIFIED_ATTRIBUTE</x:v>
      </x:c>
      <x:c r="J4" t="str">
        <x:v>BLOCKED_NO_ATTRIBUTE_VALUE</x:v>
      </x:c>
      <x:c r="K4" t="str">
        <x:v>Chỉ theo phân loại mật từ nguồn có thẩm quyền; không tự xác định dấu mật</x:v>
      </x:c>
      <x:c r="L4" t="str">
        <x:v>Mặc định ẩn khi không có điều kiện/căn cứ cho xuất hiện; không chèn tài liệu mật/dấu khẩn.</x:v>
      </x:c>
      <x:c r="M4"/>
      <x:c r="N4" t="str">
        <x:v>HD05, Phần II, II.2; quy định BV BMNN</x:v>
      </x:c>
      <x:c r="O4" t="str">
        <x:v>https://tulieuvankien.dangcongsan.vn/upload/2006988/20260529/HD_05_VPTW_e1550.pdf</x:v>
      </x:c>
      <x:c r="P4" t="str">
        <x:v>PLUGIN:HOA-TIEU-MIEN-BAC-PARTY-HD05-HEADER-2026 | NEEDS_REVIEW</x:v>
      </x:c>
      <x:c r="Q4" t="str">
        <x:v>CHECK_ONLY</x:v>
      </x:c>
      <x:c r="R4" t="str">
        <x:v>Kiểm tra từng thuộc tính có mặt; so sánh nguồn/role; không suy đoán từ kết quả render chưa có</x:v>
      </x:c>
      <x:c r="S4" t="str">
        <x:v>RULE_INFERENCE_NOT_MEASURED</x:v>
      </x:c>
      <x:c r="T4" t="str">
        <x:v>Xác minh căn cứ theo loại văn bản / tài liệu phát hành hoặc phê duyệt</x:v>
      </x:c>
      <x:c r="U4" t="str">
        <x:v>Metadata + vùng trình bày có điều kiện; đánh giá thủ công trước sửa</x:v>
      </x:c>
    </x:row>
    <x:row r="5">
      <x:c r="A5" t="n">
        <x:v>4</x:v>
      </x:c>
      <x:c r="B5" t="str">
        <x:v>HD05.X.MAT.MUC_DO.VI_TRI</x:v>
      </x:c>
      <x:c r="C5" t="str">
        <x:v>HD05.X.MAT.MUC_DO</x:v>
      </x:c>
      <x:c r="D5" t="str">
        <x:v>X</x:v>
      </x:c>
      <x:c r="E5" t="str">
        <x:v>Mức độ mật theo quy định bảo vệ bí mật có liên quan</x:v>
      </x:c>
      <x:c r="F5" t="str">
        <x:v>VI_TRI</x:v>
      </x:c>
      <x:c r="G5"/>
      <x:c r="H5"/>
      <x:c r="I5" t="str">
        <x:v>UNVERIFIED_ATTRIBUTE</x:v>
      </x:c>
      <x:c r="J5" t="str">
        <x:v>BLOCKED_NO_ATTRIBUTE_VALUE</x:v>
      </x:c>
      <x:c r="K5" t="str">
        <x:v>Chỉ theo phân loại mật từ nguồn có thẩm quyền; không tự xác định dấu mật</x:v>
      </x:c>
      <x:c r="L5" t="str">
        <x:v>Mặc định ẩn khi không có điều kiện/căn cứ cho xuất hiện; không chèn tài liệu mật/dấu khẩn.</x:v>
      </x:c>
      <x:c r="M5"/>
      <x:c r="N5" t="str">
        <x:v>HD05, Phần II, II.2; quy định BV BMNN</x:v>
      </x:c>
      <x:c r="O5" t="str">
        <x:v>https://tulieuvankien.dangcongsan.vn/upload/2006988/20260529/HD_05_VPTW_e1550.pdf</x:v>
      </x:c>
      <x:c r="P5" t="str">
        <x:v>PLUGIN:HOA-TIEU-MIEN-BAC-PARTY-HD05-HEADER-2026 | NEEDS_REVIEW</x:v>
      </x:c>
      <x:c r="Q5" t="str">
        <x:v>CHECK_ONLY</x:v>
      </x:c>
      <x:c r="R5" t="str">
        <x:v>Kiểm tra từng thuộc tính có mặt; so sánh nguồn/role; không suy đoán từ kết quả render chưa có</x:v>
      </x:c>
      <x:c r="S5" t="str">
        <x:v>RULE_INFERENCE_NOT_MEASURED</x:v>
      </x:c>
      <x:c r="T5" t="str">
        <x:v>Xác minh căn cứ theo loại văn bản / tài liệu phát hành hoặc phê duyệt</x:v>
      </x:c>
      <x:c r="U5" t="str">
        <x:v>Metadata + vùng trình bày có điều kiện; đánh giá thủ công trước sửa</x:v>
      </x:c>
    </x:row>
    <x:row r="6">
      <x:c r="A6" t="n">
        <x:v>5</x:v>
      </x:c>
      <x:c r="B6" t="str">
        <x:v>HD05.X.MAT.MUC_DO.PHONG_CHU</x:v>
      </x:c>
      <x:c r="C6" t="str">
        <x:v>HD05.X.MAT.MUC_DO</x:v>
      </x:c>
      <x:c r="D6" t="str">
        <x:v>X</x:v>
      </x:c>
      <x:c r="E6" t="str">
        <x:v>Mức độ mật theo quy định bảo vệ bí mật có liên quan</x:v>
      </x:c>
      <x:c r="F6" t="str">
        <x:v>PHONG_CHU</x:v>
      </x:c>
      <x:c r="G6"/>
      <x:c r="H6"/>
      <x:c r="I6" t="str">
        <x:v>UNVERIFIED_ATTRIBUTE</x:v>
      </x:c>
      <x:c r="J6" t="str">
        <x:v>BLOCKED_NO_ATTRIBUTE_VALUE</x:v>
      </x:c>
      <x:c r="K6" t="str">
        <x:v>Chỉ theo phân loại mật từ nguồn có thẩm quyền; không tự xác định dấu mật</x:v>
      </x:c>
      <x:c r="L6" t="str">
        <x:v>Mặc định ẩn khi không có điều kiện/căn cứ cho xuất hiện; không chèn tài liệu mật/dấu khẩn.</x:v>
      </x:c>
      <x:c r="M6"/>
      <x:c r="N6" t="str">
        <x:v>HD05, Phần II, II.2; quy định BV BMNN</x:v>
      </x:c>
      <x:c r="O6" t="str">
        <x:v>https://tulieuvankien.dangcongsan.vn/upload/2006988/20260529/HD_05_VPTW_e1550.pdf</x:v>
      </x:c>
      <x:c r="P6" t="str">
        <x:v>PLUGIN:HOA-TIEU-MIEN-BAC-PARTY-HD05-HEADER-2026 | NEEDS_REVIEW</x:v>
      </x:c>
      <x:c r="Q6" t="str">
        <x:v>CHECK_ONLY</x:v>
      </x:c>
      <x:c r="R6" t="str">
        <x:v>Kiểm tra từng thuộc tính có mặt; so sánh nguồn/role; không suy đoán từ kết quả render chưa có</x:v>
      </x:c>
      <x:c r="S6" t="str">
        <x:v>RULE_INFERENCE_NOT_MEASURED</x:v>
      </x:c>
      <x:c r="T6" t="str">
        <x:v>Xác minh căn cứ theo loại văn bản / tài liệu phát hành hoặc phê duyệt</x:v>
      </x:c>
      <x:c r="U6" t="str">
        <x:v>Metadata + vùng trình bày có điều kiện; đánh giá thủ công trước sửa</x:v>
      </x:c>
    </x:row>
    <x:row r="7">
      <x:c r="A7" t="n">
        <x:v>6</x:v>
      </x:c>
      <x:c r="B7" t="str">
        <x:v>HD05.X.MAT.MUC_DO.CO_CHU</x:v>
      </x:c>
      <x:c r="C7" t="str">
        <x:v>HD05.X.MAT.MUC_DO</x:v>
      </x:c>
      <x:c r="D7" t="str">
        <x:v>X</x:v>
      </x:c>
      <x:c r="E7" t="str">
        <x:v>Mức độ mật theo quy định bảo vệ bí mật có liên quan</x:v>
      </x:c>
      <x:c r="F7" t="str">
        <x:v>CO_CHU</x:v>
      </x:c>
      <x:c r="G7"/>
      <x:c r="H7"/>
      <x:c r="I7" t="str">
        <x:v>UNVERIFIED_ATTRIBUTE</x:v>
      </x:c>
      <x:c r="J7" t="str">
        <x:v>BLOCKED_NO_ATTRIBUTE_VALUE</x:v>
      </x:c>
      <x:c r="K7" t="str">
        <x:v>Chỉ theo phân loại mật từ nguồn có thẩm quyền; không tự xác định dấu mật</x:v>
      </x:c>
      <x:c r="L7" t="str">
        <x:v>Mặc định ẩn khi không có điều kiện/căn cứ cho xuất hiện; không chèn tài liệu mật/dấu khẩn.</x:v>
      </x:c>
      <x:c r="M7" t="str">
        <x:v>pt</x:v>
      </x:c>
      <x:c r="N7" t="str">
        <x:v>HD05, Phần II, II.2; quy định BV BMNN</x:v>
      </x:c>
      <x:c r="O7" t="str">
        <x:v>https://tulieuvankien.dangcongsan.vn/upload/2006988/20260529/HD_05_VPTW_e1550.pdf</x:v>
      </x:c>
      <x:c r="P7" t="str">
        <x:v>PLUGIN:HOA-TIEU-MIEN-BAC-PARTY-HD05-HEADER-2026 | NEEDS_REVIEW</x:v>
      </x:c>
      <x:c r="Q7" t="str">
        <x:v>CHECK_ONLY</x:v>
      </x:c>
      <x:c r="R7" t="str">
        <x:v>Kiểm tra từng thuộc tính có mặt; so sánh nguồn/role; không suy đoán từ kết quả render chưa có</x:v>
      </x:c>
      <x:c r="S7" t="str">
        <x:v>RULE_INFERENCE_NOT_MEASURED</x:v>
      </x:c>
      <x:c r="T7" t="str">
        <x:v>Xác minh căn cứ theo loại văn bản / tài liệu phát hành hoặc phê duyệt</x:v>
      </x:c>
      <x:c r="U7" t="str">
        <x:v>Metadata + vùng trình bày có điều kiện; đánh giá thủ công trước sửa</x:v>
      </x:c>
    </x:row>
    <x:row r="8">
      <x:c r="A8" t="n">
        <x:v>7</x:v>
      </x:c>
      <x:c r="B8" t="str">
        <x:v>HD05.X.MAT.MUC_DO.DAM</x:v>
      </x:c>
      <x:c r="C8" t="str">
        <x:v>HD05.X.MAT.MUC_DO</x:v>
      </x:c>
      <x:c r="D8" t="str">
        <x:v>X</x:v>
      </x:c>
      <x:c r="E8" t="str">
        <x:v>Mức độ mật theo quy định bảo vệ bí mật có liên quan</x:v>
      </x:c>
      <x:c r="F8" t="str">
        <x:v>DAM</x:v>
      </x:c>
      <x:c r="G8"/>
      <x:c r="H8"/>
      <x:c r="I8" t="str">
        <x:v>UNVERIFIED_ATTRIBUTE</x:v>
      </x:c>
      <x:c r="J8" t="str">
        <x:v>BLOCKED_NO_ATTRIBUTE_VALUE</x:v>
      </x:c>
      <x:c r="K8" t="str">
        <x:v>Chỉ theo phân loại mật từ nguồn có thẩm quyền; không tự xác định dấu mật</x:v>
      </x:c>
      <x:c r="L8" t="str">
        <x:v>Mặc định ẩn khi không có điều kiện/căn cứ cho xuất hiện; không chèn tài liệu mật/dấu khẩn.</x:v>
      </x:c>
      <x:c r="M8"/>
      <x:c r="N8" t="str">
        <x:v>HD05, Phần II, II.2; quy định BV BMNN</x:v>
      </x:c>
      <x:c r="O8" t="str">
        <x:v>https://tulieuvankien.dangcongsan.vn/upload/2006988/20260529/HD_05_VPTW_e1550.pdf</x:v>
      </x:c>
      <x:c r="P8" t="str">
        <x:v>PLUGIN:HOA-TIEU-MIEN-BAC-PARTY-HD05-HEADER-2026 | NEEDS_REVIEW</x:v>
      </x:c>
      <x:c r="Q8" t="str">
        <x:v>CHECK_ONLY</x:v>
      </x:c>
      <x:c r="R8" t="str">
        <x:v>Kiểm tra từng thuộc tính có mặt; so sánh nguồn/role; không suy đoán từ kết quả render chưa có</x:v>
      </x:c>
      <x:c r="S8" t="str">
        <x:v>RULE_INFERENCE_NOT_MEASURED</x:v>
      </x:c>
      <x:c r="T8" t="str">
        <x:v>Xác minh căn cứ theo loại văn bản / tài liệu phát hành hoặc phê duyệt</x:v>
      </x:c>
      <x:c r="U8" t="str">
        <x:v>Metadata + vùng trình bày có điều kiện; đánh giá thủ công trước sửa</x:v>
      </x:c>
    </x:row>
    <x:row r="9">
      <x:c r="A9" t="n">
        <x:v>8</x:v>
      </x:c>
      <x:c r="B9" t="str">
        <x:v>HD05.X.MAT.MUC_DO.KIEU_CHU</x:v>
      </x:c>
      <x:c r="C9" t="str">
        <x:v>HD05.X.MAT.MUC_DO</x:v>
      </x:c>
      <x:c r="D9" t="str">
        <x:v>X</x:v>
      </x:c>
      <x:c r="E9" t="str">
        <x:v>Mức độ mật theo quy định bảo vệ bí mật có liên quan</x:v>
      </x:c>
      <x:c r="F9" t="str">
        <x:v>KIEU_CHU</x:v>
      </x:c>
      <x:c r="G9"/>
      <x:c r="H9"/>
      <x:c r="I9" t="str">
        <x:v>UNVERIFIED_ATTRIBUTE</x:v>
      </x:c>
      <x:c r="J9" t="str">
        <x:v>BLOCKED_NO_ATTRIBUTE_VALUE</x:v>
      </x:c>
      <x:c r="K9" t="str">
        <x:v>Chỉ theo phân loại mật từ nguồn có thẩm quyền; không tự xác định dấu mật</x:v>
      </x:c>
      <x:c r="L9" t="str">
        <x:v>Mặc định ẩn khi không có điều kiện/căn cứ cho xuất hiện; không chèn tài liệu mật/dấu khẩn.</x:v>
      </x:c>
      <x:c r="M9"/>
      <x:c r="N9" t="str">
        <x:v>HD05, Phần II, II.2; quy định BV BMNN</x:v>
      </x:c>
      <x:c r="O9" t="str">
        <x:v>https://tulieuvankien.dangcongsan.vn/upload/2006988/20260529/HD_05_VPTW_e1550.pdf</x:v>
      </x:c>
      <x:c r="P9" t="str">
        <x:v>PLUGIN:HOA-TIEU-MIEN-BAC-PARTY-HD05-HEADER-2026 | NEEDS_REVIEW</x:v>
      </x:c>
      <x:c r="Q9" t="str">
        <x:v>CHECK_ONLY</x:v>
      </x:c>
      <x:c r="R9" t="str">
        <x:v>Kiểm tra từng thuộc tính có mặt; so sánh nguồn/role; không suy đoán từ kết quả render chưa có</x:v>
      </x:c>
      <x:c r="S9" t="str">
        <x:v>RULE_INFERENCE_NOT_MEASURED</x:v>
      </x:c>
      <x:c r="T9" t="str">
        <x:v>Xác minh căn cứ theo loại văn bản / tài liệu phát hành hoặc phê duyệt</x:v>
      </x:c>
      <x:c r="U9" t="str">
        <x:v>Metadata + vùng trình bày có điều kiện; đánh giá thủ công trước sửa</x:v>
      </x:c>
    </x:row>
    <x:row r="10">
      <x:c r="A10" t="n">
        <x:v>9</x:v>
      </x:c>
      <x:c r="B10" t="str">
        <x:v>HD05.X.KHAN.MUC_DO.HIEN_DIEN</x:v>
      </x:c>
      <x:c r="C10" t="str">
        <x:v>HD05.X.KHAN.MUC_DO</x:v>
      </x:c>
      <x:c r="D10" t="str">
        <x:v>X</x:v>
      </x:c>
      <x:c r="E10" t="str">
        <x:v>Mức độ khẩn</x:v>
      </x:c>
      <x:c r="F10" t="str">
        <x:v>HIEN_DIEN</x:v>
      </x:c>
      <x:c r="G10" t="str">
        <x:v>Chỉ khi đủ chứng cứ/được phép hiện diện; không tự chèn giá trị</x:v>
      </x:c>
      <x:c r="H10"/>
      <x:c r="I10" t="str">
        <x:v>UNVERIFIED_ATTRIBUTE</x:v>
      </x:c>
      <x:c r="J10" t="str">
        <x:v>SOURCE_DESCRIPTION_NOT_APPROVAL</x:v>
      </x:c>
      <x:c r="K10" t="str">
        <x:v>Chỉ khi có chứng cứ chỉ mức độ khẩn do người có thẩm quyền quyết định</x:v>
      </x:c>
      <x:c r="L10" t="str">
        <x:v>Mặc định ẩn khi không có điều kiện/căn cứ cho xuất hiện; không chèn tài liệu mật/dấu khẩn.</x:v>
      </x:c>
      <x:c r="M10"/>
      <x:c r="N10" t="str">
        <x:v>HD05, Phần II, II (Các thành phần bổ sung); Phụ lục 2</x:v>
      </x:c>
      <x:c r="O10" t="str">
        <x:v>https://tulieuvankien.dangcongsan.vn/upload/2006988/20260529/HD_05_VPTW_e1550.pdf</x:v>
      </x:c>
      <x:c r="P10" t="str">
        <x:v>PLUGIN:HOA-TIEU-MIEN-BAC-PARTY-HD05-HEADER-2026 | NEEDS_REVIEW</x:v>
      </x:c>
      <x:c r="Q10" t="str">
        <x:v>CHECK_ONLY</x:v>
      </x:c>
      <x:c r="R10" t="str">
        <x:v>Kiểm tra từng thuộc tính có mặt; so sánh nguồn/role; không suy đoán từ kết quả render chưa có</x:v>
      </x:c>
      <x:c r="S10" t="str">
        <x:v>STRUCTURE_READ_EXISTING_WORKBOOK</x:v>
      </x:c>
      <x:c r="T10"/>
      <x:c r="U10" t="str">
        <x:v>Metadata + vùng trình bày có điều kiện; đánh giá thủ công trước sửa</x:v>
      </x:c>
    </x:row>
    <x:row r="11">
      <x:c r="A11" t="n">
        <x:v>10</x:v>
      </x:c>
      <x:c r="B11" t="str">
        <x:v>HD05.X.KHAN.MUC_DO.MUC_DO</x:v>
      </x:c>
      <x:c r="C11" t="str">
        <x:v>HD05.X.KHAN.MUC_DO</x:v>
      </x:c>
      <x:c r="D11" t="str">
        <x:v>X</x:v>
      </x:c>
      <x:c r="E11" t="str">
        <x:v>Mức độ khẩn</x:v>
      </x:c>
      <x:c r="F11" t="str">
        <x:v>MUC_DO</x:v>
      </x:c>
      <x:c r="G11"/>
      <x:c r="H11"/>
      <x:c r="I11" t="str">
        <x:v>UNVERIFIED_ATTRIBUTE</x:v>
      </x:c>
      <x:c r="J11" t="str">
        <x:v>BLOCKED_DOCUMENT_OR_AUTHORITY</x:v>
      </x:c>
      <x:c r="K11" t="str">
        <x:v>Chỉ khi có chứng cứ chỉ mức độ khẩn do người có thẩm quyền quyết định</x:v>
      </x:c>
      <x:c r="L11" t="str">
        <x:v>Mặc định ẩn khi không có điều kiện/căn cứ cho xuất hiện; không chèn tài liệu mật/dấu khẩn.</x:v>
      </x:c>
      <x:c r="M11"/>
      <x:c r="N11" t="str">
        <x:v>HD05, Phần II, II (Các thành phần bổ sung); Phụ lục 2</x:v>
      </x:c>
      <x:c r="O11" t="str">
        <x:v>https://tulieuvankien.dangcongsan.vn/upload/2006988/20260529/HD_05_VPTW_e1550.pdf</x:v>
      </x:c>
      <x:c r="P11" t="str">
        <x:v>PLUGIN:HOA-TIEU-MIEN-BAC-PARTY-HD05-HEADER-2026 | NEEDS_REVIEW</x:v>
      </x:c>
      <x:c r="Q11" t="str">
        <x:v>CHECK_ONLY</x:v>
      </x:c>
      <x:c r="R11" t="str">
        <x:v>Kiểm tra từng thuộc tính có mặt; so sánh nguồn/role; không suy đoán từ kết quả render chưa có</x:v>
      </x:c>
      <x:c r="S11" t="str">
        <x:v>RULE_INFERENCE_NOT_MEASURED</x:v>
      </x:c>
      <x:c r="T11" t="str">
        <x:v>Xác minh căn cứ theo loại văn bản / tài liệu phát hành hoặc phê duyệt</x:v>
      </x:c>
      <x:c r="U11" t="str">
        <x:v>Metadata + vùng trình bày có điều kiện; đánh giá thủ công trước sửa</x:v>
      </x:c>
    </x:row>
    <x:row r="12">
      <x:c r="A12" t="n">
        <x:v>11</x:v>
      </x:c>
      <x:c r="B12" t="str">
        <x:v>HD05.X.KHAN.MUC_DO.TRANG_THAI_HIEN_THI</x:v>
      </x:c>
      <x:c r="C12" t="str">
        <x:v>HD05.X.KHAN.MUC_DO</x:v>
      </x:c>
      <x:c r="D12" t="str">
        <x:v>X</x:v>
      </x:c>
      <x:c r="E12" t="str">
        <x:v>Mức độ khẩn</x:v>
      </x:c>
      <x:c r="F12" t="str">
        <x:v>TRANG_THAI_HIEN_THI</x:v>
      </x:c>
      <x:c r="G12"/>
      <x:c r="H12"/>
      <x:c r="I12" t="str">
        <x:v>UNVERIFIED_ATTRIBUTE</x:v>
      </x:c>
      <x:c r="J12" t="str">
        <x:v>BLOCKED_NO_ATTRIBUTE_VALUE</x:v>
      </x:c>
      <x:c r="K12" t="str">
        <x:v>Chỉ khi có chứng cứ chỉ mức độ khẩn do người có thẩm quyền quyết định</x:v>
      </x:c>
      <x:c r="L12" t="str">
        <x:v>Mặc định ẩn khi không có điều kiện/căn cứ cho xuất hiện; không chèn tài liệu mật/dấu khẩn.</x:v>
      </x:c>
      <x:c r="M12"/>
      <x:c r="N12" t="str">
        <x:v>HD05, Phần II, II (Các thành phần bổ sung); Phụ lục 2</x:v>
      </x:c>
      <x:c r="O12" t="str">
        <x:v>https://tulieuvankien.dangcongsan.vn/upload/2006988/20260529/HD_05_VPTW_e1550.pdf</x:v>
      </x:c>
      <x:c r="P12" t="str">
        <x:v>PLUGIN:HOA-TIEU-MIEN-BAC-PARTY-HD05-HEADER-2026 | NEEDS_REVIEW</x:v>
      </x:c>
      <x:c r="Q12" t="str">
        <x:v>CHECK_ONLY</x:v>
      </x:c>
      <x:c r="R12" t="str">
        <x:v>Kiểm tra từng thuộc tính có mặt; so sánh nguồn/role; không suy đoán từ kết quả render chưa có</x:v>
      </x:c>
      <x:c r="S12" t="str">
        <x:v>RULE_INFERENCE_NOT_MEASURED</x:v>
      </x:c>
      <x:c r="T12" t="str">
        <x:v>Xác minh căn cứ theo loại văn bản / tài liệu phát hành hoặc phê duyệt</x:v>
      </x:c>
      <x:c r="U12" t="str">
        <x:v>Metadata + vùng trình bày có điều kiện; đánh giá thủ công trước sửa</x:v>
      </x:c>
    </x:row>
    <x:row r="13">
      <x:c r="A13" t="n">
        <x:v>12</x:v>
      </x:c>
      <x:c r="B13" t="str">
        <x:v>HD05.X.KHAN.MUC_DO.VI_TRI</x:v>
      </x:c>
      <x:c r="C13" t="str">
        <x:v>HD05.X.KHAN.MUC_DO</x:v>
      </x:c>
      <x:c r="D13" t="str">
        <x:v>X</x:v>
      </x:c>
      <x:c r="E13" t="str">
        <x:v>Mức độ khẩn</x:v>
      </x:c>
      <x:c r="F13" t="str">
        <x:v>VI_TRI</x:v>
      </x:c>
      <x:c r="G13"/>
      <x:c r="H13"/>
      <x:c r="I13" t="str">
        <x:v>UNVERIFIED_ATTRIBUTE</x:v>
      </x:c>
      <x:c r="J13" t="str">
        <x:v>BLOCKED_NO_ATTRIBUTE_VALUE</x:v>
      </x:c>
      <x:c r="K13" t="str">
        <x:v>Chỉ khi có chứng cứ chỉ mức độ khẩn do người có thẩm quyền quyết định</x:v>
      </x:c>
      <x:c r="L13" t="str">
        <x:v>Mặc định ẩn khi không có điều kiện/căn cứ cho xuất hiện; không chèn tài liệu mật/dấu khẩn.</x:v>
      </x:c>
      <x:c r="M13"/>
      <x:c r="N13" t="str">
        <x:v>HD05, Phần II, II (Các thành phần bổ sung); Phụ lục 2</x:v>
      </x:c>
      <x:c r="O13" t="str">
        <x:v>https://tulieuvankien.dangcongsan.vn/upload/2006988/20260529/HD_05_VPTW_e1550.pdf</x:v>
      </x:c>
      <x:c r="P13" t="str">
        <x:v>PLUGIN:HOA-TIEU-MIEN-BAC-PARTY-HD05-HEADER-2026 | NEEDS_REVIEW</x:v>
      </x:c>
      <x:c r="Q13" t="str">
        <x:v>CHECK_ONLY</x:v>
      </x:c>
      <x:c r="R13" t="str">
        <x:v>Kiểm tra từng thuộc tính có mặt; so sánh nguồn/role; không suy đoán từ kết quả render chưa có</x:v>
      </x:c>
      <x:c r="S13" t="str">
        <x:v>RULE_INFERENCE_NOT_MEASURED</x:v>
      </x:c>
      <x:c r="T13" t="str">
        <x:v>Xác minh căn cứ theo loại văn bản / tài liệu phát hành hoặc phê duyệt</x:v>
      </x:c>
      <x:c r="U13" t="str">
        <x:v>Metadata + vùng trình bày có điều kiện; đánh giá thủ công trước sửa</x:v>
      </x:c>
    </x:row>
    <x:row r="14">
      <x:c r="A14" t="n">
        <x:v>13</x:v>
      </x:c>
      <x:c r="B14" t="str">
        <x:v>HD05.X.KHAN.MUC_DO.PHONG_CHU</x:v>
      </x:c>
      <x:c r="C14" t="str">
        <x:v>HD05.X.KHAN.MUC_DO</x:v>
      </x:c>
      <x:c r="D14" t="str">
        <x:v>X</x:v>
      </x:c>
      <x:c r="E14" t="str">
        <x:v>Mức độ khẩn</x:v>
      </x:c>
      <x:c r="F14" t="str">
        <x:v>PHONG_CHU</x:v>
      </x:c>
      <x:c r="G14" t="str">
        <x:v>Times New Roman</x:v>
      </x:c>
      <x:c r="H14"/>
      <x:c r="I14" t="str">
        <x:v>UNVERIFIED_ATTRIBUTE</x:v>
      </x:c>
      <x:c r="J14" t="str">
        <x:v>PROFILE_PRESET_UNAPPROVED</x:v>
      </x:c>
      <x:c r="K14" t="str">
        <x:v>Chỉ khi có chứng cứ chỉ mức độ khẩn do người có thẩm quyền quyết định</x:v>
      </x:c>
      <x:c r="L14" t="str">
        <x:v>Mặc định ẩn khi không có điều kiện/căn cứ cho xuất hiện; không chèn tài liệu mật/dấu khẩn.</x:v>
      </x:c>
      <x:c r="M14"/>
      <x:c r="N14" t="str">
        <x:v>HD05, Phần II, II (Các thành phần bổ sung); Phụ lục 2</x:v>
      </x:c>
      <x:c r="O14" t="str">
        <x:v>https://tulieuvankien.dangcongsan.vn/upload/2006988/20260529/HD_05_VPTW_e1550.pdf</x:v>
      </x:c>
      <x:c r="P14" t="str">
        <x:v>PLUGIN:HOA-TIEU-MIEN-BAC-PARTY-HD05-HEADER-2026 | NEEDS_REVIEW</x:v>
      </x:c>
      <x:c r="Q14" t="str">
        <x:v>CHECK_ONLY</x:v>
      </x:c>
      <x:c r="R14" t="str">
        <x:v>Kiểm tra từng thuộc tính có mặt; so sánh nguồn/role; không suy đoán từ kết quả render chưa có</x:v>
      </x:c>
      <x:c r="S14" t="str">
        <x:v>STRUCTURE_READ_EXISTING_WORKBOOK</x:v>
      </x:c>
      <x:c r="T14"/>
      <x:c r="U14" t="str">
        <x:v>Metadata + vùng trình bày có điều kiện; đánh giá thủ công trước sửa</x:v>
      </x:c>
    </x:row>
    <x:row r="15">
      <x:c r="A15" t="n">
        <x:v>14</x:v>
      </x:c>
      <x:c r="B15" t="str">
        <x:v>HD05.X.KHAN.MUC_DO.CO_CHU</x:v>
      </x:c>
      <x:c r="C15" t="str">
        <x:v>HD05.X.KHAN.MUC_DO</x:v>
      </x:c>
      <x:c r="D15" t="str">
        <x:v>X</x:v>
      </x:c>
      <x:c r="E15" t="str">
        <x:v>Mức độ khẩn</x:v>
      </x:c>
      <x:c r="F15" t="str">
        <x:v>CO_CHU</x:v>
      </x:c>
      <x:c r="G15" t="n">
        <x:v>14</x:v>
      </x:c>
      <x:c r="H15" t="n">
        <x:v>14</x:v>
      </x:c>
      <x:c r="I15" t="str">
        <x:v>LEGAL_EXPLICIT_CHECKED</x:v>
      </x:c>
      <x:c r="J15" t="str">
        <x:v>PROFILE_PRESET_UNAPPROVED</x:v>
      </x:c>
      <x:c r="K15" t="str">
        <x:v>Chỉ khi có chứng cứ chỉ mức độ khẩn do người có thẩm quyền quyết định</x:v>
      </x:c>
      <x:c r="L15" t="str">
        <x:v>Mặc định ẩn khi không có điều kiện/căn cứ cho xuất hiện; không chèn tài liệu mật/dấu khẩn.</x:v>
      </x:c>
      <x:c r="M15" t="str">
        <x:v>pt</x:v>
      </x:c>
      <x:c r="N15" t="str">
        <x:v>Phụ lục 2, mục 11</x:v>
      </x:c>
      <x:c r="O15" t="str">
        <x:v>https://tulieuvankien.dangcongsan.vn/upload/2006988/20260529/HD_05_VPTW_e1550.pdf</x:v>
      </x:c>
      <x:c r="P15" t="str">
        <x:v>PLUGIN:HOA-TIEU-MIEN-BAC-PARTY-HD05-HEADER-2026 | NEEDS_REVIEW</x:v>
      </x:c>
      <x:c r="Q15" t="str">
        <x:v>CHECK_ONLY</x:v>
      </x:c>
      <x:c r="R15" t="str">
        <x:v>Kiểm tra từng thuộc tính có mặt; so sánh nguồn/role; không suy đoán từ kết quả render chưa có</x:v>
      </x:c>
      <x:c r="S15" t="str">
        <x:v>OFFICIAL_TEXT_VERIFIED</x:v>
      </x:c>
      <x:c r="T15"/>
      <x:c r="U15" t="str">
        <x:v>Metadata + vùng trình bày có điều kiện; đánh giá thủ công trước sửa</x:v>
      </x:c>
    </x:row>
    <x:row r="16">
      <x:c r="A16" t="n">
        <x:v>15</x:v>
      </x:c>
      <x:c r="B16" t="str">
        <x:v>HD05.X.KHAN.MUC_DO.DAM</x:v>
      </x:c>
      <x:c r="C16" t="str">
        <x:v>HD05.X.KHAN.MUC_DO</x:v>
      </x:c>
      <x:c r="D16" t="str">
        <x:v>X</x:v>
      </x:c>
      <x:c r="E16" t="str">
        <x:v>Mức độ khẩn</x:v>
      </x:c>
      <x:c r="F16" t="str">
        <x:v>DAM</x:v>
      </x:c>
      <x:c r="G16" t="str">
        <x:v>CÓ</x:v>
      </x:c>
      <x:c r="H16"/>
      <x:c r="I16" t="str">
        <x:v>UNVERIFIED_ATTRIBUTE</x:v>
      </x:c>
      <x:c r="J16" t="str">
        <x:v>PROFILE_PRESET_UNAPPROVED</x:v>
      </x:c>
      <x:c r="K16" t="str">
        <x:v>Chỉ khi có chứng cứ chỉ mức độ khẩn do người có thẩm quyền quyết định</x:v>
      </x:c>
      <x:c r="L16" t="str">
        <x:v>Mặc định ẩn khi không có điều kiện/căn cứ cho xuất hiện; không chèn tài liệu mật/dấu khẩn.</x:v>
      </x:c>
      <x:c r="M16"/>
      <x:c r="N16" t="str">
        <x:v>HD05, Phần II, II (Các thành phần bổ sung); Phụ lục 2</x:v>
      </x:c>
      <x:c r="O16" t="str">
        <x:v>https://tulieuvankien.dangcongsan.vn/upload/2006988/20260529/HD_05_VPTW_e1550.pdf</x:v>
      </x:c>
      <x:c r="P16" t="str">
        <x:v>PLUGIN:HOA-TIEU-MIEN-BAC-PARTY-HD05-HEADER-2026 | NEEDS_REVIEW</x:v>
      </x:c>
      <x:c r="Q16" t="str">
        <x:v>CHECK_ONLY</x:v>
      </x:c>
      <x:c r="R16" t="str">
        <x:v>Kiểm tra từng thuộc tính có mặt; so sánh nguồn/role; không suy đoán từ kết quả render chưa có</x:v>
      </x:c>
      <x:c r="S16" t="str">
        <x:v>STRUCTURE_READ_EXISTING_WORKBOOK</x:v>
      </x:c>
      <x:c r="T16"/>
      <x:c r="U16" t="str">
        <x:v>Metadata + vùng trình bày có điều kiện; đánh giá thủ công trước sửa</x:v>
      </x:c>
    </x:row>
    <x:row r="17">
      <x:c r="A17" t="n">
        <x:v>16</x:v>
      </x:c>
      <x:c r="B17" t="str">
        <x:v>HD05.X.KHAN.MUC_DO.KIEU_CHU</x:v>
      </x:c>
      <x:c r="C17" t="str">
        <x:v>HD05.X.KHAN.MUC_DO</x:v>
      </x:c>
      <x:c r="D17" t="str">
        <x:v>X</x:v>
      </x:c>
      <x:c r="E17" t="str">
        <x:v>Mức độ khẩn</x:v>
      </x:c>
      <x:c r="F17" t="str">
        <x:v>KIEU_CHU</x:v>
      </x:c>
      <x:c r="G17" t="str">
        <x:v>IN HOA</x:v>
      </x:c>
      <x:c r="H17"/>
      <x:c r="I17" t="str">
        <x:v>UNVERIFIED_ATTRIBUTE</x:v>
      </x:c>
      <x:c r="J17" t="str">
        <x:v>PROFILE_PRESET_UNAPPROVED</x:v>
      </x:c>
      <x:c r="K17" t="str">
        <x:v>Chỉ khi có chứng cứ chỉ mức độ khẩn do người có thẩm quyền quyết định</x:v>
      </x:c>
      <x:c r="L17" t="str">
        <x:v>Mặc định ẩn khi không có điều kiện/căn cứ cho xuất hiện; không chèn tài liệu mật/dấu khẩn.</x:v>
      </x:c>
      <x:c r="M17"/>
      <x:c r="N17" t="str">
        <x:v>HD05, Phần II, II (Các thành phần bổ sung); Phụ lục 2</x:v>
      </x:c>
      <x:c r="O17" t="str">
        <x:v>https://tulieuvankien.dangcongsan.vn/upload/2006988/20260529/HD_05_VPTW_e1550.pdf</x:v>
      </x:c>
      <x:c r="P17" t="str">
        <x:v>PLUGIN:HOA-TIEU-MIEN-BAC-PARTY-HD05-HEADER-2026 | NEEDS_REVIEW</x:v>
      </x:c>
      <x:c r="Q17" t="str">
        <x:v>CHECK_ONLY</x:v>
      </x:c>
      <x:c r="R17" t="str">
        <x:v>Kiểm tra từng thuộc tính có mặt; so sánh nguồn/role; không suy đoán từ kết quả render chưa có</x:v>
      </x:c>
      <x:c r="S17" t="str">
        <x:v>STRUCTURE_READ_EXISTING_WORKBOOK</x:v>
      </x:c>
      <x:c r="T17"/>
      <x:c r="U17" t="str">
        <x:v>Metadata + vùng trình bày có điều kiện; đánh giá thủ công trước sửa</x:v>
      </x:c>
    </x:row>
    <x:row r="18">
      <x:c r="A18" t="n">
        <x:v>17</x:v>
      </x:c>
      <x:c r="B18" t="str">
        <x:v>HD05.X.LUU_HANH.CHI_DAN.HIEN_DIEN</x:v>
      </x:c>
      <x:c r="C18" t="str">
        <x:v>HD05.X.LUU_HANH.CHI_DAN</x:v>
      </x:c>
      <x:c r="D18" t="str">
        <x:v>X</x:v>
      </x:c>
      <x:c r="E18" t="str">
        <x:v>Chỉ dẫn phạm vi lưu hành, phổ biến</x:v>
      </x:c>
      <x:c r="F18" t="str">
        <x:v>HIEN_DIEN</x:v>
      </x:c>
      <x:c r="G18" t="str">
        <x:v>Chỉ khi đủ chứng cứ/được phép hiện diện; không tự chèn giá trị</x:v>
      </x:c>
      <x:c r="H18"/>
      <x:c r="I18" t="str">
        <x:v>UNVERIFIED_ATTRIBUTE</x:v>
      </x:c>
      <x:c r="J18" t="str">
        <x:v>SOURCE_DESCRIPTION_NOT_APPROVAL</x:v>
      </x:c>
      <x:c r="K18" t="str">
        <x:v>Chỉ khi được phép và có thông tin thật cho loại thành phần này; không tự sinh nội dung</x:v>
      </x:c>
      <x:c r="L18" t="str">
        <x:v>Mặc định ẩn khi không có điều kiện/căn cứ cho xuất hiện; không chèn tài liệu mật/dấu khẩn.</x:v>
      </x:c>
      <x:c r="M18"/>
      <x:c r="N18" t="str">
        <x:v>HD05, Phần II, II (Các thành phần bổ sung); Phụ lục 2</x:v>
      </x:c>
      <x:c r="O18" t="str">
        <x:v>https://tulieuvankien.dangcongsan.vn/upload/2006988/20260529/HD_05_VPTW_e1550.pdf</x:v>
      </x:c>
      <x:c r="P18" t="str">
        <x:v>PLUGIN:HOA-TIEU-MIEN-BAC-PARTY-HD05-HEADER-2026 | NEEDS_REVIEW</x:v>
      </x:c>
      <x:c r="Q18" t="str">
        <x:v>CHECK_ONLY</x:v>
      </x:c>
      <x:c r="R18" t="str">
        <x:v>Kiểm tra từng thuộc tính có mặt; so sánh nguồn/role; không suy đoán từ kết quả render chưa có</x:v>
      </x:c>
      <x:c r="S18" t="str">
        <x:v>STRUCTURE_READ_EXISTING_WORKBOOK</x:v>
      </x:c>
      <x:c r="T18"/>
      <x:c r="U18" t="str">
        <x:v>Metadata + vùng trình bày có điều kiện; đánh giá thủ công trước sửa</x:v>
      </x:c>
    </x:row>
    <x:row r="19">
      <x:c r="A19" t="n">
        <x:v>18</x:v>
      </x:c>
      <x:c r="B19" t="str">
        <x:v>HD05.X.LUU_HANH.CHI_DAN.NOI_DUNG</x:v>
      </x:c>
      <x:c r="C19" t="str">
        <x:v>HD05.X.LUU_HANH.CHI_DAN</x:v>
      </x:c>
      <x:c r="D19" t="str">
        <x:v>X</x:v>
      </x:c>
      <x:c r="E19" t="str">
        <x:v>Chỉ dẫn phạm vi lưu hành, phổ biến</x:v>
      </x:c>
      <x:c r="F19" t="str">
        <x:v>NOI_DUNG</x:v>
      </x:c>
      <x:c r="G19" t="str">
        <x:v>Chỉ dẫn phạm vi lưu hành/phổ biến theo quyết định có thẩm quyền</x:v>
      </x:c>
      <x:c r="H19"/>
      <x:c r="I19" t="str">
        <x:v>UNVERIFIED_ATTRIBUTE</x:v>
      </x:c>
      <x:c r="J19" t="str">
        <x:v>SOURCE_DESCRIPTION_NOT_APPROVAL</x:v>
      </x:c>
      <x:c r="K19" t="str">
        <x:v>Chỉ khi được phép và có thông tin thật cho loại thành phần này; không tự sinh nội dung</x:v>
      </x:c>
      <x:c r="L19" t="str">
        <x:v>Mặc định ẩn khi không có điều kiện/căn cứ cho xuất hiện; không chèn tài liệu mật/dấu khẩn.</x:v>
      </x:c>
      <x:c r="M19"/>
      <x:c r="N19" t="str">
        <x:v>HD05, Phần II, II (Các thành phần bổ sung); Phụ lục 2</x:v>
      </x:c>
      <x:c r="O19" t="str">
        <x:v>https://tulieuvankien.dangcongsan.vn/upload/2006988/20260529/HD_05_VPTW_e1550.pdf</x:v>
      </x:c>
      <x:c r="P19" t="str">
        <x:v>PLUGIN:HOA-TIEU-MIEN-BAC-PARTY-HD05-HEADER-2026 | NEEDS_REVIEW</x:v>
      </x:c>
      <x:c r="Q19" t="str">
        <x:v>CHECK_ONLY</x:v>
      </x:c>
      <x:c r="R19" t="str">
        <x:v>Kiểm tra từng thuộc tính có mặt; so sánh nguồn/role; không suy đoán từ kết quả render chưa có</x:v>
      </x:c>
      <x:c r="S19" t="str">
        <x:v>STRUCTURE_READ_EXISTING_WORKBOOK</x:v>
      </x:c>
      <x:c r="T19"/>
      <x:c r="U19" t="str">
        <x:v>Metadata + vùng trình bày có điều kiện; đánh giá thủ công trước sửa</x:v>
      </x:c>
    </x:row>
    <x:row r="20">
      <x:c r="A20" t="n">
        <x:v>19</x:v>
      </x:c>
      <x:c r="B20" t="str">
        <x:v>HD05.X.LUU_HANH.CHI_DAN.TRANG_THAI_HIEN_THI</x:v>
      </x:c>
      <x:c r="C20" t="str">
        <x:v>HD05.X.LUU_HANH.CHI_DAN</x:v>
      </x:c>
      <x:c r="D20" t="str">
        <x:v>X</x:v>
      </x:c>
      <x:c r="E20" t="str">
        <x:v>Chỉ dẫn phạm vi lưu hành, phổ biến</x:v>
      </x:c>
      <x:c r="F20" t="str">
        <x:v>TRANG_THAI_HIEN_THI</x:v>
      </x:c>
      <x:c r="G20"/>
      <x:c r="H20"/>
      <x:c r="I20" t="str">
        <x:v>UNVERIFIED_ATTRIBUTE</x:v>
      </x:c>
      <x:c r="J20" t="str">
        <x:v>BLOCKED_NO_ATTRIBUTE_VALUE</x:v>
      </x:c>
      <x:c r="K20" t="str">
        <x:v>Chỉ khi được phép và có thông tin thật cho loại thành phần này; không tự sinh nội dung</x:v>
      </x:c>
      <x:c r="L20" t="str">
        <x:v>Mặc định ẩn khi không có điều kiện/căn cứ cho xuất hiện; không chèn tài liệu mật/dấu khẩn.</x:v>
      </x:c>
      <x:c r="M20"/>
      <x:c r="N20" t="str">
        <x:v>HD05, Phần II, II (Các thành phần bổ sung); Phụ lục 2</x:v>
      </x:c>
      <x:c r="O20" t="str">
        <x:v>https://tulieuvankien.dangcongsan.vn/upload/2006988/20260529/HD_05_VPTW_e1550.pdf</x:v>
      </x:c>
      <x:c r="P20" t="str">
        <x:v>PLUGIN:HOA-TIEU-MIEN-BAC-PARTY-HD05-HEADER-2026 | NEEDS_REVIEW</x:v>
      </x:c>
      <x:c r="Q20" t="str">
        <x:v>CHECK_ONLY</x:v>
      </x:c>
      <x:c r="R20" t="str">
        <x:v>Kiểm tra từng thuộc tính có mặt; so sánh nguồn/role; không suy đoán từ kết quả render chưa có</x:v>
      </x:c>
      <x:c r="S20" t="str">
        <x:v>RULE_INFERENCE_NOT_MEASURED</x:v>
      </x:c>
      <x:c r="T20" t="str">
        <x:v>Xác minh căn cứ theo loại văn bản / tài liệu phát hành hoặc phê duyệt</x:v>
      </x:c>
      <x:c r="U20" t="str">
        <x:v>Metadata + vùng trình bày có điều kiện; đánh giá thủ công trước sửa</x:v>
      </x:c>
    </x:row>
    <x:row r="21">
      <x:c r="A21" t="n">
        <x:v>20</x:v>
      </x:c>
      <x:c r="B21" t="str">
        <x:v>HD05.X.LUU_HANH.CHI_DAN.VI_TRI</x:v>
      </x:c>
      <x:c r="C21" t="str">
        <x:v>HD05.X.LUU_HANH.CHI_DAN</x:v>
      </x:c>
      <x:c r="D21" t="str">
        <x:v>X</x:v>
      </x:c>
      <x:c r="E21" t="str">
        <x:v>Chỉ dẫn phạm vi lưu hành, phổ biến</x:v>
      </x:c>
      <x:c r="F21" t="str">
        <x:v>VI_TRI</x:v>
      </x:c>
      <x:c r="G21"/>
      <x:c r="H21"/>
      <x:c r="I21" t="str">
        <x:v>UNVERIFIED_ATTRIBUTE</x:v>
      </x:c>
      <x:c r="J21" t="str">
        <x:v>BLOCKED_NO_ATTRIBUTE_VALUE</x:v>
      </x:c>
      <x:c r="K21" t="str">
        <x:v>Chỉ khi được phép và có thông tin thật cho loại thành phần này; không tự sinh nội dung</x:v>
      </x:c>
      <x:c r="L21" t="str">
        <x:v>Mặc định ẩn khi không có điều kiện/căn cứ cho xuất hiện; không chèn tài liệu mật/dấu khẩn.</x:v>
      </x:c>
      <x:c r="M21"/>
      <x:c r="N21" t="str">
        <x:v>HD05, Phần II, II (Các thành phần bổ sung); Phụ lục 2</x:v>
      </x:c>
      <x:c r="O21" t="str">
        <x:v>https://tulieuvankien.dangcongsan.vn/upload/2006988/20260529/HD_05_VPTW_e1550.pdf</x:v>
      </x:c>
      <x:c r="P21" t="str">
        <x:v>PLUGIN:HOA-TIEU-MIEN-BAC-PARTY-HD05-HEADER-2026 | NEEDS_REVIEW</x:v>
      </x:c>
      <x:c r="Q21" t="str">
        <x:v>CHECK_ONLY</x:v>
      </x:c>
      <x:c r="R21" t="str">
        <x:v>Kiểm tra từng thuộc tính có mặt; so sánh nguồn/role; không suy đoán từ kết quả render chưa có</x:v>
      </x:c>
      <x:c r="S21" t="str">
        <x:v>RULE_INFERENCE_NOT_MEASURED</x:v>
      </x:c>
      <x:c r="T21" t="str">
        <x:v>Xác minh căn cứ theo loại văn bản / tài liệu phát hành hoặc phê duyệt</x:v>
      </x:c>
      <x:c r="U21" t="str">
        <x:v>Metadata + vùng trình bày có điều kiện; đánh giá thủ công trước sửa</x:v>
      </x:c>
    </x:row>
    <x:row r="22">
      <x:c r="A22" t="n">
        <x:v>21</x:v>
      </x:c>
      <x:c r="B22" t="str">
        <x:v>HD05.X.LUU_HANH.CHI_DAN.CO_CHU</x:v>
      </x:c>
      <x:c r="C22" t="str">
        <x:v>HD05.X.LUU_HANH.CHI_DAN</x:v>
      </x:c>
      <x:c r="D22" t="str">
        <x:v>X</x:v>
      </x:c>
      <x:c r="E22" t="str">
        <x:v>Chỉ dẫn phạm vi lưu hành, phổ biến</x:v>
      </x:c>
      <x:c r="F22" t="str">
        <x:v>CO_CHU</x:v>
      </x:c>
      <x:c r="G22" t="n">
        <x:v>12</x:v>
      </x:c>
      <x:c r="H22"/>
      <x:c r="I22" t="str">
        <x:v>UNVERIFIED_ATTRIBUTE</x:v>
      </x:c>
      <x:c r="J22" t="str">
        <x:v>PROFILE_PRESET_UNAPPROVED</x:v>
      </x:c>
      <x:c r="K22" t="str">
        <x:v>Chỉ khi được phép và có thông tin thật cho loại thành phần này; không tự sinh nội dung</x:v>
      </x:c>
      <x:c r="L22" t="str">
        <x:v>Mặc định ẩn khi không có điều kiện/căn cứ cho xuất hiện; không chèn tài liệu mật/dấu khẩn.</x:v>
      </x:c>
      <x:c r="M22" t="str">
        <x:v>pt</x:v>
      </x:c>
      <x:c r="N22" t="str">
        <x:v>HD05, Phần II, II (Các thành phần bổ sung); Phụ lục 2</x:v>
      </x:c>
      <x:c r="O22" t="str">
        <x:v>https://tulieuvankien.dangcongsan.vn/upload/2006988/20260529/HD_05_VPTW_e1550.pdf</x:v>
      </x:c>
      <x:c r="P22" t="str">
        <x:v>PLUGIN:HOA-TIEU-MIEN-BAC-PARTY-HD05-HEADER-2026 | NEEDS_REVIEW</x:v>
      </x:c>
      <x:c r="Q22" t="str">
        <x:v>CHECK_ONLY</x:v>
      </x:c>
      <x:c r="R22" t="str">
        <x:v>Kiểm tra từng thuộc tính có mặt; so sánh nguồn/role; không suy đoán từ kết quả render chưa có</x:v>
      </x:c>
      <x:c r="S22" t="str">
        <x:v>STRUCTURE_READ_EXISTING_WORKBOOK</x:v>
      </x:c>
      <x:c r="T22"/>
      <x:c r="U22" t="str">
        <x:v>Metadata + vùng trình bày có điều kiện; đánh giá thủ công trước sửa</x:v>
      </x:c>
    </x:row>
    <x:row r="23">
      <x:c r="A23" t="n">
        <x:v>22</x:v>
      </x:c>
      <x:c r="B23" t="str">
        <x:v>HD05.X.LUU_HANH.CHI_DAN.KIEU_CHU</x:v>
      </x:c>
      <x:c r="C23" t="str">
        <x:v>HD05.X.LUU_HANH.CHI_DAN</x:v>
      </x:c>
      <x:c r="D23" t="str">
        <x:v>X</x:v>
      </x:c>
      <x:c r="E23" t="str">
        <x:v>Chỉ dẫn phạm vi lưu hành, phổ biến</x:v>
      </x:c>
      <x:c r="F23" t="str">
        <x:v>KIEU_CHU</x:v>
      </x:c>
      <x:c r="G23" t="str">
        <x:v>IN HOA</x:v>
      </x:c>
      <x:c r="H23"/>
      <x:c r="I23" t="str">
        <x:v>UNVERIFIED_ATTRIBUTE</x:v>
      </x:c>
      <x:c r="J23" t="str">
        <x:v>PROFILE_PRESET_UNAPPROVED</x:v>
      </x:c>
      <x:c r="K23" t="str">
        <x:v>Chỉ khi được phép và có thông tin thật cho loại thành phần này; không tự sinh nội dung</x:v>
      </x:c>
      <x:c r="L23" t="str">
        <x:v>Mặc định ẩn khi không có điều kiện/căn cứ cho xuất hiện; không chèn tài liệu mật/dấu khẩn.</x:v>
      </x:c>
      <x:c r="M23"/>
      <x:c r="N23" t="str">
        <x:v>HD05, Phần II, II (Các thành phần bổ sung); Phụ lục 2</x:v>
      </x:c>
      <x:c r="O23" t="str">
        <x:v>https://tulieuvankien.dangcongsan.vn/upload/2006988/20260529/HD_05_VPTW_e1550.pdf</x:v>
      </x:c>
      <x:c r="P23" t="str">
        <x:v>PLUGIN:HOA-TIEU-MIEN-BAC-PARTY-HD05-HEADER-2026 | NEEDS_REVIEW</x:v>
      </x:c>
      <x:c r="Q23" t="str">
        <x:v>CHECK_ONLY</x:v>
      </x:c>
      <x:c r="R23" t="str">
        <x:v>Kiểm tra từng thuộc tính có mặt; so sánh nguồn/role; không suy đoán từ kết quả render chưa có</x:v>
      </x:c>
      <x:c r="S23" t="str">
        <x:v>STRUCTURE_READ_EXISTING_WORKBOOK</x:v>
      </x:c>
      <x:c r="T23"/>
      <x:c r="U23" t="str">
        <x:v>Metadata + vùng trình bày có điều kiện; đánh giá thủ công trước sửa</x:v>
      </x:c>
    </x:row>
    <x:row r="24">
      <x:c r="A24" t="n">
        <x:v>23</x:v>
      </x:c>
      <x:c r="B24" t="str">
        <x:v>HD05.X.DU_THAO.CHI_DAN.HIEN_DIEN</x:v>
      </x:c>
      <x:c r="C24" t="str">
        <x:v>HD05.X.DU_THAO.CHI_DAN</x:v>
      </x:c>
      <x:c r="D24" t="str">
        <x:v>X</x:v>
      </x:c>
      <x:c r="E24" t="str">
        <x:v>Chỉ dẫn dự thảo, lần dự thảo</x:v>
      </x:c>
      <x:c r="F24" t="str">
        <x:v>HIEN_DIEN</x:v>
      </x:c>
      <x:c r="G24" t="str">
        <x:v>Chỉ khi đủ chứng cứ/được phép hiện diện; không tự chèn giá trị</x:v>
      </x:c>
      <x:c r="H24"/>
      <x:c r="I24" t="str">
        <x:v>UNVERIFIED_ATTRIBUTE</x:v>
      </x:c>
      <x:c r="J24" t="str">
        <x:v>SOURCE_DESCRIPTION_NOT_APPROVAL</x:v>
      </x:c>
      <x:c r="K24" t="str">
        <x:v>Chỉ văn bản đang dự thảo thực và xác định được lần dự thảo</x:v>
      </x:c>
      <x:c r="L24" t="str">
        <x:v>Mặc định ẩn khi không có điều kiện/căn cứ cho xuất hiện; không chèn tài liệu mật/dấu khẩn.</x:v>
      </x:c>
      <x:c r="M24"/>
      <x:c r="N24" t="str">
        <x:v>HD05, Phần II, II (Các thành phần bổ sung); Phụ lục 2</x:v>
      </x:c>
      <x:c r="O24" t="str">
        <x:v>https://tulieuvankien.dangcongsan.vn/upload/2006988/20260529/HD_05_VPTW_e1550.pdf</x:v>
      </x:c>
      <x:c r="P24" t="str">
        <x:v>PLUGIN:HOA-TIEU-MIEN-BAC-PARTY-HD05-HEADER-2026 | NEEDS_REVIEW</x:v>
      </x:c>
      <x:c r="Q24" t="str">
        <x:v>CHECK_ONLY</x:v>
      </x:c>
      <x:c r="R24" t="str">
        <x:v>Kiểm tra từng thuộc tính có mặt; so sánh nguồn/role; không suy đoán từ kết quả render chưa có</x:v>
      </x:c>
      <x:c r="S24" t="str">
        <x:v>STRUCTURE_READ_EXISTING_WORKBOOK</x:v>
      </x:c>
      <x:c r="T24"/>
      <x:c r="U24" t="str">
        <x:v>Metadata + vùng trình bày có điều kiện; đánh giá thủ công trước sửa</x:v>
      </x:c>
    </x:row>
    <x:row r="25">
      <x:c r="A25" t="n">
        <x:v>24</x:v>
      </x:c>
      <x:c r="B25" t="str">
        <x:v>HD05.X.DU_THAO.CHI_DAN.NOI_DUNG</x:v>
      </x:c>
      <x:c r="C25" t="str">
        <x:v>HD05.X.DU_THAO.CHI_DAN</x:v>
      </x:c>
      <x:c r="D25" t="str">
        <x:v>X</x:v>
      </x:c>
      <x:c r="E25" t="str">
        <x:v>Chỉ dẫn dự thảo, lần dự thảo</x:v>
      </x:c>
      <x:c r="F25" t="str">
        <x:v>NOI_DUNG</x:v>
      </x:c>
      <x:c r="G25" t="str">
        <x:v>Chỉ dẫn dự thảo và lần dự thảo</x:v>
      </x:c>
      <x:c r="H25"/>
      <x:c r="I25" t="str">
        <x:v>UNVERIFIED_ATTRIBUTE</x:v>
      </x:c>
      <x:c r="J25" t="str">
        <x:v>SOURCE_DESCRIPTION_NOT_APPROVAL</x:v>
      </x:c>
      <x:c r="K25" t="str">
        <x:v>Chỉ văn bản đang dự thảo thực và xác định được lần dự thảo</x:v>
      </x:c>
      <x:c r="L25" t="str">
        <x:v>Mặc định ẩn khi không có điều kiện/căn cứ cho xuất hiện; không chèn tài liệu mật/dấu khẩn.</x:v>
      </x:c>
      <x:c r="M25"/>
      <x:c r="N25" t="str">
        <x:v>HD05, Phần II, II (Các thành phần bổ sung); Phụ lục 2</x:v>
      </x:c>
      <x:c r="O25" t="str">
        <x:v>https://tulieuvankien.dangcongsan.vn/upload/2006988/20260529/HD_05_VPTW_e1550.pdf</x:v>
      </x:c>
      <x:c r="P25" t="str">
        <x:v>PLUGIN:HOA-TIEU-MIEN-BAC-PARTY-HD05-HEADER-2026 | NEEDS_REVIEW</x:v>
      </x:c>
      <x:c r="Q25" t="str">
        <x:v>CHECK_ONLY</x:v>
      </x:c>
      <x:c r="R25" t="str">
        <x:v>Kiểm tra từng thuộc tính có mặt; so sánh nguồn/role; không suy đoán từ kết quả render chưa có</x:v>
      </x:c>
      <x:c r="S25" t="str">
        <x:v>STRUCTURE_READ_EXISTING_WORKBOOK</x:v>
      </x:c>
      <x:c r="T25"/>
      <x:c r="U25" t="str">
        <x:v>Metadata + vùng trình bày có điều kiện; đánh giá thủ công trước sửa</x:v>
      </x:c>
    </x:row>
    <x:row r="26">
      <x:c r="A26" t="n">
        <x:v>25</x:v>
      </x:c>
      <x:c r="B26" t="str">
        <x:v>HD05.X.DU_THAO.CHI_DAN.TRANG_THAI_HIEN_THI</x:v>
      </x:c>
      <x:c r="C26" t="str">
        <x:v>HD05.X.DU_THAO.CHI_DAN</x:v>
      </x:c>
      <x:c r="D26" t="str">
        <x:v>X</x:v>
      </x:c>
      <x:c r="E26" t="str">
        <x:v>Chỉ dẫn dự thảo, lần dự thảo</x:v>
      </x:c>
      <x:c r="F26" t="str">
        <x:v>TRANG_THAI_HIEN_THI</x:v>
      </x:c>
      <x:c r="G26"/>
      <x:c r="H26"/>
      <x:c r="I26" t="str">
        <x:v>UNVERIFIED_ATTRIBUTE</x:v>
      </x:c>
      <x:c r="J26" t="str">
        <x:v>BLOCKED_NO_ATTRIBUTE_VALUE</x:v>
      </x:c>
      <x:c r="K26" t="str">
        <x:v>Chỉ văn bản đang dự thảo thực và xác định được lần dự thảo</x:v>
      </x:c>
      <x:c r="L26" t="str">
        <x:v>Mặc định ẩn khi không có điều kiện/căn cứ cho xuất hiện; không chèn tài liệu mật/dấu khẩn.</x:v>
      </x:c>
      <x:c r="M26"/>
      <x:c r="N26" t="str">
        <x:v>HD05, Phần II, II (Các thành phần bổ sung); Phụ lục 2</x:v>
      </x:c>
      <x:c r="O26" t="str">
        <x:v>https://tulieuvankien.dangcongsan.vn/upload/2006988/20260529/HD_05_VPTW_e1550.pdf</x:v>
      </x:c>
      <x:c r="P26" t="str">
        <x:v>PLUGIN:HOA-TIEU-MIEN-BAC-PARTY-HD05-HEADER-2026 | NEEDS_REVIEW</x:v>
      </x:c>
      <x:c r="Q26" t="str">
        <x:v>CHECK_ONLY</x:v>
      </x:c>
      <x:c r="R26" t="str">
        <x:v>Kiểm tra từng thuộc tính có mặt; so sánh nguồn/role; không suy đoán từ kết quả render chưa có</x:v>
      </x:c>
      <x:c r="S26" t="str">
        <x:v>RULE_INFERENCE_NOT_MEASURED</x:v>
      </x:c>
      <x:c r="T26" t="str">
        <x:v>Xác minh căn cứ theo loại văn bản / tài liệu phát hành hoặc phê duyệt</x:v>
      </x:c>
      <x:c r="U26" t="str">
        <x:v>Metadata + vùng trình bày có điều kiện; đánh giá thủ công trước sửa</x:v>
      </x:c>
    </x:row>
    <x:row r="27">
      <x:c r="A27" t="n">
        <x:v>26</x:v>
      </x:c>
      <x:c r="B27" t="str">
        <x:v>HD05.X.DU_THAO.CHI_DAN.VI_TRI</x:v>
      </x:c>
      <x:c r="C27" t="str">
        <x:v>HD05.X.DU_THAO.CHI_DAN</x:v>
      </x:c>
      <x:c r="D27" t="str">
        <x:v>X</x:v>
      </x:c>
      <x:c r="E27" t="str">
        <x:v>Chỉ dẫn dự thảo, lần dự thảo</x:v>
      </x:c>
      <x:c r="F27" t="str">
        <x:v>VI_TRI</x:v>
      </x:c>
      <x:c r="G27"/>
      <x:c r="H27"/>
      <x:c r="I27" t="str">
        <x:v>UNVERIFIED_ATTRIBUTE</x:v>
      </x:c>
      <x:c r="J27" t="str">
        <x:v>BLOCKED_NO_ATTRIBUTE_VALUE</x:v>
      </x:c>
      <x:c r="K27" t="str">
        <x:v>Chỉ văn bản đang dự thảo thực và xác định được lần dự thảo</x:v>
      </x:c>
      <x:c r="L27" t="str">
        <x:v>Mặc định ẩn khi không có điều kiện/căn cứ cho xuất hiện; không chèn tài liệu mật/dấu khẩn.</x:v>
      </x:c>
      <x:c r="M27"/>
      <x:c r="N27" t="str">
        <x:v>HD05, Phần II, II (Các thành phần bổ sung); Phụ lục 2</x:v>
      </x:c>
      <x:c r="O27" t="str">
        <x:v>https://tulieuvankien.dangcongsan.vn/upload/2006988/20260529/HD_05_VPTW_e1550.pdf</x:v>
      </x:c>
      <x:c r="P27" t="str">
        <x:v>PLUGIN:HOA-TIEU-MIEN-BAC-PARTY-HD05-HEADER-2026 | NEEDS_REVIEW</x:v>
      </x:c>
      <x:c r="Q27" t="str">
        <x:v>CHECK_ONLY</x:v>
      </x:c>
      <x:c r="R27" t="str">
        <x:v>Kiểm tra từng thuộc tính có mặt; so sánh nguồn/role; không suy đoán từ kết quả render chưa có</x:v>
      </x:c>
      <x:c r="S27" t="str">
        <x:v>RULE_INFERENCE_NOT_MEASURED</x:v>
      </x:c>
      <x:c r="T27" t="str">
        <x:v>Xác minh căn cứ theo loại văn bản / tài liệu phát hành hoặc phê duyệt</x:v>
      </x:c>
      <x:c r="U27" t="str">
        <x:v>Metadata + vùng trình bày có điều kiện; đánh giá thủ công trước sửa</x:v>
      </x:c>
    </x:row>
    <x:row r="28">
      <x:c r="A28" t="n">
        <x:v>27</x:v>
      </x:c>
      <x:c r="B28" t="str">
        <x:v>HD05.X.DU_THAO.CHI_DAN.CO_CHU</x:v>
      </x:c>
      <x:c r="C28" t="str">
        <x:v>HD05.X.DU_THAO.CHI_DAN</x:v>
      </x:c>
      <x:c r="D28" t="str">
        <x:v>X</x:v>
      </x:c>
      <x:c r="E28" t="str">
        <x:v>Chỉ dẫn dự thảo, lần dự thảo</x:v>
      </x:c>
      <x:c r="F28" t="str">
        <x:v>CO_CHU</x:v>
      </x:c>
      <x:c r="G28" t="n">
        <x:v>14</x:v>
      </x:c>
      <x:c r="H28" t="n">
        <x:v>14</x:v>
      </x:c>
      <x:c r="I28" t="str">
        <x:v>LEGAL_EXPLICIT_CHECKED</x:v>
      </x:c>
      <x:c r="J28" t="str">
        <x:v>PROFILE_PRESET_UNAPPROVED</x:v>
      </x:c>
      <x:c r="K28" t="str">
        <x:v>Chỉ văn bản đang dự thảo thực và xác định được lần dự thảo</x:v>
      </x:c>
      <x:c r="L28" t="str">
        <x:v>Mặc định ẩn khi không có điều kiện/căn cứ cho xuất hiện; không chèn tài liệu mật/dấu khẩn.</x:v>
      </x:c>
      <x:c r="M28" t="str">
        <x:v>pt</x:v>
      </x:c>
      <x:c r="N28" t="str">
        <x:v>Phụ lục 2, mục 12</x:v>
      </x:c>
      <x:c r="O28" t="str">
        <x:v>https://tulieuvankien.dangcongsan.vn/upload/2006988/20260529/HD_05_VPTW_e1550.pdf</x:v>
      </x:c>
      <x:c r="P28" t="str">
        <x:v>PLUGIN:HOA-TIEU-MIEN-BAC-PARTY-HD05-HEADER-2026 | NEEDS_REVIEW</x:v>
      </x:c>
      <x:c r="Q28" t="str">
        <x:v>CHECK_ONLY</x:v>
      </x:c>
      <x:c r="R28" t="str">
        <x:v>Kiểm tra từng thuộc tính có mặt; so sánh nguồn/role; không suy đoán từ kết quả render chưa có</x:v>
      </x:c>
      <x:c r="S28" t="str">
        <x:v>OFFICIAL_TEXT_VERIFIED</x:v>
      </x:c>
      <x:c r="T28"/>
      <x:c r="U28" t="str">
        <x:v>Metadata + vùng trình bày có điều kiện; đánh giá thủ công trước sửa</x:v>
      </x:c>
    </x:row>
    <x:row r="29">
      <x:c r="A29" t="n">
        <x:v>28</x:v>
      </x:c>
      <x:c r="B29" t="str">
        <x:v>HD05.X.DU_THAO.CHI_DAN.KIEU_CHU</x:v>
      </x:c>
      <x:c r="C29" t="str">
        <x:v>HD05.X.DU_THAO.CHI_DAN</x:v>
      </x:c>
      <x:c r="D29" t="str">
        <x:v>X</x:v>
      </x:c>
      <x:c r="E29" t="str">
        <x:v>Chỉ dẫn dự thảo, lần dự thảo</x:v>
      </x:c>
      <x:c r="F29" t="str">
        <x:v>KIEU_CHU</x:v>
      </x:c>
      <x:c r="G29" t="str">
        <x:v>In thường</x:v>
      </x:c>
      <x:c r="H29"/>
      <x:c r="I29" t="str">
        <x:v>UNVERIFIED_ATTRIBUTE</x:v>
      </x:c>
      <x:c r="J29" t="str">
        <x:v>PROFILE_PRESET_UNAPPROVED</x:v>
      </x:c>
      <x:c r="K29" t="str">
        <x:v>Chỉ văn bản đang dự thảo thực và xác định được lần dự thảo</x:v>
      </x:c>
      <x:c r="L29" t="str">
        <x:v>Mặc định ẩn khi không có điều kiện/căn cứ cho xuất hiện; không chèn tài liệu mật/dấu khẩn.</x:v>
      </x:c>
      <x:c r="M29"/>
      <x:c r="N29" t="str">
        <x:v>HD05, Phần II, II (Các thành phần bổ sung); Phụ lục 2</x:v>
      </x:c>
      <x:c r="O29" t="str">
        <x:v>https://tulieuvankien.dangcongsan.vn/upload/2006988/20260529/HD_05_VPTW_e1550.pdf</x:v>
      </x:c>
      <x:c r="P29" t="str">
        <x:v>PLUGIN:HOA-TIEU-MIEN-BAC-PARTY-HD05-HEADER-2026 | NEEDS_REVIEW</x:v>
      </x:c>
      <x:c r="Q29" t="str">
        <x:v>CHECK_ONLY</x:v>
      </x:c>
      <x:c r="R29" t="str">
        <x:v>Kiểm tra từng thuộc tính có mặt; so sánh nguồn/role; không suy đoán từ kết quả render chưa có</x:v>
      </x:c>
      <x:c r="S29" t="str">
        <x:v>STRUCTURE_READ_EXISTING_WORKBOOK</x:v>
      </x:c>
      <x:c r="T29"/>
      <x:c r="U29" t="str">
        <x:v>Metadata + vùng trình bày có điều kiện; đánh giá thủ công trước sửa</x:v>
      </x:c>
    </x:row>
    <x:row r="30">
      <x:c r="A30" t="n">
        <x:v>29</x:v>
      </x:c>
      <x:c r="B30" t="str">
        <x:v>HD05.X.SOAN.KY_HIEU_NGUOI_SOAN.HIEN_DIEN</x:v>
      </x:c>
      <x:c r="C30" t="str">
        <x:v>HD05.X.SOAN.KY_HIEU_NGUOI_SOAN</x:v>
      </x:c>
      <x:c r="D30" t="str">
        <x:v>X</x:v>
      </x:c>
      <x:c r="E30" t="str">
        <x:v>Ký hiệu người soạn</x:v>
      </x:c>
      <x:c r="F30" t="str">
        <x:v>HIEN_DIEN</x:v>
      </x:c>
      <x:c r="G30" t="str">
        <x:v>Chỉ khi đủ chứng cứ/được phép hiện diện; không tự chèn giá trị</x:v>
      </x:c>
      <x:c r="H30"/>
      <x:c r="I30" t="str">
        <x:v>UNVERIFIED_ATTRIBUTE</x:v>
      </x:c>
      <x:c r="J30" t="str">
        <x:v>SOURCE_DESCRIPTION_NOT_APPROVAL</x:v>
      </x:c>
      <x:c r="K30" t="str">
        <x:v>Chỉ khi được phép và có thông tin thật cho loại thành phần này; không tự sinh nội dung</x:v>
      </x:c>
      <x:c r="L30" t="str">
        <x:v>Mặc định ẩn khi không có điều kiện/căn cứ cho xuất hiện; không chèn tài liệu mật/dấu khẩn.</x:v>
      </x:c>
      <x:c r="M30"/>
      <x:c r="N30" t="str">
        <x:v>HD05, Phần II, II (Các thành phần bổ sung); Phụ lục 2</x:v>
      </x:c>
      <x:c r="O30" t="str">
        <x:v>https://tulieuvankien.dangcongsan.vn/upload/2006988/20260529/HD_05_VPTW_e1550.pdf</x:v>
      </x:c>
      <x:c r="P30" t="str">
        <x:v>PLUGIN:HOA-TIEU-MIEN-BAC-PARTY-HD05-HEADER-2026 | NEEDS_REVIEW</x:v>
      </x:c>
      <x:c r="Q30" t="str">
        <x:v>CHECK_ONLY</x:v>
      </x:c>
      <x:c r="R30" t="str">
        <x:v>Kiểm tra từng thuộc tính có mặt; so sánh nguồn/role; không suy đoán từ kết quả render chưa có</x:v>
      </x:c>
      <x:c r="S30" t="str">
        <x:v>STRUCTURE_READ_EXISTING_WORKBOOK</x:v>
      </x:c>
      <x:c r="T30"/>
      <x:c r="U30" t="str">
        <x:v>Metadata + vùng trình bày có điều kiện; đánh giá thủ công trước sửa</x:v>
      </x:c>
    </x:row>
    <x:row r="31">
      <x:c r="A31" t="n">
        <x:v>30</x:v>
      </x:c>
      <x:c r="B31" t="str">
        <x:v>HD05.X.SOAN.KY_HIEU_NGUOI_SOAN.THONG_TIN</x:v>
      </x:c>
      <x:c r="C31" t="str">
        <x:v>HD05.X.SOAN.KY_HIEU_NGUOI_SOAN</x:v>
      </x:c>
      <x:c r="D31" t="str">
        <x:v>X</x:v>
      </x:c>
      <x:c r="E31" t="str">
        <x:v>Ký hiệu người soạn</x:v>
      </x:c>
      <x:c r="F31" t="str">
        <x:v>THONG_TIN</x:v>
      </x:c>
      <x:c r="G31" t="str">
        <x:v>[CHỈ KHI CÓ SỔ/ĐỊNH MỨC PHÁT HÀNH]</x:v>
      </x:c>
      <x:c r="H31"/>
      <x:c r="I31" t="str">
        <x:v>UNVERIFIED_ATTRIBUTE</x:v>
      </x:c>
      <x:c r="J31" t="str">
        <x:v>BLOCKED_OFFICIAL_PROOF</x:v>
      </x:c>
      <x:c r="K31" t="str">
        <x:v>Chỉ khi được phép và có thông tin thật cho loại thành phần này; không tự sinh nội dung</x:v>
      </x:c>
      <x:c r="L31" t="str">
        <x:v>Mặc định ẩn khi không có điều kiện/căn cứ cho xuất hiện; không chèn tài liệu mật/dấu khẩn.</x:v>
      </x:c>
      <x:c r="M31"/>
      <x:c r="N31" t="str">
        <x:v>HD05, Phần II, II (Các thành phần bổ sung); Phụ lục 2</x:v>
      </x:c>
      <x:c r="O31" t="str">
        <x:v>https://tulieuvankien.dangcongsan.vn/upload/2006988/20260529/HD_05_VPTW_e1550.pdf</x:v>
      </x:c>
      <x:c r="P31" t="str">
        <x:v>PLUGIN:HOA-TIEU-MIEN-BAC-PARTY-HD05-HEADER-2026 | NEEDS_REVIEW</x:v>
      </x:c>
      <x:c r="Q31" t="str">
        <x:v>CHECK_ONLY</x:v>
      </x:c>
      <x:c r="R31" t="str">
        <x:v>Kiểm tra từng thuộc tính có mặt; so sánh nguồn/role; không suy đoán từ kết quả render chưa có</x:v>
      </x:c>
      <x:c r="S31" t="str">
        <x:v>STRUCTURE_READ_EXISTING_WORKBOOK</x:v>
      </x:c>
      <x:c r="T31" t="str">
        <x:v>Xác minh căn cứ theo loại văn bản / tài liệu phát hành hoặc phê duyệt</x:v>
      </x:c>
      <x:c r="U31" t="str">
        <x:v>Metadata + vùng trình bày có điều kiện; đánh giá thủ công trước sửa</x:v>
      </x:c>
    </x:row>
    <x:row r="32">
      <x:c r="A32" t="n">
        <x:v>31</x:v>
      </x:c>
      <x:c r="B32" t="str">
        <x:v>HD05.X.SOAN.KY_HIEU_NGUOI_SOAN.CO_CHU</x:v>
      </x:c>
      <x:c r="C32" t="str">
        <x:v>HD05.X.SOAN.KY_HIEU_NGUOI_SOAN</x:v>
      </x:c>
      <x:c r="D32" t="str">
        <x:v>X</x:v>
      </x:c>
      <x:c r="E32" t="str">
        <x:v>Ký hiệu người soạn</x:v>
      </x:c>
      <x:c r="F32" t="str">
        <x:v>CO_CHU</x:v>
      </x:c>
      <x:c r="G32" t="n">
        <x:v>11</x:v>
      </x:c>
      <x:c r="H32" t="n">
        <x:v>11</x:v>
      </x:c>
      <x:c r="I32" t="str">
        <x:v>LEGAL_EXPLICIT_CHECKED</x:v>
      </x:c>
      <x:c r="J32" t="str">
        <x:v>PROFILE_PRESET_UNAPPROVED</x:v>
      </x:c>
      <x:c r="K32" t="str">
        <x:v>Chỉ khi được phép và có thông tin thật cho loại thành phần này; không tự sinh nội dung</x:v>
      </x:c>
      <x:c r="L32" t="str">
        <x:v>Mặc định ẩn khi không có điều kiện/căn cứ cho xuất hiện; không chèn tài liệu mật/dấu khẩn.</x:v>
      </x:c>
      <x:c r="M32" t="str">
        <x:v>pt</x:v>
      </x:c>
      <x:c r="N32" t="str">
        <x:v>Phụ lục 2, mục 13</x:v>
      </x:c>
      <x:c r="O32" t="str">
        <x:v>https://tulieuvankien.dangcongsan.vn/upload/2006988/20260529/HD_05_VPTW_e1550.pdf</x:v>
      </x:c>
      <x:c r="P32" t="str">
        <x:v>PLUGIN:HOA-TIEU-MIEN-BAC-PARTY-HD05-HEADER-2026 | NEEDS_REVIEW</x:v>
      </x:c>
      <x:c r="Q32" t="str">
        <x:v>CHECK_ONLY</x:v>
      </x:c>
      <x:c r="R32" t="str">
        <x:v>Kiểm tra từng thuộc tính có mặt; so sánh nguồn/role; không suy đoán từ kết quả render chưa có</x:v>
      </x:c>
      <x:c r="S32" t="str">
        <x:v>OFFICIAL_TEXT_VERIFIED</x:v>
      </x:c>
      <x:c r="T32"/>
      <x:c r="U32" t="str">
        <x:v>Metadata + vùng trình bày có điều kiện; đánh giá thủ công trước sửa</x:v>
      </x:c>
    </x:row>
    <x:row r="33">
      <x:c r="A33" t="n">
        <x:v>32</x:v>
      </x:c>
      <x:c r="B33" t="str">
        <x:v>HD05.X.SOAN.KY_HIEU_NGUOI_SOAN.VI_TRI</x:v>
      </x:c>
      <x:c r="C33" t="str">
        <x:v>HD05.X.SOAN.KY_HIEU_NGUOI_SOAN</x:v>
      </x:c>
      <x:c r="D33" t="str">
        <x:v>X</x:v>
      </x:c>
      <x:c r="E33" t="str">
        <x:v>Ký hiệu người soạn</x:v>
      </x:c>
      <x:c r="F33" t="str">
        <x:v>VI_TRI</x:v>
      </x:c>
      <x:c r="G33"/>
      <x:c r="H33"/>
      <x:c r="I33" t="str">
        <x:v>UNVERIFIED_ATTRIBUTE</x:v>
      </x:c>
      <x:c r="J33" t="str">
        <x:v>BLOCKED_NO_ATTRIBUTE_VALUE</x:v>
      </x:c>
      <x:c r="K33" t="str">
        <x:v>Chỉ khi được phép và có thông tin thật cho loại thành phần này; không tự sinh nội dung</x:v>
      </x:c>
      <x:c r="L33" t="str">
        <x:v>Mặc định ẩn khi không có điều kiện/căn cứ cho xuất hiện; không chèn tài liệu mật/dấu khẩn.</x:v>
      </x:c>
      <x:c r="M33"/>
      <x:c r="N33" t="str">
        <x:v>HD05, Phần II, II (Các thành phần bổ sung); Phụ lục 2</x:v>
      </x:c>
      <x:c r="O33" t="str">
        <x:v>https://tulieuvankien.dangcongsan.vn/upload/2006988/20260529/HD_05_VPTW_e1550.pdf</x:v>
      </x:c>
      <x:c r="P33" t="str">
        <x:v>PLUGIN:HOA-TIEU-MIEN-BAC-PARTY-HD05-HEADER-2026 | NEEDS_REVIEW</x:v>
      </x:c>
      <x:c r="Q33" t="str">
        <x:v>CHECK_ONLY</x:v>
      </x:c>
      <x:c r="R33" t="str">
        <x:v>Kiểm tra từng thuộc tính có mặt; so sánh nguồn/role; không suy đoán từ kết quả render chưa có</x:v>
      </x:c>
      <x:c r="S33" t="str">
        <x:v>RULE_INFERENCE_NOT_MEASURED</x:v>
      </x:c>
      <x:c r="T33" t="str">
        <x:v>Xác minh căn cứ theo loại văn bản / tài liệu phát hành hoặc phê duyệt</x:v>
      </x:c>
      <x:c r="U33" t="str">
        <x:v>Metadata + vùng trình bày có điều kiện; đánh giá thủ công trước sửa</x:v>
      </x:c>
    </x:row>
    <x:row r="34">
      <x:c r="A34" t="n">
        <x:v>33</x:v>
      </x:c>
      <x:c r="B34" t="str">
        <x:v>HD05.X.SOAN.SO_BAN.HIEN_DIEN</x:v>
      </x:c>
      <x:c r="C34" t="str">
        <x:v>HD05.X.SOAN.SO_BAN</x:v>
      </x:c>
      <x:c r="D34" t="str">
        <x:v>X</x:v>
      </x:c>
      <x:c r="E34" t="str">
        <x:v>Số lượng bản phát hành</x:v>
      </x:c>
      <x:c r="F34" t="str">
        <x:v>HIEN_DIEN</x:v>
      </x:c>
      <x:c r="G34" t="str">
        <x:v>Chỉ khi đủ chứng cứ/được phép hiện diện; không tự chèn giá trị</x:v>
      </x:c>
      <x:c r="H34"/>
      <x:c r="I34" t="str">
        <x:v>UNVERIFIED_ATTRIBUTE</x:v>
      </x:c>
      <x:c r="J34" t="str">
        <x:v>SOURCE_DESCRIPTION_NOT_APPROVAL</x:v>
      </x:c>
      <x:c r="K34" t="str">
        <x:v>Chỉ khi được phép và có thông tin thật cho loại thành phần này; không tự sinh nội dung</x:v>
      </x:c>
      <x:c r="L34" t="str">
        <x:v>Mặc định ẩn khi không có điều kiện/căn cứ cho xuất hiện; không chèn tài liệu mật/dấu khẩn.</x:v>
      </x:c>
      <x:c r="M34"/>
      <x:c r="N34" t="str">
        <x:v>HD05, Phần II, II (Các thành phần bổ sung); Phụ lục 2</x:v>
      </x:c>
      <x:c r="O34" t="str">
        <x:v>https://tulieuvankien.dangcongsan.vn/upload/2006988/20260529/HD_05_VPTW_e1550.pdf</x:v>
      </x:c>
      <x:c r="P34" t="str">
        <x:v>PLUGIN:HOA-TIEU-MIEN-BAC-PARTY-HD05-HEADER-2026 | NEEDS_REVIEW</x:v>
      </x:c>
      <x:c r="Q34" t="str">
        <x:v>CHECK_ONLY</x:v>
      </x:c>
      <x:c r="R34" t="str">
        <x:v>Kiểm tra từng thuộc tính có mặt; so sánh nguồn/role; không suy đoán từ kết quả render chưa có</x:v>
      </x:c>
      <x:c r="S34" t="str">
        <x:v>STRUCTURE_READ_EXISTING_WORKBOOK</x:v>
      </x:c>
      <x:c r="T34"/>
      <x:c r="U34" t="str">
        <x:v>Metadata + vùng trình bày có điều kiện; đánh giá thủ công trước sửa</x:v>
      </x:c>
    </x:row>
    <x:row r="35">
      <x:c r="A35" t="n">
        <x:v>34</x:v>
      </x:c>
      <x:c r="B35" t="str">
        <x:v>HD05.X.SOAN.SO_BAN.SO_BAN</x:v>
      </x:c>
      <x:c r="C35" t="str">
        <x:v>HD05.X.SOAN.SO_BAN</x:v>
      </x:c>
      <x:c r="D35" t="str">
        <x:v>X</x:v>
      </x:c>
      <x:c r="E35" t="str">
        <x:v>Số lượng bản phát hành</x:v>
      </x:c>
      <x:c r="F35" t="str">
        <x:v>SO_BAN</x:v>
      </x:c>
      <x:c r="G35"/>
      <x:c r="H35"/>
      <x:c r="I35" t="str">
        <x:v>UNVERIFIED_ATTRIBUTE</x:v>
      </x:c>
      <x:c r="J35" t="str">
        <x:v>BLOCKED_DOCUMENT_OR_AUTHORITY</x:v>
      </x:c>
      <x:c r="K35" t="str">
        <x:v>Chỉ khi được phép và có thông tin thật cho loại thành phần này; không tự sinh nội dung</x:v>
      </x:c>
      <x:c r="L35" t="str">
        <x:v>Mặc định ẩn khi không có điều kiện/căn cứ cho xuất hiện; không chèn tài liệu mật/dấu khẩn.</x:v>
      </x:c>
      <x:c r="M35"/>
      <x:c r="N35" t="str">
        <x:v>HD05, Phần II, II (Các thành phần bổ sung); Phụ lục 2</x:v>
      </x:c>
      <x:c r="O35" t="str">
        <x:v>https://tulieuvankien.dangcongsan.vn/upload/2006988/20260529/HD_05_VPTW_e1550.pdf</x:v>
      </x:c>
      <x:c r="P35" t="str">
        <x:v>PLUGIN:HOA-TIEU-MIEN-BAC-PARTY-HD05-HEADER-2026 | NEEDS_REVIEW</x:v>
      </x:c>
      <x:c r="Q35" t="str">
        <x:v>CHECK_ONLY</x:v>
      </x:c>
      <x:c r="R35" t="str">
        <x:v>Kiểm tra từng thuộc tính có mặt; so sánh nguồn/role; không suy đoán từ kết quả render chưa có</x:v>
      </x:c>
      <x:c r="S35" t="str">
        <x:v>RULE_INFERENCE_NOT_MEASURED</x:v>
      </x:c>
      <x:c r="T35" t="str">
        <x:v>Xác minh căn cứ theo loại văn bản / tài liệu phát hành hoặc phê duyệt</x:v>
      </x:c>
      <x:c r="U35" t="str">
        <x:v>Metadata + vùng trình bày có điều kiện; đánh giá thủ công trước sửa</x:v>
      </x:c>
    </x:row>
    <x:row r="36">
      <x:c r="A36" t="n">
        <x:v>35</x:v>
      </x:c>
      <x:c r="B36" t="str">
        <x:v>HD05.X.SOAN.SO_BAN.CO_CHU</x:v>
      </x:c>
      <x:c r="C36" t="str">
        <x:v>HD05.X.SOAN.SO_BAN</x:v>
      </x:c>
      <x:c r="D36" t="str">
        <x:v>X</x:v>
      </x:c>
      <x:c r="E36" t="str">
        <x:v>Số lượng bản phát hành</x:v>
      </x:c>
      <x:c r="F36" t="str">
        <x:v>CO_CHU</x:v>
      </x:c>
      <x:c r="G36" t="n">
        <x:v>11</x:v>
      </x:c>
      <x:c r="H36" t="n">
        <x:v>11</x:v>
      </x:c>
      <x:c r="I36" t="str">
        <x:v>LEGAL_EXPLICIT_CHECKED</x:v>
      </x:c>
      <x:c r="J36" t="str">
        <x:v>PROFILE_PRESET_UNAPPROVED</x:v>
      </x:c>
      <x:c r="K36" t="str">
        <x:v>Chỉ khi được phép và có thông tin thật cho loại thành phần này; không tự sinh nội dung</x:v>
      </x:c>
      <x:c r="L36" t="str">
        <x:v>Mặc định ẩn khi không có điều kiện/căn cứ cho xuất hiện; không chèn tài liệu mật/dấu khẩn.</x:v>
      </x:c>
      <x:c r="M36" t="str">
        <x:v>pt</x:v>
      </x:c>
      <x:c r="N36" t="str">
        <x:v>Phụ lục 2, mục 13</x:v>
      </x:c>
      <x:c r="O36" t="str">
        <x:v>https://tulieuvankien.dangcongsan.vn/upload/2006988/20260529/HD_05_VPTW_e1550.pdf</x:v>
      </x:c>
      <x:c r="P36" t="str">
        <x:v>PLUGIN:HOA-TIEU-MIEN-BAC-PARTY-HD05-HEADER-2026 | NEEDS_REVIEW</x:v>
      </x:c>
      <x:c r="Q36" t="str">
        <x:v>CHECK_ONLY</x:v>
      </x:c>
      <x:c r="R36" t="str">
        <x:v>Kiểm tra từng thuộc tính có mặt; so sánh nguồn/role; không suy đoán từ kết quả render chưa có</x:v>
      </x:c>
      <x:c r="S36" t="str">
        <x:v>OFFICIAL_TEXT_VERIFIED</x:v>
      </x:c>
      <x:c r="T36"/>
      <x:c r="U36" t="str">
        <x:v>Metadata + vùng trình bày có điều kiện; đánh giá thủ công trước sửa</x:v>
      </x:c>
    </x:row>
    <x:row r="37">
      <x:c r="A37" t="n">
        <x:v>36</x:v>
      </x:c>
      <x:c r="B37" t="str">
        <x:v>HD05.X.SOAN.SO_BAN.VI_TRI</x:v>
      </x:c>
      <x:c r="C37" t="str">
        <x:v>HD05.X.SOAN.SO_BAN</x:v>
      </x:c>
      <x:c r="D37" t="str">
        <x:v>X</x:v>
      </x:c>
      <x:c r="E37" t="str">
        <x:v>Số lượng bản phát hành</x:v>
      </x:c>
      <x:c r="F37" t="str">
        <x:v>VI_TRI</x:v>
      </x:c>
      <x:c r="G37"/>
      <x:c r="H37"/>
      <x:c r="I37" t="str">
        <x:v>UNVERIFIED_ATTRIBUTE</x:v>
      </x:c>
      <x:c r="J37" t="str">
        <x:v>BLOCKED_NO_ATTRIBUTE_VALUE</x:v>
      </x:c>
      <x:c r="K37" t="str">
        <x:v>Chỉ khi được phép và có thông tin thật cho loại thành phần này; không tự sinh nội dung</x:v>
      </x:c>
      <x:c r="L37" t="str">
        <x:v>Mặc định ẩn khi không có điều kiện/căn cứ cho xuất hiện; không chèn tài liệu mật/dấu khẩn.</x:v>
      </x:c>
      <x:c r="M37"/>
      <x:c r="N37" t="str">
        <x:v>HD05, Phần II, II (Các thành phần bổ sung); Phụ lục 2</x:v>
      </x:c>
      <x:c r="O37" t="str">
        <x:v>https://tulieuvankien.dangcongsan.vn/upload/2006988/20260529/HD_05_VPTW_e1550.pdf</x:v>
      </x:c>
      <x:c r="P37" t="str">
        <x:v>PLUGIN:HOA-TIEU-MIEN-BAC-PARTY-HD05-HEADER-2026 | NEEDS_REVIEW</x:v>
      </x:c>
      <x:c r="Q37" t="str">
        <x:v>CHECK_ONLY</x:v>
      </x:c>
      <x:c r="R37" t="str">
        <x:v>Kiểm tra từng thuộc tính có mặt; so sánh nguồn/role; không suy đoán từ kết quả render chưa có</x:v>
      </x:c>
      <x:c r="S37" t="str">
        <x:v>RULE_INFERENCE_NOT_MEASURED</x:v>
      </x:c>
      <x:c r="T37" t="str">
        <x:v>Xác minh căn cứ theo loại văn bản / tài liệu phát hành hoặc phê duyệt</x:v>
      </x:c>
      <x:c r="U37" t="str">
        <x:v>Metadata + vùng trình bày có điều kiện; đánh giá thủ công trước sửa</x:v>
      </x:c>
    </x:row>
    <x:row r="38">
      <x:c r="A38" t="n">
        <x:v>37</x:v>
      </x:c>
      <x:c r="B38" t="str">
        <x:v>HD05.X.LIEN_HE.DIA_CHI.HIEN_DIEN</x:v>
      </x:c>
      <x:c r="C38" t="str">
        <x:v>HD05.X.LIEN_HE.DIA_CHI</x:v>
      </x:c>
      <x:c r="D38" t="str">
        <x:v>X</x:v>
      </x:c>
      <x:c r="E38" t="str">
        <x:v>Địa chỉ</x:v>
      </x:c>
      <x:c r="F38" t="str">
        <x:v>HIEN_DIEN</x:v>
      </x:c>
      <x:c r="G38" t="str">
        <x:v>Chỉ khi đủ chứng cứ/được phép hiện diện; không tự chèn giá trị</x:v>
      </x:c>
      <x:c r="H38"/>
      <x:c r="I38" t="str">
        <x:v>UNVERIFIED_ATTRIBUTE</x:v>
      </x:c>
      <x:c r="J38" t="str">
        <x:v>BLOCKED_CURRENT_CONTACT_OR_DISPLAY_AUTHORIZATION</x:v>
      </x:c>
      <x:c r="K38" t="str">
        <x:v>Mặc định không hiển thị; chỉ khi có chỉ dẫn cụ thể của văn bản đối ngoại và đã xác minh thông tin hiện hành</x:v>
      </x:c>
      <x:c r="L38" t="str">
        <x:v>Mặc định ẩn khi không có điều kiện/căn cứ cho xuất hiện; không chèn tài liệu mật/dấu khẩn.</x:v>
      </x:c>
      <x:c r="M38"/>
      <x:c r="N38" t="str">
        <x:v>HD05, Phần II, II (Các thành phần bổ sung); Phụ lục 2</x:v>
      </x:c>
      <x:c r="O38" t="str">
        <x:v>https://tulieuvankien.dangcongsan.vn/upload/2006988/20260529/HD_05_VPTW_e1550.pdf</x:v>
      </x:c>
      <x:c r="P38" t="str">
        <x:v>https://www.pilotconorth.com/lien-he | Người dùng chốt trong trao đổi 29/10/2026; PROFILE NỘI BỘ; chưa có văn bản phê duyệt doanh nghiệp</x:v>
      </x:c>
      <x:c r="Q38" t="str">
        <x:v>CHECK_ONLY</x:v>
      </x:c>
      <x:c r="R38" t="str">
        <x:v>Kiểm tra từng thuộc tính có mặt; so sánh nguồn/role; không suy đoán từ kết quả render chưa có</x:v>
      </x:c>
      <x:c r="S38" t="str">
        <x:v>STRUCTURE_READ_EXISTING_WORKBOOK</x:v>
      </x:c>
      <x:c r="T38" t="str">
        <x:v>Xác minh căn cứ theo loại văn bản / tài liệu phát hành hoặc phê duyệt</x:v>
      </x:c>
      <x:c r="U38" t="str">
        <x:v>Paragraph/contact block; preserve hyperlink and text</x:v>
      </x:c>
    </x:row>
    <x:row r="39">
      <x:c r="A39" t="n">
        <x:v>38</x:v>
      </x:c>
      <x:c r="B39" t="str">
        <x:v>HD05.X.LIEN_HE.DIA_CHI.THONG_TIN</x:v>
      </x:c>
      <x:c r="C39" t="str">
        <x:v>HD05.X.LIEN_HE.DIA_CHI</x:v>
      </x:c>
      <x:c r="D39" t="str">
        <x:v>X</x:v>
      </x:c>
      <x:c r="E39" t="str">
        <x:v>Địa chỉ</x:v>
      </x:c>
      <x:c r="F39" t="str">
        <x:v>THONG_TIN</x:v>
      </x:c>
      <x:c r="G39" t="str">
        <x:v>Tầng 12 và 14, Tòa nhà CATBI PLAZA, số 1A Lê Hồng Phong, TP. Hải Phòng</x:v>
      </x:c>
      <x:c r="H39"/>
      <x:c r="I39" t="str">
        <x:v>UNVERIFIED_ATTRIBUTE</x:v>
      </x:c>
      <x:c r="J39" t="str">
        <x:v>BLOCKED_CURRENT_CONTACT_OR_DISPLAY_AUTHORIZATION</x:v>
      </x:c>
      <x:c r="K39" t="str">
        <x:v>Mặc định không hiển thị; chỉ khi có chỉ dẫn cụ thể của văn bản đối ngoại và đã xác minh thông tin hiện hành</x:v>
      </x:c>
      <x:c r="L39" t="str">
        <x:v>Mặc định ẩn khi không có điều kiện/căn cứ cho xuất hiện; không chèn tài liệu mật/dấu khẩn.</x:v>
      </x:c>
      <x:c r="M39"/>
      <x:c r="N39" t="str">
        <x:v>HD05, Phần II, II (Các thành phần bổ sung); Phụ lục 2</x:v>
      </x:c>
      <x:c r="O39" t="str">
        <x:v>https://tulieuvankien.dangcongsan.vn/upload/2006988/20260529/HD_05_VPTW_e1550.pdf</x:v>
      </x:c>
      <x:c r="P39" t="str">
        <x:v>https://www.pilotconorth.com/lien-he | Người dùng chốt trong trao đổi 29/10/2026; PROFILE NỘI BỘ; chưa có văn bản phê duyệt doanh nghiệp</x:v>
      </x:c>
      <x:c r="Q39" t="str">
        <x:v>CHECK_ONLY</x:v>
      </x:c>
      <x:c r="R39" t="str">
        <x:v>Kiểm tra từng thuộc tính có mặt; so sánh nguồn/role; không suy đoán từ kết quả render chưa có</x:v>
      </x:c>
      <x:c r="S39" t="str">
        <x:v>STRUCTURE_READ_EXISTING_WORKBOOK</x:v>
      </x:c>
      <x:c r="T39" t="str">
        <x:v>Xác minh căn cứ theo loại văn bản / tài liệu phát hành hoặc phê duyệt</x:v>
      </x:c>
      <x:c r="U39" t="str">
        <x:v>Paragraph/contact block; preserve hyperlink and text</x:v>
      </x:c>
    </x:row>
    <x:row r="40">
      <x:c r="A40" t="n">
        <x:v>39</x:v>
      </x:c>
      <x:c r="B40" t="str">
        <x:v>HD05.X.LIEN_HE.DIA_CHI.TRANG_THAI_HIEN_THI</x:v>
      </x:c>
      <x:c r="C40" t="str">
        <x:v>HD05.X.LIEN_HE.DIA_CHI</x:v>
      </x:c>
      <x:c r="D40" t="str">
        <x:v>X</x:v>
      </x:c>
      <x:c r="E40" t="str">
        <x:v>Địa chỉ</x:v>
      </x:c>
      <x:c r="F40" t="str">
        <x:v>TRANG_THAI_HIEN_THI</x:v>
      </x:c>
      <x:c r="G40"/>
      <x:c r="H40"/>
      <x:c r="I40" t="str">
        <x:v>UNVERIFIED_ATTRIBUTE</x:v>
      </x:c>
      <x:c r="J40" t="str">
        <x:v>BLOCKED_CURRENT_CONTACT_OR_DISPLAY_AUTHORIZATION</x:v>
      </x:c>
      <x:c r="K40" t="str">
        <x:v>Mặc định không hiển thị; chỉ khi có chỉ dẫn cụ thể của văn bản đối ngoại và đã xác minh thông tin hiện hành</x:v>
      </x:c>
      <x:c r="L40" t="str">
        <x:v>Mặc định ẩn khi không có điều kiện/căn cứ cho xuất hiện; không chèn tài liệu mật/dấu khẩn.</x:v>
      </x:c>
      <x:c r="M40"/>
      <x:c r="N40" t="str">
        <x:v>HD05, Phần II, II (Các thành phần bổ sung); Phụ lục 2</x:v>
      </x:c>
      <x:c r="O40" t="str">
        <x:v>https://tulieuvankien.dangcongsan.vn/upload/2006988/20260529/HD_05_VPTW_e1550.pdf</x:v>
      </x:c>
      <x:c r="P40" t="str">
        <x:v>https://www.pilotconorth.com/lien-he | Người dùng chốt trong trao đổi 29/10/2026; PROFILE NỘI BỘ; chưa có văn bản phê duyệt doanh nghiệp</x:v>
      </x:c>
      <x:c r="Q40" t="str">
        <x:v>CHECK_ONLY</x:v>
      </x:c>
      <x:c r="R40" t="str">
        <x:v>Kiểm tra từng thuộc tính có mặt; so sánh nguồn/role; không suy đoán từ kết quả render chưa có</x:v>
      </x:c>
      <x:c r="S40" t="str">
        <x:v>RULE_INFERENCE_NOT_MEASURED</x:v>
      </x:c>
      <x:c r="T40" t="str">
        <x:v>Xác minh căn cứ theo loại văn bản / tài liệu phát hành hoặc phê duyệt</x:v>
      </x:c>
      <x:c r="U40" t="str">
        <x:v>Paragraph/contact block; preserve hyperlink and text</x:v>
      </x:c>
    </x:row>
    <x:row r="41">
      <x:c r="A41" t="n">
        <x:v>40</x:v>
      </x:c>
      <x:c r="B41" t="str">
        <x:v>HD05.X.LIEN_HE.DIA_CHI.VI_TRI</x:v>
      </x:c>
      <x:c r="C41" t="str">
        <x:v>HD05.X.LIEN_HE.DIA_CHI</x:v>
      </x:c>
      <x:c r="D41" t="str">
        <x:v>X</x:v>
      </x:c>
      <x:c r="E41" t="str">
        <x:v>Địa chỉ</x:v>
      </x:c>
      <x:c r="F41" t="str">
        <x:v>VI_TRI</x:v>
      </x:c>
      <x:c r="G41"/>
      <x:c r="H41"/>
      <x:c r="I41" t="str">
        <x:v>UNVERIFIED_ATTRIBUTE</x:v>
      </x:c>
      <x:c r="J41" t="str">
        <x:v>BLOCKED_CURRENT_CONTACT_OR_DISPLAY_AUTHORIZATION</x:v>
      </x:c>
      <x:c r="K41" t="str">
        <x:v>Mặc định không hiển thị; chỉ khi có chỉ dẫn cụ thể của văn bản đối ngoại và đã xác minh thông tin hiện hành</x:v>
      </x:c>
      <x:c r="L41" t="str">
        <x:v>Mặc định ẩn khi không có điều kiện/căn cứ cho xuất hiện; không chèn tài liệu mật/dấu khẩn.</x:v>
      </x:c>
      <x:c r="M41"/>
      <x:c r="N41" t="str">
        <x:v>HD05, Phần II, II (Các thành phần bổ sung); Phụ lục 2</x:v>
      </x:c>
      <x:c r="O41" t="str">
        <x:v>https://tulieuvankien.dangcongsan.vn/upload/2006988/20260529/HD_05_VPTW_e1550.pdf</x:v>
      </x:c>
      <x:c r="P41" t="str">
        <x:v>https://www.pilotconorth.com/lien-he | Người dùng chốt trong trao đổi 29/10/2026; PROFILE NỘI BỘ; chưa có văn bản phê duyệt doanh nghiệp</x:v>
      </x:c>
      <x:c r="Q41" t="str">
        <x:v>CHECK_ONLY</x:v>
      </x:c>
      <x:c r="R41" t="str">
        <x:v>Kiểm tra từng thuộc tính có mặt; so sánh nguồn/role; không suy đoán từ kết quả render chưa có</x:v>
      </x:c>
      <x:c r="S41" t="str">
        <x:v>RULE_INFERENCE_NOT_MEASURED</x:v>
      </x:c>
      <x:c r="T41" t="str">
        <x:v>Xác minh căn cứ theo loại văn bản / tài liệu phát hành hoặc phê duyệt</x:v>
      </x:c>
      <x:c r="U41" t="str">
        <x:v>Paragraph/contact block; preserve hyperlink and text</x:v>
      </x:c>
    </x:row>
    <x:row r="42">
      <x:c r="A42" t="n">
        <x:v>41</x:v>
      </x:c>
      <x:c r="B42" t="str">
        <x:v>HD05.X.LIEN_HE.EMAIL.HIEN_DIEN</x:v>
      </x:c>
      <x:c r="C42" t="str">
        <x:v>HD05.X.LIEN_HE.EMAIL</x:v>
      </x:c>
      <x:c r="D42" t="str">
        <x:v>X</x:v>
      </x:c>
      <x:c r="E42" t="str">
        <x:v>Email</x:v>
      </x:c>
      <x:c r="F42" t="str">
        <x:v>HIEN_DIEN</x:v>
      </x:c>
      <x:c r="G42" t="str">
        <x:v>Chỉ khi đủ chứng cứ/được phép hiện diện; không tự chèn giá trị</x:v>
      </x:c>
      <x:c r="H42"/>
      <x:c r="I42" t="str">
        <x:v>UNVERIFIED_ATTRIBUTE</x:v>
      </x:c>
      <x:c r="J42" t="str">
        <x:v>BLOCKED_CURRENT_CONTACT_OR_DISPLAY_AUTHORIZATION</x:v>
      </x:c>
      <x:c r="K42" t="str">
        <x:v>Mặc định không hiển thị; chỉ khi có chỉ dẫn cụ thể của văn bản đối ngoại và đã xác minh thông tin hiện hành</x:v>
      </x:c>
      <x:c r="L42" t="str">
        <x:v>Mặc định ẩn khi không có điều kiện/căn cứ cho xuất hiện; không chèn tài liệu mật/dấu khẩn.</x:v>
      </x:c>
      <x:c r="M42"/>
      <x:c r="N42" t="str">
        <x:v>HD05, Phần II, II (Các thành phần bổ sung); Phụ lục 2</x:v>
      </x:c>
      <x:c r="O42" t="str">
        <x:v>https://tulieuvankien.dangcongsan.vn/upload/2006988/20260529/HD_05_VPTW_e1550.pdf</x:v>
      </x:c>
      <x:c r="P42" t="str">
        <x:v>https://www.pilotconorth.com/lien-he | Người dùng chốt trong trao đổi 29/10/2026; PROFILE NỘI BỘ; chưa có văn bản phê duyệt doanh nghiệp</x:v>
      </x:c>
      <x:c r="Q42" t="str">
        <x:v>CHECK_ONLY</x:v>
      </x:c>
      <x:c r="R42" t="str">
        <x:v>Kiểm tra từng thuộc tính có mặt; so sánh nguồn/role; không suy đoán từ kết quả render chưa có</x:v>
      </x:c>
      <x:c r="S42" t="str">
        <x:v>STRUCTURE_READ_EXISTING_WORKBOOK</x:v>
      </x:c>
      <x:c r="T42" t="str">
        <x:v>Xác minh căn cứ theo loại văn bản / tài liệu phát hành hoặc phê duyệt</x:v>
      </x:c>
      <x:c r="U42" t="str">
        <x:v>Paragraph/contact block; preserve hyperlink and text</x:v>
      </x:c>
    </x:row>
    <x:row r="43">
      <x:c r="A43" t="n">
        <x:v>42</x:v>
      </x:c>
      <x:c r="B43" t="str">
        <x:v>HD05.X.LIEN_HE.EMAIL.THONG_TIN</x:v>
      </x:c>
      <x:c r="C43" t="str">
        <x:v>HD05.X.LIEN_HE.EMAIL</x:v>
      </x:c>
      <x:c r="D43" t="str">
        <x:v>X</x:v>
      </x:c>
      <x:c r="E43" t="str">
        <x:v>Email</x:v>
      </x:c>
      <x:c r="F43" t="str">
        <x:v>THONG_TIN</x:v>
      </x:c>
      <x:c r="G43" t="str">
        <x:v>congtyhoatieumienbac@vnn.vn</x:v>
      </x:c>
      <x:c r="H43"/>
      <x:c r="I43" t="str">
        <x:v>UNVERIFIED_ATTRIBUTE</x:v>
      </x:c>
      <x:c r="J43" t="str">
        <x:v>BLOCKED_CURRENT_CONTACT_OR_DISPLAY_AUTHORIZATION</x:v>
      </x:c>
      <x:c r="K43" t="str">
        <x:v>Mặc định không hiển thị; chỉ khi có chỉ dẫn cụ thể của văn bản đối ngoại và đã xác minh thông tin hiện hành</x:v>
      </x:c>
      <x:c r="L43" t="str">
        <x:v>Mặc định ẩn khi không có điều kiện/căn cứ cho xuất hiện; không chèn tài liệu mật/dấu khẩn.</x:v>
      </x:c>
      <x:c r="M43"/>
      <x:c r="N43" t="str">
        <x:v>HD05, Phần II, II (Các thành phần bổ sung); Phụ lục 2</x:v>
      </x:c>
      <x:c r="O43" t="str">
        <x:v>https://tulieuvankien.dangcongsan.vn/upload/2006988/20260529/HD_05_VPTW_e1550.pdf</x:v>
      </x:c>
      <x:c r="P43" t="str">
        <x:v>https://www.pilotconorth.com/lien-he | Người dùng chốt trong trao đổi 29/10/2026; PROFILE NỘI BỘ; chưa có văn bản phê duyệt doanh nghiệp</x:v>
      </x:c>
      <x:c r="Q43" t="str">
        <x:v>CHECK_ONLY</x:v>
      </x:c>
      <x:c r="R43" t="str">
        <x:v>Kiểm tra từng thuộc tính có mặt; so sánh nguồn/role; không suy đoán từ kết quả render chưa có</x:v>
      </x:c>
      <x:c r="S43" t="str">
        <x:v>STRUCTURE_READ_EXISTING_WORKBOOK</x:v>
      </x:c>
      <x:c r="T43" t="str">
        <x:v>Xác minh căn cứ theo loại văn bản / tài liệu phát hành hoặc phê duyệt</x:v>
      </x:c>
      <x:c r="U43" t="str">
        <x:v>Paragraph/contact block; preserve hyperlink and text</x:v>
      </x:c>
    </x:row>
    <x:row r="44">
      <x:c r="A44" t="n">
        <x:v>43</x:v>
      </x:c>
      <x:c r="B44" t="str">
        <x:v>HD05.X.LIEN_HE.EMAIL.TRANG_THAI_HIEN_THI</x:v>
      </x:c>
      <x:c r="C44" t="str">
        <x:v>HD05.X.LIEN_HE.EMAIL</x:v>
      </x:c>
      <x:c r="D44" t="str">
        <x:v>X</x:v>
      </x:c>
      <x:c r="E44" t="str">
        <x:v>Email</x:v>
      </x:c>
      <x:c r="F44" t="str">
        <x:v>TRANG_THAI_HIEN_THI</x:v>
      </x:c>
      <x:c r="G44"/>
      <x:c r="H44"/>
      <x:c r="I44" t="str">
        <x:v>UNVERIFIED_ATTRIBUTE</x:v>
      </x:c>
      <x:c r="J44" t="str">
        <x:v>BLOCKED_CURRENT_CONTACT_OR_DISPLAY_AUTHORIZATION</x:v>
      </x:c>
      <x:c r="K44" t="str">
        <x:v>Mặc định không hiển thị; chỉ khi có chỉ dẫn cụ thể của văn bản đối ngoại và đã xác minh thông tin hiện hành</x:v>
      </x:c>
      <x:c r="L44" t="str">
        <x:v>Mặc định ẩn khi không có điều kiện/căn cứ cho xuất hiện; không chèn tài liệu mật/dấu khẩn.</x:v>
      </x:c>
      <x:c r="M44"/>
      <x:c r="N44" t="str">
        <x:v>HD05, Phần II, II (Các thành phần bổ sung); Phụ lục 2</x:v>
      </x:c>
      <x:c r="O44" t="str">
        <x:v>https://tulieuvankien.dangcongsan.vn/upload/2006988/20260529/HD_05_VPTW_e1550.pdf</x:v>
      </x:c>
      <x:c r="P44" t="str">
        <x:v>https://www.pilotconorth.com/lien-he | Người dùng chốt trong trao đổi 29/10/2026; PROFILE NỘI BỘ; chưa có văn bản phê duyệt doanh nghiệp</x:v>
      </x:c>
      <x:c r="Q44" t="str">
        <x:v>CHECK_ONLY</x:v>
      </x:c>
      <x:c r="R44" t="str">
        <x:v>Kiểm tra từng thuộc tính có mặt; so sánh nguồn/role; không suy đoán từ kết quả render chưa có</x:v>
      </x:c>
      <x:c r="S44" t="str">
        <x:v>RULE_INFERENCE_NOT_MEASURED</x:v>
      </x:c>
      <x:c r="T44" t="str">
        <x:v>Xác minh căn cứ theo loại văn bản / tài liệu phát hành hoặc phê duyệt</x:v>
      </x:c>
      <x:c r="U44" t="str">
        <x:v>Paragraph/contact block; preserve hyperlink and text</x:v>
      </x:c>
    </x:row>
    <x:row r="45">
      <x:c r="A45" t="n">
        <x:v>44</x:v>
      </x:c>
      <x:c r="B45" t="str">
        <x:v>HD05.X.LIEN_HE.EMAIL.VI_TRI</x:v>
      </x:c>
      <x:c r="C45" t="str">
        <x:v>HD05.X.LIEN_HE.EMAIL</x:v>
      </x:c>
      <x:c r="D45" t="str">
        <x:v>X</x:v>
      </x:c>
      <x:c r="E45" t="str">
        <x:v>Email</x:v>
      </x:c>
      <x:c r="F45" t="str">
        <x:v>VI_TRI</x:v>
      </x:c>
      <x:c r="G45"/>
      <x:c r="H45"/>
      <x:c r="I45" t="str">
        <x:v>UNVERIFIED_ATTRIBUTE</x:v>
      </x:c>
      <x:c r="J45" t="str">
        <x:v>BLOCKED_CURRENT_CONTACT_OR_DISPLAY_AUTHORIZATION</x:v>
      </x:c>
      <x:c r="K45" t="str">
        <x:v>Mặc định không hiển thị; chỉ khi có chỉ dẫn cụ thể của văn bản đối ngoại và đã xác minh thông tin hiện hành</x:v>
      </x:c>
      <x:c r="L45" t="str">
        <x:v>Mặc định ẩn khi không có điều kiện/căn cứ cho xuất hiện; không chèn tài liệu mật/dấu khẩn.</x:v>
      </x:c>
      <x:c r="M45"/>
      <x:c r="N45" t="str">
        <x:v>HD05, Phần II, II (Các thành phần bổ sung); Phụ lục 2</x:v>
      </x:c>
      <x:c r="O45" t="str">
        <x:v>https://tulieuvankien.dangcongsan.vn/upload/2006988/20260529/HD_05_VPTW_e1550.pdf</x:v>
      </x:c>
      <x:c r="P45" t="str">
        <x:v>https://www.pilotconorth.com/lien-he | Người dùng chốt trong trao đổi 29/10/2026; PROFILE NỘI BỘ; chưa có văn bản phê duyệt doanh nghiệp</x:v>
      </x:c>
      <x:c r="Q45" t="str">
        <x:v>CHECK_ONLY</x:v>
      </x:c>
      <x:c r="R45" t="str">
        <x:v>Kiểm tra từng thuộc tính có mặt; so sánh nguồn/role; không suy đoán từ kết quả render chưa có</x:v>
      </x:c>
      <x:c r="S45" t="str">
        <x:v>RULE_INFERENCE_NOT_MEASURED</x:v>
      </x:c>
      <x:c r="T45" t="str">
        <x:v>Xác minh căn cứ theo loại văn bản / tài liệu phát hành hoặc phê duyệt</x:v>
      </x:c>
      <x:c r="U45" t="str">
        <x:v>Paragraph/contact block; preserve hyperlink and text</x:v>
      </x:c>
    </x:row>
    <x:row r="46">
      <x:c r="A46" t="n">
        <x:v>45</x:v>
      </x:c>
      <x:c r="B46" t="str">
        <x:v>HD05.X.LIEN_HE.DIEN_THOAI.HIEN_DIEN</x:v>
      </x:c>
      <x:c r="C46" t="str">
        <x:v>HD05.X.LIEN_HE.DIEN_THOAI</x:v>
      </x:c>
      <x:c r="D46" t="str">
        <x:v>X</x:v>
      </x:c>
      <x:c r="E46" t="str">
        <x:v>Điện thoại</x:v>
      </x:c>
      <x:c r="F46" t="str">
        <x:v>HIEN_DIEN</x:v>
      </x:c>
      <x:c r="G46" t="str">
        <x:v>Chỉ khi đủ chứng cứ/được phép hiện diện; không tự chèn giá trị</x:v>
      </x:c>
      <x:c r="H46"/>
      <x:c r="I46" t="str">
        <x:v>UNVERIFIED_ATTRIBUTE</x:v>
      </x:c>
      <x:c r="J46" t="str">
        <x:v>BLOCKED_CURRENT_CONTACT_OR_DISPLAY_AUTHORIZATION</x:v>
      </x:c>
      <x:c r="K46" t="str">
        <x:v>Mặc định không hiển thị; chỉ khi có chỉ dẫn cụ thể của văn bản đối ngoại và đã xác minh thông tin hiện hành</x:v>
      </x:c>
      <x:c r="L46" t="str">
        <x:v>Mặc định ẩn khi không có điều kiện/căn cứ cho xuất hiện; không chèn tài liệu mật/dấu khẩn.</x:v>
      </x:c>
      <x:c r="M46"/>
      <x:c r="N46" t="str">
        <x:v>HD05, Phần II, II (Các thành phần bổ sung); Phụ lục 2</x:v>
      </x:c>
      <x:c r="O46" t="str">
        <x:v>https://tulieuvankien.dangcongsan.vn/upload/2006988/20260529/HD_05_VPTW_e1550.pdf</x:v>
      </x:c>
      <x:c r="P46" t="str">
        <x:v>https://www.pilotconorth.com/lien-he | Người dùng chốt trong trao đổi 29/10/2026; PROFILE NỘI BỘ; chưa có văn bản phê duyệt doanh nghiệp</x:v>
      </x:c>
      <x:c r="Q46" t="str">
        <x:v>CHECK_ONLY</x:v>
      </x:c>
      <x:c r="R46" t="str">
        <x:v>Kiểm tra từng thuộc tính có mặt; so sánh nguồn/role; không suy đoán từ kết quả render chưa có</x:v>
      </x:c>
      <x:c r="S46" t="str">
        <x:v>STRUCTURE_READ_EXISTING_WORKBOOK</x:v>
      </x:c>
      <x:c r="T46" t="str">
        <x:v>Xác minh căn cứ theo loại văn bản / tài liệu phát hành hoặc phê duyệt</x:v>
      </x:c>
      <x:c r="U46" t="str">
        <x:v>Paragraph/contact block; preserve hyperlink and text</x:v>
      </x:c>
    </x:row>
    <x:row r="47">
      <x:c r="A47" t="n">
        <x:v>46</x:v>
      </x:c>
      <x:c r="B47" t="str">
        <x:v>HD05.X.LIEN_HE.DIEN_THOAI.THONG_TIN</x:v>
      </x:c>
      <x:c r="C47" t="str">
        <x:v>HD05.X.LIEN_HE.DIEN_THOAI</x:v>
      </x:c>
      <x:c r="D47" t="str">
        <x:v>X</x:v>
      </x:c>
      <x:c r="E47" t="str">
        <x:v>Điện thoại</x:v>
      </x:c>
      <x:c r="F47" t="str">
        <x:v>THONG_TIN</x:v>
      </x:c>
      <x:c r="G47" t="str">
        <x:v>0225 3859133</x:v>
      </x:c>
      <x:c r="H47"/>
      <x:c r="I47" t="str">
        <x:v>UNVERIFIED_ATTRIBUTE</x:v>
      </x:c>
      <x:c r="J47" t="str">
        <x:v>BLOCKED_CURRENT_CONTACT_OR_DISPLAY_AUTHORIZATION</x:v>
      </x:c>
      <x:c r="K47" t="str">
        <x:v>Mặc định không hiển thị; chỉ khi có chỉ dẫn cụ thể của văn bản đối ngoại và đã xác minh thông tin hiện hành</x:v>
      </x:c>
      <x:c r="L47" t="str">
        <x:v>Mặc định ẩn khi không có điều kiện/căn cứ cho xuất hiện; không chèn tài liệu mật/dấu khẩn.</x:v>
      </x:c>
      <x:c r="M47"/>
      <x:c r="N47" t="str">
        <x:v>HD05, Phần II, II (Các thành phần bổ sung); Phụ lục 2</x:v>
      </x:c>
      <x:c r="O47" t="str">
        <x:v>https://tulieuvankien.dangcongsan.vn/upload/2006988/20260529/HD_05_VPTW_e1550.pdf</x:v>
      </x:c>
      <x:c r="P47" t="str">
        <x:v>https://www.pilotconorth.com/lien-he | Người dùng chốt trong trao đổi 29/10/2026; PROFILE NỘI BỘ; chưa có văn bản phê duyệt doanh nghiệp</x:v>
      </x:c>
      <x:c r="Q47" t="str">
        <x:v>CHECK_ONLY</x:v>
      </x:c>
      <x:c r="R47" t="str">
        <x:v>Kiểm tra từng thuộc tính có mặt; so sánh nguồn/role; không suy đoán từ kết quả render chưa có</x:v>
      </x:c>
      <x:c r="S47" t="str">
        <x:v>STRUCTURE_READ_EXISTING_WORKBOOK</x:v>
      </x:c>
      <x:c r="T47" t="str">
        <x:v>Xác minh căn cứ theo loại văn bản / tài liệu phát hành hoặc phê duyệt</x:v>
      </x:c>
      <x:c r="U47" t="str">
        <x:v>Paragraph/contact block; preserve hyperlink and text</x:v>
      </x:c>
    </x:row>
    <x:row r="48">
      <x:c r="A48" t="n">
        <x:v>47</x:v>
      </x:c>
      <x:c r="B48" t="str">
        <x:v>HD05.X.LIEN_HE.DIEN_THOAI.TRANG_THAI_HIEN_THI</x:v>
      </x:c>
      <x:c r="C48" t="str">
        <x:v>HD05.X.LIEN_HE.DIEN_THOAI</x:v>
      </x:c>
      <x:c r="D48" t="str">
        <x:v>X</x:v>
      </x:c>
      <x:c r="E48" t="str">
        <x:v>Điện thoại</x:v>
      </x:c>
      <x:c r="F48" t="str">
        <x:v>TRANG_THAI_HIEN_THI</x:v>
      </x:c>
      <x:c r="G48"/>
      <x:c r="H48"/>
      <x:c r="I48" t="str">
        <x:v>UNVERIFIED_ATTRIBUTE</x:v>
      </x:c>
      <x:c r="J48" t="str">
        <x:v>BLOCKED_CURRENT_CONTACT_OR_DISPLAY_AUTHORIZATION</x:v>
      </x:c>
      <x:c r="K48" t="str">
        <x:v>Mặc định không hiển thị; chỉ khi có chỉ dẫn cụ thể của văn bản đối ngoại và đã xác minh thông tin hiện hành</x:v>
      </x:c>
      <x:c r="L48" t="str">
        <x:v>Mặc định ẩn khi không có điều kiện/căn cứ cho xuất hiện; không chèn tài liệu mật/dấu khẩn.</x:v>
      </x:c>
      <x:c r="M48"/>
      <x:c r="N48" t="str">
        <x:v>HD05, Phần II, II (Các thành phần bổ sung); Phụ lục 2</x:v>
      </x:c>
      <x:c r="O48" t="str">
        <x:v>https://tulieuvankien.dangcongsan.vn/upload/2006988/20260529/HD_05_VPTW_e1550.pdf</x:v>
      </x:c>
      <x:c r="P48" t="str">
        <x:v>https://www.pilotconorth.com/lien-he | Người dùng chốt trong trao đổi 29/10/2026; PROFILE NỘI BỘ; chưa có văn bản phê duyệt doanh nghiệp</x:v>
      </x:c>
      <x:c r="Q48" t="str">
        <x:v>CHECK_ONLY</x:v>
      </x:c>
      <x:c r="R48" t="str">
        <x:v>Kiểm tra từng thuộc tính có mặt; so sánh nguồn/role; không suy đoán từ kết quả render chưa có</x:v>
      </x:c>
      <x:c r="S48" t="str">
        <x:v>RULE_INFERENCE_NOT_MEASURED</x:v>
      </x:c>
      <x:c r="T48" t="str">
        <x:v>Xác minh căn cứ theo loại văn bản / tài liệu phát hành hoặc phê duyệt</x:v>
      </x:c>
      <x:c r="U48" t="str">
        <x:v>Paragraph/contact block; preserve hyperlink and text</x:v>
      </x:c>
    </x:row>
    <x:row r="49">
      <x:c r="A49" t="n">
        <x:v>48</x:v>
      </x:c>
      <x:c r="B49" t="str">
        <x:v>HD05.X.LIEN_HE.DIEN_THOAI.VI_TRI</x:v>
      </x:c>
      <x:c r="C49" t="str">
        <x:v>HD05.X.LIEN_HE.DIEN_THOAI</x:v>
      </x:c>
      <x:c r="D49" t="str">
        <x:v>X</x:v>
      </x:c>
      <x:c r="E49" t="str">
        <x:v>Điện thoại</x:v>
      </x:c>
      <x:c r="F49" t="str">
        <x:v>VI_TRI</x:v>
      </x:c>
      <x:c r="G49"/>
      <x:c r="H49"/>
      <x:c r="I49" t="str">
        <x:v>UNVERIFIED_ATTRIBUTE</x:v>
      </x:c>
      <x:c r="J49" t="str">
        <x:v>BLOCKED_CURRENT_CONTACT_OR_DISPLAY_AUTHORIZATION</x:v>
      </x:c>
      <x:c r="K49" t="str">
        <x:v>Mặc định không hiển thị; chỉ khi có chỉ dẫn cụ thể của văn bản đối ngoại và đã xác minh thông tin hiện hành</x:v>
      </x:c>
      <x:c r="L49" t="str">
        <x:v>Mặc định ẩn khi không có điều kiện/căn cứ cho xuất hiện; không chèn tài liệu mật/dấu khẩn.</x:v>
      </x:c>
      <x:c r="M49"/>
      <x:c r="N49" t="str">
        <x:v>HD05, Phần II, II (Các thành phần bổ sung); Phụ lục 2</x:v>
      </x:c>
      <x:c r="O49" t="str">
        <x:v>https://tulieuvankien.dangcongsan.vn/upload/2006988/20260529/HD_05_VPTW_e1550.pdf</x:v>
      </x:c>
      <x:c r="P49" t="str">
        <x:v>https://www.pilotconorth.com/lien-he | Người dùng chốt trong trao đổi 29/10/2026; PROFILE NỘI BỘ; chưa có văn bản phê duyệt doanh nghiệp</x:v>
      </x:c>
      <x:c r="Q49" t="str">
        <x:v>CHECK_ONLY</x:v>
      </x:c>
      <x:c r="R49" t="str">
        <x:v>Kiểm tra từng thuộc tính có mặt; so sánh nguồn/role; không suy đoán từ kết quả render chưa có</x:v>
      </x:c>
      <x:c r="S49" t="str">
        <x:v>RULE_INFERENCE_NOT_MEASURED</x:v>
      </x:c>
      <x:c r="T49" t="str">
        <x:v>Xác minh căn cứ theo loại văn bản / tài liệu phát hành hoặc phê duyệt</x:v>
      </x:c>
      <x:c r="U49" t="str">
        <x:v>Paragraph/contact block; preserve hyperlink and text</x:v>
      </x:c>
    </x:row>
    <x:row r="50">
      <x:c r="A50" t="n">
        <x:v>49</x:v>
      </x:c>
      <x:c r="B50" t="str">
        <x:v>HD05.X.LIEN_HE.WEB.HIEN_DIEN</x:v>
      </x:c>
      <x:c r="C50" t="str">
        <x:v>HD05.X.LIEN_HE.WEB</x:v>
      </x:c>
      <x:c r="D50" t="str">
        <x:v>X</x:v>
      </x:c>
      <x:c r="E50" t="str">
        <x:v>Website</x:v>
      </x:c>
      <x:c r="F50" t="str">
        <x:v>HIEN_DIEN</x:v>
      </x:c>
      <x:c r="G50" t="str">
        <x:v>Chỉ khi đủ chứng cứ/được phép hiện diện; không tự chèn giá trị</x:v>
      </x:c>
      <x:c r="H50"/>
      <x:c r="I50" t="str">
        <x:v>UNVERIFIED_ATTRIBUTE</x:v>
      </x:c>
      <x:c r="J50" t="str">
        <x:v>BLOCKED_CURRENT_CONTACT_OR_DISPLAY_AUTHORIZATION</x:v>
      </x:c>
      <x:c r="K50" t="str">
        <x:v>Mặc định không hiển thị; chỉ khi có chỉ dẫn cụ thể của văn bản đối ngoại và đã xác minh thông tin hiện hành</x:v>
      </x:c>
      <x:c r="L50" t="str">
        <x:v>Mặc định ẩn khi không có điều kiện/căn cứ cho xuất hiện; không chèn tài liệu mật/dấu khẩn.</x:v>
      </x:c>
      <x:c r="M50"/>
      <x:c r="N50" t="str">
        <x:v>HD05, Phần II, II (Các thành phần bổ sung); Phụ lục 2</x:v>
      </x:c>
      <x:c r="O50" t="str">
        <x:v>https://tulieuvankien.dangcongsan.vn/upload/2006988/20260529/HD_05_VPTW_e1550.pdf</x:v>
      </x:c>
      <x:c r="P50" t="str">
        <x:v>https://www.pilotconorth.com/lien-he | Người dùng chốt trong trao đổi 29/10/2026; PROFILE NỘI BỘ; chưa có văn bản phê duyệt doanh nghiệp</x:v>
      </x:c>
      <x:c r="Q50" t="str">
        <x:v>CHECK_ONLY</x:v>
      </x:c>
      <x:c r="R50" t="str">
        <x:v>Kiểm tra từng thuộc tính có mặt; so sánh nguồn/role; không suy đoán từ kết quả render chưa có</x:v>
      </x:c>
      <x:c r="S50" t="str">
        <x:v>STRUCTURE_READ_EXISTING_WORKBOOK</x:v>
      </x:c>
      <x:c r="T50" t="str">
        <x:v>Xác minh căn cứ theo loại văn bản / tài liệu phát hành hoặc phê duyệt</x:v>
      </x:c>
      <x:c r="U50" t="str">
        <x:v>Paragraph/contact block; preserve hyperlink and text</x:v>
      </x:c>
    </x:row>
    <x:row r="51">
      <x:c r="A51" t="n">
        <x:v>50</x:v>
      </x:c>
      <x:c r="B51" t="str">
        <x:v>HD05.X.LIEN_HE.WEB.THONG_TIN</x:v>
      </x:c>
      <x:c r="C51" t="str">
        <x:v>HD05.X.LIEN_HE.WEB</x:v>
      </x:c>
      <x:c r="D51" t="str">
        <x:v>X</x:v>
      </x:c>
      <x:c r="E51" t="str">
        <x:v>Website</x:v>
      </x:c>
      <x:c r="F51" t="str">
        <x:v>THONG_TIN</x:v>
      </x:c>
      <x:c r="G51" t="str">
        <x:v>https://www.pilotconorth.com</x:v>
      </x:c>
      <x:c r="H51"/>
      <x:c r="I51" t="str">
        <x:v>UNVERIFIED_ATTRIBUTE</x:v>
      </x:c>
      <x:c r="J51" t="str">
        <x:v>BLOCKED_CURRENT_CONTACT_OR_DISPLAY_AUTHORIZATION</x:v>
      </x:c>
      <x:c r="K51" t="str">
        <x:v>Mặc định không hiển thị; chỉ khi có chỉ dẫn cụ thể của văn bản đối ngoại và đã xác minh thông tin hiện hành</x:v>
      </x:c>
      <x:c r="L51" t="str">
        <x:v>Mặc định ẩn khi không có điều kiện/căn cứ cho xuất hiện; không chèn tài liệu mật/dấu khẩn.</x:v>
      </x:c>
      <x:c r="M51"/>
      <x:c r="N51" t="str">
        <x:v>HD05, Phần II, II (Các thành phần bổ sung); Phụ lục 2</x:v>
      </x:c>
      <x:c r="O51" t="str">
        <x:v>https://tulieuvankien.dangcongsan.vn/upload/2006988/20260529/HD_05_VPTW_e1550.pdf</x:v>
      </x:c>
      <x:c r="P51" t="str">
        <x:v>https://www.pilotconorth.com/lien-he | Người dùng chốt trong trao đổi 29/10/2026; PROFILE NỘI BỘ; chưa có văn bản phê duyệt doanh nghiệp</x:v>
      </x:c>
      <x:c r="Q51" t="str">
        <x:v>CHECK_ONLY</x:v>
      </x:c>
      <x:c r="R51" t="str">
        <x:v>Kiểm tra từng thuộc tính có mặt; so sánh nguồn/role; không suy đoán từ kết quả render chưa có</x:v>
      </x:c>
      <x:c r="S51" t="str">
        <x:v>STRUCTURE_READ_EXISTING_WORKBOOK</x:v>
      </x:c>
      <x:c r="T51" t="str">
        <x:v>Xác minh căn cứ theo loại văn bản / tài liệu phát hành hoặc phê duyệt</x:v>
      </x:c>
      <x:c r="U51" t="str">
        <x:v>Paragraph/contact block; preserve hyperlink and text</x:v>
      </x:c>
    </x:row>
    <x:row r="52">
      <x:c r="A52" t="n">
        <x:v>51</x:v>
      </x:c>
      <x:c r="B52" t="str">
        <x:v>HD05.X.LIEN_HE.WEB.TRANG_THAI_HIEN_THI</x:v>
      </x:c>
      <x:c r="C52" t="str">
        <x:v>HD05.X.LIEN_HE.WEB</x:v>
      </x:c>
      <x:c r="D52" t="str">
        <x:v>X</x:v>
      </x:c>
      <x:c r="E52" t="str">
        <x:v>Website</x:v>
      </x:c>
      <x:c r="F52" t="str">
        <x:v>TRANG_THAI_HIEN_THI</x:v>
      </x:c>
      <x:c r="G52"/>
      <x:c r="H52"/>
      <x:c r="I52" t="str">
        <x:v>UNVERIFIED_ATTRIBUTE</x:v>
      </x:c>
      <x:c r="J52" t="str">
        <x:v>BLOCKED_CURRENT_CONTACT_OR_DISPLAY_AUTHORIZATION</x:v>
      </x:c>
      <x:c r="K52" t="str">
        <x:v>Mặc định không hiển thị; chỉ khi có chỉ dẫn cụ thể của văn bản đối ngoại và đã xác minh thông tin hiện hành</x:v>
      </x:c>
      <x:c r="L52" t="str">
        <x:v>Mặc định ẩn khi không có điều kiện/căn cứ cho xuất hiện; không chèn tài liệu mật/dấu khẩn.</x:v>
      </x:c>
      <x:c r="M52"/>
      <x:c r="N52" t="str">
        <x:v>HD05, Phần II, II (Các thành phần bổ sung); Phụ lục 2</x:v>
      </x:c>
      <x:c r="O52" t="str">
        <x:v>https://tulieuvankien.dangcongsan.vn/upload/2006988/20260529/HD_05_VPTW_e1550.pdf</x:v>
      </x:c>
      <x:c r="P52" t="str">
        <x:v>https://www.pilotconorth.com/lien-he | Người dùng chốt trong trao đổi 29/10/2026; PROFILE NỘI BỘ; chưa có văn bản phê duyệt doanh nghiệp</x:v>
      </x:c>
      <x:c r="Q52" t="str">
        <x:v>CHECK_ONLY</x:v>
      </x:c>
      <x:c r="R52" t="str">
        <x:v>Kiểm tra từng thuộc tính có mặt; so sánh nguồn/role; không suy đoán từ kết quả render chưa có</x:v>
      </x:c>
      <x:c r="S52" t="str">
        <x:v>RULE_INFERENCE_NOT_MEASURED</x:v>
      </x:c>
      <x:c r="T52" t="str">
        <x:v>Xác minh căn cứ theo loại văn bản / tài liệu phát hành hoặc phê duyệt</x:v>
      </x:c>
      <x:c r="U52" t="str">
        <x:v>Paragraph/contact block; preserve hyperlink and text</x:v>
      </x:c>
    </x:row>
    <x:row r="53">
      <x:c r="A53" t="n">
        <x:v>52</x:v>
      </x:c>
      <x:c r="B53" t="str">
        <x:v>HD05.X.LIEN_HE.WEB.VI_TRI</x:v>
      </x:c>
      <x:c r="C53" t="str">
        <x:v>HD05.X.LIEN_HE.WEB</x:v>
      </x:c>
      <x:c r="D53" t="str">
        <x:v>X</x:v>
      </x:c>
      <x:c r="E53" t="str">
        <x:v>Website</x:v>
      </x:c>
      <x:c r="F53" t="str">
        <x:v>VI_TRI</x:v>
      </x:c>
      <x:c r="G53"/>
      <x:c r="H53"/>
      <x:c r="I53" t="str">
        <x:v>UNVERIFIED_ATTRIBUTE</x:v>
      </x:c>
      <x:c r="J53" t="str">
        <x:v>BLOCKED_CURRENT_CONTACT_OR_DISPLAY_AUTHORIZATION</x:v>
      </x:c>
      <x:c r="K53" t="str">
        <x:v>Mặc định không hiển thị; chỉ khi có chỉ dẫn cụ thể của văn bản đối ngoại và đã xác minh thông tin hiện hành</x:v>
      </x:c>
      <x:c r="L53" t="str">
        <x:v>Mặc định ẩn khi không có điều kiện/căn cứ cho xuất hiện; không chèn tài liệu mật/dấu khẩn.</x:v>
      </x:c>
      <x:c r="M53"/>
      <x:c r="N53" t="str">
        <x:v>HD05, Phần II, II (Các thành phần bổ sung); Phụ lục 2</x:v>
      </x:c>
      <x:c r="O53" t="str">
        <x:v>https://tulieuvankien.dangcongsan.vn/upload/2006988/20260529/HD_05_VPTW_e1550.pdf</x:v>
      </x:c>
      <x:c r="P53" t="str">
        <x:v>https://www.pilotconorth.com/lien-he | Người dùng chốt trong trao đổi 29/10/2026; PROFILE NỘI BỘ; chưa có văn bản phê duyệt doanh nghiệp</x:v>
      </x:c>
      <x:c r="Q53" t="str">
        <x:v>CHECK_ONLY</x:v>
      </x:c>
      <x:c r="R53" t="str">
        <x:v>Kiểm tra từng thuộc tính có mặt; so sánh nguồn/role; không suy đoán từ kết quả render chưa có</x:v>
      </x:c>
      <x:c r="S53" t="str">
        <x:v>RULE_INFERENCE_NOT_MEASURED</x:v>
      </x:c>
      <x:c r="T53" t="str">
        <x:v>Xác minh căn cứ theo loại văn bản / tài liệu phát hành hoặc phê duyệt</x:v>
      </x:c>
      <x:c r="U53" t="str">
        <x:v>Paragraph/contact block; preserve hyperlink and text</x:v>
      </x:c>
    </x:row>
    <x:row r="54">
      <x:c r="A54" t="n">
        <x:v>53</x:v>
      </x:c>
      <x:c r="B54" t="str">
        <x:v>HD05.X.LIEN_HE.FAX.HIEN_DIEN</x:v>
      </x:c>
      <x:c r="C54" t="str">
        <x:v>HD05.X.LIEN_HE.FAX</x:v>
      </x:c>
      <x:c r="D54" t="str">
        <x:v>X</x:v>
      </x:c>
      <x:c r="E54" t="str">
        <x:v>Số fax</x:v>
      </x:c>
      <x:c r="F54" t="str">
        <x:v>HIEN_DIEN</x:v>
      </x:c>
      <x:c r="G54" t="str">
        <x:v>Chỉ khi đủ chứng cứ/được phép hiện diện; không tự chèn giá trị</x:v>
      </x:c>
      <x:c r="H54"/>
      <x:c r="I54" t="str">
        <x:v>UNVERIFIED_ATTRIBUTE</x:v>
      </x:c>
      <x:c r="J54" t="str">
        <x:v>BLOCKED_CURRENT_CONTACT_OR_DISPLAY_AUTHORIZATION</x:v>
      </x:c>
      <x:c r="K54" t="str">
        <x:v>Mặc định không hiển thị; chỉ khi có chỉ dẫn cụ thể của văn bản đối ngoại và đã xác minh thông tin hiện hành</x:v>
      </x:c>
      <x:c r="L54" t="str">
        <x:v>Mặc định ẩn khi không có điều kiện/căn cứ cho xuất hiện; không chèn tài liệu mật/dấu khẩn.</x:v>
      </x:c>
      <x:c r="M54"/>
      <x:c r="N54" t="str">
        <x:v>HD05, Phần II, II (Các thành phần bổ sung); Phụ lục 2</x:v>
      </x:c>
      <x:c r="O54" t="str">
        <x:v>https://tulieuvankien.dangcongsan.vn/upload/2006988/20260529/HD_05_VPTW_e1550.pdf</x:v>
      </x:c>
      <x:c r="P54" t="str">
        <x:v>https://www.pilotconorth.com/lien-he | Người dùng chốt trong trao đổi 29/10/2026; PROFILE NỘI BỘ; chưa có văn bản phê duyệt doanh nghiệp</x:v>
      </x:c>
      <x:c r="Q54" t="str">
        <x:v>CHECK_ONLY</x:v>
      </x:c>
      <x:c r="R54" t="str">
        <x:v>Kiểm tra từng thuộc tính có mặt; so sánh nguồn/role; không suy đoán từ kết quả render chưa có</x:v>
      </x:c>
      <x:c r="S54" t="str">
        <x:v>STRUCTURE_READ_EXISTING_WORKBOOK</x:v>
      </x:c>
      <x:c r="T54" t="str">
        <x:v>Xác minh căn cứ theo loại văn bản / tài liệu phát hành hoặc phê duyệt</x:v>
      </x:c>
      <x:c r="U54" t="str">
        <x:v>Paragraph/contact block; preserve hyperlink and text</x:v>
      </x:c>
    </x:row>
    <x:row r="55">
      <x:c r="A55" t="n">
        <x:v>54</x:v>
      </x:c>
      <x:c r="B55" t="str">
        <x:v>HD05.X.LIEN_HE.FAX.THONG_TIN</x:v>
      </x:c>
      <x:c r="C55" t="str">
        <x:v>HD05.X.LIEN_HE.FAX</x:v>
      </x:c>
      <x:c r="D55" t="str">
        <x:v>X</x:v>
      </x:c>
      <x:c r="E55" t="str">
        <x:v>Số fax</x:v>
      </x:c>
      <x:c r="F55" t="str">
        <x:v>THONG_TIN</x:v>
      </x:c>
      <x:c r="G55" t="str">
        <x:v>0225 3796666</x:v>
      </x:c>
      <x:c r="H55"/>
      <x:c r="I55" t="str">
        <x:v>UNVERIFIED_ATTRIBUTE</x:v>
      </x:c>
      <x:c r="J55" t="str">
        <x:v>BLOCKED_CURRENT_CONTACT_OR_DISPLAY_AUTHORIZATION</x:v>
      </x:c>
      <x:c r="K55" t="str">
        <x:v>Mặc định không hiển thị; chỉ khi có chỉ dẫn cụ thể của văn bản đối ngoại và đã xác minh thông tin hiện hành</x:v>
      </x:c>
      <x:c r="L55" t="str">
        <x:v>Mặc định ẩn khi không có điều kiện/căn cứ cho xuất hiện; không chèn tài liệu mật/dấu khẩn.</x:v>
      </x:c>
      <x:c r="M55"/>
      <x:c r="N55" t="str">
        <x:v>HD05, Phần II, II (Các thành phần bổ sung); Phụ lục 2</x:v>
      </x:c>
      <x:c r="O55" t="str">
        <x:v>https://tulieuvankien.dangcongsan.vn/upload/2006988/20260529/HD_05_VPTW_e1550.pdf</x:v>
      </x:c>
      <x:c r="P55" t="str">
        <x:v>https://www.pilotconorth.com/lien-he | Người dùng chốt trong trao đổi 29/10/2026; PROFILE NỘI BỘ; chưa có văn bản phê duyệt doanh nghiệp</x:v>
      </x:c>
      <x:c r="Q55" t="str">
        <x:v>CHECK_ONLY</x:v>
      </x:c>
      <x:c r="R55" t="str">
        <x:v>Kiểm tra từng thuộc tính có mặt; so sánh nguồn/role; không suy đoán từ kết quả render chưa có</x:v>
      </x:c>
      <x:c r="S55" t="str">
        <x:v>STRUCTURE_READ_EXISTING_WORKBOOK</x:v>
      </x:c>
      <x:c r="T55" t="str">
        <x:v>Xác minh căn cứ theo loại văn bản / tài liệu phát hành hoặc phê duyệt</x:v>
      </x:c>
      <x:c r="U55" t="str">
        <x:v>Paragraph/contact block; preserve hyperlink and text</x:v>
      </x:c>
    </x:row>
    <x:row r="56">
      <x:c r="A56" t="n">
        <x:v>55</x:v>
      </x:c>
      <x:c r="B56" t="str">
        <x:v>HD05.X.LIEN_HE.FAX.TRANG_THAI_HIEN_THI</x:v>
      </x:c>
      <x:c r="C56" t="str">
        <x:v>HD05.X.LIEN_HE.FAX</x:v>
      </x:c>
      <x:c r="D56" t="str">
        <x:v>X</x:v>
      </x:c>
      <x:c r="E56" t="str">
        <x:v>Số fax</x:v>
      </x:c>
      <x:c r="F56" t="str">
        <x:v>TRANG_THAI_HIEN_THI</x:v>
      </x:c>
      <x:c r="G56"/>
      <x:c r="H56"/>
      <x:c r="I56" t="str">
        <x:v>UNVERIFIED_ATTRIBUTE</x:v>
      </x:c>
      <x:c r="J56" t="str">
        <x:v>BLOCKED_CURRENT_CONTACT_OR_DISPLAY_AUTHORIZATION</x:v>
      </x:c>
      <x:c r="K56" t="str">
        <x:v>Mặc định không hiển thị; chỉ khi có chỉ dẫn cụ thể của văn bản đối ngoại và đã xác minh thông tin hiện hành</x:v>
      </x:c>
      <x:c r="L56" t="str">
        <x:v>Mặc định ẩn khi không có điều kiện/căn cứ cho xuất hiện; không chèn tài liệu mật/dấu khẩn.</x:v>
      </x:c>
      <x:c r="M56"/>
      <x:c r="N56" t="str">
        <x:v>HD05, Phần II, II (Các thành phần bổ sung); Phụ lục 2</x:v>
      </x:c>
      <x:c r="O56" t="str">
        <x:v>https://tulieuvankien.dangcongsan.vn/upload/2006988/20260529/HD_05_VPTW_e1550.pdf</x:v>
      </x:c>
      <x:c r="P56" t="str">
        <x:v>https://www.pilotconorth.com/lien-he | Người dùng chốt trong trao đổi 29/10/2026; PROFILE NỘI BỘ; chưa có văn bản phê duyệt doanh nghiệp</x:v>
      </x:c>
      <x:c r="Q56" t="str">
        <x:v>CHECK_ONLY</x:v>
      </x:c>
      <x:c r="R56" t="str">
        <x:v>Kiểm tra từng thuộc tính có mặt; so sánh nguồn/role; không suy đoán từ kết quả render chưa có</x:v>
      </x:c>
      <x:c r="S56" t="str">
        <x:v>RULE_INFERENCE_NOT_MEASURED</x:v>
      </x:c>
      <x:c r="T56" t="str">
        <x:v>Xác minh căn cứ theo loại văn bản / tài liệu phát hành hoặc phê duyệt</x:v>
      </x:c>
      <x:c r="U56" t="str">
        <x:v>Paragraph/contact block; preserve hyperlink and text</x:v>
      </x:c>
    </x:row>
    <x:row r="57">
      <x:c r="A57" t="n">
        <x:v>56</x:v>
      </x:c>
      <x:c r="B57" t="str">
        <x:v>HD05.X.LIEN_HE.FAX.VI_TRI</x:v>
      </x:c>
      <x:c r="C57" t="str">
        <x:v>HD05.X.LIEN_HE.FAX</x:v>
      </x:c>
      <x:c r="D57" t="str">
        <x:v>X</x:v>
      </x:c>
      <x:c r="E57" t="str">
        <x:v>Số fax</x:v>
      </x:c>
      <x:c r="F57" t="str">
        <x:v>VI_TRI</x:v>
      </x:c>
      <x:c r="G57"/>
      <x:c r="H57"/>
      <x:c r="I57" t="str">
        <x:v>UNVERIFIED_ATTRIBUTE</x:v>
      </x:c>
      <x:c r="J57" t="str">
        <x:v>BLOCKED_CURRENT_CONTACT_OR_DISPLAY_AUTHORIZATION</x:v>
      </x:c>
      <x:c r="K57" t="str">
        <x:v>Mặc định không hiển thị; chỉ khi có chỉ dẫn cụ thể của văn bản đối ngoại và đã xác minh thông tin hiện hành</x:v>
      </x:c>
      <x:c r="L57" t="str">
        <x:v>Mặc định ẩn khi không có điều kiện/căn cứ cho xuất hiện; không chèn tài liệu mật/dấu khẩn.</x:v>
      </x:c>
      <x:c r="M57"/>
      <x:c r="N57" t="str">
        <x:v>HD05, Phần II, II (Các thành phần bổ sung); Phụ lục 2</x:v>
      </x:c>
      <x:c r="O57" t="str">
        <x:v>https://tulieuvankien.dangcongsan.vn/upload/2006988/20260529/HD_05_VPTW_e1550.pdf</x:v>
      </x:c>
      <x:c r="P57" t="str">
        <x:v>https://www.pilotconorth.com/lien-he | Người dùng chốt trong trao đổi 29/10/2026; PROFILE NỘI BỘ; chưa có văn bản phê duyệt doanh nghiệp</x:v>
      </x:c>
      <x:c r="Q57" t="str">
        <x:v>CHECK_ONLY</x:v>
      </x:c>
      <x:c r="R57" t="str">
        <x:v>Kiểm tra từng thuộc tính có mặt; so sánh nguồn/role; không suy đoán từ kết quả render chưa có</x:v>
      </x:c>
      <x:c r="S57" t="str">
        <x:v>RULE_INFERENCE_NOT_MEASURED</x:v>
      </x:c>
      <x:c r="T57" t="str">
        <x:v>Xác minh căn cứ theo loại văn bản / tài liệu phát hành hoặc phê duyệt</x:v>
      </x:c>
      <x:c r="U57" t="str">
        <x:v>Paragraph/contact block; preserve hyperlink and text</x:v>
      </x:c>
    </x:row>
  </x:sheetData>
  <x:pageMargins left="0.7" right="0.7" top="0.75" bottom="0.75" header="0.3" footer="0.3"/>
</x:worksheet>
</file>

<file path=xl/worksheets/sheet3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 hidden="0" customWidth="1"/>
    <x:col min="2" max="2" width="37" hidden="0" customWidth="1"/>
    <x:col min="3" max="3" width="25" hidden="0" customWidth="1"/>
    <x:col min="4" max="4" width="11" hidden="0" customWidth="1"/>
    <x:col min="5" max="5" width="30" hidden="0" customWidth="1"/>
    <x:col min="6" max="6" width="40" hidden="0" customWidth="1"/>
    <x:col min="7" max="7" width="27" hidden="0" customWidth="1"/>
    <x:col min="8" max="8" width="26" hidden="0" customWidth="1"/>
    <x:col min="9" max="9" width="24" hidden="0" customWidth="1"/>
    <x:col min="10" max="10" width="35" hidden="0" customWidth="1"/>
    <x:col min="11" max="11" width="47" hidden="0" customWidth="1"/>
    <x:col min="12" max="12" width="33" hidden="0" customWidth="1"/>
    <x:col min="13" max="13" width="18" hidden="0" customWidth="1"/>
    <x:col min="14" max="14" width="30" hidden="0" customWidth="1"/>
    <x:col min="15" max="15" width="26" hidden="0" customWidth="1"/>
  </x:cols>
  <x:sheetData>
    <x:row r="1" ht="28" customHeight="1">
      <x:c r="A1" s="305" t="str">
        <x:v>STT</x:v>
      </x:c>
      <x:c r="B1" s="305" t="str">
        <x:v>Mã bảng</x:v>
      </x:c>
      <x:c r="C1" s="305" t="str">
        <x:v>Tên rule</x:v>
      </x:c>
      <x:c r="D1" s="305" t="str">
        <x:v>Hệ</x:v>
      </x:c>
      <x:c r="E1" s="305" t="str">
        <x:v>Giá trị tại workbook</x:v>
      </x:c>
      <x:c r="F1" s="305" t="str">
        <x:v>Điều kiện tại workbook</x:v>
      </x:c>
      <x:c r="G1" s="305" t="str">
        <x:v>Trạng thái nguồn tại workbook</x:v>
      </x:c>
      <x:c r="H1" s="305" t="str">
        <x:v>Duyệt (nguồn cũ/metadata)</x:v>
      </x:c>
      <x:c r="I1" s="305" t="str">
        <x:v>Phân loại bằng chứng</x:v>
      </x:c>
      <x:c r="J1" s="305" t="str">
        <x:v>Lỗi / xung đột / điều kiện</x:v>
      </x:c>
      <x:c r="K1" s="305" t="str">
        <x:v>Điều kiện/ngoại lệ chuẩn hóa</x:v>
      </x:c>
      <x:c r="L1" s="305" t="str">
        <x:v>Mã chủ quản / liên kết</x:v>
      </x:c>
      <x:c r="M1" s="305" t="str">
        <x:v>Trạng thái audit</x:v>
      </x:c>
      <x:c r="N1" s="305" t="str">
        <x:v>Nguồn chính thức</x:v>
      </x:c>
      <x:c r="O1" s="305" t="str">
        <x:v>Đường dẫn sheet và ô</x:v>
      </x:c>
    </x:row>
    <x:row r="2">
      <x:c r="A2" t="n">
        <x:v>1</x:v>
      </x:c>
      <x:c r="B2" t="str">
        <x:v>ND30.N.BANG.BO_CUC.NHAN_DIEN</x:v>
      </x:c>
      <x:c r="C2" t="str">
        <x:v>Nhận diện bảng dữ liệu</x:v>
      </x:c>
      <x:c r="D2" t="str">
        <x:v>ND30</x:v>
      </x:c>
      <x:c r="E2" t="str">
        <x:v>DATA</x:v>
      </x:c>
      <x:c r="F2" t="str">
        <x:v>Bảng dữ liệu thật nằm trong phần nội dung chính; loại trừ bảng dùng để căn chỉnh phần đầu/cuối.</x:v>
      </x:c>
      <x:c r="G2" t="str">
        <x:v>NOT_VERIFIED_AT_ATTRIBUTE_LEVEL</x:v>
      </x:c>
      <x:c r="H2" t="str">
        <x:v>INHERITED_FROM_SOURCE_NOT_SEPARATELY_APPROVED</x:v>
      </x:c>
      <x:c r="I2" t="str">
        <x:v>USER_PROFILE_CHOICE; LEGAL_UNVERIFIED</x:v>
      </x:c>
      <x:c r="J2" t="str">
        <x:v>Không phát hiện mâu thuẫn giá trị ngay tại dòng</x:v>
      </x:c>
      <x:c r="K2" t="str">
        <x:v>Bảng dữ liệu thật nằm trong phần nội dung chính; loại trừ bảng dùng để căn chỉnh phần đầu/cuối.</x:v>
      </x:c>
      <x:c r="L2" t="str"/>
      <x:c r="M2" t="str">
        <x:v>PASS_WITH_SCOPE_LIMITATION</x:v>
      </x:c>
      <x:c r="N2" t="str">
        <x:v>https://congbao.chinhphu.vn/van-ban/nghi-dinh-so-30-2020-nd-cp-30858/30246.htm</x:v>
      </x:c>
      <x:c r="O2" t="str">
        <x:v>BANG_ND30!G7</x:v>
      </x:c>
    </x:row>
    <x:row r="3">
      <x:c r="A3" t="n">
        <x:v>2</x:v>
      </x:c>
      <x:c r="B3" t="str">
        <x:v>ND30.N.BANG.BO_CUC.VAI_TRO</x:v>
      </x:c>
      <x:c r="C3" t="str">
        <x:v>Vai trò bảng trong thân văn bản</x:v>
      </x:c>
      <x:c r="D3" t="str">
        <x:v>ND30</x:v>
      </x:c>
      <x:c r="E3" t="str">
        <x:v>BODY</x:v>
      </x:c>
      <x:c r="F3" t="str">
        <x:v>Bảng đã xác định thuộc nội dung chính, không phải Header/Footer hoặc phần phụ trợ.</x:v>
      </x:c>
      <x:c r="G3" t="str">
        <x:v>NOT_VERIFIED_AT_ATTRIBUTE_LEVEL</x:v>
      </x:c>
      <x:c r="H3" t="str">
        <x:v>INHERITED_FROM_SOURCE_NOT_SEPARATELY_APPROVED</x:v>
      </x:c>
      <x:c r="I3" t="str">
        <x:v>USER_PROFILE_CHOICE; LEGAL_UNVERIFIED</x:v>
      </x:c>
      <x:c r="J3" t="str">
        <x:v>Không phát hiện mâu thuẫn giá trị ngay tại dòng</x:v>
      </x:c>
      <x:c r="K3" t="str">
        <x:v>Bảng đã xác định thuộc nội dung chính, không phải Header/Footer hoặc phần phụ trợ.</x:v>
      </x:c>
      <x:c r="L3" t="str"/>
      <x:c r="M3" t="str">
        <x:v>PASS_WITH_SCOPE_LIMITATION</x:v>
      </x:c>
      <x:c r="N3" t="str">
        <x:v>https://congbao.chinhphu.vn/van-ban/nghi-dinh-so-30-2020-nd-cp-30858/30246.htm</x:v>
      </x:c>
      <x:c r="O3" t="str">
        <x:v>BANG_ND30!G8</x:v>
      </x:c>
    </x:row>
    <x:row r="4">
      <x:c r="A4" t="n">
        <x:v>3</x:v>
      </x:c>
      <x:c r="B4" t="str">
        <x:v>ND30.N.BANG.BO_CUC.CAN_BANG</x:v>
      </x:c>
      <x:c r="C4" t="str">
        <x:v>Căn ngang toàn bảng</x:v>
      </x:c>
      <x:c r="D4" t="str">
        <x:v>ND30</x:v>
      </x:c>
      <x:c r="E4" t="str">
        <x:v>CENTER</x:v>
      </x:c>
      <x:c r="F4" t="str">
        <x:v>Căn giữa khung bảng trong vùng nội dung hữu dụng; không căn theo khổ giấy bỏ qua lề.</x:v>
      </x:c>
      <x:c r="G4" t="str">
        <x:v>NOT_VERIFIED_AT_ATTRIBUTE_LEVEL</x:v>
      </x:c>
      <x:c r="H4" t="str">
        <x:v>USER_CHOSEN_V174_NOT_INTERNAL_SIGNOFF</x:v>
      </x:c>
      <x:c r="I4" t="str">
        <x:v>USER_PROFILE_CHOICE; LEGAL_UNVERIFIED</x:v>
      </x:c>
      <x:c r="J4" t="str">
        <x:v>Không phát hiện mâu thuẫn giá trị ngay tại dòng</x:v>
      </x:c>
      <x:c r="K4" t="str">
        <x:v>Căn giữa khung bảng trong vùng nội dung hữu dụng; không căn theo khổ giấy bỏ qua lề.</x:v>
      </x:c>
      <x:c r="L4" t="str"/>
      <x:c r="M4" t="str">
        <x:v>PASS_WITH_SCOPE_LIMITATION</x:v>
      </x:c>
      <x:c r="N4" t="str">
        <x:v>https://congbao.chinhphu.vn/van-ban/nghi-dinh-so-30-2020-nd-cp-30858/30246.htm</x:v>
      </x:c>
      <x:c r="O4" t="str">
        <x:v>BANG_ND30!G9</x:v>
      </x:c>
    </x:row>
    <x:row r="5">
      <x:c r="A5" t="n">
        <x:v>4</x:v>
      </x:c>
      <x:c r="B5" t="str">
        <x:v>ND30.N.BANG.BO_CUC.CHIEU_RONG</x:v>
      </x:c>
      <x:c r="C5" t="str">
        <x:v>Chiều rộng ưu tiên của bảng</x:v>
      </x:c>
      <x:c r="D5" t="str">
        <x:v>ND30</x:v>
      </x:c>
      <x:c r="E5" t="n">
        <x:v>100</x:v>
      </x:c>
      <x:c r="F5" t="str">
        <x:v>100% vùng nội dung là mục tiêu khi lập/điều chỉnh bảng; ưu tiên giữ độ rộng thủ công nếu đang đẹp và không tràn lề.</x:v>
      </x:c>
      <x:c r="G5" t="str">
        <x:v>NOT_VERIFIED_AT_ATTRIBUTE_LEVEL</x:v>
      </x:c>
      <x:c r="H5" t="str">
        <x:v>USER_CHOSEN_V174_NOT_INTERNAL_SIGNOFF</x:v>
      </x:c>
      <x:c r="I5" t="str">
        <x:v>USER_PROFILE_CHOICE; LEGAL_UNVERIFIED</x:v>
      </x:c>
      <x:c r="J5" t="str">
        <x:v>WIDTH_100_VS_PRESERVE_NEEDS_BRANCH</x:v>
      </x:c>
      <x:c r="K5" t="str">
        <x:v>100% là mục tiêu nếu hợp lý; không làm méo cột đã đạt; khi xung đột, ưu tiên bảo toàn bố cục hợp lệ.</x:v>
      </x:c>
      <x:c r="L5" t="str"/>
      <x:c r="M5" t="str">
        <x:v>REVIEW</x:v>
      </x:c>
      <x:c r="N5" t="str">
        <x:v>https://congbao.chinhphu.vn/van-ban/nghi-dinh-so-30-2020-nd-cp-30858/30246.htm</x:v>
      </x:c>
      <x:c r="O5" t="str">
        <x:v>BANG_ND30!G10</x:v>
      </x:c>
    </x:row>
    <x:row r="6">
      <x:c r="A6" t="n">
        <x:v>5</x:v>
      </x:c>
      <x:c r="B6" t="str">
        <x:v>ND30.N.BANG.BO_CUC.AUTOFIT</x:v>
      </x:c>
      <x:c r="C6" t="str">
        <x:v>Chế độ điều chỉnh độ rộng bảng</x:v>
      </x:c>
      <x:c r="D6" t="str">
        <x:v>ND30</x:v>
      </x:c>
      <x:c r="E6" t="str">
        <x:v>PRESERVE_IF_VALID_ELSE_AUTOFIT_WINDOW</x:v>
      </x:c>
      <x:c r="F6" t="str">
        <x:v>Ưu tiên giữ độ rộng khi bảng nằm trong lề và dễ đọc; khi tràn lề mới điều chỉnh vừa cửa sổ/vùng in rồi kiểm tra cột, ô gộp.</x:v>
      </x:c>
      <x:c r="G6" t="str">
        <x:v>NOT_VERIFIED_AT_ATTRIBUTE_LEVEL</x:v>
      </x:c>
      <x:c r="H6" t="str">
        <x:v>USER_CHOSEN_V174_NOT_INTERNAL_SIGNOFF</x:v>
      </x:c>
      <x:c r="I6" t="str">
        <x:v>USER_PROFILE_CHOICE; LEGAL_UNVERIFIED</x:v>
      </x:c>
      <x:c r="J6" t="str">
        <x:v>AUTOFIT_WINDOW_ALONE_NOT_SUFFICIENT</x:v>
      </x:c>
      <x:c r="K6" t="str">
        <x:v>Ưu tiên preserve nếu bảng nằm lề và đọc được; nếu tràn, đánh dấu REVIEW, không xem AutoFit là bảo đảm.</x:v>
      </x:c>
      <x:c r="L6" t="str"/>
      <x:c r="M6" t="str">
        <x:v>REVIEW</x:v>
      </x:c>
      <x:c r="N6" t="str">
        <x:v>https://congbao.chinhphu.vn/van-ban/nghi-dinh-so-30-2020-nd-cp-30858/30246.htm</x:v>
      </x:c>
      <x:c r="O6" t="str">
        <x:v>BANG_ND30!G11</x:v>
      </x:c>
    </x:row>
    <x:row r="7">
      <x:c r="A7" t="n">
        <x:v>6</x:v>
      </x:c>
      <x:c r="B7" t="str">
        <x:v>ND30.N.BANG.BO_CUC.KHOANG_THUT</x:v>
      </x:c>
      <x:c r="C7" t="str">
        <x:v>Thụt trái toàn bảng</x:v>
      </x:c>
      <x:c r="D7" t="str">
        <x:v>ND30</x:v>
      </x:c>
      <x:c r="E7" t="n">
        <x:v>0</x:v>
      </x:c>
      <x:c r="F7" t="str">
        <x:v>Bảng chính không thụt trái so với mép vùng nội dung; không di chuyển bảng có bố cục riêng đã duyệt.</x:v>
      </x:c>
      <x:c r="G7" t="str">
        <x:v>NOT_VERIFIED_AT_ATTRIBUTE_LEVEL</x:v>
      </x:c>
      <x:c r="H7" t="str">
        <x:v>USER_CHOSEN_V174_NOT_INTERNAL_SIGNOFF</x:v>
      </x:c>
      <x:c r="I7" t="str">
        <x:v>USER_PROFILE_CHOICE; LEGAL_UNVERIFIED</x:v>
      </x:c>
      <x:c r="J7" t="str">
        <x:v>Không phát hiện mâu thuẫn giá trị ngay tại dòng</x:v>
      </x:c>
      <x:c r="K7" t="str">
        <x:v>Bảng chính không thụt trái so với mép vùng nội dung; không di chuyển bảng có bố cục riêng đã duyệt.</x:v>
      </x:c>
      <x:c r="L7" t="str"/>
      <x:c r="M7" t="str">
        <x:v>PASS_WITH_SCOPE_LIMITATION</x:v>
      </x:c>
      <x:c r="N7" t="str">
        <x:v>https://congbao.chinhphu.vn/van-ban/nghi-dinh-so-30-2020-nd-cp-30858/30246.htm</x:v>
      </x:c>
      <x:c r="O7" t="str">
        <x:v>BANG_ND30!G12</x:v>
      </x:c>
    </x:row>
    <x:row r="8">
      <x:c r="A8" t="n">
        <x:v>7</x:v>
      </x:c>
      <x:c r="B8" t="str">
        <x:v>ND30.N.BANG.BO_CUC.CHIEU_TRANG</x:v>
      </x:c>
      <x:c r="C8" t="str">
        <x:v>Hướng trang khi có bảng rộng</x:v>
      </x:c>
      <x:c r="D8" t="str">
        <x:v>ND30</x:v>
      </x:c>
      <x:c r="E8" t="str">
        <x:v>PORTRAIT_DEFAULT; LANDSCAPE_IF_NEEDED</x:v>
      </x:c>
      <x:c r="F8" t="str">
        <x:v>Khi có bảng/biểu không tách thành phụ lục riêng, cần trình bày ngang; không đổi hướng các trang không liên quan.</x:v>
      </x:c>
      <x:c r="G8" t="str">
        <x:v>SOURCE_CHECKED_SCOPE_ONLY</x:v>
      </x:c>
      <x:c r="H8" t="str">
        <x:v>INHERITED_FROM_SOURCE_NOT_SEPARATELY_APPROVED</x:v>
      </x:c>
      <x:c r="I8" t="str">
        <x:v>WORKBOOK_SOURCE_STATUS_SOURCE_CHECKED_SCOPE_ONLY</x:v>
      </x:c>
      <x:c r="J8" t="str">
        <x:v>Không phát hiện mâu thuẫn giá trị ngay tại dòng</x:v>
      </x:c>
      <x:c r="K8" t="str">
        <x:v>Khi có bảng/biểu không tách thành phụ lục riêng, cần trình bày ngang; không đổi hướng các trang không liên quan.</x:v>
      </x:c>
      <x:c r="L8" t="str"/>
      <x:c r="M8" t="str">
        <x:v>PASS_WITH_SCOPE_LIMITATION</x:v>
      </x:c>
      <x:c r="N8" t="str">
        <x:v>https://congbao.chinhphu.vn/van-ban/nghi-dinh-so-30-2020-nd-cp-30858/30246.htm</x:v>
      </x:c>
      <x:c r="O8" t="str">
        <x:v>BANG_ND30!G13</x:v>
      </x:c>
    </x:row>
    <x:row r="9">
      <x:c r="A9" t="n">
        <x:v>8</x:v>
      </x:c>
      <x:c r="B9" t="str">
        <x:v>ND30.N.BANG.BO_CUC.TACH_SECTION</x:v>
      </x:c>
      <x:c r="C9" t="str">
        <x:v>Vùng section chứa bảng ngang</x:v>
      </x:c>
      <x:c r="D9" t="str">
        <x:v>ND30</x:v>
      </x:c>
      <x:c r="E9" t="str">
        <x:v>REVIEW_REQUIRED</x:v>
      </x:c>
      <x:c r="F9" t="str">
        <x:v>Chỉ xét khi bảng rộng cần trang ngang; không đổi hướng các trang khác.</x:v>
      </x:c>
      <x:c r="G9" t="str">
        <x:v>NOT_VERIFIED_AT_ATTRIBUTE_LEVEL</x:v>
      </x:c>
      <x:c r="H9" t="str">
        <x:v>INHERITED_FROM_SOURCE_NOT_SEPARATELY_APPROVED</x:v>
      </x:c>
      <x:c r="I9" t="str">
        <x:v>USER_PROFILE_CHOICE; LEGAL_UNVERIFIED</x:v>
      </x:c>
      <x:c r="J9" t="str">
        <x:v>Không phát hiện mâu thuẫn giá trị ngay tại dòng</x:v>
      </x:c>
      <x:c r="K9" t="str">
        <x:v>Chỉ xét khi bảng rộng cần trang ngang; không đổi hướng các trang khác.</x:v>
      </x:c>
      <x:c r="L9" t="str"/>
      <x:c r="M9" t="str">
        <x:v>PASS_WITH_SCOPE_LIMITATION</x:v>
      </x:c>
      <x:c r="N9" t="str">
        <x:v>https://congbao.chinhphu.vn/van-ban/nghi-dinh-so-30-2020-nd-cp-30858/30246.htm</x:v>
      </x:c>
      <x:c r="O9" t="str">
        <x:v>BANG_ND30!G14</x:v>
      </x:c>
    </x:row>
    <x:row r="10">
      <x:c r="A10" t="n">
        <x:v>9</x:v>
      </x:c>
      <x:c r="B10" t="str">
        <x:v>ND30.N.BANG.BO_CUC.KHOANG_TRUOC</x:v>
      </x:c>
      <x:c r="C10" t="str">
        <x:v>Khoảng cách trước bảng</x:v>
      </x:c>
      <x:c r="D10" t="str">
        <x:v>ND30</x:v>
      </x:c>
      <x:c r="E10" t="n">
        <x:v>6</x:v>
      </x:c>
      <x:c r="F10" t="str">
        <x:v>Đoạn văn thường ngay trước bảng; khoảng cách HIỂN THỊ mục tiêu 6 pt, không cộng thêm với space_after đoạn trước; nếu caption ngoài bảng thì nhường rule caption.</x:v>
      </x:c>
      <x:c r="G10" t="str">
        <x:v>NOT_VERIFIED_AT_ATTRIBUTE_LEVEL</x:v>
      </x:c>
      <x:c r="H10" t="str">
        <x:v>USER_CHOSEN_V174_NOT_INTERNAL_SIGNOFF</x:v>
      </x:c>
      <x:c r="I10" t="str">
        <x:v>USER_PROFILE_CHOICE; LEGAL_UNVERIFIED</x:v>
      </x:c>
      <x:c r="J10" t="str">
        <x:v>SPACING_COLLAPSE_NOT_NATIVE_WORD_GUARANTEE</x:v>
      </x:c>
      <x:c r="K10" t="str">
        <x:v>6 pt là khoảng của RANH GIỚI, không cộng vào spacing hiện có. Mỗi ranh giới chọn một quy tắc ưu tiên caption/chú thích &gt; đoạn thường.</x:v>
      </x:c>
      <x:c r="L10" t="str"/>
      <x:c r="M10" t="str">
        <x:v>REVIEW</x:v>
      </x:c>
      <x:c r="N10" t="str">
        <x:v>https://congbao.chinhphu.vn/van-ban/nghi-dinh-so-30-2020-nd-cp-30858/30246.htm</x:v>
      </x:c>
      <x:c r="O10" t="str">
        <x:v>BANG_ND30!G15</x:v>
      </x:c>
    </x:row>
    <x:row r="11">
      <x:c r="A11" t="n">
        <x:v>10</x:v>
      </x:c>
      <x:c r="B11" t="str">
        <x:v>ND30.N.BANG.BO_CUC.KHOANG_SAU</x:v>
      </x:c>
      <x:c r="C11" t="str">
        <x:v>Khoảng cách sau bảng</x:v>
      </x:c>
      <x:c r="D11" t="str">
        <x:v>ND30</x:v>
      </x:c>
      <x:c r="E11" t="n">
        <x:v>6</x:v>
      </x:c>
      <x:c r="F11" t="str">
        <x:v>Đoạn văn thường ngay sau bảng; khoảng cách HIỂN THỊ mục tiêu 6 pt, không cộng với space_before tiếp sau; nếu ghi chú ngoài bảng thì nhường rule ghi chú.</x:v>
      </x:c>
      <x:c r="G11" t="str">
        <x:v>NOT_VERIFIED_AT_ATTRIBUTE_LEVEL</x:v>
      </x:c>
      <x:c r="H11" t="str">
        <x:v>USER_CHOSEN_V174_NOT_INTERNAL_SIGNOFF</x:v>
      </x:c>
      <x:c r="I11" t="str">
        <x:v>USER_PROFILE_CHOICE; LEGAL_UNVERIFIED</x:v>
      </x:c>
      <x:c r="J11" t="str">
        <x:v>SPACING_COLLAPSE_NOT_NATIVE_WORD_GUARANTEE</x:v>
      </x:c>
      <x:c r="K11" t="str">
        <x:v>6 pt là khoảng của RANH GIỚI, không cộng vào spacing hiện có. Mỗi ranh giới chọn một quy tắc ưu tiên caption/chú thích &gt; đoạn thường.</x:v>
      </x:c>
      <x:c r="L11" t="str"/>
      <x:c r="M11" t="str">
        <x:v>REVIEW</x:v>
      </x:c>
      <x:c r="N11" t="str">
        <x:v>https://congbao.chinhphu.vn/van-ban/nghi-dinh-so-30-2020-nd-cp-30858/30246.htm</x:v>
      </x:c>
      <x:c r="O11" t="str">
        <x:v>BANG_ND30!G16</x:v>
      </x:c>
    </x:row>
    <x:row r="12">
      <x:c r="A12" t="n">
        <x:v>11</x:v>
      </x:c>
      <x:c r="B12" t="str">
        <x:v>ND30.N.BANG.BO_CUC.PHAN_BIET_HEADER</x:v>
      </x:c>
      <x:c r="C12" t="str">
        <x:v>Bảo vệ bảng bố cục</x:v>
      </x:c>
      <x:c r="D12" t="str">
        <x:v>ND30</x:v>
      </x:c>
      <x:c r="E12" t="str">
        <x:v>EXCLUDE_HEADER_FOOTER_LAYOUT</x:v>
      </x:c>
      <x:c r="F12" t="str">
        <x:v>Khi có bảng dàn trang hoặc nằm trong Header/Footer; không áp rule bảng dữ liệu.</x:v>
      </x:c>
      <x:c r="G12" t="str">
        <x:v>NOT_VERIFIED_AT_ATTRIBUTE_LEVEL</x:v>
      </x:c>
      <x:c r="H12" t="str">
        <x:v>INHERITED_FROM_SOURCE_NOT_SEPARATELY_APPROVED</x:v>
      </x:c>
      <x:c r="I12" t="str">
        <x:v>USER_PROFILE_CHOICE; LEGAL_UNVERIFIED</x:v>
      </x:c>
      <x:c r="J12" t="str">
        <x:v>Không phát hiện mâu thuẫn giá trị ngay tại dòng</x:v>
      </x:c>
      <x:c r="K12" t="str">
        <x:v>Khi có bảng dàn trang hoặc nằm trong Header/Footer; không áp rule bảng dữ liệu.</x:v>
      </x:c>
      <x:c r="L12" t="str"/>
      <x:c r="M12" t="str">
        <x:v>PASS_WITH_SCOPE_LIMITATION</x:v>
      </x:c>
      <x:c r="N12" t="str">
        <x:v>https://congbao.chinhphu.vn/van-ban/nghi-dinh-so-30-2020-nd-cp-30858/30246.htm</x:v>
      </x:c>
      <x:c r="O12" t="str">
        <x:v>BANG_ND30!G17</x:v>
      </x:c>
    </x:row>
    <x:row r="13">
      <x:c r="A13" t="n">
        <x:v>12</x:v>
      </x:c>
      <x:c r="B13" t="str">
        <x:v>ND30.N.BANG.TIEU_DE.NOI_DUNG</x:v>
      </x:c>
      <x:c r="C13" t="str">
        <x:v>Nội dung tiêu đề bảng</x:v>
      </x:c>
      <x:c r="D13" t="str">
        <x:v>ND30</x:v>
      </x:c>
      <x:c r="E13" t="str">
        <x:v>PRESERVE</x:v>
      </x:c>
      <x:c r="F13" t="str">
        <x:v>Khi có tiêu đề bảng nằm ngay trước hoặc liên kết rõ với bảng; bảo toàn chữ gốc.</x:v>
      </x:c>
      <x:c r="G13" t="str">
        <x:v>NOT_VERIFIED_AT_ATTRIBUTE_LEVEL</x:v>
      </x:c>
      <x:c r="H13" t="str">
        <x:v>INHERITED_FROM_SOURCE_NOT_SEPARATELY_APPROVED</x:v>
      </x:c>
      <x:c r="I13" t="str">
        <x:v>USER_PROFILE_CHOICE; LEGAL_UNVERIFIED</x:v>
      </x:c>
      <x:c r="J13" t="str">
        <x:v>Không phát hiện mâu thuẫn giá trị ngay tại dòng</x:v>
      </x:c>
      <x:c r="K13" t="str">
        <x:v>Khi có tiêu đề bảng nằm ngay trước hoặc liên kết rõ với bảng; bảo toàn chữ gốc.</x:v>
      </x:c>
      <x:c r="L13" t="str"/>
      <x:c r="M13" t="str">
        <x:v>PASS_WITH_SCOPE_LIMITATION</x:v>
      </x:c>
      <x:c r="N13" t="str">
        <x:v>https://congbao.chinhphu.vn/van-ban/nghi-dinh-so-30-2020-nd-cp-30858/30246.htm</x:v>
      </x:c>
      <x:c r="O13" t="str">
        <x:v>BANG_ND30!G18</x:v>
      </x:c>
    </x:row>
    <x:row r="14">
      <x:c r="A14" t="n">
        <x:v>13</x:v>
      </x:c>
      <x:c r="B14" t="str">
        <x:v>ND30.N.BANG.TIEU_DE.KIEU_CHU</x:v>
      </x:c>
      <x:c r="C14" t="str">
        <x:v>Kiểu chữ tiêu đề bảng</x:v>
      </x:c>
      <x:c r="D14" t="str">
        <x:v>ND30</x:v>
      </x:c>
      <x:c r="E14" t="str">
        <x:v>Times New Roman; 13 pt; BOLD; UPRIGHT</x:v>
      </x:c>
      <x:c r="F14" t="str">
        <x:v>Chỉ tiêu đề NGOÀI bảng đã xác định; không áp cho dòng tiêu đề cột và không ghi đè nội dung chữ.</x:v>
      </x:c>
      <x:c r="G14" t="str">
        <x:v>NOT_VERIFIED_AT_ATTRIBUTE_LEVEL</x:v>
      </x:c>
      <x:c r="H14" t="str">
        <x:v>USER_CHOSEN_V174_NOT_INTERNAL_SIGNOFF</x:v>
      </x:c>
      <x:c r="I14" t="str">
        <x:v>USER_PROFILE_CHOICE; LEGAL_UNVERIFIED</x:v>
      </x:c>
      <x:c r="J14" t="str">
        <x:v>Không phát hiện mâu thuẫn giá trị ngay tại dòng</x:v>
      </x:c>
      <x:c r="K14" t="str">
        <x:v>Chỉ tiêu đề NGOÀI bảng đã xác định; không áp cho dòng tiêu đề cột và không ghi đè nội dung chữ.</x:v>
      </x:c>
      <x:c r="L14" t="str"/>
      <x:c r="M14" t="str">
        <x:v>PASS_WITH_SCOPE_LIMITATION</x:v>
      </x:c>
      <x:c r="N14" t="str">
        <x:v>https://congbao.chinhphu.vn/van-ban/nghi-dinh-so-30-2020-nd-cp-30858/30246.htm</x:v>
      </x:c>
      <x:c r="O14" t="str">
        <x:v>BANG_ND30!G19</x:v>
      </x:c>
    </x:row>
    <x:row r="15">
      <x:c r="A15" t="n">
        <x:v>14</x:v>
      </x:c>
      <x:c r="B15" t="str">
        <x:v>ND30.N.BANG.TIEU_DE.CAN_NGANG</x:v>
      </x:c>
      <x:c r="C15" t="str">
        <x:v>Căn ngang tiêu đề bảng</x:v>
      </x:c>
      <x:c r="D15" t="str">
        <x:v>ND30</x:v>
      </x:c>
      <x:c r="E15" t="str">
        <x:v>CENTER</x:v>
      </x:c>
      <x:c r="F15" t="str">
        <x:v>Căn giữa tiêu đề theo chiều ngang bảng; nếu bố cục không cho phép thì ghi ngoại lệ.</x:v>
      </x:c>
      <x:c r="G15" t="str">
        <x:v>NOT_VERIFIED_AT_ATTRIBUTE_LEVEL</x:v>
      </x:c>
      <x:c r="H15" t="str">
        <x:v>USER_CHOSEN_V174_NOT_INTERNAL_SIGNOFF</x:v>
      </x:c>
      <x:c r="I15" t="str">
        <x:v>USER_PROFILE_CHOICE; LEGAL_UNVERIFIED</x:v>
      </x:c>
      <x:c r="J15" t="str">
        <x:v>Không phát hiện mâu thuẫn giá trị ngay tại dòng</x:v>
      </x:c>
      <x:c r="K15" t="str">
        <x:v>Căn giữa tiêu đề theo chiều ngang bảng; nếu bố cục không cho phép thì ghi ngoại lệ.</x:v>
      </x:c>
      <x:c r="L15" t="str"/>
      <x:c r="M15" t="str">
        <x:v>PASS_WITH_SCOPE_LIMITATION</x:v>
      </x:c>
      <x:c r="N15" t="str">
        <x:v>https://congbao.chinhphu.vn/van-ban/nghi-dinh-so-30-2020-nd-cp-30858/30246.htm</x:v>
      </x:c>
      <x:c r="O15" t="str">
        <x:v>BANG_ND30!G20</x:v>
      </x:c>
    </x:row>
    <x:row r="16">
      <x:c r="A16" t="n">
        <x:v>15</x:v>
      </x:c>
      <x:c r="B16" t="str">
        <x:v>ND30.N.BANG.TIEU_DE.GIU_CUNG_BANG</x:v>
      </x:c>
      <x:c r="C16" t="str">
        <x:v>Giữ tiêu đề và bảng cùng trang</x:v>
      </x:c>
      <x:c r="D16" t="str">
        <x:v>ND30</x:v>
      </x:c>
      <x:c r="E16" t="str">
        <x:v>TRUE</x:v>
      </x:c>
      <x:c r="F16" t="str">
        <x:v>Giữ caption với hàng/nhóm hàng đầu của bảng, không ép toàn bảng nhiều trang ở một trang.</x:v>
      </x:c>
      <x:c r="G16" t="str">
        <x:v>NOT_VERIFIED_AT_ATTRIBUTE_LEVEL</x:v>
      </x:c>
      <x:c r="H16" t="str">
        <x:v>USER_CHOSEN_V174_NOT_INTERNAL_SIGNOFF</x:v>
      </x:c>
      <x:c r="I16" t="str">
        <x:v>USER_PROFILE_CHOICE; LEGAL_UNVERIFIED</x:v>
      </x:c>
      <x:c r="J16" t="str">
        <x:v>Không phát hiện mâu thuẫn giá trị ngay tại dòng</x:v>
      </x:c>
      <x:c r="K16" t="str">
        <x:v>Giữ caption với hàng/nhóm hàng đầu của bảng, không ép toàn bảng nhiều trang ở một trang.</x:v>
      </x:c>
      <x:c r="L16" t="str"/>
      <x:c r="M16" t="str">
        <x:v>PASS_WITH_SCOPE_LIMITATION</x:v>
      </x:c>
      <x:c r="N16" t="str">
        <x:v>https://congbao.chinhphu.vn/van-ban/nghi-dinh-so-30-2020-nd-cp-30858/30246.htm</x:v>
      </x:c>
      <x:c r="O16" t="str">
        <x:v>BANG_ND30!G21</x:v>
      </x:c>
    </x:row>
    <x:row r="17">
      <x:c r="A17" t="n">
        <x:v>16</x:v>
      </x:c>
      <x:c r="B17" t="str">
        <x:v>ND30.N.BANG.TIEU_DE.KHOANG_CACH</x:v>
      </x:c>
      <x:c r="C17" t="str">
        <x:v>Khoảng cách tiêu đề và bảng</x:v>
      </x:c>
      <x:c r="D17" t="str">
        <x:v>ND30</x:v>
      </x:c>
      <x:c r="E17" t="n">
        <x:v>6</x:v>
      </x:c>
      <x:c r="F17" t="str">
        <x:v>Giữa caption NGOÀI bảng và mép trên bảng 6 pt; không cộng BO_CUC.KHOANG_TRUOC; caption space_before 6 pt là một ranh giới khác.</x:v>
      </x:c>
      <x:c r="G17" t="str">
        <x:v>NOT_VERIFIED_AT_ATTRIBUTE_LEVEL</x:v>
      </x:c>
      <x:c r="H17" t="str">
        <x:v>USER_CHOSEN_V174_NOT_INTERNAL_SIGNOFF</x:v>
      </x:c>
      <x:c r="I17" t="str">
        <x:v>USER_PROFILE_CHOICE; LEGAL_UNVERIFIED</x:v>
      </x:c>
      <x:c r="J17" t="str">
        <x:v>SPACING_COLLAPSE_NOT_NATIVE_WORD_GUARANTEE</x:v>
      </x:c>
      <x:c r="K17" t="str">
        <x:v>6 pt là khoảng của RANH GIỚI, không cộng vào spacing hiện có. Mỗi ranh giới chọn một quy tắc ưu tiên caption/chú thích &gt; đoạn thường.</x:v>
      </x:c>
      <x:c r="L17" t="str"/>
      <x:c r="M17" t="str">
        <x:v>REVIEW</x:v>
      </x:c>
      <x:c r="N17" t="str">
        <x:v>https://congbao.chinhphu.vn/van-ban/nghi-dinh-so-30-2020-nd-cp-30858/30246.htm</x:v>
      </x:c>
      <x:c r="O17" t="str">
        <x:v>BANG_ND30!G22</x:v>
      </x:c>
    </x:row>
    <x:row r="18">
      <x:c r="A18" t="n">
        <x:v>17</x:v>
      </x:c>
      <x:c r="B18" t="str">
        <x:v>ND30.N.BANG.DAU_BANG.NHAN_DIEN</x:v>
      </x:c>
      <x:c r="C18" t="str">
        <x:v>Nhận diện hàng đầu bảng</x:v>
      </x:c>
      <x:c r="D18" t="str">
        <x:v>ND30</x:v>
      </x:c>
      <x:c r="E18" t="str">
        <x:v>MANUAL_OR_SEMANTIC</x:v>
      </x:c>
      <x:c r="F18" t="str">
        <x:v>Chỉ một hoặc nhiều hàng đầu đóng vai trò NHÃN CỘT, không mặc định hàng đầu luôn là tiêu đề.</x:v>
      </x:c>
      <x:c r="G18" t="str">
        <x:v>NOT_VERIFIED_AT_ATTRIBUTE_LEVEL</x:v>
      </x:c>
      <x:c r="H18" t="str">
        <x:v>INHERITED_FROM_SOURCE_NOT_SEPARATELY_APPROVED</x:v>
      </x:c>
      <x:c r="I18" t="str">
        <x:v>USER_PROFILE_CHOICE; LEGAL_UNVERIFIED</x:v>
      </x:c>
      <x:c r="J18" t="str">
        <x:v>Không phát hiện mâu thuẫn giá trị ngay tại dòng</x:v>
      </x:c>
      <x:c r="K18" t="str">
        <x:v>Chỉ một hoặc nhiều hàng đầu đóng vai trò NHÃN CỘT, không mặc định hàng đầu luôn là tiêu đề.</x:v>
      </x:c>
      <x:c r="L18" t="str"/>
      <x:c r="M18" t="str">
        <x:v>PASS_WITH_SCOPE_LIMITATION</x:v>
      </x:c>
      <x:c r="N18" t="str">
        <x:v>https://congbao.chinhphu.vn/van-ban/nghi-dinh-so-30-2020-nd-cp-30858/30246.htm</x:v>
      </x:c>
      <x:c r="O18" t="str">
        <x:v>BANG_ND30!G23</x:v>
      </x:c>
    </x:row>
    <x:row r="19">
      <x:c r="A19" t="n">
        <x:v>18</x:v>
      </x:c>
      <x:c r="B19" t="str">
        <x:v>ND30.N.BANG.DAU_BANG.VAN_BAN</x:v>
      </x:c>
      <x:c r="C19" t="str">
        <x:v>Nội dung nhãn cột/hàng đầu</x:v>
      </x:c>
      <x:c r="D19" t="str">
        <x:v>ND30</x:v>
      </x:c>
      <x:c r="E19" t="str">
        <x:v>PRESERVE</x:v>
      </x:c>
      <x:c r="F19" t="str">
        <x:v>Trong ô của hàng tiêu đề; không thêm, bớt, viết lại nhãn cột.</x:v>
      </x:c>
      <x:c r="G19" t="str">
        <x:v>NOT_VERIFIED_AT_ATTRIBUTE_LEVEL</x:v>
      </x:c>
      <x:c r="H19" t="str">
        <x:v>INHERITED_FROM_SOURCE_NOT_SEPARATELY_APPROVED</x:v>
      </x:c>
      <x:c r="I19" t="str">
        <x:v>USER_PROFILE_CHOICE; LEGAL_UNVERIFIED</x:v>
      </x:c>
      <x:c r="J19" t="str">
        <x:v>Không phát hiện mâu thuẫn giá trị ngay tại dòng</x:v>
      </x:c>
      <x:c r="K19" t="str">
        <x:v>Trong ô của hàng tiêu đề; không thêm, bớt, viết lại nhãn cột.</x:v>
      </x:c>
      <x:c r="L19" t="str"/>
      <x:c r="M19" t="str">
        <x:v>PASS_WITH_SCOPE_LIMITATION</x:v>
      </x:c>
      <x:c r="N19" t="str">
        <x:v>https://congbao.chinhphu.vn/van-ban/nghi-dinh-so-30-2020-nd-cp-30858/30246.htm</x:v>
      </x:c>
      <x:c r="O19" t="str">
        <x:v>BANG_ND30!G24</x:v>
      </x:c>
    </x:row>
    <x:row r="20">
      <x:c r="A20" t="n">
        <x:v>19</x:v>
      </x:c>
      <x:c r="B20" t="str">
        <x:v>ND30.N.BANG.DAU_BANG.CO_CHU</x:v>
      </x:c>
      <x:c r="C20" t="str">
        <x:v>Cỡ chữ hàng tiêu đề</x:v>
      </x:c>
      <x:c r="D20" t="str">
        <x:v>ND30</x:v>
      </x:c>
      <x:c r="E20" t="n">
        <x:v>13</x:v>
      </x:c>
      <x:c r="F20" t="str">
        <x:v>Toàn bộ chữ trong ô của mọi hàng tiêu đề đã xác định: 13 pt theo profile Công ty.</x:v>
      </x:c>
      <x:c r="G20" t="str">
        <x:v>NOT_VERIFIED_AT_ATTRIBUTE_LEVEL</x:v>
      </x:c>
      <x:c r="H20" t="str">
        <x:v>USER_CONFIRMED</x:v>
      </x:c>
      <x:c r="I20" t="str">
        <x:v>USER_PROFILE_CHOICE; LEGAL_UNVERIFIED</x:v>
      </x:c>
      <x:c r="J20" t="str">
        <x:v>Không phát hiện mâu thuẫn giá trị ngay tại dòng</x:v>
      </x:c>
      <x:c r="K20" t="str">
        <x:v>Toàn bộ chữ trong ô của mọi hàng tiêu đề đã xác định: 13 pt theo profile Công ty.</x:v>
      </x:c>
      <x:c r="L20" t="str"/>
      <x:c r="M20" t="str">
        <x:v>PASS_WITH_SCOPE_LIMITATION</x:v>
      </x:c>
      <x:c r="N20" t="str">
        <x:v>https://congbao.chinhphu.vn/van-ban/nghi-dinh-so-30-2020-nd-cp-30858/30246.htm</x:v>
      </x:c>
      <x:c r="O20" t="str">
        <x:v>BANG_ND30!G25</x:v>
      </x:c>
    </x:row>
    <x:row r="21">
      <x:c r="A21" t="n">
        <x:v>20</x:v>
      </x:c>
      <x:c r="B21" t="str">
        <x:v>ND30.N.BANG.DAU_BANG.CHU_DAM</x:v>
      </x:c>
      <x:c r="C21" t="str">
        <x:v>Chữ đậm hàng tiêu đề</x:v>
      </x:c>
      <x:c r="D21" t="str">
        <x:v>ND30</x:v>
      </x:c>
      <x:c r="E21" t="str">
        <x:v>YES</x:v>
      </x:c>
      <x:c r="F21" t="str">
        <x:v>Chỉ hàng tiêu đề cột; không áp chữ đậm lên hàng dữ liệu chỉ vì nằm đầu trang.</x:v>
      </x:c>
      <x:c r="G21" t="str">
        <x:v>NOT_VERIFIED_AT_ATTRIBUTE_LEVEL</x:v>
      </x:c>
      <x:c r="H21" t="str">
        <x:v>USER_CHOSEN_V174_NOT_INTERNAL_SIGNOFF</x:v>
      </x:c>
      <x:c r="I21" t="str">
        <x:v>USER_PROFILE_CHOICE; LEGAL_UNVERIFIED</x:v>
      </x:c>
      <x:c r="J21" t="str">
        <x:v>Không phát hiện mâu thuẫn giá trị ngay tại dòng</x:v>
      </x:c>
      <x:c r="K21" t="str">
        <x:v>Chỉ hàng tiêu đề cột; không áp chữ đậm lên hàng dữ liệu chỉ vì nằm đầu trang.</x:v>
      </x:c>
      <x:c r="L21" t="str"/>
      <x:c r="M21" t="str">
        <x:v>PASS_WITH_SCOPE_LIMITATION</x:v>
      </x:c>
      <x:c r="N21" t="str">
        <x:v>https://congbao.chinhphu.vn/van-ban/nghi-dinh-so-30-2020-nd-cp-30858/30246.htm</x:v>
      </x:c>
      <x:c r="O21" t="str">
        <x:v>BANG_ND30!G26</x:v>
      </x:c>
    </x:row>
    <x:row r="22">
      <x:c r="A22" t="n">
        <x:v>21</x:v>
      </x:c>
      <x:c r="B22" t="str">
        <x:v>ND30.N.BANG.DAU_BANG.CAN_NGANG</x:v>
      </x:c>
      <x:c r="C22" t="str">
        <x:v>Căn ngang hàng tiêu đề</x:v>
      </x:c>
      <x:c r="D22" t="str">
        <x:v>ND30</x:v>
      </x:c>
      <x:c r="E22" t="str">
        <x:v>CENTER</x:v>
      </x:c>
      <x:c r="F22" t="str">
        <x:v>Căn giữa trong ô tiêu đề, nội dung dài được xuống dòng.</x:v>
      </x:c>
      <x:c r="G22" t="str">
        <x:v>NOT_VERIFIED_AT_ATTRIBUTE_LEVEL</x:v>
      </x:c>
      <x:c r="H22" t="str">
        <x:v>USER_CHOSEN_V174_NOT_INTERNAL_SIGNOFF</x:v>
      </x:c>
      <x:c r="I22" t="str">
        <x:v>USER_PROFILE_CHOICE; LEGAL_UNVERIFIED</x:v>
      </x:c>
      <x:c r="J22" t="str">
        <x:v>Không phát hiện mâu thuẫn giá trị ngay tại dòng</x:v>
      </x:c>
      <x:c r="K22" t="str">
        <x:v>Căn giữa trong ô tiêu đề, nội dung dài được xuống dòng.</x:v>
      </x:c>
      <x:c r="L22" t="str"/>
      <x:c r="M22" t="str">
        <x:v>PASS_WITH_SCOPE_LIMITATION</x:v>
      </x:c>
      <x:c r="N22" t="str">
        <x:v>https://congbao.chinhphu.vn/van-ban/nghi-dinh-so-30-2020-nd-cp-30858/30246.htm</x:v>
      </x:c>
      <x:c r="O22" t="str">
        <x:v>BANG_ND30!G27</x:v>
      </x:c>
    </x:row>
    <x:row r="23">
      <x:c r="A23" t="n">
        <x:v>22</x:v>
      </x:c>
      <x:c r="B23" t="str">
        <x:v>ND30.N.BANG.DAU_BANG.LAP_LAI</x:v>
      </x:c>
      <x:c r="C23" t="str">
        <x:v>Lặp hàng tiêu đề khi bảng qua trang</x:v>
      </x:c>
      <x:c r="D23" t="str">
        <x:v>ND30</x:v>
      </x:c>
      <x:c r="E23" t="str">
        <x:v>YES_IF_MULTIPAGE</x:v>
      </x:c>
      <x:c r="F23" t="str">
        <x:v>Khi bảng nội dung chính chiếm từ 2 trang trở lên VÀ xác định được nhóm hàng tiêu đề liên tiếp từ hàng đầu: BẮT BUỘC lặp đầy đủ nhóm hàng tiêu đề trên mỗi trang sau. Không lặp hàng nhóm, hàng dữ liệu hoặc tiêu đề ngoài bảng. Nếu chưa xác định header, đánh dấu CẦN XÁC NHẬN; không tự bịa nhãn.</x:v>
      </x:c>
      <x:c r="G23" t="str">
        <x:v>NOT_VERIFIED_AT_ATTRIBUTE_LEVEL</x:v>
      </x:c>
      <x:c r="H23" t="str">
        <x:v>USER_CONFIRMED</x:v>
      </x:c>
      <x:c r="I23" t="str">
        <x:v>USER_PROFILE_CHOICE; LEGAL_UNVERIFIED</x:v>
      </x:c>
      <x:c r="J23" t="str">
        <x:v>Không phát hiện mâu thuẫn giá trị ngay tại dòng</x:v>
      </x:c>
      <x:c r="K23" t="str">
        <x:v>Bắt buộc khi qua trang theo profile; với header nhiều tầng, lặp đầy đủ nhóm hàng đầu; không áp lại cho bảng con không xác định.</x:v>
      </x:c>
      <x:c r="L23" t="str"/>
      <x:c r="M23" t="str">
        <x:v>PASS_WITH_SCOPE_LIMITATION</x:v>
      </x:c>
      <x:c r="N23" t="str">
        <x:v>https://congbao.chinhphu.vn/van-ban/nghi-dinh-so-30-2020-nd-cp-30858/30246.htm</x:v>
      </x:c>
      <x:c r="O23" t="str">
        <x:v>BANG_ND30!G28</x:v>
      </x:c>
    </x:row>
    <x:row r="24">
      <x:c r="A24" t="n">
        <x:v>23</x:v>
      </x:c>
      <x:c r="B24" t="str">
        <x:v>ND30.N.BANG.DAU_BANG.NHIEU_CAP</x:v>
      </x:c>
      <x:c r="C24" t="str">
        <x:v>Hàng tiêu đề nhiều tầng</x:v>
      </x:c>
      <x:c r="D24" t="str">
        <x:v>ND30</x:v>
      </x:c>
      <x:c r="E24" t="str">
        <x:v>PRESERVE</x:v>
      </x:c>
      <x:c r="F24" t="str">
        <x:v>Khi hàng tiêu đề có nhiều tầng và/hoặc ô gộp; giữ đúng tầng và quan hệ nhãn.</x:v>
      </x:c>
      <x:c r="G24" t="str">
        <x:v>NOT_VERIFIED_AT_ATTRIBUTE_LEVEL</x:v>
      </x:c>
      <x:c r="H24" t="str">
        <x:v>INHERITED_FROM_SOURCE_NOT_SEPARATELY_APPROVED</x:v>
      </x:c>
      <x:c r="I24" t="str">
        <x:v>USER_PROFILE_CHOICE; LEGAL_UNVERIFIED</x:v>
      </x:c>
      <x:c r="J24" t="str">
        <x:v>Không phát hiện mâu thuẫn giá trị ngay tại dòng</x:v>
      </x:c>
      <x:c r="K24" t="str">
        <x:v>Khi hàng tiêu đề có nhiều tầng và/hoặc ô gộp; giữ đúng tầng và quan hệ nhãn.</x:v>
      </x:c>
      <x:c r="L24" t="str"/>
      <x:c r="M24" t="str">
        <x:v>PASS_WITH_SCOPE_LIMITATION</x:v>
      </x:c>
      <x:c r="N24" t="str">
        <x:v>https://congbao.chinhphu.vn/van-ban/nghi-dinh-so-30-2020-nd-cp-30858/30246.htm</x:v>
      </x:c>
      <x:c r="O24" t="str">
        <x:v>BANG_ND30!G29</x:v>
      </x:c>
    </x:row>
    <x:row r="25">
      <x:c r="A25" t="n">
        <x:v>24</x:v>
      </x:c>
      <x:c r="B25" t="str">
        <x:v>ND30.N.BANG.DAU_BANG.TO_NEN</x:v>
      </x:c>
      <x:c r="C25" t="str">
        <x:v>Màu nền hàng tiêu đề</x:v>
      </x:c>
      <x:c r="D25" t="str">
        <x:v>ND30</x:v>
      </x:c>
      <x:c r="E25" t="str">
        <x:v>NONE_NEW; PRESERVE_MEANINGFUL_EXISTING</x:v>
      </x:c>
      <x:c r="F25" t="str">
        <x:v>Không thêm nền mới; không xóa nền đang thể hiện ý nghĩa dữ liệu/phân nhóm.</x:v>
      </x:c>
      <x:c r="G25" t="str">
        <x:v>NOT_VERIFIED_AT_ATTRIBUTE_LEVEL</x:v>
      </x:c>
      <x:c r="H25" t="str">
        <x:v>USER_CHOSEN_V174_NOT_INTERNAL_SIGNOFF</x:v>
      </x:c>
      <x:c r="I25" t="str">
        <x:v>USER_PROFILE_CHOICE; LEGAL_UNVERIFIED</x:v>
      </x:c>
      <x:c r="J25" t="str">
        <x:v>Không phát hiện mâu thuẫn giá trị ngay tại dòng</x:v>
      </x:c>
      <x:c r="K25" t="str">
        <x:v>Không thêm nền; giữ nền gốc có ý nghĩa phân loại.</x:v>
      </x:c>
      <x:c r="L25" t="str"/>
      <x:c r="M25" t="str">
        <x:v>PASS_WITH_SCOPE_LIMITATION</x:v>
      </x:c>
      <x:c r="N25" t="str">
        <x:v>https://congbao.chinhphu.vn/van-ban/nghi-dinh-so-30-2020-nd-cp-30858/30246.htm</x:v>
      </x:c>
      <x:c r="O25" t="str">
        <x:v>BANG_ND30!G30</x:v>
      </x:c>
    </x:row>
    <x:row r="26">
      <x:c r="A26" t="n">
        <x:v>25</x:v>
      </x:c>
      <x:c r="B26" t="str">
        <x:v>ND30.N.BANG.COT.SO_LUONG</x:v>
      </x:c>
      <x:c r="C26" t="str">
        <x:v>Số cột của bảng</x:v>
      </x:c>
      <x:c r="D26" t="str">
        <x:v>ND30</x:v>
      </x:c>
      <x:c r="E26" t="str">
        <x:v>PRESERVE</x:v>
      </x:c>
      <x:c r="F26" t="str">
        <x:v>Chỉ bảng dữ liệu trong nội dung; giữ đủ số cột và thứ tự gốc.</x:v>
      </x:c>
      <x:c r="G26" t="str">
        <x:v>NOT_VERIFIED_AT_ATTRIBUTE_LEVEL</x:v>
      </x:c>
      <x:c r="H26" t="str">
        <x:v>INHERITED_FROM_SOURCE_NOT_SEPARATELY_APPROVED</x:v>
      </x:c>
      <x:c r="I26" t="str">
        <x:v>USER_PROFILE_CHOICE; LEGAL_UNVERIFIED</x:v>
      </x:c>
      <x:c r="J26" t="str">
        <x:v>Không phát hiện mâu thuẫn giá trị ngay tại dòng</x:v>
      </x:c>
      <x:c r="K26" t="str">
        <x:v>Chỉ bảng dữ liệu trong nội dung; giữ đủ số cột và thứ tự gốc.</x:v>
      </x:c>
      <x:c r="L26" t="str"/>
      <x:c r="M26" t="str">
        <x:v>PASS_WITH_SCOPE_LIMITATION</x:v>
      </x:c>
      <x:c r="N26" t="str">
        <x:v>https://congbao.chinhphu.vn/van-ban/nghi-dinh-so-30-2020-nd-cp-30858/30246.htm</x:v>
      </x:c>
      <x:c r="O26" t="str">
        <x:v>BANG_ND30!G31</x:v>
      </x:c>
    </x:row>
    <x:row r="27">
      <x:c r="A27" t="n">
        <x:v>26</x:v>
      </x:c>
      <x:c r="B27" t="str">
        <x:v>ND30.N.BANG.COT.DO_RONG</x:v>
      </x:c>
      <x:c r="C27" t="str">
        <x:v>Chiều rộng từng cột</x:v>
      </x:c>
      <x:c r="D27" t="str">
        <x:v>ND30</x:v>
      </x:c>
      <x:c r="E27" t="str">
        <x:v>PRESERVE_IF_VALID; REVIEW_IF_OVERFLOW</x:v>
      </x:c>
      <x:c r="F27" t="str">
        <x:v>Giữ độ rộng cột khi không tràn lề/không bóp chữ; chỉ cân chỉnh lại khi sai khung.</x:v>
      </x:c>
      <x:c r="G27" t="str">
        <x:v>NOT_VERIFIED_AT_ATTRIBUTE_LEVEL</x:v>
      </x:c>
      <x:c r="H27" t="str">
        <x:v>USER_CHOSEN_V174_NOT_INTERNAL_SIGNOFF</x:v>
      </x:c>
      <x:c r="I27" t="str">
        <x:v>USER_PROFILE_CHOICE; LEGAL_UNVERIFIED</x:v>
      </x:c>
      <x:c r="J27" t="str">
        <x:v>Không phát hiện mâu thuẫn giá trị ngay tại dòng</x:v>
      </x:c>
      <x:c r="K27" t="str">
        <x:v>Giữ độ rộng cột khi không tràn lề/không bóp chữ; chỉ cân chỉnh lại khi sai khung.</x:v>
      </x:c>
      <x:c r="L27" t="str"/>
      <x:c r="M27" t="str">
        <x:v>PASS_WITH_SCOPE_LIMITATION</x:v>
      </x:c>
      <x:c r="N27" t="str">
        <x:v>https://congbao.chinhphu.vn/van-ban/nghi-dinh-so-30-2020-nd-cp-30858/30246.htm</x:v>
      </x:c>
      <x:c r="O27" t="str">
        <x:v>BANG_ND30!G32</x:v>
      </x:c>
    </x:row>
    <x:row r="28">
      <x:c r="A28" t="n">
        <x:v>27</x:v>
      </x:c>
      <x:c r="B28" t="str">
        <x:v>ND30.N.BANG.COT.PHAN_BO</x:v>
      </x:c>
      <x:c r="C28" t="str">
        <x:v>Phân bố chiều rộng giữa cột</x:v>
      </x:c>
      <x:c r="D28" t="str">
        <x:v>ND30</x:v>
      </x:c>
      <x:c r="E28" t="str">
        <x:v>PRESERVE</x:v>
      </x:c>
      <x:c r="F28" t="str">
        <x:v>Khi có nhiều cột; bảo toàn tương quan và vùng nội dung.</x:v>
      </x:c>
      <x:c r="G28" t="str">
        <x:v>NOT_VERIFIED_AT_ATTRIBUTE_LEVEL</x:v>
      </x:c>
      <x:c r="H28" t="str">
        <x:v>INHERITED_FROM_SOURCE_NOT_SEPARATELY_APPROVED</x:v>
      </x:c>
      <x:c r="I28" t="str">
        <x:v>USER_PROFILE_CHOICE; LEGAL_UNVERIFIED</x:v>
      </x:c>
      <x:c r="J28" t="str">
        <x:v>Không phát hiện mâu thuẫn giá trị ngay tại dòng</x:v>
      </x:c>
      <x:c r="K28" t="str">
        <x:v>Khi có nhiều cột; bảo toàn tương quan và vùng nội dung.</x:v>
      </x:c>
      <x:c r="L28" t="str"/>
      <x:c r="M28" t="str">
        <x:v>PASS_WITH_SCOPE_LIMITATION</x:v>
      </x:c>
      <x:c r="N28" t="str">
        <x:v>https://congbao.chinhphu.vn/van-ban/nghi-dinh-so-30-2020-nd-cp-30858/30246.htm</x:v>
      </x:c>
      <x:c r="O28" t="str">
        <x:v>BANG_ND30!G33</x:v>
      </x:c>
    </x:row>
    <x:row r="29">
      <x:c r="A29" t="n">
        <x:v>28</x:v>
      </x:c>
      <x:c r="B29" t="str">
        <x:v>ND30.N.BANG.COT.CAN_CHU</x:v>
      </x:c>
      <x:c r="C29" t="str">
        <x:v>Căn cột nội dung chữ</x:v>
      </x:c>
      <x:c r="D29" t="str">
        <x:v>ND30</x:v>
      </x:c>
      <x:c r="E29" t="str">
        <x:v>LEFT</x:v>
      </x:c>
      <x:c r="F29" t="str">
        <x:v>Cột mô tả/văn bản: căn trái; trường hợp mã, tiêu đề, STT đi theo vai trò ô.</x:v>
      </x:c>
      <x:c r="G29" t="str">
        <x:v>NOT_VERIFIED_AT_ATTRIBUTE_LEVEL</x:v>
      </x:c>
      <x:c r="H29" t="str">
        <x:v>USER_CHOSEN_V174_NOT_INTERNAL_SIGNOFF</x:v>
      </x:c>
      <x:c r="I29" t="str">
        <x:v>USER_PROFILE_CHOICE; LEGAL_UNVERIFIED</x:v>
      </x:c>
      <x:c r="J29" t="str">
        <x:v>Không phát hiện mâu thuẫn giá trị ngay tại dòng</x:v>
      </x:c>
      <x:c r="K29" t="str">
        <x:v>Định tuyến theo role: STT/mã ngắn CENTER; mô tả LEFT; số lượng/tiền RIGHT; ngày/số điện thoại không là đại lượng.</x:v>
      </x:c>
      <x:c r="L29" t="str"/>
      <x:c r="M29" t="str">
        <x:v>PASS_WITH_SCOPE_LIMITATION</x:v>
      </x:c>
      <x:c r="N29" t="str">
        <x:v>https://congbao.chinhphu.vn/van-ban/nghi-dinh-so-30-2020-nd-cp-30858/30246.htm</x:v>
      </x:c>
      <x:c r="O29" t="str">
        <x:v>BANG_ND30!G34</x:v>
      </x:c>
    </x:row>
    <x:row r="30">
      <x:c r="A30" t="n">
        <x:v>29</x:v>
      </x:c>
      <x:c r="B30" t="str">
        <x:v>ND30.N.BANG.COT.CAN_SO</x:v>
      </x:c>
      <x:c r="C30" t="str">
        <x:v>Căn cột số</x:v>
      </x:c>
      <x:c r="D30" t="str">
        <x:v>ND30</x:v>
      </x:c>
      <x:c r="E30" t="str">
        <x:v>RIGHT</x:v>
      </x:c>
      <x:c r="F30" t="str">
        <x:v>Cột đại lượng (số lượng, định mức, tiền): căn phải; STT, mã, ngày, điện thoại không coi là số định lượng.</x:v>
      </x:c>
      <x:c r="G30" t="str">
        <x:v>NOT_VERIFIED_AT_ATTRIBUTE_LEVEL</x:v>
      </x:c>
      <x:c r="H30" t="str">
        <x:v>USER_CHOSEN_V174_NOT_INTERNAL_SIGNOFF</x:v>
      </x:c>
      <x:c r="I30" t="str">
        <x:v>USER_PROFILE_CHOICE; LEGAL_UNVERIFIED</x:v>
      </x:c>
      <x:c r="J30" t="str">
        <x:v>Không phát hiện mâu thuẫn giá trị ngay tại dòng</x:v>
      </x:c>
      <x:c r="K30" t="str">
        <x:v>Định tuyến theo role: STT/mã ngắn CENTER; mô tả LEFT; số lượng/tiền RIGHT; ngày/số điện thoại không là đại lượng.</x:v>
      </x:c>
      <x:c r="L30" t="str"/>
      <x:c r="M30" t="str">
        <x:v>PASS_WITH_SCOPE_LIMITATION</x:v>
      </x:c>
      <x:c r="N30" t="str">
        <x:v>https://congbao.chinhphu.vn/van-ban/nghi-dinh-so-30-2020-nd-cp-30858/30246.htm</x:v>
      </x:c>
      <x:c r="O30" t="str">
        <x:v>BANG_ND30!G35</x:v>
      </x:c>
    </x:row>
    <x:row r="31">
      <x:c r="A31" t="n">
        <x:v>30</x:v>
      </x:c>
      <x:c r="B31" t="str">
        <x:v>ND30.N.BANG.HANG.CHIEU_CAO</x:v>
      </x:c>
      <x:c r="C31" t="str">
        <x:v>Chiều cao hàng</x:v>
      </x:c>
      <x:c r="D31" t="str">
        <x:v>ND30</x:v>
      </x:c>
      <x:c r="E31" t="str">
        <x:v>AUTO</x:v>
      </x:c>
      <x:c r="F31" t="str">
        <x:v>Chiều cao tự mở theo nội dung ô, tuyệt đối không cắt/mất chữ.</x:v>
      </x:c>
      <x:c r="G31" t="str">
        <x:v>NOT_VERIFIED_AT_ATTRIBUTE_LEVEL</x:v>
      </x:c>
      <x:c r="H31" t="str">
        <x:v>USER_CHOSEN_V174_NOT_INTERNAL_SIGNOFF</x:v>
      </x:c>
      <x:c r="I31" t="str">
        <x:v>USER_PROFILE_CHOICE; LEGAL_UNVERIFIED</x:v>
      </x:c>
      <x:c r="J31" t="str">
        <x:v>Không phát hiện mâu thuẫn giá trị ngay tại dòng</x:v>
      </x:c>
      <x:c r="K31" t="str">
        <x:v>Chiều cao tự mở theo nội dung ô, tuyệt đối không cắt/mất chữ.</x:v>
      </x:c>
      <x:c r="L31" t="str"/>
      <x:c r="M31" t="str">
        <x:v>PASS_WITH_SCOPE_LIMITATION</x:v>
      </x:c>
      <x:c r="N31" t="str">
        <x:v>https://congbao.chinhphu.vn/van-ban/nghi-dinh-so-30-2020-nd-cp-30858/30246.htm</x:v>
      </x:c>
      <x:c r="O31" t="str">
        <x:v>BANG_ND30!G36</x:v>
      </x:c>
    </x:row>
    <x:row r="32">
      <x:c r="A32" t="n">
        <x:v>31</x:v>
      </x:c>
      <x:c r="B32" t="str">
        <x:v>ND30.N.BANG.HANG.KIEU_CAO</x:v>
      </x:c>
      <x:c r="C32" t="str">
        <x:v>Quy tắc chiều cao</x:v>
      </x:c>
      <x:c r="D32" t="str">
        <x:v>ND30</x:v>
      </x:c>
      <x:c r="E32" t="str">
        <x:v>AT_LEAST_HEADER_6MM; AUTO_DATA</x:v>
      </x:c>
      <x:c r="F32" t="str">
        <x:v>Hàng tiêu đề tối thiểu 6 mm và được giãn cao hơn; hàng dữ liệu tự động; không dùng EXACT.</x:v>
      </x:c>
      <x:c r="G32" t="str">
        <x:v>NOT_VERIFIED_AT_ATTRIBUTE_LEVEL</x:v>
      </x:c>
      <x:c r="H32" t="str">
        <x:v>USER_CHOSEN_V174_NOT_INTERNAL_SIGNOFF</x:v>
      </x:c>
      <x:c r="I32" t="str">
        <x:v>USER_PROFILE_CHOICE; LEGAL_UNVERIFIED</x:v>
      </x:c>
      <x:c r="J32" t="str">
        <x:v>ATLEAST_HEADER_ONLY</x:v>
      </x:c>
      <x:c r="K32" t="str">
        <x:v>AT_LEAST &gt;=6 mm chỉ cho hàng tiêu đề khi phù hợp; dữ liệu tự giãn.</x:v>
      </x:c>
      <x:c r="L32" t="str"/>
      <x:c r="M32" t="str">
        <x:v>REVIEW</x:v>
      </x:c>
      <x:c r="N32" t="str">
        <x:v>https://congbao.chinhphu.vn/van-ban/nghi-dinh-so-30-2020-nd-cp-30858/30246.htm</x:v>
      </x:c>
      <x:c r="O32" t="str">
        <x:v>BANG_ND30!G37</x:v>
      </x:c>
    </x:row>
    <x:row r="33">
      <x:c r="A33" t="n">
        <x:v>32</x:v>
      </x:c>
      <x:c r="B33" t="str">
        <x:v>ND30.N.BANG.HANG.CHONG_CHIA_TRANG</x:v>
      </x:c>
      <x:c r="C33" t="str">
        <x:v>Không chia một hàng sang trang khác</x:v>
      </x:c>
      <x:c r="D33" t="str">
        <x:v>ND30</x:v>
      </x:c>
      <x:c r="E33" t="str">
        <x:v>YES_IF_FITS; REVIEW_OVERSIZE</x:v>
      </x:c>
      <x:c r="F33" t="str">
        <x:v>Không chia hàng nếu hàng vừa trang; hàng dài hơn vùng trang phải xử lý ngoại lệ, tránh che/mất chữ.</x:v>
      </x:c>
      <x:c r="G33" t="str">
        <x:v>NOT_VERIFIED_AT_ATTRIBUTE_LEVEL</x:v>
      </x:c>
      <x:c r="H33" t="str">
        <x:v>USER_CHOSEN_V174_NOT_INTERNAL_SIGNOFF</x:v>
      </x:c>
      <x:c r="I33" t="str">
        <x:v>USER_PROFILE_CHOICE; LEGAL_UNVERIFIED</x:v>
      </x:c>
      <x:c r="J33" t="str">
        <x:v>OVERSIZE_ROW_REVIEW</x:v>
      </x:c>
      <x:c r="K33" t="str">
        <x:v>Hàng không vừa trang cần ngoại lệ, không bảo đảm tránh chia trong mọi trường hợp.</x:v>
      </x:c>
      <x:c r="L33" t="str"/>
      <x:c r="M33" t="str">
        <x:v>REVIEW</x:v>
      </x:c>
      <x:c r="N33" t="str">
        <x:v>https://congbao.chinhphu.vn/van-ban/nghi-dinh-so-30-2020-nd-cp-30858/30246.htm</x:v>
      </x:c>
      <x:c r="O33" t="str">
        <x:v>BANG_ND30!G38</x:v>
      </x:c>
    </x:row>
    <x:row r="34">
      <x:c r="A34" t="n">
        <x:v>33</x:v>
      </x:c>
      <x:c r="B34" t="str">
        <x:v>ND30.N.BANG.HANG.KHOANG_CACH</x:v>
      </x:c>
      <x:c r="C34" t="str">
        <x:v>Khoảng cách giữa các hàng</x:v>
      </x:c>
      <x:c r="D34" t="str">
        <x:v>ND30</x:v>
      </x:c>
      <x:c r="E34" t="n">
        <x:v>0</x:v>
      </x:c>
      <x:c r="F34" t="str">
        <x:v>Khoảng cách giữa các ô/hàng bằng 0 mm; không tạo khe hở viền kép.</x:v>
      </x:c>
      <x:c r="G34" t="str">
        <x:v>NOT_VERIFIED_AT_ATTRIBUTE_LEVEL</x:v>
      </x:c>
      <x:c r="H34" t="str">
        <x:v>USER_CHOSEN_V174_NOT_INTERNAL_SIGNOFF</x:v>
      </x:c>
      <x:c r="I34" t="str">
        <x:v>USER_PROFILE_CHOICE; LEGAL_UNVERIFIED</x:v>
      </x:c>
      <x:c r="J34" t="str">
        <x:v>Không phát hiện mâu thuẫn giá trị ngay tại dòng</x:v>
      </x:c>
      <x:c r="K34" t="str">
        <x:v>Khoảng cách giữa các ô/hàng bằng 0 mm; không tạo khe hở viền kép.</x:v>
      </x:c>
      <x:c r="L34" t="str"/>
      <x:c r="M34" t="str">
        <x:v>PASS_WITH_SCOPE_LIMITATION</x:v>
      </x:c>
      <x:c r="N34" t="str">
        <x:v>https://congbao.chinhphu.vn/van-ban/nghi-dinh-so-30-2020-nd-cp-30858/30246.htm</x:v>
      </x:c>
      <x:c r="O34" t="str">
        <x:v>BANG_ND30!G39</x:v>
      </x:c>
    </x:row>
    <x:row r="35">
      <x:c r="A35" t="n">
        <x:v>34</x:v>
      </x:c>
      <x:c r="B35" t="str">
        <x:v>ND30.N.BANG.HANG.THU_TU</x:v>
      </x:c>
      <x:c r="C35" t="str">
        <x:v>Thứ tự hàng</x:v>
      </x:c>
      <x:c r="D35" t="str">
        <x:v>ND30</x:v>
      </x:c>
      <x:c r="E35" t="str">
        <x:v>PRESERVE</x:v>
      </x:c>
      <x:c r="F35" t="str">
        <x:v>Mọi hàng của bảng; không sắp xếp lại dữ liệu.</x:v>
      </x:c>
      <x:c r="G35" t="str">
        <x:v>NOT_VERIFIED_AT_ATTRIBUTE_LEVEL</x:v>
      </x:c>
      <x:c r="H35" t="str">
        <x:v>INHERITED_FROM_SOURCE_NOT_SEPARATELY_APPROVED</x:v>
      </x:c>
      <x:c r="I35" t="str">
        <x:v>USER_PROFILE_CHOICE; LEGAL_UNVERIFIED</x:v>
      </x:c>
      <x:c r="J35" t="str">
        <x:v>Không phát hiện mâu thuẫn giá trị ngay tại dòng</x:v>
      </x:c>
      <x:c r="K35" t="str">
        <x:v>Mọi hàng của bảng; không sắp xếp lại dữ liệu.</x:v>
      </x:c>
      <x:c r="L35" t="str"/>
      <x:c r="M35" t="str">
        <x:v>PASS_WITH_SCOPE_LIMITATION</x:v>
      </x:c>
      <x:c r="N35" t="str">
        <x:v>https://congbao.chinhphu.vn/van-ban/nghi-dinh-so-30-2020-nd-cp-30858/30246.htm</x:v>
      </x:c>
      <x:c r="O35" t="str">
        <x:v>BANG_ND30!G40</x:v>
      </x:c>
    </x:row>
    <x:row r="36">
      <x:c r="A36" t="n">
        <x:v>35</x:v>
      </x:c>
      <x:c r="B36" t="str">
        <x:v>ND30.N.BANG.HANG.DONG_TONG</x:v>
      </x:c>
      <x:c r="C36" t="str">
        <x:v>Hàng tổng cộng</x:v>
      </x:c>
      <x:c r="D36" t="str">
        <x:v>ND30</x:v>
      </x:c>
      <x:c r="E36" t="str">
        <x:v>DETECT_THEN_PRESERVE</x:v>
      </x:c>
      <x:c r="F36" t="str">
        <x:v>Chỉ hàng tổng/tổng cộng đã được nhận diện; cỡ chữ trong ô vẫn 13 pt.</x:v>
      </x:c>
      <x:c r="G36" t="str">
        <x:v>NOT_VERIFIED_AT_ATTRIBUTE_LEVEL</x:v>
      </x:c>
      <x:c r="H36" t="str">
        <x:v>INHERITED_FROM_SOURCE_NOT_SEPARATELY_APPROVED</x:v>
      </x:c>
      <x:c r="I36" t="str">
        <x:v>USER_PROFILE_CHOICE; LEGAL_UNVERIFIED</x:v>
      </x:c>
      <x:c r="J36" t="str">
        <x:v>Không phát hiện mâu thuẫn giá trị ngay tại dòng</x:v>
      </x:c>
      <x:c r="K36" t="str">
        <x:v>Chỉ hàng tổng/tổng cộng đã được nhận diện; cỡ chữ trong ô vẫn 13 pt.</x:v>
      </x:c>
      <x:c r="L36" t="str"/>
      <x:c r="M36" t="str">
        <x:v>PASS_WITH_SCOPE_LIMITATION</x:v>
      </x:c>
      <x:c r="N36" t="str">
        <x:v>https://congbao.chinhphu.vn/van-ban/nghi-dinh-so-30-2020-nd-cp-30858/30246.htm</x:v>
      </x:c>
      <x:c r="O36" t="str">
        <x:v>BANG_ND30!G41</x:v>
      </x:c>
    </x:row>
    <x:row r="37">
      <x:c r="A37" t="n">
        <x:v>36</x:v>
      </x:c>
      <x:c r="B37" t="str">
        <x:v>ND30.N.BANG.HANG.DONG_NHOM</x:v>
      </x:c>
      <x:c r="C37" t="str">
        <x:v>Hàng phân nhóm</x:v>
      </x:c>
      <x:c r="D37" t="str">
        <x:v>ND30</x:v>
      </x:c>
      <x:c r="E37" t="str">
        <x:v>DETECT_THEN_PRESERVE</x:v>
      </x:c>
      <x:c r="F37" t="str">
        <x:v>Chỉ hàng nhóm/phân nhóm đã nhận diện; cỡ chữ trong ô vẫn 13 pt.</x:v>
      </x:c>
      <x:c r="G37" t="str">
        <x:v>NOT_VERIFIED_AT_ATTRIBUTE_LEVEL</x:v>
      </x:c>
      <x:c r="H37" t="str">
        <x:v>INHERITED_FROM_SOURCE_NOT_SEPARATELY_APPROVED</x:v>
      </x:c>
      <x:c r="I37" t="str">
        <x:v>USER_PROFILE_CHOICE; LEGAL_UNVERIFIED</x:v>
      </x:c>
      <x:c r="J37" t="str">
        <x:v>Không phát hiện mâu thuẫn giá trị ngay tại dòng</x:v>
      </x:c>
      <x:c r="K37" t="str">
        <x:v>Chỉ hàng nhóm/phân nhóm đã nhận diện; cỡ chữ trong ô vẫn 13 pt.</x:v>
      </x:c>
      <x:c r="L37" t="str"/>
      <x:c r="M37" t="str">
        <x:v>PASS_WITH_SCOPE_LIMITATION</x:v>
      </x:c>
      <x:c r="N37" t="str">
        <x:v>https://congbao.chinhphu.vn/van-ban/nghi-dinh-so-30-2020-nd-cp-30858/30246.htm</x:v>
      </x:c>
      <x:c r="O37" t="str">
        <x:v>BANG_ND30!G42</x:v>
      </x:c>
    </x:row>
    <x:row r="38">
      <x:c r="A38" t="n">
        <x:v>37</x:v>
      </x:c>
      <x:c r="B38" t="str">
        <x:v>ND30.N.BANG.O.VAN_BAN</x:v>
      </x:c>
      <x:c r="C38" t="str">
        <x:v>Nội dung văn bản trong ô</x:v>
      </x:c>
      <x:c r="D38" t="str">
        <x:v>ND30</x:v>
      </x:c>
      <x:c r="E38" t="str">
        <x:v>PRESERVE</x:v>
      </x:c>
      <x:c r="F38" t="str">
        <x:v>Mọi ô có chữ/số/ký hiệu; bảo toàn tuyệt đối nội dung, kể cả ô trống có chủ đích.</x:v>
      </x:c>
      <x:c r="G38" t="str">
        <x:v>NOT_VERIFIED_AT_ATTRIBUTE_LEVEL</x:v>
      </x:c>
      <x:c r="H38" t="str">
        <x:v>INHERITED_FROM_SOURCE_NOT_SEPARATELY_APPROVED</x:v>
      </x:c>
      <x:c r="I38" t="str">
        <x:v>USER_PROFILE_CHOICE; LEGAL_UNVERIFIED</x:v>
      </x:c>
      <x:c r="J38" t="str">
        <x:v>Không phát hiện mâu thuẫn giá trị ngay tại dòng</x:v>
      </x:c>
      <x:c r="K38" t="str">
        <x:v>Mọi ô có chữ/số/ký hiệu; bảo toàn tuyệt đối nội dung, kể cả ô trống có chủ đích.</x:v>
      </x:c>
      <x:c r="L38" t="str"/>
      <x:c r="M38" t="str">
        <x:v>PASS_WITH_SCOPE_LIMITATION</x:v>
      </x:c>
      <x:c r="N38" t="str">
        <x:v>https://congbao.chinhphu.vn/van-ban/nghi-dinh-so-30-2020-nd-cp-30858/30246.htm</x:v>
      </x:c>
      <x:c r="O38" t="str">
        <x:v>BANG_ND30!G43</x:v>
      </x:c>
    </x:row>
    <x:row r="39">
      <x:c r="A39" t="n">
        <x:v>38</x:v>
      </x:c>
      <x:c r="B39" t="str">
        <x:v>ND30.N.BANG.O.FONT</x:v>
      </x:c>
      <x:c r="C39" t="str">
        <x:v>Phông chữ nội dung ô</x:v>
      </x:c>
      <x:c r="D39" t="str">
        <x:v>ND30</x:v>
      </x:c>
      <x:c r="E39" t="str">
        <x:v>Times New Roman; Unicode; #000000</x:v>
      </x:c>
      <x:c r="F39" t="str">
        <x:v>Dùng Times New Roman và màu chữ đen cho chữ bảng; không thay thế ký tự gốc.</x:v>
      </x:c>
      <x:c r="G39" t="str">
        <x:v>NOT_VERIFIED_AT_ATTRIBUTE_LEVEL</x:v>
      </x:c>
      <x:c r="H39" t="str">
        <x:v>USER_CHOSEN_V174_NOT_INTERNAL_SIGNOFF</x:v>
      </x:c>
      <x:c r="I39" t="str">
        <x:v>USER_PROFILE_CHOICE; LEGAL_UNVERIFIED</x:v>
      </x:c>
      <x:c r="J39" t="str">
        <x:v>Không phát hiện mâu thuẫn giá trị ngay tại dòng</x:v>
      </x:c>
      <x:c r="K39" t="str">
        <x:v>Dùng Times New Roman và màu chữ đen cho chữ bảng; không thay thế ký tự gốc.</x:v>
      </x:c>
      <x:c r="L39" t="str"/>
      <x:c r="M39" t="str">
        <x:v>PASS_WITH_SCOPE_LIMITATION</x:v>
      </x:c>
      <x:c r="N39" t="str">
        <x:v>https://congbao.chinhphu.vn/van-ban/nghi-dinh-so-30-2020-nd-cp-30858/30246.htm</x:v>
      </x:c>
      <x:c r="O39" t="str">
        <x:v>BANG_ND30!G44</x:v>
      </x:c>
    </x:row>
    <x:row r="40">
      <x:c r="A40" t="n">
        <x:v>39</x:v>
      </x:c>
      <x:c r="B40" t="str">
        <x:v>ND30.N.BANG.O.CO_CHU</x:v>
      </x:c>
      <x:c r="C40" t="str">
        <x:v>Cỡ chữ nội dung ô</x:v>
      </x:c>
      <x:c r="D40" t="str">
        <x:v>ND30</x:v>
      </x:c>
      <x:c r="E40" t="n">
        <x:v>13</x:v>
      </x:c>
      <x:c r="F40" t="str">
        <x:v>Mọi ký tự văn bản nằm TRONG ô bảng, kể cả header/nhóm/tổng: 13 pt.</x:v>
      </x:c>
      <x:c r="G40" t="str">
        <x:v>NOT_VERIFIED_AT_ATTRIBUTE_LEVEL</x:v>
      </x:c>
      <x:c r="H40" t="str">
        <x:v>USER_CONFIRMED</x:v>
      </x:c>
      <x:c r="I40" t="str">
        <x:v>USER_PROFILE_CHOICE; LEGAL_UNVERIFIED</x:v>
      </x:c>
      <x:c r="J40" t="str">
        <x:v>Không phát hiện mâu thuẫn giá trị ngay tại dòng</x:v>
      </x:c>
      <x:c r="K40" t="str">
        <x:v>Mọi ký tự văn bản nằm TRONG ô bảng, kể cả header/nhóm/tổng: 13 pt.</x:v>
      </x:c>
      <x:c r="L40" t="str"/>
      <x:c r="M40" t="str">
        <x:v>PASS_WITH_SCOPE_LIMITATION</x:v>
      </x:c>
      <x:c r="N40" t="str">
        <x:v>https://congbao.chinhphu.vn/van-ban/nghi-dinh-so-30-2020-nd-cp-30858/30246.htm</x:v>
      </x:c>
      <x:c r="O40" t="str">
        <x:v>BANG_ND30!G45</x:v>
      </x:c>
    </x:row>
    <x:row r="41">
      <x:c r="A41" t="n">
        <x:v>40</x:v>
      </x:c>
      <x:c r="B41" t="str">
        <x:v>ND30.N.BANG.O.DAM</x:v>
      </x:c>
      <x:c r="C41" t="str">
        <x:v>Chữ đậm trong ô</x:v>
      </x:c>
      <x:c r="D41" t="str">
        <x:v>ND30</x:v>
      </x:c>
      <x:c r="E41" t="str">
        <x:v>PRESERVE</x:v>
      </x:c>
      <x:c r="F41" t="str">
        <x:v>Chỉ thuộc tính đậm/nghiêng theo vai trò ô; giữ nguyên chỗ nhấn cục bộ ngoài header.</x:v>
      </x:c>
      <x:c r="G41" t="str">
        <x:v>NOT_VERIFIED_AT_ATTRIBUTE_LEVEL</x:v>
      </x:c>
      <x:c r="H41" t="str">
        <x:v>INHERITED_FROM_SOURCE_NOT_SEPARATELY_APPROVED</x:v>
      </x:c>
      <x:c r="I41" t="str">
        <x:v>USER_PROFILE_CHOICE; LEGAL_UNVERIFIED</x:v>
      </x:c>
      <x:c r="J41" t="str">
        <x:v>Không phát hiện mâu thuẫn giá trị ngay tại dòng</x:v>
      </x:c>
      <x:c r="K41" t="str">
        <x:v>Chỉ thuộc tính đậm/nghiêng theo vai trò ô; giữ nguyên chỗ nhấn cục bộ ngoài header.</x:v>
      </x:c>
      <x:c r="L41" t="str"/>
      <x:c r="M41" t="str">
        <x:v>PASS_WITH_SCOPE_LIMITATION</x:v>
      </x:c>
      <x:c r="N41" t="str">
        <x:v>https://congbao.chinhphu.vn/van-ban/nghi-dinh-so-30-2020-nd-cp-30858/30246.htm</x:v>
      </x:c>
      <x:c r="O41" t="str">
        <x:v>BANG_ND30!G46</x:v>
      </x:c>
    </x:row>
    <x:row r="42">
      <x:c r="A42" t="n">
        <x:v>41</x:v>
      </x:c>
      <x:c r="B42" t="str">
        <x:v>ND30.N.BANG.O.NGHIENG</x:v>
      </x:c>
      <x:c r="C42" t="str">
        <x:v>Chữ nghiêng trong ô</x:v>
      </x:c>
      <x:c r="D42" t="str">
        <x:v>ND30</x:v>
      </x:c>
      <x:c r="E42" t="str">
        <x:v>PRESERVE</x:v>
      </x:c>
      <x:c r="F42" t="str">
        <x:v>Chỉ thuộc tính nghiêng của văn bản trong ô; bảo toàn nhấn mạnh có chủ đích.</x:v>
      </x:c>
      <x:c r="G42" t="str">
        <x:v>NOT_VERIFIED_AT_ATTRIBUTE_LEVEL</x:v>
      </x:c>
      <x:c r="H42" t="str">
        <x:v>INHERITED_FROM_SOURCE_NOT_SEPARATELY_APPROVED</x:v>
      </x:c>
      <x:c r="I42" t="str">
        <x:v>USER_PROFILE_CHOICE; LEGAL_UNVERIFIED</x:v>
      </x:c>
      <x:c r="J42" t="str">
        <x:v>Không phát hiện mâu thuẫn giá trị ngay tại dòng</x:v>
      </x:c>
      <x:c r="K42" t="str">
        <x:v>Chỉ thuộc tính nghiêng của văn bản trong ô; bảo toàn nhấn mạnh có chủ đích.</x:v>
      </x:c>
      <x:c r="L42" t="str"/>
      <x:c r="M42" t="str">
        <x:v>PASS_WITH_SCOPE_LIMITATION</x:v>
      </x:c>
      <x:c r="N42" t="str">
        <x:v>https://congbao.chinhphu.vn/van-ban/nghi-dinh-so-30-2020-nd-cp-30858/30246.htm</x:v>
      </x:c>
      <x:c r="O42" t="str">
        <x:v>BANG_ND30!G47</x:v>
      </x:c>
    </x:row>
    <x:row r="43">
      <x:c r="A43" t="n">
        <x:v>42</x:v>
      </x:c>
      <x:c r="B43" t="str">
        <x:v>ND30.N.BANG.O.CAN_NGANG</x:v>
      </x:c>
      <x:c r="C43" t="str">
        <x:v>Căn ngang nội dung ô</x:v>
      </x:c>
      <x:c r="D43" t="str">
        <x:v>ND30</x:v>
      </x:c>
      <x:c r="E43" t="str">
        <x:v>CENTER_STT_CODE; LEFT_TEXT; RIGHT_QUANTITIES</x:v>
      </x:c>
      <x:c r="F43" t="str">
        <x:v>Ma trận: tiêu đề, STT, mã ngắn CENTER; văn bản diễn giải LEFT; đại lượng tài chính/thống kê RIGHT.</x:v>
      </x:c>
      <x:c r="G43" t="str">
        <x:v>NOT_VERIFIED_AT_ATTRIBUTE_LEVEL</x:v>
      </x:c>
      <x:c r="H43" t="str">
        <x:v>USER_CHOSEN_V174_NOT_INTERNAL_SIGNOFF</x:v>
      </x:c>
      <x:c r="I43" t="str">
        <x:v>USER_PROFILE_CHOICE; LEGAL_UNVERIFIED</x:v>
      </x:c>
      <x:c r="J43" t="str">
        <x:v>Không phát hiện mâu thuẫn giá trị ngay tại dòng</x:v>
      </x:c>
      <x:c r="K43" t="str">
        <x:v>Định tuyến theo role: STT/mã ngắn CENTER; mô tả LEFT; số lượng/tiền RIGHT; ngày/số điện thoại không là đại lượng.</x:v>
      </x:c>
      <x:c r="L43" t="str"/>
      <x:c r="M43" t="str">
        <x:v>PASS_WITH_SCOPE_LIMITATION</x:v>
      </x:c>
      <x:c r="N43" t="str">
        <x:v>https://congbao.chinhphu.vn/van-ban/nghi-dinh-so-30-2020-nd-cp-30858/30246.htm</x:v>
      </x:c>
      <x:c r="O43" t="str">
        <x:v>BANG_ND30!G48</x:v>
      </x:c>
    </x:row>
    <x:row r="44">
      <x:c r="A44" t="n">
        <x:v>43</x:v>
      </x:c>
      <x:c r="B44" t="str">
        <x:v>ND30.N.BANG.O.CAN_DOC</x:v>
      </x:c>
      <x:c r="C44" t="str">
        <x:v>Căn dọc nội dung ô</x:v>
      </x:c>
      <x:c r="D44" t="str">
        <x:v>ND30</x:v>
      </x:c>
      <x:c r="E44" t="str">
        <x:v>CENTER</x:v>
      </x:c>
      <x:c r="F44" t="str">
        <x:v>Căn giữa theo chiều dọc theo profile; nếu bảng có đoạn văn nhiều dòng đặc thù, đối chiếu trước khi sửa.</x:v>
      </x:c>
      <x:c r="G44" t="str">
        <x:v>NOT_VERIFIED_AT_ATTRIBUTE_LEVEL</x:v>
      </x:c>
      <x:c r="H44" t="str">
        <x:v>USER_CHOSEN_V174_NOT_INTERNAL_SIGNOFF</x:v>
      </x:c>
      <x:c r="I44" t="str">
        <x:v>USER_PROFILE_CHOICE; LEGAL_UNVERIFIED</x:v>
      </x:c>
      <x:c r="J44" t="str">
        <x:v>LONG_MULTIPARAGRAPH_TOP_ALIGNMENT_REVIEW</x:v>
      </x:c>
      <x:c r="K44" t="str">
        <x:v>Center là mặc định profile; ô nhiều đoạn dài cần xem xét Top; không thay trước khi kiểm tra.</x:v>
      </x:c>
      <x:c r="L44" t="str"/>
      <x:c r="M44" t="str">
        <x:v>REVIEW</x:v>
      </x:c>
      <x:c r="N44" t="str">
        <x:v>https://congbao.chinhphu.vn/van-ban/nghi-dinh-so-30-2020-nd-cp-30858/30246.htm</x:v>
      </x:c>
      <x:c r="O44" t="str">
        <x:v>BANG_ND30!G49</x:v>
      </x:c>
    </x:row>
    <x:row r="45">
      <x:c r="A45" t="n">
        <x:v>44</x:v>
      </x:c>
      <x:c r="B45" t="str">
        <x:v>ND30.N.BANG.O.GIAN_DONG</x:v>
      </x:c>
      <x:c r="C45" t="str">
        <x:v>Giãn dòng trong ô</x:v>
      </x:c>
      <x:c r="D45" t="str">
        <x:v>ND30</x:v>
      </x:c>
      <x:c r="E45" t="str">
        <x:v>SINGLE</x:v>
      </x:c>
      <x:c r="F45" t="str">
        <x:v>Giãn dòng đơn trong ô bảng theo quyết định nội bộ; riêng HD05 phải đánh dấu cần đối chiếu quy định lời văn 18–22 pt, không kết luận tuân thủ pháp lý.</x:v>
      </x:c>
      <x:c r="G45" t="str">
        <x:v>NOT_VERIFIED_AT_ATTRIBUTE_LEVEL</x:v>
      </x:c>
      <x:c r="H45" t="str">
        <x:v>USER_CHOSEN_V174_NOT_INTERNAL_SIGNOFF</x:v>
      </x:c>
      <x:c r="I45" t="str">
        <x:v>USER_PROFILE_CHOICE; LEGAL_UNVERIFIED</x:v>
      </x:c>
      <x:c r="J45" t="str">
        <x:v>LINE_BOX_RISK_UNMEASURED</x:v>
      </x:c>
      <x:c r="K45" t="str">
        <x:v>Giãn dòng đơn trong ô bảng theo quyết định nội bộ; riêng HD05 phải đánh dấu cần đối chiếu quy định lời văn 18–22 pt, không kết luận tuân thủ pháp lý.</x:v>
      </x:c>
      <x:c r="L45" t="str"/>
      <x:c r="M45" t="str">
        <x:v>REVIEW</x:v>
      </x:c>
      <x:c r="N45" t="str">
        <x:v>https://congbao.chinhphu.vn/van-ban/nghi-dinh-so-30-2020-nd-cp-30858/30246.htm</x:v>
      </x:c>
      <x:c r="O45" t="str">
        <x:v>BANG_ND30!G50</x:v>
      </x:c>
    </x:row>
    <x:row r="46">
      <x:c r="A46" t="n">
        <x:v>45</x:v>
      </x:c>
      <x:c r="B46" t="str">
        <x:v>ND30.N.BANG.O.CACH_DOAN</x:v>
      </x:c>
      <x:c r="C46" t="str">
        <x:v>Cách đoạn bên trong ô</x:v>
      </x:c>
      <x:c r="D46" t="str">
        <x:v>ND30</x:v>
      </x:c>
      <x:c r="E46" t="n">
        <x:v>0</x:v>
      </x:c>
      <x:c r="F46" t="str">
        <x:v>Trong mỗi ô, cách TRƯỚC = 0 pt và cách SAU = 0 pt; không xóa đoạn rỗng có ý nghĩa chưa được duyệt.</x:v>
      </x:c>
      <x:c r="G46" t="str">
        <x:v>NOT_VERIFIED_AT_ATTRIBUTE_LEVEL</x:v>
      </x:c>
      <x:c r="H46" t="str">
        <x:v>USER_CHOSEN_V174_NOT_INTERNAL_SIGNOFF</x:v>
      </x:c>
      <x:c r="I46" t="str">
        <x:v>USER_PROFILE_CHOICE; LEGAL_UNVERIFIED</x:v>
      </x:c>
      <x:c r="J46" t="str">
        <x:v>Không phát hiện mâu thuẫn giá trị ngay tại dòng</x:v>
      </x:c>
      <x:c r="K46" t="str">
        <x:v>Trong mỗi ô, cách TRƯỚC = 0 pt và cách SAU = 0 pt; không xóa đoạn rỗng có ý nghĩa chưa được duyệt.</x:v>
      </x:c>
      <x:c r="L46" t="str"/>
      <x:c r="M46" t="str">
        <x:v>PASS_WITH_SCOPE_LIMITATION</x:v>
      </x:c>
      <x:c r="N46" t="str">
        <x:v>https://congbao.chinhphu.vn/van-ban/nghi-dinh-so-30-2020-nd-cp-30858/30246.htm</x:v>
      </x:c>
      <x:c r="O46" t="str">
        <x:v>BANG_ND30!G51</x:v>
      </x:c>
    </x:row>
    <x:row r="47">
      <x:c r="A47" t="n">
        <x:v>46</x:v>
      </x:c>
      <x:c r="B47" t="str">
        <x:v>ND30.N.BANG.O.LE_TRONG</x:v>
      </x:c>
      <x:c r="C47" t="str">
        <x:v>Lề trong ô</x:v>
      </x:c>
      <x:c r="D47" t="str">
        <x:v>ND30</x:v>
      </x:c>
      <x:c r="E47" t="n">
        <x:v>1.5</x:v>
      </x:c>
      <x:c r="F47" t="str">
        <x:v>Bốn lề trong ô: trên, dưới, trái, phải đều 1,5 mm; không áp cho caption ngoài bảng.</x:v>
      </x:c>
      <x:c r="G47" t="str">
        <x:v>NOT_VERIFIED_AT_ATTRIBUTE_LEVEL</x:v>
      </x:c>
      <x:c r="H47" t="str">
        <x:v>USER_CHOSEN_V174_NOT_INTERNAL_SIGNOFF</x:v>
      </x:c>
      <x:c r="I47" t="str">
        <x:v>USER_PROFILE_CHOICE; LEGAL_UNVERIFIED</x:v>
      </x:c>
      <x:c r="J47" t="str">
        <x:v>Không phát hiện mâu thuẫn giá trị ngay tại dòng</x:v>
      </x:c>
      <x:c r="K47" t="str">
        <x:v>Bốn lề trong ô: trên, dưới, trái, phải đều 1,5 mm; không áp cho caption ngoài bảng.</x:v>
      </x:c>
      <x:c r="L47" t="str"/>
      <x:c r="M47" t="str">
        <x:v>PASS_WITH_SCOPE_LIMITATION</x:v>
      </x:c>
      <x:c r="N47" t="str">
        <x:v>https://congbao.chinhphu.vn/van-ban/nghi-dinh-so-30-2020-nd-cp-30858/30246.htm</x:v>
      </x:c>
      <x:c r="O47" t="str">
        <x:v>BANG_ND30!G52</x:v>
      </x:c>
    </x:row>
    <x:row r="48">
      <x:c r="A48" t="n">
        <x:v>47</x:v>
      </x:c>
      <x:c r="B48" t="str">
        <x:v>ND30.N.BANG.O.XUONG_DONG</x:v>
      </x:c>
      <x:c r="C48" t="str">
        <x:v>Xuống dòng trong ô</x:v>
      </x:c>
      <x:c r="D48" t="str">
        <x:v>ND30</x:v>
      </x:c>
      <x:c r="E48" t="str">
        <x:v>TRUE</x:v>
      </x:c>
      <x:c r="F48" t="str">
        <x:v>Cho phép tự xuống dòng trong ô khi chạm lề; không biến thành hard line breaks.</x:v>
      </x:c>
      <x:c r="G48" t="str">
        <x:v>NOT_VERIFIED_AT_ATTRIBUTE_LEVEL</x:v>
      </x:c>
      <x:c r="H48" t="str">
        <x:v>USER_CHOSEN_V174_NOT_INTERNAL_SIGNOFF</x:v>
      </x:c>
      <x:c r="I48" t="str">
        <x:v>USER_PROFILE_CHOICE; LEGAL_UNVERIFIED</x:v>
      </x:c>
      <x:c r="J48" t="str">
        <x:v>Không phát hiện mâu thuẫn giá trị ngay tại dòng</x:v>
      </x:c>
      <x:c r="K48" t="str">
        <x:v>Cho phép tự xuống dòng trong ô khi chạm lề; không biến thành hard line breaks.</x:v>
      </x:c>
      <x:c r="L48" t="str"/>
      <x:c r="M48" t="str">
        <x:v>PASS_WITH_SCOPE_LIMITATION</x:v>
      </x:c>
      <x:c r="N48" t="str">
        <x:v>https://congbao.chinhphu.vn/van-ban/nghi-dinh-so-30-2020-nd-cp-30858/30246.htm</x:v>
      </x:c>
      <x:c r="O48" t="str">
        <x:v>BANG_ND30!G53</x:v>
      </x:c>
    </x:row>
    <x:row r="49">
      <x:c r="A49" t="n">
        <x:v>48</x:v>
      </x:c>
      <x:c r="B49" t="str">
        <x:v>ND30.N.BANG.O.TO_NEN</x:v>
      </x:c>
      <x:c r="C49" t="str">
        <x:v>Tô nền ô</x:v>
      </x:c>
      <x:c r="D49" t="str">
        <x:v>ND30</x:v>
      </x:c>
      <x:c r="E49" t="str">
        <x:v>NONE_NEW; PRESERVE_MEANINGFUL_EXISTING</x:v>
      </x:c>
      <x:c r="F49" t="str">
        <x:v>Không thêm nền mặc định, bảo toàn màu nền gốc có ý nghĩa.</x:v>
      </x:c>
      <x:c r="G49" t="str">
        <x:v>NOT_VERIFIED_AT_ATTRIBUTE_LEVEL</x:v>
      </x:c>
      <x:c r="H49" t="str">
        <x:v>USER_CHOSEN_V174_NOT_INTERNAL_SIGNOFF</x:v>
      </x:c>
      <x:c r="I49" t="str">
        <x:v>USER_PROFILE_CHOICE; LEGAL_UNVERIFIED</x:v>
      </x:c>
      <x:c r="J49" t="str">
        <x:v>Không phát hiện mâu thuẫn giá trị ngay tại dòng</x:v>
      </x:c>
      <x:c r="K49" t="str">
        <x:v>Không thêm nền; giữ nền gốc có ý nghĩa phân loại.</x:v>
      </x:c>
      <x:c r="L49" t="str"/>
      <x:c r="M49" t="str">
        <x:v>PASS_WITH_SCOPE_LIMITATION</x:v>
      </x:c>
      <x:c r="N49" t="str">
        <x:v>https://congbao.chinhphu.vn/van-ban/nghi-dinh-so-30-2020-nd-cp-30858/30246.htm</x:v>
      </x:c>
      <x:c r="O49" t="str">
        <x:v>BANG_ND30!G54</x:v>
      </x:c>
    </x:row>
    <x:row r="50">
      <x:c r="A50" t="n">
        <x:v>49</x:v>
      </x:c>
      <x:c r="B50" t="str">
        <x:v>ND30.N.BANG.O.DINH_DANG_SO</x:v>
      </x:c>
      <x:c r="C50" t="str">
        <x:v>Định dạng dữ liệu số</x:v>
      </x:c>
      <x:c r="D50" t="str">
        <x:v>ND30</x:v>
      </x:c>
      <x:c r="E50" t="str">
        <x:v>PRESERVE</x:v>
      </x:c>
      <x:c r="F50" t="str">
        <x:v>Chỉ ô dữ liệu số; giữ nguyên số thập phân, dấu âm, đơn vị, phần trăm.</x:v>
      </x:c>
      <x:c r="G50" t="str">
        <x:v>NOT_VERIFIED_AT_ATTRIBUTE_LEVEL</x:v>
      </x:c>
      <x:c r="H50" t="str">
        <x:v>INHERITED_FROM_SOURCE_NOT_SEPARATELY_APPROVED</x:v>
      </x:c>
      <x:c r="I50" t="str">
        <x:v>USER_PROFILE_CHOICE; LEGAL_UNVERIFIED</x:v>
      </x:c>
      <x:c r="J50" t="str">
        <x:v>Không phát hiện mâu thuẫn giá trị ngay tại dòng</x:v>
      </x:c>
      <x:c r="K50" t="str">
        <x:v>Chỉ ô dữ liệu số; giữ nguyên số thập phân, dấu âm, đơn vị, phần trăm.</x:v>
      </x:c>
      <x:c r="L50" t="str"/>
      <x:c r="M50" t="str">
        <x:v>PASS_WITH_SCOPE_LIMITATION</x:v>
      </x:c>
      <x:c r="N50" t="str">
        <x:v>https://congbao.chinhphu.vn/van-ban/nghi-dinh-so-30-2020-nd-cp-30858/30246.htm</x:v>
      </x:c>
      <x:c r="O50" t="str">
        <x:v>BANG_ND30!G55</x:v>
      </x:c>
    </x:row>
    <x:row r="51">
      <x:c r="A51" t="n">
        <x:v>50</x:v>
      </x:c>
      <x:c r="B51" t="str">
        <x:v>ND30.N.BANG.O.DU_LIEU</x:v>
      </x:c>
      <x:c r="C51" t="str">
        <x:v>Ô trống và ô có dữ liệu</x:v>
      </x:c>
      <x:c r="D51" t="str">
        <x:v>ND30</x:v>
      </x:c>
      <x:c r="E51" t="str">
        <x:v>PRESERVE</x:v>
      </x:c>
      <x:c r="F51" t="str">
        <x:v>Tất cả ô; giữ nguyên trống/không trống và vị trí dữ liệu.</x:v>
      </x:c>
      <x:c r="G51" t="str">
        <x:v>NOT_VERIFIED_AT_ATTRIBUTE_LEVEL</x:v>
      </x:c>
      <x:c r="H51" t="str">
        <x:v>INHERITED_FROM_SOURCE_NOT_SEPARATELY_APPROVED</x:v>
      </x:c>
      <x:c r="I51" t="str">
        <x:v>USER_PROFILE_CHOICE; LEGAL_UNVERIFIED</x:v>
      </x:c>
      <x:c r="J51" t="str">
        <x:v>Không phát hiện mâu thuẫn giá trị ngay tại dòng</x:v>
      </x:c>
      <x:c r="K51" t="str">
        <x:v>Tất cả ô; giữ nguyên trống/không trống và vị trí dữ liệu.</x:v>
      </x:c>
      <x:c r="L51" t="str"/>
      <x:c r="M51" t="str">
        <x:v>PASS_WITH_SCOPE_LIMITATION</x:v>
      </x:c>
      <x:c r="N51" t="str">
        <x:v>https://congbao.chinhphu.vn/van-ban/nghi-dinh-so-30-2020-nd-cp-30858/30246.htm</x:v>
      </x:c>
      <x:c r="O51" t="str">
        <x:v>BANG_ND30!G56</x:v>
      </x:c>
    </x:row>
    <x:row r="52">
      <x:c r="A52" t="n">
        <x:v>51</x:v>
      </x:c>
      <x:c r="B52" t="str">
        <x:v>ND30.N.BANG.VIEN.NGOAI</x:v>
      </x:c>
      <x:c r="C52" t="str">
        <x:v>Khung bao toàn bảng</x:v>
      </x:c>
      <x:c r="D52" t="str">
        <x:v>ND30</x:v>
      </x:c>
      <x:c r="E52" t="str">
        <x:v>SINGLE_IF_FRAMED</x:v>
      </x:c>
      <x:c r="F52" t="str">
        <x:v>Bảng đã dùng khung: viền ngoài nét liền; bảng không khung không tự thêm viền.</x:v>
      </x:c>
      <x:c r="G52" t="str">
        <x:v>NOT_VERIFIED_AT_ATTRIBUTE_LEVEL</x:v>
      </x:c>
      <x:c r="H52" t="str">
        <x:v>USER_CHOSEN_V174_NOT_INTERNAL_SIGNOFF</x:v>
      </x:c>
      <x:c r="I52" t="str">
        <x:v>USER_PROFILE_CHOICE; LEGAL_UNVERIFIED</x:v>
      </x:c>
      <x:c r="J52" t="str">
        <x:v>Không phát hiện mâu thuẫn giá trị ngay tại dòng</x:v>
      </x:c>
      <x:c r="K52" t="str">
        <x:v>Bảng đã dùng khung: viền ngoài nét liền; bảng không khung không tự thêm viền.</x:v>
      </x:c>
      <x:c r="L52" t="str"/>
      <x:c r="M52" t="str">
        <x:v>PASS_WITH_SCOPE_LIMITATION</x:v>
      </x:c>
      <x:c r="N52" t="str">
        <x:v>https://congbao.chinhphu.vn/van-ban/nghi-dinh-so-30-2020-nd-cp-30858/30246.htm</x:v>
      </x:c>
      <x:c r="O52" t="str">
        <x:v>BANG_ND30!G57</x:v>
      </x:c>
    </x:row>
    <x:row r="53">
      <x:c r="A53" t="n">
        <x:v>52</x:v>
      </x:c>
      <x:c r="B53" t="str">
        <x:v>ND30.N.BANG.VIEN.NGANG</x:v>
      </x:c>
      <x:c r="C53" t="str">
        <x:v>Đường kẻ nội bộ ngang</x:v>
      </x:c>
      <x:c r="D53" t="str">
        <x:v>ND30</x:v>
      </x:c>
      <x:c r="E53" t="str">
        <x:v>SINGLE_IF_FRAMED</x:v>
      </x:c>
      <x:c r="F53" t="str">
        <x:v>Đường nội bộ ngang nét đơn khi bảng dùng đường viền; không tự vẽ cho bảng không khung.</x:v>
      </x:c>
      <x:c r="G53" t="str">
        <x:v>NOT_VERIFIED_AT_ATTRIBUTE_LEVEL</x:v>
      </x:c>
      <x:c r="H53" t="str">
        <x:v>USER_CHOSEN_V174_NOT_INTERNAL_SIGNOFF</x:v>
      </x:c>
      <x:c r="I53" t="str">
        <x:v>USER_PROFILE_CHOICE; LEGAL_UNVERIFIED</x:v>
      </x:c>
      <x:c r="J53" t="str">
        <x:v>Không phát hiện mâu thuẫn giá trị ngay tại dòng</x:v>
      </x:c>
      <x:c r="K53" t="str">
        <x:v>Đường nội bộ ngang nét đơn khi bảng dùng đường viền; không tự vẽ cho bảng không khung.</x:v>
      </x:c>
      <x:c r="L53" t="str"/>
      <x:c r="M53" t="str">
        <x:v>PASS_WITH_SCOPE_LIMITATION</x:v>
      </x:c>
      <x:c r="N53" t="str">
        <x:v>https://congbao.chinhphu.vn/van-ban/nghi-dinh-so-30-2020-nd-cp-30858/30246.htm</x:v>
      </x:c>
      <x:c r="O53" t="str">
        <x:v>BANG_ND30!G58</x:v>
      </x:c>
    </x:row>
    <x:row r="54">
      <x:c r="A54" t="n">
        <x:v>53</x:v>
      </x:c>
      <x:c r="B54" t="str">
        <x:v>ND30.N.BANG.VIEN.DOC</x:v>
      </x:c>
      <x:c r="C54" t="str">
        <x:v>Đường kẻ nội bộ dọc</x:v>
      </x:c>
      <x:c r="D54" t="str">
        <x:v>ND30</x:v>
      </x:c>
      <x:c r="E54" t="str">
        <x:v>SINGLE_IF_FRAMED</x:v>
      </x:c>
      <x:c r="F54" t="str">
        <x:v>Đường nội bộ dọc nét đơn khi bảng dùng đường viền; không tự vẽ cho bảng không khung.</x:v>
      </x:c>
      <x:c r="G54" t="str">
        <x:v>NOT_VERIFIED_AT_ATTRIBUTE_LEVEL</x:v>
      </x:c>
      <x:c r="H54" t="str">
        <x:v>USER_CHOSEN_V174_NOT_INTERNAL_SIGNOFF</x:v>
      </x:c>
      <x:c r="I54" t="str">
        <x:v>USER_PROFILE_CHOICE; LEGAL_UNVERIFIED</x:v>
      </x:c>
      <x:c r="J54" t="str">
        <x:v>Không phát hiện mâu thuẫn giá trị ngay tại dòng</x:v>
      </x:c>
      <x:c r="K54" t="str">
        <x:v>Đường nội bộ dọc nét đơn khi bảng dùng đường viền; không tự vẽ cho bảng không khung.</x:v>
      </x:c>
      <x:c r="L54" t="str"/>
      <x:c r="M54" t="str">
        <x:v>PASS_WITH_SCOPE_LIMITATION</x:v>
      </x:c>
      <x:c r="N54" t="str">
        <x:v>https://congbao.chinhphu.vn/van-ban/nghi-dinh-so-30-2020-nd-cp-30858/30246.htm</x:v>
      </x:c>
      <x:c r="O54" t="str">
        <x:v>BANG_ND30!G59</x:v>
      </x:c>
    </x:row>
    <x:row r="55">
      <x:c r="A55" t="n">
        <x:v>54</x:v>
      </x:c>
      <x:c r="B55" t="str">
        <x:v>ND30.N.BANG.VIEN.DO_DAY</x:v>
      </x:c>
      <x:c r="C55" t="str">
        <x:v>Độ dày đường viền bảng</x:v>
      </x:c>
      <x:c r="D55" t="str">
        <x:v>ND30</x:v>
      </x:c>
      <x:c r="E55" t="n">
        <x:v>0.5</x:v>
      </x:c>
      <x:c r="F55" t="str">
        <x:v>Độ dày 0,5 pt chỉ khi bảng có khung; đây là profile, không phải tiêu chuẩn pháp lý quốc gia.</x:v>
      </x:c>
      <x:c r="G55" t="str">
        <x:v>NOT_VERIFIED_AT_ATTRIBUTE_LEVEL</x:v>
      </x:c>
      <x:c r="H55" t="str">
        <x:v>USER_CHOSEN_V174_NOT_INTERNAL_SIGNOFF</x:v>
      </x:c>
      <x:c r="I55" t="str">
        <x:v>USER_PROFILE_CHOICE; LEGAL_UNVERIFIED</x:v>
      </x:c>
      <x:c r="J55" t="str">
        <x:v>BORDER_WEIGHT_PROFILE_NOT_LEGAL</x:v>
      </x:c>
      <x:c r="K55" t="str">
        <x:v>Độ dày 0,5 pt chỉ khi bảng có khung; đây là profile, không phải tiêu chuẩn pháp lý quốc gia.</x:v>
      </x:c>
      <x:c r="L55" t="str"/>
      <x:c r="M55" t="str">
        <x:v>REVIEW</x:v>
      </x:c>
      <x:c r="N55" t="str">
        <x:v>https://congbao.chinhphu.vn/van-ban/nghi-dinh-so-30-2020-nd-cp-30858/30246.htm</x:v>
      </x:c>
      <x:c r="O55" t="str">
        <x:v>BANG_ND30!G60</x:v>
      </x:c>
    </x:row>
    <x:row r="56">
      <x:c r="A56" t="n">
        <x:v>55</x:v>
      </x:c>
      <x:c r="B56" t="str">
        <x:v>ND30.N.BANG.GOP_O.NGANG</x:v>
      </x:c>
      <x:c r="C56" t="str">
        <x:v>Gộp ngang ô</x:v>
      </x:c>
      <x:c r="D56" t="str">
        <x:v>ND30</x:v>
      </x:c>
      <x:c r="E56" t="str">
        <x:v>PRESERVE</x:v>
      </x:c>
      <x:c r="F56" t="str">
        <x:v>Khi có ô gộp theo hàng; giữ nguyên số cột và các vùng gộp.</x:v>
      </x:c>
      <x:c r="G56" t="str">
        <x:v>NOT_VERIFIED_AT_ATTRIBUTE_LEVEL</x:v>
      </x:c>
      <x:c r="H56" t="str">
        <x:v>INHERITED_FROM_SOURCE_NOT_SEPARATELY_APPROVED</x:v>
      </x:c>
      <x:c r="I56" t="str">
        <x:v>USER_PROFILE_CHOICE; LEGAL_UNVERIFIED</x:v>
      </x:c>
      <x:c r="J56" t="str">
        <x:v>Không phát hiện mâu thuẫn giá trị ngay tại dòng</x:v>
      </x:c>
      <x:c r="K56" t="str">
        <x:v>Bảo toàn semantic header-data mapping, không được mất hàng/nhãn khi gộp.</x:v>
      </x:c>
      <x:c r="L56" t="str"/>
      <x:c r="M56" t="str">
        <x:v>PASS_WITH_SCOPE_LIMITATION</x:v>
      </x:c>
      <x:c r="N56" t="str">
        <x:v>https://congbao.chinhphu.vn/van-ban/nghi-dinh-so-30-2020-nd-cp-30858/30246.htm</x:v>
      </x:c>
      <x:c r="O56" t="str">
        <x:v>BANG_ND30!G61</x:v>
      </x:c>
    </x:row>
    <x:row r="57">
      <x:c r="A57" t="n">
        <x:v>56</x:v>
      </x:c>
      <x:c r="B57" t="str">
        <x:v>ND30.N.BANG.GOP_O.DOC</x:v>
      </x:c>
      <x:c r="C57" t="str">
        <x:v>Gộp dọc ô</x:v>
      </x:c>
      <x:c r="D57" t="str">
        <x:v>ND30</x:v>
      </x:c>
      <x:c r="E57" t="str">
        <x:v>PRESERVE</x:v>
      </x:c>
      <x:c r="F57" t="str">
        <x:v>Khi có ô gộp theo cột; giữ nguyên quan hệ dữ liệu và chiều cao hàng.</x:v>
      </x:c>
      <x:c r="G57" t="str">
        <x:v>NOT_VERIFIED_AT_ATTRIBUTE_LEVEL</x:v>
      </x:c>
      <x:c r="H57" t="str">
        <x:v>INHERITED_FROM_SOURCE_NOT_SEPARATELY_APPROVED</x:v>
      </x:c>
      <x:c r="I57" t="str">
        <x:v>USER_PROFILE_CHOICE; LEGAL_UNVERIFIED</x:v>
      </x:c>
      <x:c r="J57" t="str">
        <x:v>Không phát hiện mâu thuẫn giá trị ngay tại dòng</x:v>
      </x:c>
      <x:c r="K57" t="str">
        <x:v>Bảo toàn semantic header-data mapping, không được mất hàng/nhãn khi gộp.</x:v>
      </x:c>
      <x:c r="L57" t="str"/>
      <x:c r="M57" t="str">
        <x:v>PASS_WITH_SCOPE_LIMITATION</x:v>
      </x:c>
      <x:c r="N57" t="str">
        <x:v>https://congbao.chinhphu.vn/van-ban/nghi-dinh-so-30-2020-nd-cp-30858/30246.htm</x:v>
      </x:c>
      <x:c r="O57" t="str">
        <x:v>BANG_ND30!G62</x:v>
      </x:c>
    </x:row>
    <x:row r="58">
      <x:c r="A58" t="n">
        <x:v>57</x:v>
      </x:c>
      <x:c r="B58" t="str">
        <x:v>ND30.N.BANG.GOP_O.TINH_TOAN</x:v>
      </x:c>
      <x:c r="C58" t="str">
        <x:v>Giữ dữ liệu khi ô gộp</x:v>
      </x:c>
      <x:c r="D58" t="str">
        <x:v>ND30</x:v>
      </x:c>
      <x:c r="E58" t="str">
        <x:v>PRESERVE</x:v>
      </x:c>
      <x:c r="F58" t="str">
        <x:v>Khi tồn tại ô gộp; không làm mất dữ liệu trong bất kỳ ô liên quan.</x:v>
      </x:c>
      <x:c r="G58" t="str">
        <x:v>NOT_VERIFIED_AT_ATTRIBUTE_LEVEL</x:v>
      </x:c>
      <x:c r="H58" t="str">
        <x:v>INHERITED_FROM_SOURCE_NOT_SEPARATELY_APPROVED</x:v>
      </x:c>
      <x:c r="I58" t="str">
        <x:v>USER_PROFILE_CHOICE; LEGAL_UNVERIFIED</x:v>
      </x:c>
      <x:c r="J58" t="str">
        <x:v>Không phát hiện mâu thuẫn giá trị ngay tại dòng</x:v>
      </x:c>
      <x:c r="K58" t="str">
        <x:v>Bảo toàn semantic header-data mapping, không được mất hàng/nhãn khi gộp.</x:v>
      </x:c>
      <x:c r="L58" t="str"/>
      <x:c r="M58" t="str">
        <x:v>PASS_WITH_SCOPE_LIMITATION</x:v>
      </x:c>
      <x:c r="N58" t="str">
        <x:v>https://congbao.chinhphu.vn/van-ban/nghi-dinh-so-30-2020-nd-cp-30858/30246.htm</x:v>
      </x:c>
      <x:c r="O58" t="str">
        <x:v>BANG_ND30!G63</x:v>
      </x:c>
    </x:row>
    <x:row r="59">
      <x:c r="A59" t="n">
        <x:v>58</x:v>
      </x:c>
      <x:c r="B59" t="str">
        <x:v>ND30.N.BANG.NGAT_TRANG.GIU_DAU_BANG</x:v>
      </x:c>
      <x:c r="C59" t="str">
        <x:v>Giữ hàng đầu bảng khi sang trang</x:v>
      </x:c>
      <x:c r="D59" t="str">
        <x:v>ND30</x:v>
      </x:c>
      <x:c r="E59" t="str">
        <x:v>YES_IF_MULTIPAGE</x:v>
      </x:c>
      <x:c r="F59" t="str">
        <x:v>MÃ THAM CHIẾU. Áp dụng cùng quyết định với ND30.N.BANG.DAU_BANG.LAP_LAI. Khi bảng nội dung chính chiếm từ 2 trang trở lên VÀ xác định được nhóm hàng tiêu đề liên tiếp từ hàng đầu: BẮT BUỘC lặp đầy đủ nhóm hàng tiêu đề trên mỗi trang sau. Không lặp hàng nhóm, hàng dữ liệu hoặc tiêu đề ngoài bảng. Nếu chưa xác định header, đánh dấu CẦN XÁC NHẬN; không tự bịa nhãn.</x:v>
      </x:c>
      <x:c r="G59" t="str">
        <x:v>NOT_VERIFIED_AT_ATTRIBUTE_LEVEL</x:v>
      </x:c>
      <x:c r="H59" t="str">
        <x:v>USER_CONFIRMED</x:v>
      </x:c>
      <x:c r="I59" t="str">
        <x:v>USER_PROFILE_CHOICE; LEGAL_UNVERIFIED</x:v>
      </x:c>
      <x:c r="J59" t="str">
        <x:v>ALIAS_SAME_DECISION</x:v>
      </x:c>
      <x:c r="K59" t="str">
        <x:v>MÃ THAM CHIẾU. Áp dụng cùng quyết định với ND30.N.BANG.DAU_BANG.LAP_LAI. Khi bảng nội dung chính chiếm từ 2 trang trở lên VÀ xác định được nhóm hàng tiêu đề liên tiếp từ hàng đầu: BẮT BUỘC lặp đầy đủ nhóm hàng tiêu đề trên mỗi trang sau. Không lặp hàng nhóm, hàng dữ liệu hoặc tiêu đề ngoài bảng. Nếu chưa xác định header, đánh dấu CẦN XÁC NHẬN; không tự bịa nhãn.</x:v>
      </x:c>
      <x:c r="L59" t="str">
        <x:v>ND30.N.BANG.DAU_BANG.LAP_LAI</x:v>
      </x:c>
      <x:c r="M59" t="str">
        <x:v>REVIEW</x:v>
      </x:c>
      <x:c r="N59" t="str">
        <x:v>https://congbao.chinhphu.vn/van-ban/nghi-dinh-so-30-2020-nd-cp-30858/30246.htm</x:v>
      </x:c>
      <x:c r="O59" t="str">
        <x:v>BANG_ND30!G64</x:v>
      </x:c>
    </x:row>
    <x:row r="60">
      <x:c r="A60" t="n">
        <x:v>59</x:v>
      </x:c>
      <x:c r="B60" t="str">
        <x:v>ND30.N.BANG.NGAT_TRANG.BANG_DAI</x:v>
      </x:c>
      <x:c r="C60" t="str">
        <x:v>Cắt trang cho bảng dài</x:v>
      </x:c>
      <x:c r="D60" t="str">
        <x:v>ND30</x:v>
      </x:c>
      <x:c r="E60" t="str">
        <x:v>AUTO_BREAK_BETWEEN_ROWS</x:v>
      </x:c>
      <x:c r="F60" t="str">
        <x:v>Bảng nhiều trang ngắt giữa các hàng, không ép cả bảng ở một trang; phải lặp đầy đủ hàng tiêu đề.</x:v>
      </x:c>
      <x:c r="G60" t="str">
        <x:v>NOT_VERIFIED_AT_ATTRIBUTE_LEVEL</x:v>
      </x:c>
      <x:c r="H60" t="str">
        <x:v>USER_CHOSEN_V174_NOT_INTERNAL_SIGNOFF</x:v>
      </x:c>
      <x:c r="I60" t="str">
        <x:v>USER_PROFILE_CHOICE; LEGAL_UNVERIFIED</x:v>
      </x:c>
      <x:c r="J60" t="str">
        <x:v>Không phát hiện mâu thuẫn giá trị ngay tại dòng</x:v>
      </x:c>
      <x:c r="K60" t="str">
        <x:v>Bảng nhiều trang ngắt giữa các hàng, không ép cả bảng ở một trang; phải lặp đầy đủ hàng tiêu đề.</x:v>
      </x:c>
      <x:c r="L60" t="str"/>
      <x:c r="M60" t="str">
        <x:v>PASS_WITH_SCOPE_LIMITATION</x:v>
      </x:c>
      <x:c r="N60" t="str">
        <x:v>https://congbao.chinhphu.vn/van-ban/nghi-dinh-so-30-2020-nd-cp-30858/30246.htm</x:v>
      </x:c>
      <x:c r="O60" t="str">
        <x:v>BANG_ND30!G65</x:v>
      </x:c>
    </x:row>
    <x:row r="61">
      <x:c r="A61" t="n">
        <x:v>60</x:v>
      </x:c>
      <x:c r="B61" t="str">
        <x:v>ND30.N.BANG.NGAT_TRANG.KHONG_HANG_MO_COI</x:v>
      </x:c>
      <x:c r="C61" t="str">
        <x:v>Kiểm soát hàng cuối/trang đầu</x:v>
      </x:c>
      <x:c r="D61" t="str">
        <x:v>ND30</x:v>
      </x:c>
      <x:c r="E61" t="str">
        <x:v>REVIEW</x:v>
      </x:c>
      <x:c r="F61" t="str">
        <x:v>Chỉ bảng nhiều trang có một hàng lẻ cuối/đầu trang; ưu tiên dễ đọc, không đảo thứ tự.</x:v>
      </x:c>
      <x:c r="G61" t="str">
        <x:v>NOT_VERIFIED_AT_ATTRIBUTE_LEVEL</x:v>
      </x:c>
      <x:c r="H61" t="str">
        <x:v>INHERITED_FROM_SOURCE_NOT_SEPARATELY_APPROVED</x:v>
      </x:c>
      <x:c r="I61" t="str">
        <x:v>USER_PROFILE_CHOICE; LEGAL_UNVERIFIED</x:v>
      </x:c>
      <x:c r="J61" t="str">
        <x:v>Không phát hiện mâu thuẫn giá trị ngay tại dòng</x:v>
      </x:c>
      <x:c r="K61" t="str">
        <x:v>Chỉ bảng nhiều trang có một hàng lẻ cuối/đầu trang; ưu tiên dễ đọc, không đảo thứ tự.</x:v>
      </x:c>
      <x:c r="L61" t="str"/>
      <x:c r="M61" t="str">
        <x:v>PASS_WITH_SCOPE_LIMITATION</x:v>
      </x:c>
      <x:c r="N61" t="str">
        <x:v>https://congbao.chinhphu.vn/van-ban/nghi-dinh-so-30-2020-nd-cp-30858/30246.htm</x:v>
      </x:c>
      <x:c r="O61" t="str">
        <x:v>BANG_ND30!G66</x:v>
      </x:c>
    </x:row>
    <x:row r="62">
      <x:c r="A62" t="n">
        <x:v>61</x:v>
      </x:c>
      <x:c r="B62" t="str">
        <x:v>ND30.N.BANG.GHI_CHU.DON_VI</x:v>
      </x:c>
      <x:c r="C62" t="str">
        <x:v>Dòng đơn vị tính</x:v>
      </x:c>
      <x:c r="D62" t="str">
        <x:v>ND30</x:v>
      </x:c>
      <x:c r="E62" t="str">
        <x:v>PRESERVE</x:v>
      </x:c>
      <x:c r="F62" t="str">
        <x:v>Khi có dòng đơn vị tính liên hệ với bảng; xác định dòng ở ngoài hay trong ô trước khi chọn font.</x:v>
      </x:c>
      <x:c r="G62" t="str">
        <x:v>NOT_VERIFIED_AT_ATTRIBUTE_LEVEL</x:v>
      </x:c>
      <x:c r="H62" t="str">
        <x:v>INHERITED_FROM_SOURCE_NOT_SEPARATELY_APPROVED</x:v>
      </x:c>
      <x:c r="I62" t="str">
        <x:v>USER_PROFILE_CHOICE; LEGAL_UNVERIFIED</x:v>
      </x:c>
      <x:c r="J62" t="str">
        <x:v>Không phát hiện mâu thuẫn giá trị ngay tại dòng</x:v>
      </x:c>
      <x:c r="K62" t="str">
        <x:v>Khi có dòng đơn vị tính liên hệ với bảng; xác định dòng ở ngoài hay trong ô trước khi chọn font.</x:v>
      </x:c>
      <x:c r="L62" t="str"/>
      <x:c r="M62" t="str">
        <x:v>PASS_WITH_SCOPE_LIMITATION</x:v>
      </x:c>
      <x:c r="N62" t="str">
        <x:v>https://congbao.chinhphu.vn/van-ban/nghi-dinh-so-30-2020-nd-cp-30858/30246.htm</x:v>
      </x:c>
      <x:c r="O62" t="str">
        <x:v>BANG_ND30!G67</x:v>
      </x:c>
    </x:row>
    <x:row r="63">
      <x:c r="A63" t="n">
        <x:v>62</x:v>
      </x:c>
      <x:c r="B63" t="str">
        <x:v>ND30.N.BANG.GHI_CHU.NGUON</x:v>
      </x:c>
      <x:c r="C63" t="str">
        <x:v>Dòng nguồn dữ liệu</x:v>
      </x:c>
      <x:c r="D63" t="str">
        <x:v>ND30</x:v>
      </x:c>
      <x:c r="E63" t="str">
        <x:v>PRESERVE</x:v>
      </x:c>
      <x:c r="F63" t="str">
        <x:v>Khi có dòng nguồn dữ liệu liên hệ với bảng; bảo toàn nội dung nguồn gốc.</x:v>
      </x:c>
      <x:c r="G63" t="str">
        <x:v>NOT_VERIFIED_AT_ATTRIBUTE_LEVEL</x:v>
      </x:c>
      <x:c r="H63" t="str">
        <x:v>INHERITED_FROM_SOURCE_NOT_SEPARATELY_APPROVED</x:v>
      </x:c>
      <x:c r="I63" t="str">
        <x:v>USER_PROFILE_CHOICE; LEGAL_UNVERIFIED</x:v>
      </x:c>
      <x:c r="J63" t="str">
        <x:v>Không phát hiện mâu thuẫn giá trị ngay tại dòng</x:v>
      </x:c>
      <x:c r="K63" t="str">
        <x:v>Khi có dòng nguồn dữ liệu liên hệ với bảng; bảo toàn nội dung nguồn gốc.</x:v>
      </x:c>
      <x:c r="L63" t="str"/>
      <x:c r="M63" t="str">
        <x:v>PASS_WITH_SCOPE_LIMITATION</x:v>
      </x:c>
      <x:c r="N63" t="str">
        <x:v>https://congbao.chinhphu.vn/van-ban/nghi-dinh-so-30-2020-nd-cp-30858/30246.htm</x:v>
      </x:c>
      <x:c r="O63" t="str">
        <x:v>BANG_ND30!G68</x:v>
      </x:c>
    </x:row>
    <x:row r="64">
      <x:c r="A64" t="n">
        <x:v>63</x:v>
      </x:c>
      <x:c r="B64" t="str">
        <x:v>ND30.N.BANG.GHI_CHU.CHU_THICH</x:v>
      </x:c>
      <x:c r="C64" t="str">
        <x:v>Chú thích dưới bảng</x:v>
      </x:c>
      <x:c r="D64" t="str">
        <x:v>ND30</x:v>
      </x:c>
      <x:c r="E64" t="str">
        <x:v>PRESERVE</x:v>
      </x:c>
      <x:c r="F64" t="str">
        <x:v>Khi có chú thích dưới bảng; nếu ở ngoài bảng không tự áp cỡ chữ ô 13.</x:v>
      </x:c>
      <x:c r="G64" t="str">
        <x:v>NOT_VERIFIED_AT_ATTRIBUTE_LEVEL</x:v>
      </x:c>
      <x:c r="H64" t="str">
        <x:v>INHERITED_FROM_SOURCE_NOT_SEPARATELY_APPROVED</x:v>
      </x:c>
      <x:c r="I64" t="str">
        <x:v>USER_PROFILE_CHOICE; LEGAL_UNVERIFIED</x:v>
      </x:c>
      <x:c r="J64" t="str">
        <x:v>Không phát hiện mâu thuẫn giá trị ngay tại dòng</x:v>
      </x:c>
      <x:c r="K64" t="str">
        <x:v>Khi có chú thích dưới bảng; nếu ở ngoài bảng không tự áp cỡ chữ ô 13.</x:v>
      </x:c>
      <x:c r="L64" t="str"/>
      <x:c r="M64" t="str">
        <x:v>PASS_WITH_SCOPE_LIMITATION</x:v>
      </x:c>
      <x:c r="N64" t="str">
        <x:v>https://congbao.chinhphu.vn/van-ban/nghi-dinh-so-30-2020-nd-cp-30858/30246.htm</x:v>
      </x:c>
      <x:c r="O64" t="str">
        <x:v>BANG_ND30!G69</x:v>
      </x:c>
    </x:row>
    <x:row r="65">
      <x:c r="A65" t="n">
        <x:v>64</x:v>
      </x:c>
      <x:c r="B65" t="str">
        <x:v>ND30.N.BANG.GHI_CHU.CACH_BANG</x:v>
      </x:c>
      <x:c r="C65" t="str">
        <x:v>Khoảng cách chú thích với bảng</x:v>
      </x:c>
      <x:c r="D65" t="str">
        <x:v>ND30</x:v>
      </x:c>
      <x:c r="E65" t="n">
        <x:v>6</x:v>
      </x:c>
      <x:c r="F65" t="str">
        <x:v>Giữa mép dưới bảng và chú thích/nguồn NGOÀI bảng: 6 pt; không cộng BO_CUC.KHOANG_SAU; chú thích trong ô không áp.</x:v>
      </x:c>
      <x:c r="G65" t="str">
        <x:v>NOT_VERIFIED_AT_ATTRIBUTE_LEVEL</x:v>
      </x:c>
      <x:c r="H65" t="str">
        <x:v>USER_CHOSEN_V174_NOT_INTERNAL_SIGNOFF</x:v>
      </x:c>
      <x:c r="I65" t="str">
        <x:v>USER_PROFILE_CHOICE; LEGAL_UNVERIFIED</x:v>
      </x:c>
      <x:c r="J65" t="str">
        <x:v>SPACING_COLLAPSE_NOT_NATIVE_WORD_GUARANTEE</x:v>
      </x:c>
      <x:c r="K65" t="str">
        <x:v>6 pt là khoảng của RANH GIỚI, không cộng vào spacing hiện có. Mỗi ranh giới chọn một quy tắc ưu tiên caption/chú thích &gt; đoạn thường.</x:v>
      </x:c>
      <x:c r="L65" t="str"/>
      <x:c r="M65" t="str">
        <x:v>REVIEW</x:v>
      </x:c>
      <x:c r="N65" t="str">
        <x:v>https://congbao.chinhphu.vn/van-ban/nghi-dinh-so-30-2020-nd-cp-30858/30246.htm</x:v>
      </x:c>
      <x:c r="O65" t="str">
        <x:v>BANG_ND30!G70</x:v>
      </x:c>
    </x:row>
    <x:row r="66">
      <x:c r="A66" t="n">
        <x:v>65</x:v>
      </x:c>
      <x:c r="B66" t="str">
        <x:v>ND30.N.BANG.BANG_LONG.NHAN_DIEN</x:v>
      </x:c>
      <x:c r="C66" t="str">
        <x:v>Bảng lồng trong ô</x:v>
      </x:c>
      <x:c r="D66" t="str">
        <x:v>ND30</x:v>
      </x:c>
      <x:c r="E66" t="str">
        <x:v>DETECT_ONLY</x:v>
      </x:c>
      <x:c r="F66" t="str">
        <x:v>Chỉ khi một ô chứa bảng con; không coi bảng con là một hàng của bảng cha.</x:v>
      </x:c>
      <x:c r="G66" t="str">
        <x:v>NOT_VERIFIED_AT_ATTRIBUTE_LEVEL</x:v>
      </x:c>
      <x:c r="H66" t="str">
        <x:v>INHERITED_FROM_SOURCE_NOT_SEPARATELY_APPROVED</x:v>
      </x:c>
      <x:c r="I66" t="str">
        <x:v>USER_PROFILE_CHOICE; LEGAL_UNVERIFIED</x:v>
      </x:c>
      <x:c r="J66" t="str">
        <x:v>Không phát hiện mâu thuẫn giá trị ngay tại dòng</x:v>
      </x:c>
      <x:c r="K66" t="str">
        <x:v>Chỉ khi một ô chứa bảng con; không coi bảng con là một hàng của bảng cha.</x:v>
      </x:c>
      <x:c r="L66" t="str"/>
      <x:c r="M66" t="str">
        <x:v>PASS_WITH_SCOPE_LIMITATION</x:v>
      </x:c>
      <x:c r="N66" t="str">
        <x:v>https://congbao.chinhphu.vn/van-ban/nghi-dinh-so-30-2020-nd-cp-30858/30246.htm</x:v>
      </x:c>
      <x:c r="O66" t="str">
        <x:v>BANG_ND30!G71</x:v>
      </x:c>
    </x:row>
    <x:row r="67">
      <x:c r="A67" t="n">
        <x:v>66</x:v>
      </x:c>
      <x:c r="B67" t="str">
        <x:v>ND30.N.BANG.BANG_LONG.BAO_TOAN</x:v>
      </x:c>
      <x:c r="C67" t="str">
        <x:v>Bảo toàn cấu trúc bảng lồng</x:v>
      </x:c>
      <x:c r="D67" t="str">
        <x:v>ND30</x:v>
      </x:c>
      <x:c r="E67" t="str">
        <x:v>PRESERVE</x:v>
      </x:c>
      <x:c r="F67" t="str">
        <x:v>Khi tồn tại bảng lồng; giữ nguyên số ô, cấu trúc và nội dung bảng con.</x:v>
      </x:c>
      <x:c r="G67" t="str">
        <x:v>NOT_VERIFIED_AT_ATTRIBUTE_LEVEL</x:v>
      </x:c>
      <x:c r="H67" t="str">
        <x:v>INHERITED_FROM_SOURCE_NOT_SEPARATELY_APPROVED</x:v>
      </x:c>
      <x:c r="I67" t="str">
        <x:v>USER_PROFILE_CHOICE; LEGAL_UNVERIFIED</x:v>
      </x:c>
      <x:c r="J67" t="str">
        <x:v>Không phát hiện mâu thuẫn giá trị ngay tại dòng</x:v>
      </x:c>
      <x:c r="K67" t="str">
        <x:v>Khi tồn tại bảng lồng; giữ nguyên số ô, cấu trúc và nội dung bảng con.</x:v>
      </x:c>
      <x:c r="L67" t="str"/>
      <x:c r="M67" t="str">
        <x:v>PASS_WITH_SCOPE_LIMITATION</x:v>
      </x:c>
      <x:c r="N67" t="str">
        <x:v>https://congbao.chinhphu.vn/van-ban/nghi-dinh-so-30-2020-nd-cp-30858/30246.htm</x:v>
      </x:c>
      <x:c r="O67" t="str">
        <x:v>BANG_ND30!G72</x:v>
      </x:c>
    </x:row>
    <x:row r="68">
      <x:c r="A68" t="n">
        <x:v>67</x:v>
      </x:c>
      <x:c r="B68" t="str">
        <x:v>HD05.N.BANG.BO_CUC.NHAN_DIEN</x:v>
      </x:c>
      <x:c r="C68" t="str">
        <x:v>Nhận diện bảng dữ liệu</x:v>
      </x:c>
      <x:c r="D68" t="str">
        <x:v>HD05</x:v>
      </x:c>
      <x:c r="E68" t="str">
        <x:v>DATA</x:v>
      </x:c>
      <x:c r="F68" t="str">
        <x:v>Bảng dữ liệu thật nằm trong phần nội dung chính; loại trừ bảng dùng để căn chỉnh phần đầu/cuối.</x:v>
      </x:c>
      <x:c r="G68" t="str">
        <x:v>NOT_VERIFIED_AT_ATTRIBUTE_LEVEL</x:v>
      </x:c>
      <x:c r="H68" t="str">
        <x:v>INHERITED_FROM_SOURCE_NOT_SEPARATELY_APPROVED</x:v>
      </x:c>
      <x:c r="I68" t="str">
        <x:v>USER_PROFILE_CHOICE; LEGAL_UNVERIFIED</x:v>
      </x:c>
      <x:c r="J68" t="str">
        <x:v>Không phát hiện mâu thuẫn giá trị ngay tại dòng</x:v>
      </x:c>
      <x:c r="K68" t="str">
        <x:v>Bảng dữ liệu thật nằm trong phần nội dung chính; loại trừ bảng dùng để căn chỉnh phần đầu/cuối.</x:v>
      </x:c>
      <x:c r="L68" t="str"/>
      <x:c r="M68" t="str">
        <x:v>PASS_WITH_SCOPE_LIMITATION</x:v>
      </x:c>
      <x:c r="N68" t="str">
        <x:v>https://tulieuvankien.dangcongsan.vn/upload/2006988/20260529/HD_05_VPTW_e1550.pdf</x:v>
      </x:c>
      <x:c r="O68" t="str">
        <x:v>BANG_HD05!G7</x:v>
      </x:c>
    </x:row>
    <x:row r="69">
      <x:c r="A69" t="n">
        <x:v>68</x:v>
      </x:c>
      <x:c r="B69" t="str">
        <x:v>HD05.N.BANG.BO_CUC.VAI_TRO</x:v>
      </x:c>
      <x:c r="C69" t="str">
        <x:v>Vai trò bảng trong thân văn bản</x:v>
      </x:c>
      <x:c r="D69" t="str">
        <x:v>HD05</x:v>
      </x:c>
      <x:c r="E69" t="str">
        <x:v>BODY</x:v>
      </x:c>
      <x:c r="F69" t="str">
        <x:v>Bảng đã xác định thuộc nội dung chính, không phải Header/Footer hoặc phần phụ trợ.</x:v>
      </x:c>
      <x:c r="G69" t="str">
        <x:v>NOT_VERIFIED_AT_ATTRIBUTE_LEVEL</x:v>
      </x:c>
      <x:c r="H69" t="str">
        <x:v>INHERITED_FROM_SOURCE_NOT_SEPARATELY_APPROVED</x:v>
      </x:c>
      <x:c r="I69" t="str">
        <x:v>USER_PROFILE_CHOICE; LEGAL_UNVERIFIED</x:v>
      </x:c>
      <x:c r="J69" t="str">
        <x:v>Không phát hiện mâu thuẫn giá trị ngay tại dòng</x:v>
      </x:c>
      <x:c r="K69" t="str">
        <x:v>Bảng đã xác định thuộc nội dung chính, không phải Header/Footer hoặc phần phụ trợ.</x:v>
      </x:c>
      <x:c r="L69" t="str"/>
      <x:c r="M69" t="str">
        <x:v>PASS_WITH_SCOPE_LIMITATION</x:v>
      </x:c>
      <x:c r="N69" t="str">
        <x:v>https://tulieuvankien.dangcongsan.vn/upload/2006988/20260529/HD_05_VPTW_e1550.pdf</x:v>
      </x:c>
      <x:c r="O69" t="str">
        <x:v>BANG_HD05!G8</x:v>
      </x:c>
    </x:row>
    <x:row r="70">
      <x:c r="A70" t="n">
        <x:v>69</x:v>
      </x:c>
      <x:c r="B70" t="str">
        <x:v>HD05.N.BANG.BO_CUC.CAN_BANG</x:v>
      </x:c>
      <x:c r="C70" t="str">
        <x:v>Căn ngang toàn bảng</x:v>
      </x:c>
      <x:c r="D70" t="str">
        <x:v>HD05</x:v>
      </x:c>
      <x:c r="E70" t="str">
        <x:v>CENTER</x:v>
      </x:c>
      <x:c r="F70" t="str">
        <x:v>Căn giữa khung bảng trong vùng nội dung hữu dụng; không căn theo khổ giấy bỏ qua lề.</x:v>
      </x:c>
      <x:c r="G70" t="str">
        <x:v>NOT_VERIFIED_AT_ATTRIBUTE_LEVEL</x:v>
      </x:c>
      <x:c r="H70" t="str">
        <x:v>USER_CHOSEN_V174_NOT_INTERNAL_SIGNOFF</x:v>
      </x:c>
      <x:c r="I70" t="str">
        <x:v>USER_PROFILE_CHOICE; LEGAL_UNVERIFIED</x:v>
      </x:c>
      <x:c r="J70" t="str">
        <x:v>Không phát hiện mâu thuẫn giá trị ngay tại dòng</x:v>
      </x:c>
      <x:c r="K70" t="str">
        <x:v>Căn giữa khung bảng trong vùng nội dung hữu dụng; không căn theo khổ giấy bỏ qua lề.</x:v>
      </x:c>
      <x:c r="L70" t="str"/>
      <x:c r="M70" t="str">
        <x:v>PASS_WITH_SCOPE_LIMITATION</x:v>
      </x:c>
      <x:c r="N70" t="str">
        <x:v>https://tulieuvankien.dangcongsan.vn/upload/2006988/20260529/HD_05_VPTW_e1550.pdf</x:v>
      </x:c>
      <x:c r="O70" t="str">
        <x:v>BANG_HD05!G9</x:v>
      </x:c>
    </x:row>
    <x:row r="71">
      <x:c r="A71" t="n">
        <x:v>70</x:v>
      </x:c>
      <x:c r="B71" t="str">
        <x:v>HD05.N.BANG.BO_CUC.CHIEU_RONG</x:v>
      </x:c>
      <x:c r="C71" t="str">
        <x:v>Chiều rộng ưu tiên của bảng</x:v>
      </x:c>
      <x:c r="D71" t="str">
        <x:v>HD05</x:v>
      </x:c>
      <x:c r="E71" t="n">
        <x:v>100</x:v>
      </x:c>
      <x:c r="F71" t="str">
        <x:v>100% vùng nội dung là mục tiêu khi lập/điều chỉnh bảng; ưu tiên giữ độ rộng thủ công nếu đang đẹp và không tràn lề.</x:v>
      </x:c>
      <x:c r="G71" t="str">
        <x:v>NOT_VERIFIED_AT_ATTRIBUTE_LEVEL</x:v>
      </x:c>
      <x:c r="H71" t="str">
        <x:v>USER_CHOSEN_V174_NOT_INTERNAL_SIGNOFF</x:v>
      </x:c>
      <x:c r="I71" t="str">
        <x:v>USER_PROFILE_CHOICE; LEGAL_UNVERIFIED</x:v>
      </x:c>
      <x:c r="J71" t="str">
        <x:v>WIDTH_100_VS_PRESERVE_NEEDS_BRANCH</x:v>
      </x:c>
      <x:c r="K71" t="str">
        <x:v>100% là mục tiêu nếu hợp lý; không làm méo cột đã đạt; khi xung đột, ưu tiên bảo toàn bố cục hợp lệ.</x:v>
      </x:c>
      <x:c r="L71" t="str"/>
      <x:c r="M71" t="str">
        <x:v>REVIEW</x:v>
      </x:c>
      <x:c r="N71" t="str">
        <x:v>https://tulieuvankien.dangcongsan.vn/upload/2006988/20260529/HD_05_VPTW_e1550.pdf</x:v>
      </x:c>
      <x:c r="O71" t="str">
        <x:v>BANG_HD05!G10</x:v>
      </x:c>
    </x:row>
    <x:row r="72">
      <x:c r="A72" t="n">
        <x:v>71</x:v>
      </x:c>
      <x:c r="B72" t="str">
        <x:v>HD05.N.BANG.BO_CUC.AUTOFIT</x:v>
      </x:c>
      <x:c r="C72" t="str">
        <x:v>Chế độ điều chỉnh độ rộng bảng</x:v>
      </x:c>
      <x:c r="D72" t="str">
        <x:v>HD05</x:v>
      </x:c>
      <x:c r="E72" t="str">
        <x:v>PRESERVE_IF_VALID_ELSE_AUTOFIT_WINDOW</x:v>
      </x:c>
      <x:c r="F72" t="str">
        <x:v>Ưu tiên giữ độ rộng khi bảng nằm trong lề và dễ đọc; khi tràn lề mới điều chỉnh vừa cửa sổ/vùng in rồi kiểm tra cột, ô gộp.</x:v>
      </x:c>
      <x:c r="G72" t="str">
        <x:v>NOT_VERIFIED_AT_ATTRIBUTE_LEVEL</x:v>
      </x:c>
      <x:c r="H72" t="str">
        <x:v>USER_CHOSEN_V174_NOT_INTERNAL_SIGNOFF</x:v>
      </x:c>
      <x:c r="I72" t="str">
        <x:v>USER_PROFILE_CHOICE; LEGAL_UNVERIFIED</x:v>
      </x:c>
      <x:c r="J72" t="str">
        <x:v>AUTOFIT_WINDOW_ALONE_NOT_SUFFICIENT</x:v>
      </x:c>
      <x:c r="K72" t="str">
        <x:v>Ưu tiên preserve nếu bảng nằm lề và đọc được; nếu tràn, đánh dấu REVIEW, không xem AutoFit là bảo đảm.</x:v>
      </x:c>
      <x:c r="L72" t="str"/>
      <x:c r="M72" t="str">
        <x:v>REVIEW</x:v>
      </x:c>
      <x:c r="N72" t="str">
        <x:v>https://tulieuvankien.dangcongsan.vn/upload/2006988/20260529/HD_05_VPTW_e1550.pdf</x:v>
      </x:c>
      <x:c r="O72" t="str">
        <x:v>BANG_HD05!G11</x:v>
      </x:c>
    </x:row>
    <x:row r="73">
      <x:c r="A73" t="n">
        <x:v>72</x:v>
      </x:c>
      <x:c r="B73" t="str">
        <x:v>HD05.N.BANG.BO_CUC.KHOANG_THUT</x:v>
      </x:c>
      <x:c r="C73" t="str">
        <x:v>Thụt trái toàn bảng</x:v>
      </x:c>
      <x:c r="D73" t="str">
        <x:v>HD05</x:v>
      </x:c>
      <x:c r="E73" t="n">
        <x:v>0</x:v>
      </x:c>
      <x:c r="F73" t="str">
        <x:v>Bảng chính không thụt trái so với mép vùng nội dung; không di chuyển bảng có bố cục riêng đã duyệt.</x:v>
      </x:c>
      <x:c r="G73" t="str">
        <x:v>NOT_VERIFIED_AT_ATTRIBUTE_LEVEL</x:v>
      </x:c>
      <x:c r="H73" t="str">
        <x:v>USER_CHOSEN_V174_NOT_INTERNAL_SIGNOFF</x:v>
      </x:c>
      <x:c r="I73" t="str">
        <x:v>USER_PROFILE_CHOICE; LEGAL_UNVERIFIED</x:v>
      </x:c>
      <x:c r="J73" t="str">
        <x:v>Không phát hiện mâu thuẫn giá trị ngay tại dòng</x:v>
      </x:c>
      <x:c r="K73" t="str">
        <x:v>Bảng chính không thụt trái so với mép vùng nội dung; không di chuyển bảng có bố cục riêng đã duyệt.</x:v>
      </x:c>
      <x:c r="L73" t="str"/>
      <x:c r="M73" t="str">
        <x:v>PASS_WITH_SCOPE_LIMITATION</x:v>
      </x:c>
      <x:c r="N73" t="str">
        <x:v>https://tulieuvankien.dangcongsan.vn/upload/2006988/20260529/HD_05_VPTW_e1550.pdf</x:v>
      </x:c>
      <x:c r="O73" t="str">
        <x:v>BANG_HD05!G12</x:v>
      </x:c>
    </x:row>
    <x:row r="74">
      <x:c r="A74" t="n">
        <x:v>73</x:v>
      </x:c>
      <x:c r="B74" t="str">
        <x:v>HD05.N.BANG.BO_CUC.CHIEU_TRANG</x:v>
      </x:c>
      <x:c r="C74" t="str">
        <x:v>Hướng trang khi có bảng rộng</x:v>
      </x:c>
      <x:c r="D74" t="str">
        <x:v>HD05</x:v>
      </x:c>
      <x:c r="E74" t="str">
        <x:v>PORTRAIT_DEFAULT; LANDSCAPE_IF_NEEDED</x:v>
      </x:c>
      <x:c r="F74" t="str">
        <x:v>Khi văn bản có bảng/biểu và cần trình bày trang ngang; phải bảo toàn vùng in và các section còn lại.</x:v>
      </x:c>
      <x:c r="G74" t="str">
        <x:v>SOURCE_CHECKED_SCOPE_ONLY</x:v>
      </x:c>
      <x:c r="H74" t="str">
        <x:v>INHERITED_FROM_SOURCE_NOT_SEPARATELY_APPROVED</x:v>
      </x:c>
      <x:c r="I74" t="str">
        <x:v>WORKBOOK_SOURCE_STATUS_SOURCE_CHECKED_SCOPE_ONLY</x:v>
      </x:c>
      <x:c r="J74" t="str">
        <x:v>Không phát hiện mâu thuẫn giá trị ngay tại dòng</x:v>
      </x:c>
      <x:c r="K74" t="str">
        <x:v>Khi văn bản có bảng/biểu và cần trình bày trang ngang; phải bảo toàn vùng in và các section còn lại.</x:v>
      </x:c>
      <x:c r="L74" t="str"/>
      <x:c r="M74" t="str">
        <x:v>PASS_WITH_SCOPE_LIMITATION</x:v>
      </x:c>
      <x:c r="N74" t="str">
        <x:v>https://tulieuvankien.dangcongsan.vn/upload/2006988/20260529/HD_05_VPTW_e1550.pdf</x:v>
      </x:c>
      <x:c r="O74" t="str">
        <x:v>BANG_HD05!G13</x:v>
      </x:c>
    </x:row>
    <x:row r="75">
      <x:c r="A75" t="n">
        <x:v>74</x:v>
      </x:c>
      <x:c r="B75" t="str">
        <x:v>HD05.N.BANG.BO_CUC.TACH_SECTION</x:v>
      </x:c>
      <x:c r="C75" t="str">
        <x:v>Vùng section chứa bảng ngang</x:v>
      </x:c>
      <x:c r="D75" t="str">
        <x:v>HD05</x:v>
      </x:c>
      <x:c r="E75" t="str">
        <x:v>REVIEW_REQUIRED</x:v>
      </x:c>
      <x:c r="F75" t="str">
        <x:v>Chỉ xét khi bảng rộng cần trang ngang; không đổi hướng các trang khác.</x:v>
      </x:c>
      <x:c r="G75" t="str">
        <x:v>NOT_VERIFIED_AT_ATTRIBUTE_LEVEL</x:v>
      </x:c>
      <x:c r="H75" t="str">
        <x:v>INHERITED_FROM_SOURCE_NOT_SEPARATELY_APPROVED</x:v>
      </x:c>
      <x:c r="I75" t="str">
        <x:v>USER_PROFILE_CHOICE; LEGAL_UNVERIFIED</x:v>
      </x:c>
      <x:c r="J75" t="str">
        <x:v>Không phát hiện mâu thuẫn giá trị ngay tại dòng</x:v>
      </x:c>
      <x:c r="K75" t="str">
        <x:v>Chỉ xét khi bảng rộng cần trang ngang; không đổi hướng các trang khác.</x:v>
      </x:c>
      <x:c r="L75" t="str"/>
      <x:c r="M75" t="str">
        <x:v>PASS_WITH_SCOPE_LIMITATION</x:v>
      </x:c>
      <x:c r="N75" t="str">
        <x:v>https://tulieuvankien.dangcongsan.vn/upload/2006988/20260529/HD_05_VPTW_e1550.pdf</x:v>
      </x:c>
      <x:c r="O75" t="str">
        <x:v>BANG_HD05!G14</x:v>
      </x:c>
    </x:row>
    <x:row r="76">
      <x:c r="A76" t="n">
        <x:v>75</x:v>
      </x:c>
      <x:c r="B76" t="str">
        <x:v>HD05.N.BANG.BO_CUC.KHOANG_TRUOC</x:v>
      </x:c>
      <x:c r="C76" t="str">
        <x:v>Khoảng cách trước bảng</x:v>
      </x:c>
      <x:c r="D76" t="str">
        <x:v>HD05</x:v>
      </x:c>
      <x:c r="E76" t="n">
        <x:v>6</x:v>
      </x:c>
      <x:c r="F76" t="str">
        <x:v>Đoạn văn thường ngay trước bảng; khoảng cách HIỂN THỊ mục tiêu 6 pt, không cộng thêm với space_after đoạn trước; nếu caption ngoài bảng thì nhường rule caption.</x:v>
      </x:c>
      <x:c r="G76" t="str">
        <x:v>NOT_VERIFIED_AT_ATTRIBUTE_LEVEL</x:v>
      </x:c>
      <x:c r="H76" t="str">
        <x:v>USER_CHOSEN_V174_NOT_INTERNAL_SIGNOFF</x:v>
      </x:c>
      <x:c r="I76" t="str">
        <x:v>USER_PROFILE_CHOICE; LEGAL_UNVERIFIED</x:v>
      </x:c>
      <x:c r="J76" t="str">
        <x:v>SPACING_COLLAPSE_NOT_NATIVE_WORD_GUARANTEE</x:v>
      </x:c>
      <x:c r="K76" t="str">
        <x:v>6 pt là khoảng của RANH GIỚI, không cộng vào spacing hiện có. Mỗi ranh giới chọn một quy tắc ưu tiên caption/chú thích &gt; đoạn thường.</x:v>
      </x:c>
      <x:c r="L76" t="str"/>
      <x:c r="M76" t="str">
        <x:v>REVIEW</x:v>
      </x:c>
      <x:c r="N76" t="str">
        <x:v>https://tulieuvankien.dangcongsan.vn/upload/2006988/20260529/HD_05_VPTW_e1550.pdf</x:v>
      </x:c>
      <x:c r="O76" t="str">
        <x:v>BANG_HD05!G15</x:v>
      </x:c>
    </x:row>
    <x:row r="77">
      <x:c r="A77" t="n">
        <x:v>76</x:v>
      </x:c>
      <x:c r="B77" t="str">
        <x:v>HD05.N.BANG.BO_CUC.KHOANG_SAU</x:v>
      </x:c>
      <x:c r="C77" t="str">
        <x:v>Khoảng cách sau bảng</x:v>
      </x:c>
      <x:c r="D77" t="str">
        <x:v>HD05</x:v>
      </x:c>
      <x:c r="E77" t="n">
        <x:v>6</x:v>
      </x:c>
      <x:c r="F77" t="str">
        <x:v>Đoạn văn thường ngay sau bảng; khoảng cách HIỂN THỊ mục tiêu 6 pt, không cộng với space_before tiếp sau; nếu ghi chú ngoài bảng thì nhường rule ghi chú.</x:v>
      </x:c>
      <x:c r="G77" t="str">
        <x:v>NOT_VERIFIED_AT_ATTRIBUTE_LEVEL</x:v>
      </x:c>
      <x:c r="H77" t="str">
        <x:v>USER_CHOSEN_V174_NOT_INTERNAL_SIGNOFF</x:v>
      </x:c>
      <x:c r="I77" t="str">
        <x:v>USER_PROFILE_CHOICE; LEGAL_UNVERIFIED</x:v>
      </x:c>
      <x:c r="J77" t="str">
        <x:v>SPACING_COLLAPSE_NOT_NATIVE_WORD_GUARANTEE</x:v>
      </x:c>
      <x:c r="K77" t="str">
        <x:v>6 pt là khoảng của RANH GIỚI, không cộng vào spacing hiện có. Mỗi ranh giới chọn một quy tắc ưu tiên caption/chú thích &gt; đoạn thường.</x:v>
      </x:c>
      <x:c r="L77" t="str"/>
      <x:c r="M77" t="str">
        <x:v>REVIEW</x:v>
      </x:c>
      <x:c r="N77" t="str">
        <x:v>https://tulieuvankien.dangcongsan.vn/upload/2006988/20260529/HD_05_VPTW_e1550.pdf</x:v>
      </x:c>
      <x:c r="O77" t="str">
        <x:v>BANG_HD05!G16</x:v>
      </x:c>
    </x:row>
    <x:row r="78">
      <x:c r="A78" t="n">
        <x:v>77</x:v>
      </x:c>
      <x:c r="B78" t="str">
        <x:v>HD05.N.BANG.BO_CUC.PHAN_BIET_HEADER</x:v>
      </x:c>
      <x:c r="C78" t="str">
        <x:v>Bảo vệ bảng bố cục</x:v>
      </x:c>
      <x:c r="D78" t="str">
        <x:v>HD05</x:v>
      </x:c>
      <x:c r="E78" t="str">
        <x:v>EXCLUDE_HEADER_FOOTER_LAYOUT</x:v>
      </x:c>
      <x:c r="F78" t="str">
        <x:v>Khi có bảng dàn trang hoặc nằm trong Header/Footer; không áp rule bảng dữ liệu.</x:v>
      </x:c>
      <x:c r="G78" t="str">
        <x:v>NOT_VERIFIED_AT_ATTRIBUTE_LEVEL</x:v>
      </x:c>
      <x:c r="H78" t="str">
        <x:v>INHERITED_FROM_SOURCE_NOT_SEPARATELY_APPROVED</x:v>
      </x:c>
      <x:c r="I78" t="str">
        <x:v>USER_PROFILE_CHOICE; LEGAL_UNVERIFIED</x:v>
      </x:c>
      <x:c r="J78" t="str">
        <x:v>Không phát hiện mâu thuẫn giá trị ngay tại dòng</x:v>
      </x:c>
      <x:c r="K78" t="str">
        <x:v>Khi có bảng dàn trang hoặc nằm trong Header/Footer; không áp rule bảng dữ liệu.</x:v>
      </x:c>
      <x:c r="L78" t="str"/>
      <x:c r="M78" t="str">
        <x:v>PASS_WITH_SCOPE_LIMITATION</x:v>
      </x:c>
      <x:c r="N78" t="str">
        <x:v>https://tulieuvankien.dangcongsan.vn/upload/2006988/20260529/HD_05_VPTW_e1550.pdf</x:v>
      </x:c>
      <x:c r="O78" t="str">
        <x:v>BANG_HD05!G17</x:v>
      </x:c>
    </x:row>
    <x:row r="79">
      <x:c r="A79" t="n">
        <x:v>78</x:v>
      </x:c>
      <x:c r="B79" t="str">
        <x:v>HD05.N.BANG.TIEU_DE.NOI_DUNG</x:v>
      </x:c>
      <x:c r="C79" t="str">
        <x:v>Nội dung tiêu đề bảng</x:v>
      </x:c>
      <x:c r="D79" t="str">
        <x:v>HD05</x:v>
      </x:c>
      <x:c r="E79" t="str">
        <x:v>PRESERVE</x:v>
      </x:c>
      <x:c r="F79" t="str">
        <x:v>Khi có tiêu đề bảng nằm ngay trước hoặc liên kết rõ với bảng; bảo toàn chữ gốc.</x:v>
      </x:c>
      <x:c r="G79" t="str">
        <x:v>NOT_VERIFIED_AT_ATTRIBUTE_LEVEL</x:v>
      </x:c>
      <x:c r="H79" t="str">
        <x:v>INHERITED_FROM_SOURCE_NOT_SEPARATELY_APPROVED</x:v>
      </x:c>
      <x:c r="I79" t="str">
        <x:v>USER_PROFILE_CHOICE; LEGAL_UNVERIFIED</x:v>
      </x:c>
      <x:c r="J79" t="str">
        <x:v>Không phát hiện mâu thuẫn giá trị ngay tại dòng</x:v>
      </x:c>
      <x:c r="K79" t="str">
        <x:v>Khi có tiêu đề bảng nằm ngay trước hoặc liên kết rõ với bảng; bảo toàn chữ gốc.</x:v>
      </x:c>
      <x:c r="L79" t="str"/>
      <x:c r="M79" t="str">
        <x:v>PASS_WITH_SCOPE_LIMITATION</x:v>
      </x:c>
      <x:c r="N79" t="str">
        <x:v>https://tulieuvankien.dangcongsan.vn/upload/2006988/20260529/HD_05_VPTW_e1550.pdf</x:v>
      </x:c>
      <x:c r="O79" t="str">
        <x:v>BANG_HD05!G18</x:v>
      </x:c>
    </x:row>
    <x:row r="80">
      <x:c r="A80" t="n">
        <x:v>79</x:v>
      </x:c>
      <x:c r="B80" t="str">
        <x:v>HD05.N.BANG.TIEU_DE.KIEU_CHU</x:v>
      </x:c>
      <x:c r="C80" t="str">
        <x:v>Kiểu chữ tiêu đề bảng</x:v>
      </x:c>
      <x:c r="D80" t="str">
        <x:v>HD05</x:v>
      </x:c>
      <x:c r="E80" t="str">
        <x:v>Times New Roman; 13 pt; BOLD; UPRIGHT</x:v>
      </x:c>
      <x:c r="F80" t="str">
        <x:v>Chỉ tiêu đề NGOÀI bảng đã xác định; không áp cho dòng tiêu đề cột và không ghi đè nội dung chữ.</x:v>
      </x:c>
      <x:c r="G80" t="str">
        <x:v>NOT_VERIFIED_AT_ATTRIBUTE_LEVEL</x:v>
      </x:c>
      <x:c r="H80" t="str">
        <x:v>USER_CHOSEN_V174_NOT_INTERNAL_SIGNOFF</x:v>
      </x:c>
      <x:c r="I80" t="str">
        <x:v>USER_PROFILE_CHOICE; LEGAL_UNVERIFIED</x:v>
      </x:c>
      <x:c r="J80" t="str">
        <x:v>Không phát hiện mâu thuẫn giá trị ngay tại dòng</x:v>
      </x:c>
      <x:c r="K80" t="str">
        <x:v>Chỉ tiêu đề NGOÀI bảng đã xác định; không áp cho dòng tiêu đề cột và không ghi đè nội dung chữ.</x:v>
      </x:c>
      <x:c r="L80" t="str"/>
      <x:c r="M80" t="str">
        <x:v>PASS_WITH_SCOPE_LIMITATION</x:v>
      </x:c>
      <x:c r="N80" t="str">
        <x:v>https://tulieuvankien.dangcongsan.vn/upload/2006988/20260529/HD_05_VPTW_e1550.pdf</x:v>
      </x:c>
      <x:c r="O80" t="str">
        <x:v>BANG_HD05!G19</x:v>
      </x:c>
    </x:row>
    <x:row r="81">
      <x:c r="A81" t="n">
        <x:v>80</x:v>
      </x:c>
      <x:c r="B81" t="str">
        <x:v>HD05.N.BANG.TIEU_DE.CAN_NGANG</x:v>
      </x:c>
      <x:c r="C81" t="str">
        <x:v>Căn ngang tiêu đề bảng</x:v>
      </x:c>
      <x:c r="D81" t="str">
        <x:v>HD05</x:v>
      </x:c>
      <x:c r="E81" t="str">
        <x:v>CENTER</x:v>
      </x:c>
      <x:c r="F81" t="str">
        <x:v>Căn giữa tiêu đề theo chiều ngang bảng; nếu bố cục không cho phép thì ghi ngoại lệ.</x:v>
      </x:c>
      <x:c r="G81" t="str">
        <x:v>NOT_VERIFIED_AT_ATTRIBUTE_LEVEL</x:v>
      </x:c>
      <x:c r="H81" t="str">
        <x:v>USER_CHOSEN_V174_NOT_INTERNAL_SIGNOFF</x:v>
      </x:c>
      <x:c r="I81" t="str">
        <x:v>USER_PROFILE_CHOICE; LEGAL_UNVERIFIED</x:v>
      </x:c>
      <x:c r="J81" t="str">
        <x:v>Không phát hiện mâu thuẫn giá trị ngay tại dòng</x:v>
      </x:c>
      <x:c r="K81" t="str">
        <x:v>Căn giữa tiêu đề theo chiều ngang bảng; nếu bố cục không cho phép thì ghi ngoại lệ.</x:v>
      </x:c>
      <x:c r="L81" t="str"/>
      <x:c r="M81" t="str">
        <x:v>PASS_WITH_SCOPE_LIMITATION</x:v>
      </x:c>
      <x:c r="N81" t="str">
        <x:v>https://tulieuvankien.dangcongsan.vn/upload/2006988/20260529/HD_05_VPTW_e1550.pdf</x:v>
      </x:c>
      <x:c r="O81" t="str">
        <x:v>BANG_HD05!G20</x:v>
      </x:c>
    </x:row>
    <x:row r="82">
      <x:c r="A82" t="n">
        <x:v>81</x:v>
      </x:c>
      <x:c r="B82" t="str">
        <x:v>HD05.N.BANG.TIEU_DE.GIU_CUNG_BANG</x:v>
      </x:c>
      <x:c r="C82" t="str">
        <x:v>Giữ tiêu đề và bảng cùng trang</x:v>
      </x:c>
      <x:c r="D82" t="str">
        <x:v>HD05</x:v>
      </x:c>
      <x:c r="E82" t="str">
        <x:v>TRUE</x:v>
      </x:c>
      <x:c r="F82" t="str">
        <x:v>Giữ caption với hàng/nhóm hàng đầu của bảng, không ép toàn bảng nhiều trang ở một trang.</x:v>
      </x:c>
      <x:c r="G82" t="str">
        <x:v>NOT_VERIFIED_AT_ATTRIBUTE_LEVEL</x:v>
      </x:c>
      <x:c r="H82" t="str">
        <x:v>USER_CHOSEN_V174_NOT_INTERNAL_SIGNOFF</x:v>
      </x:c>
      <x:c r="I82" t="str">
        <x:v>USER_PROFILE_CHOICE; LEGAL_UNVERIFIED</x:v>
      </x:c>
      <x:c r="J82" t="str">
        <x:v>Không phát hiện mâu thuẫn giá trị ngay tại dòng</x:v>
      </x:c>
      <x:c r="K82" t="str">
        <x:v>Giữ caption với hàng/nhóm hàng đầu của bảng, không ép toàn bảng nhiều trang ở một trang.</x:v>
      </x:c>
      <x:c r="L82" t="str"/>
      <x:c r="M82" t="str">
        <x:v>PASS_WITH_SCOPE_LIMITATION</x:v>
      </x:c>
      <x:c r="N82" t="str">
        <x:v>https://tulieuvankien.dangcongsan.vn/upload/2006988/20260529/HD_05_VPTW_e1550.pdf</x:v>
      </x:c>
      <x:c r="O82" t="str">
        <x:v>BANG_HD05!G21</x:v>
      </x:c>
    </x:row>
    <x:row r="83">
      <x:c r="A83" t="n">
        <x:v>82</x:v>
      </x:c>
      <x:c r="B83" t="str">
        <x:v>HD05.N.BANG.TIEU_DE.KHOANG_CACH</x:v>
      </x:c>
      <x:c r="C83" t="str">
        <x:v>Khoảng cách tiêu đề và bảng</x:v>
      </x:c>
      <x:c r="D83" t="str">
        <x:v>HD05</x:v>
      </x:c>
      <x:c r="E83" t="n">
        <x:v>6</x:v>
      </x:c>
      <x:c r="F83" t="str">
        <x:v>Giữa caption NGOÀI bảng và mép trên bảng 6 pt; không cộng BO_CUC.KHOANG_TRUOC; caption space_before 6 pt là một ranh giới khác.</x:v>
      </x:c>
      <x:c r="G83" t="str">
        <x:v>NOT_VERIFIED_AT_ATTRIBUTE_LEVEL</x:v>
      </x:c>
      <x:c r="H83" t="str">
        <x:v>USER_CHOSEN_V174_NOT_INTERNAL_SIGNOFF</x:v>
      </x:c>
      <x:c r="I83" t="str">
        <x:v>USER_PROFILE_CHOICE; LEGAL_UNVERIFIED</x:v>
      </x:c>
      <x:c r="J83" t="str">
        <x:v>SPACING_COLLAPSE_NOT_NATIVE_WORD_GUARANTEE</x:v>
      </x:c>
      <x:c r="K83" t="str">
        <x:v>6 pt là khoảng của RANH GIỚI, không cộng vào spacing hiện có. Mỗi ranh giới chọn một quy tắc ưu tiên caption/chú thích &gt; đoạn thường.</x:v>
      </x:c>
      <x:c r="L83" t="str"/>
      <x:c r="M83" t="str">
        <x:v>REVIEW</x:v>
      </x:c>
      <x:c r="N83" t="str">
        <x:v>https://tulieuvankien.dangcongsan.vn/upload/2006988/20260529/HD_05_VPTW_e1550.pdf</x:v>
      </x:c>
      <x:c r="O83" t="str">
        <x:v>BANG_HD05!G22</x:v>
      </x:c>
    </x:row>
    <x:row r="84">
      <x:c r="A84" t="n">
        <x:v>83</x:v>
      </x:c>
      <x:c r="B84" t="str">
        <x:v>HD05.N.BANG.DAU_BANG.NHAN_DIEN</x:v>
      </x:c>
      <x:c r="C84" t="str">
        <x:v>Nhận diện hàng đầu bảng</x:v>
      </x:c>
      <x:c r="D84" t="str">
        <x:v>HD05</x:v>
      </x:c>
      <x:c r="E84" t="str">
        <x:v>MANUAL_OR_SEMANTIC</x:v>
      </x:c>
      <x:c r="F84" t="str">
        <x:v>Chỉ một hoặc nhiều hàng đầu đóng vai trò NHÃN CỘT, không mặc định hàng đầu luôn là tiêu đề.</x:v>
      </x:c>
      <x:c r="G84" t="str">
        <x:v>NOT_VERIFIED_AT_ATTRIBUTE_LEVEL</x:v>
      </x:c>
      <x:c r="H84" t="str">
        <x:v>INHERITED_FROM_SOURCE_NOT_SEPARATELY_APPROVED</x:v>
      </x:c>
      <x:c r="I84" t="str">
        <x:v>USER_PROFILE_CHOICE; LEGAL_UNVERIFIED</x:v>
      </x:c>
      <x:c r="J84" t="str">
        <x:v>Không phát hiện mâu thuẫn giá trị ngay tại dòng</x:v>
      </x:c>
      <x:c r="K84" t="str">
        <x:v>Chỉ một hoặc nhiều hàng đầu đóng vai trò NHÃN CỘT, không mặc định hàng đầu luôn là tiêu đề.</x:v>
      </x:c>
      <x:c r="L84" t="str"/>
      <x:c r="M84" t="str">
        <x:v>PASS_WITH_SCOPE_LIMITATION</x:v>
      </x:c>
      <x:c r="N84" t="str">
        <x:v>https://tulieuvankien.dangcongsan.vn/upload/2006988/20260529/HD_05_VPTW_e1550.pdf</x:v>
      </x:c>
      <x:c r="O84" t="str">
        <x:v>BANG_HD05!G23</x:v>
      </x:c>
    </x:row>
    <x:row r="85">
      <x:c r="A85" t="n">
        <x:v>84</x:v>
      </x:c>
      <x:c r="B85" t="str">
        <x:v>HD05.N.BANG.DAU_BANG.VAN_BAN</x:v>
      </x:c>
      <x:c r="C85" t="str">
        <x:v>Nội dung nhãn cột/hàng đầu</x:v>
      </x:c>
      <x:c r="D85" t="str">
        <x:v>HD05</x:v>
      </x:c>
      <x:c r="E85" t="str">
        <x:v>PRESERVE</x:v>
      </x:c>
      <x:c r="F85" t="str">
        <x:v>Trong ô của hàng tiêu đề; không thêm, bớt, viết lại nhãn cột.</x:v>
      </x:c>
      <x:c r="G85" t="str">
        <x:v>NOT_VERIFIED_AT_ATTRIBUTE_LEVEL</x:v>
      </x:c>
      <x:c r="H85" t="str">
        <x:v>INHERITED_FROM_SOURCE_NOT_SEPARATELY_APPROVED</x:v>
      </x:c>
      <x:c r="I85" t="str">
        <x:v>USER_PROFILE_CHOICE; LEGAL_UNVERIFIED</x:v>
      </x:c>
      <x:c r="J85" t="str">
        <x:v>Không phát hiện mâu thuẫn giá trị ngay tại dòng</x:v>
      </x:c>
      <x:c r="K85" t="str">
        <x:v>Trong ô của hàng tiêu đề; không thêm, bớt, viết lại nhãn cột.</x:v>
      </x:c>
      <x:c r="L85" t="str"/>
      <x:c r="M85" t="str">
        <x:v>PASS_WITH_SCOPE_LIMITATION</x:v>
      </x:c>
      <x:c r="N85" t="str">
        <x:v>https://tulieuvankien.dangcongsan.vn/upload/2006988/20260529/HD_05_VPTW_e1550.pdf</x:v>
      </x:c>
      <x:c r="O85" t="str">
        <x:v>BANG_HD05!G24</x:v>
      </x:c>
    </x:row>
    <x:row r="86">
      <x:c r="A86" t="n">
        <x:v>85</x:v>
      </x:c>
      <x:c r="B86" t="str">
        <x:v>HD05.N.BANG.DAU_BANG.CO_CHU</x:v>
      </x:c>
      <x:c r="C86" t="str">
        <x:v>Cỡ chữ hàng tiêu đề</x:v>
      </x:c>
      <x:c r="D86" t="str">
        <x:v>HD05</x:v>
      </x:c>
      <x:c r="E86" t="n">
        <x:v>13</x:v>
      </x:c>
      <x:c r="F86" t="str">
        <x:v>Toàn bộ chữ trong ô của mọi hàng tiêu đề đã xác định: 13 pt theo profile Công ty.</x:v>
      </x:c>
      <x:c r="G86" t="str">
        <x:v>NOT_VERIFIED_AT_ATTRIBUTE_LEVEL</x:v>
      </x:c>
      <x:c r="H86" t="str">
        <x:v>USER_CONFIRMED</x:v>
      </x:c>
      <x:c r="I86" t="str">
        <x:v>USER_PROFILE_CHOICE; LEGAL_UNVERIFIED</x:v>
      </x:c>
      <x:c r="J86" t="str">
        <x:v>LEGAL_SCOPE_HD05_TABLE_NOT_VERIFIED</x:v>
      </x:c>
      <x:c r="K86" t="str">
        <x:v>Toàn bộ chữ trong ô của mọi hàng tiêu đề đã xác định: 13 pt theo profile Công ty.</x:v>
      </x:c>
      <x:c r="L86" t="str"/>
      <x:c r="M86" t="str">
        <x:v>UNVERIFIED</x:v>
      </x:c>
      <x:c r="N86" t="str">
        <x:v>https://tulieuvankien.dangcongsan.vn/upload/2006988/20260529/HD_05_VPTW_e1550.pdf</x:v>
      </x:c>
      <x:c r="O86" t="str">
        <x:v>BANG_HD05!G25</x:v>
      </x:c>
    </x:row>
    <x:row r="87">
      <x:c r="A87" t="n">
        <x:v>86</x:v>
      </x:c>
      <x:c r="B87" t="str">
        <x:v>HD05.N.BANG.DAU_BANG.CHU_DAM</x:v>
      </x:c>
      <x:c r="C87" t="str">
        <x:v>Chữ đậm hàng tiêu đề</x:v>
      </x:c>
      <x:c r="D87" t="str">
        <x:v>HD05</x:v>
      </x:c>
      <x:c r="E87" t="str">
        <x:v>YES</x:v>
      </x:c>
      <x:c r="F87" t="str">
        <x:v>Chỉ hàng tiêu đề cột; không áp chữ đậm lên hàng dữ liệu chỉ vì nằm đầu trang.</x:v>
      </x:c>
      <x:c r="G87" t="str">
        <x:v>NOT_VERIFIED_AT_ATTRIBUTE_LEVEL</x:v>
      </x:c>
      <x:c r="H87" t="str">
        <x:v>USER_CHOSEN_V174_NOT_INTERNAL_SIGNOFF</x:v>
      </x:c>
      <x:c r="I87" t="str">
        <x:v>USER_PROFILE_CHOICE; LEGAL_UNVERIFIED</x:v>
      </x:c>
      <x:c r="J87" t="str">
        <x:v>Không phát hiện mâu thuẫn giá trị ngay tại dòng</x:v>
      </x:c>
      <x:c r="K87" t="str">
        <x:v>Chỉ hàng tiêu đề cột; không áp chữ đậm lên hàng dữ liệu chỉ vì nằm đầu trang.</x:v>
      </x:c>
      <x:c r="L87" t="str"/>
      <x:c r="M87" t="str">
        <x:v>PASS_WITH_SCOPE_LIMITATION</x:v>
      </x:c>
      <x:c r="N87" t="str">
        <x:v>https://tulieuvankien.dangcongsan.vn/upload/2006988/20260529/HD_05_VPTW_e1550.pdf</x:v>
      </x:c>
      <x:c r="O87" t="str">
        <x:v>BANG_HD05!G26</x:v>
      </x:c>
    </x:row>
    <x:row r="88">
      <x:c r="A88" t="n">
        <x:v>87</x:v>
      </x:c>
      <x:c r="B88" t="str">
        <x:v>HD05.N.BANG.DAU_BANG.CAN_NGANG</x:v>
      </x:c>
      <x:c r="C88" t="str">
        <x:v>Căn ngang hàng tiêu đề</x:v>
      </x:c>
      <x:c r="D88" t="str">
        <x:v>HD05</x:v>
      </x:c>
      <x:c r="E88" t="str">
        <x:v>CENTER</x:v>
      </x:c>
      <x:c r="F88" t="str">
        <x:v>Căn giữa trong ô tiêu đề, nội dung dài được xuống dòng.</x:v>
      </x:c>
      <x:c r="G88" t="str">
        <x:v>NOT_VERIFIED_AT_ATTRIBUTE_LEVEL</x:v>
      </x:c>
      <x:c r="H88" t="str">
        <x:v>USER_CHOSEN_V174_NOT_INTERNAL_SIGNOFF</x:v>
      </x:c>
      <x:c r="I88" t="str">
        <x:v>USER_PROFILE_CHOICE; LEGAL_UNVERIFIED</x:v>
      </x:c>
      <x:c r="J88" t="str">
        <x:v>Không phát hiện mâu thuẫn giá trị ngay tại dòng</x:v>
      </x:c>
      <x:c r="K88" t="str">
        <x:v>Căn giữa trong ô tiêu đề, nội dung dài được xuống dòng.</x:v>
      </x:c>
      <x:c r="L88" t="str"/>
      <x:c r="M88" t="str">
        <x:v>PASS_WITH_SCOPE_LIMITATION</x:v>
      </x:c>
      <x:c r="N88" t="str">
        <x:v>https://tulieuvankien.dangcongsan.vn/upload/2006988/20260529/HD_05_VPTW_e1550.pdf</x:v>
      </x:c>
      <x:c r="O88" t="str">
        <x:v>BANG_HD05!G27</x:v>
      </x:c>
    </x:row>
    <x:row r="89">
      <x:c r="A89" t="n">
        <x:v>88</x:v>
      </x:c>
      <x:c r="B89" t="str">
        <x:v>HD05.N.BANG.DAU_BANG.LAP_LAI</x:v>
      </x:c>
      <x:c r="C89" t="str">
        <x:v>Lặp hàng tiêu đề khi bảng qua trang</x:v>
      </x:c>
      <x:c r="D89" t="str">
        <x:v>HD05</x:v>
      </x:c>
      <x:c r="E89" t="str">
        <x:v>YES_IF_MULTIPAGE</x:v>
      </x:c>
      <x:c r="F89" t="str">
        <x:v>Khi bảng nội dung chính chiếm từ 2 trang trở lên VÀ xác định được nhóm hàng tiêu đề liên tiếp từ hàng đầu: BẮT BUỘC lặp đầy đủ nhóm hàng tiêu đề trên mỗi trang sau. Không lặp hàng nhóm, hàng dữ liệu hoặc tiêu đề ngoài bảng. Nếu chưa xác định header, đánh dấu CẦN XÁC NHẬN; không tự bịa nhãn.</x:v>
      </x:c>
      <x:c r="G89" t="str">
        <x:v>NOT_VERIFIED_AT_ATTRIBUTE_LEVEL</x:v>
      </x:c>
      <x:c r="H89" t="str">
        <x:v>USER_CONFIRMED</x:v>
      </x:c>
      <x:c r="I89" t="str">
        <x:v>USER_PROFILE_CHOICE; LEGAL_UNVERIFIED</x:v>
      </x:c>
      <x:c r="J89" t="str">
        <x:v>Không phát hiện mâu thuẫn giá trị ngay tại dòng</x:v>
      </x:c>
      <x:c r="K89" t="str">
        <x:v>Bắt buộc khi qua trang theo profile; với header nhiều tầng, lặp đầy đủ nhóm hàng đầu; không áp lại cho bảng con không xác định.</x:v>
      </x:c>
      <x:c r="L89" t="str"/>
      <x:c r="M89" t="str">
        <x:v>PASS_WITH_SCOPE_LIMITATION</x:v>
      </x:c>
      <x:c r="N89" t="str">
        <x:v>https://tulieuvankien.dangcongsan.vn/upload/2006988/20260529/HD_05_VPTW_e1550.pdf</x:v>
      </x:c>
      <x:c r="O89" t="str">
        <x:v>BANG_HD05!G28</x:v>
      </x:c>
    </x:row>
    <x:row r="90">
      <x:c r="A90" t="n">
        <x:v>89</x:v>
      </x:c>
      <x:c r="B90" t="str">
        <x:v>HD05.N.BANG.DAU_BANG.NHIEU_CAP</x:v>
      </x:c>
      <x:c r="C90" t="str">
        <x:v>Hàng tiêu đề nhiều tầng</x:v>
      </x:c>
      <x:c r="D90" t="str">
        <x:v>HD05</x:v>
      </x:c>
      <x:c r="E90" t="str">
        <x:v>PRESERVE</x:v>
      </x:c>
      <x:c r="F90" t="str">
        <x:v>Khi hàng tiêu đề có nhiều tầng và/hoặc ô gộp; giữ đúng tầng và quan hệ nhãn.</x:v>
      </x:c>
      <x:c r="G90" t="str">
        <x:v>NOT_VERIFIED_AT_ATTRIBUTE_LEVEL</x:v>
      </x:c>
      <x:c r="H90" t="str">
        <x:v>INHERITED_FROM_SOURCE_NOT_SEPARATELY_APPROVED</x:v>
      </x:c>
      <x:c r="I90" t="str">
        <x:v>USER_PROFILE_CHOICE; LEGAL_UNVERIFIED</x:v>
      </x:c>
      <x:c r="J90" t="str">
        <x:v>Không phát hiện mâu thuẫn giá trị ngay tại dòng</x:v>
      </x:c>
      <x:c r="K90" t="str">
        <x:v>Khi hàng tiêu đề có nhiều tầng và/hoặc ô gộp; giữ đúng tầng và quan hệ nhãn.</x:v>
      </x:c>
      <x:c r="L90" t="str"/>
      <x:c r="M90" t="str">
        <x:v>PASS_WITH_SCOPE_LIMITATION</x:v>
      </x:c>
      <x:c r="N90" t="str">
        <x:v>https://tulieuvankien.dangcongsan.vn/upload/2006988/20260529/HD_05_VPTW_e1550.pdf</x:v>
      </x:c>
      <x:c r="O90" t="str">
        <x:v>BANG_HD05!G29</x:v>
      </x:c>
    </x:row>
    <x:row r="91">
      <x:c r="A91" t="n">
        <x:v>90</x:v>
      </x:c>
      <x:c r="B91" t="str">
        <x:v>HD05.N.BANG.DAU_BANG.TO_NEN</x:v>
      </x:c>
      <x:c r="C91" t="str">
        <x:v>Màu nền hàng tiêu đề</x:v>
      </x:c>
      <x:c r="D91" t="str">
        <x:v>HD05</x:v>
      </x:c>
      <x:c r="E91" t="str">
        <x:v>NONE_NEW; PRESERVE_MEANINGFUL_EXISTING</x:v>
      </x:c>
      <x:c r="F91" t="str">
        <x:v>Không thêm nền mới; không xóa nền đang thể hiện ý nghĩa dữ liệu/phân nhóm.</x:v>
      </x:c>
      <x:c r="G91" t="str">
        <x:v>NOT_VERIFIED_AT_ATTRIBUTE_LEVEL</x:v>
      </x:c>
      <x:c r="H91" t="str">
        <x:v>USER_CHOSEN_V174_NOT_INTERNAL_SIGNOFF</x:v>
      </x:c>
      <x:c r="I91" t="str">
        <x:v>USER_PROFILE_CHOICE; LEGAL_UNVERIFIED</x:v>
      </x:c>
      <x:c r="J91" t="str">
        <x:v>Không phát hiện mâu thuẫn giá trị ngay tại dòng</x:v>
      </x:c>
      <x:c r="K91" t="str">
        <x:v>Không thêm nền; giữ nền gốc có ý nghĩa phân loại.</x:v>
      </x:c>
      <x:c r="L91" t="str"/>
      <x:c r="M91" t="str">
        <x:v>PASS_WITH_SCOPE_LIMITATION</x:v>
      </x:c>
      <x:c r="N91" t="str">
        <x:v>https://tulieuvankien.dangcongsan.vn/upload/2006988/20260529/HD_05_VPTW_e1550.pdf</x:v>
      </x:c>
      <x:c r="O91" t="str">
        <x:v>BANG_HD05!G30</x:v>
      </x:c>
    </x:row>
    <x:row r="92">
      <x:c r="A92" t="n">
        <x:v>91</x:v>
      </x:c>
      <x:c r="B92" t="str">
        <x:v>HD05.N.BANG.COT.SO_LUONG</x:v>
      </x:c>
      <x:c r="C92" t="str">
        <x:v>Số cột của bảng</x:v>
      </x:c>
      <x:c r="D92" t="str">
        <x:v>HD05</x:v>
      </x:c>
      <x:c r="E92" t="str">
        <x:v>PRESERVE</x:v>
      </x:c>
      <x:c r="F92" t="str">
        <x:v>Chỉ bảng dữ liệu trong nội dung; giữ đủ số cột và thứ tự gốc.</x:v>
      </x:c>
      <x:c r="G92" t="str">
        <x:v>NOT_VERIFIED_AT_ATTRIBUTE_LEVEL</x:v>
      </x:c>
      <x:c r="H92" t="str">
        <x:v>INHERITED_FROM_SOURCE_NOT_SEPARATELY_APPROVED</x:v>
      </x:c>
      <x:c r="I92" t="str">
        <x:v>USER_PROFILE_CHOICE; LEGAL_UNVERIFIED</x:v>
      </x:c>
      <x:c r="J92" t="str">
        <x:v>Không phát hiện mâu thuẫn giá trị ngay tại dòng</x:v>
      </x:c>
      <x:c r="K92" t="str">
        <x:v>Chỉ bảng dữ liệu trong nội dung; giữ đủ số cột và thứ tự gốc.</x:v>
      </x:c>
      <x:c r="L92" t="str"/>
      <x:c r="M92" t="str">
        <x:v>PASS_WITH_SCOPE_LIMITATION</x:v>
      </x:c>
      <x:c r="N92" t="str">
        <x:v>https://tulieuvankien.dangcongsan.vn/upload/2006988/20260529/HD_05_VPTW_e1550.pdf</x:v>
      </x:c>
      <x:c r="O92" t="str">
        <x:v>BANG_HD05!G31</x:v>
      </x:c>
    </x:row>
    <x:row r="93">
      <x:c r="A93" t="n">
        <x:v>92</x:v>
      </x:c>
      <x:c r="B93" t="str">
        <x:v>HD05.N.BANG.COT.DO_RONG</x:v>
      </x:c>
      <x:c r="C93" t="str">
        <x:v>Chiều rộng từng cột</x:v>
      </x:c>
      <x:c r="D93" t="str">
        <x:v>HD05</x:v>
      </x:c>
      <x:c r="E93" t="str">
        <x:v>PRESERVE_IF_VALID; REVIEW_IF_OVERFLOW</x:v>
      </x:c>
      <x:c r="F93" t="str">
        <x:v>Giữ độ rộng cột khi không tràn lề/không bóp chữ; chỉ cân chỉnh lại khi sai khung.</x:v>
      </x:c>
      <x:c r="G93" t="str">
        <x:v>NOT_VERIFIED_AT_ATTRIBUTE_LEVEL</x:v>
      </x:c>
      <x:c r="H93" t="str">
        <x:v>USER_CHOSEN_V174_NOT_INTERNAL_SIGNOFF</x:v>
      </x:c>
      <x:c r="I93" t="str">
        <x:v>USER_PROFILE_CHOICE; LEGAL_UNVERIFIED</x:v>
      </x:c>
      <x:c r="J93" t="str">
        <x:v>Không phát hiện mâu thuẫn giá trị ngay tại dòng</x:v>
      </x:c>
      <x:c r="K93" t="str">
        <x:v>Giữ độ rộng cột khi không tràn lề/không bóp chữ; chỉ cân chỉnh lại khi sai khung.</x:v>
      </x:c>
      <x:c r="L93" t="str"/>
      <x:c r="M93" t="str">
        <x:v>PASS_WITH_SCOPE_LIMITATION</x:v>
      </x:c>
      <x:c r="N93" t="str">
        <x:v>https://tulieuvankien.dangcongsan.vn/upload/2006988/20260529/HD_05_VPTW_e1550.pdf</x:v>
      </x:c>
      <x:c r="O93" t="str">
        <x:v>BANG_HD05!G32</x:v>
      </x:c>
    </x:row>
    <x:row r="94">
      <x:c r="A94" t="n">
        <x:v>93</x:v>
      </x:c>
      <x:c r="B94" t="str">
        <x:v>HD05.N.BANG.COT.PHAN_BO</x:v>
      </x:c>
      <x:c r="C94" t="str">
        <x:v>Phân bố chiều rộng giữa cột</x:v>
      </x:c>
      <x:c r="D94" t="str">
        <x:v>HD05</x:v>
      </x:c>
      <x:c r="E94" t="str">
        <x:v>PRESERVE</x:v>
      </x:c>
      <x:c r="F94" t="str">
        <x:v>Khi có nhiều cột; bảo toàn tương quan và vùng nội dung.</x:v>
      </x:c>
      <x:c r="G94" t="str">
        <x:v>NOT_VERIFIED_AT_ATTRIBUTE_LEVEL</x:v>
      </x:c>
      <x:c r="H94" t="str">
        <x:v>INHERITED_FROM_SOURCE_NOT_SEPARATELY_APPROVED</x:v>
      </x:c>
      <x:c r="I94" t="str">
        <x:v>USER_PROFILE_CHOICE; LEGAL_UNVERIFIED</x:v>
      </x:c>
      <x:c r="J94" t="str">
        <x:v>Không phát hiện mâu thuẫn giá trị ngay tại dòng</x:v>
      </x:c>
      <x:c r="K94" t="str">
        <x:v>Khi có nhiều cột; bảo toàn tương quan và vùng nội dung.</x:v>
      </x:c>
      <x:c r="L94" t="str"/>
      <x:c r="M94" t="str">
        <x:v>PASS_WITH_SCOPE_LIMITATION</x:v>
      </x:c>
      <x:c r="N94" t="str">
        <x:v>https://tulieuvankien.dangcongsan.vn/upload/2006988/20260529/HD_05_VPTW_e1550.pdf</x:v>
      </x:c>
      <x:c r="O94" t="str">
        <x:v>BANG_HD05!G33</x:v>
      </x:c>
    </x:row>
    <x:row r="95">
      <x:c r="A95" t="n">
        <x:v>94</x:v>
      </x:c>
      <x:c r="B95" t="str">
        <x:v>HD05.N.BANG.COT.CAN_CHU</x:v>
      </x:c>
      <x:c r="C95" t="str">
        <x:v>Căn cột nội dung chữ</x:v>
      </x:c>
      <x:c r="D95" t="str">
        <x:v>HD05</x:v>
      </x:c>
      <x:c r="E95" t="str">
        <x:v>LEFT</x:v>
      </x:c>
      <x:c r="F95" t="str">
        <x:v>Cột mô tả/văn bản: căn trái; trường hợp mã, tiêu đề, STT đi theo vai trò ô.</x:v>
      </x:c>
      <x:c r="G95" t="str">
        <x:v>NOT_VERIFIED_AT_ATTRIBUTE_LEVEL</x:v>
      </x:c>
      <x:c r="H95" t="str">
        <x:v>USER_CHOSEN_V174_NOT_INTERNAL_SIGNOFF</x:v>
      </x:c>
      <x:c r="I95" t="str">
        <x:v>USER_PROFILE_CHOICE; LEGAL_UNVERIFIED</x:v>
      </x:c>
      <x:c r="J95" t="str">
        <x:v>Không phát hiện mâu thuẫn giá trị ngay tại dòng</x:v>
      </x:c>
      <x:c r="K95" t="str">
        <x:v>Định tuyến theo role: STT/mã ngắn CENTER; mô tả LEFT; số lượng/tiền RIGHT; ngày/số điện thoại không là đại lượng.</x:v>
      </x:c>
      <x:c r="L95" t="str"/>
      <x:c r="M95" t="str">
        <x:v>PASS_WITH_SCOPE_LIMITATION</x:v>
      </x:c>
      <x:c r="N95" t="str">
        <x:v>https://tulieuvankien.dangcongsan.vn/upload/2006988/20260529/HD_05_VPTW_e1550.pdf</x:v>
      </x:c>
      <x:c r="O95" t="str">
        <x:v>BANG_HD05!G34</x:v>
      </x:c>
    </x:row>
    <x:row r="96">
      <x:c r="A96" t="n">
        <x:v>95</x:v>
      </x:c>
      <x:c r="B96" t="str">
        <x:v>HD05.N.BANG.COT.CAN_SO</x:v>
      </x:c>
      <x:c r="C96" t="str">
        <x:v>Căn cột số</x:v>
      </x:c>
      <x:c r="D96" t="str">
        <x:v>HD05</x:v>
      </x:c>
      <x:c r="E96" t="str">
        <x:v>RIGHT</x:v>
      </x:c>
      <x:c r="F96" t="str">
        <x:v>Cột đại lượng (số lượng, định mức, tiền): căn phải; STT, mã, ngày, điện thoại không coi là số định lượng.</x:v>
      </x:c>
      <x:c r="G96" t="str">
        <x:v>NOT_VERIFIED_AT_ATTRIBUTE_LEVEL</x:v>
      </x:c>
      <x:c r="H96" t="str">
        <x:v>USER_CHOSEN_V174_NOT_INTERNAL_SIGNOFF</x:v>
      </x:c>
      <x:c r="I96" t="str">
        <x:v>USER_PROFILE_CHOICE; LEGAL_UNVERIFIED</x:v>
      </x:c>
      <x:c r="J96" t="str">
        <x:v>Không phát hiện mâu thuẫn giá trị ngay tại dòng</x:v>
      </x:c>
      <x:c r="K96" t="str">
        <x:v>Định tuyến theo role: STT/mã ngắn CENTER; mô tả LEFT; số lượng/tiền RIGHT; ngày/số điện thoại không là đại lượng.</x:v>
      </x:c>
      <x:c r="L96" t="str"/>
      <x:c r="M96" t="str">
        <x:v>PASS_WITH_SCOPE_LIMITATION</x:v>
      </x:c>
      <x:c r="N96" t="str">
        <x:v>https://tulieuvankien.dangcongsan.vn/upload/2006988/20260529/HD_05_VPTW_e1550.pdf</x:v>
      </x:c>
      <x:c r="O96" t="str">
        <x:v>BANG_HD05!G35</x:v>
      </x:c>
    </x:row>
    <x:row r="97">
      <x:c r="A97" t="n">
        <x:v>96</x:v>
      </x:c>
      <x:c r="B97" t="str">
        <x:v>HD05.N.BANG.HANG.CHIEU_CAO</x:v>
      </x:c>
      <x:c r="C97" t="str">
        <x:v>Chiều cao hàng</x:v>
      </x:c>
      <x:c r="D97" t="str">
        <x:v>HD05</x:v>
      </x:c>
      <x:c r="E97" t="str">
        <x:v>AUTO</x:v>
      </x:c>
      <x:c r="F97" t="str">
        <x:v>Chiều cao tự mở theo nội dung ô, tuyệt đối không cắt/mất chữ.</x:v>
      </x:c>
      <x:c r="G97" t="str">
        <x:v>NOT_VERIFIED_AT_ATTRIBUTE_LEVEL</x:v>
      </x:c>
      <x:c r="H97" t="str">
        <x:v>USER_CHOSEN_V174_NOT_INTERNAL_SIGNOFF</x:v>
      </x:c>
      <x:c r="I97" t="str">
        <x:v>USER_PROFILE_CHOICE; LEGAL_UNVERIFIED</x:v>
      </x:c>
      <x:c r="J97" t="str">
        <x:v>Không phát hiện mâu thuẫn giá trị ngay tại dòng</x:v>
      </x:c>
      <x:c r="K97" t="str">
        <x:v>Chiều cao tự mở theo nội dung ô, tuyệt đối không cắt/mất chữ.</x:v>
      </x:c>
      <x:c r="L97" t="str"/>
      <x:c r="M97" t="str">
        <x:v>PASS_WITH_SCOPE_LIMITATION</x:v>
      </x:c>
      <x:c r="N97" t="str">
        <x:v>https://tulieuvankien.dangcongsan.vn/upload/2006988/20260529/HD_05_VPTW_e1550.pdf</x:v>
      </x:c>
      <x:c r="O97" t="str">
        <x:v>BANG_HD05!G36</x:v>
      </x:c>
    </x:row>
    <x:row r="98">
      <x:c r="A98" t="n">
        <x:v>97</x:v>
      </x:c>
      <x:c r="B98" t="str">
        <x:v>HD05.N.BANG.HANG.KIEU_CAO</x:v>
      </x:c>
      <x:c r="C98" t="str">
        <x:v>Quy tắc chiều cao</x:v>
      </x:c>
      <x:c r="D98" t="str">
        <x:v>HD05</x:v>
      </x:c>
      <x:c r="E98" t="str">
        <x:v>AT_LEAST_HEADER_6MM; AUTO_DATA</x:v>
      </x:c>
      <x:c r="F98" t="str">
        <x:v>Hàng tiêu đề tối thiểu 6 mm và được giãn cao hơn; hàng dữ liệu tự động; không dùng EXACT.</x:v>
      </x:c>
      <x:c r="G98" t="str">
        <x:v>NOT_VERIFIED_AT_ATTRIBUTE_LEVEL</x:v>
      </x:c>
      <x:c r="H98" t="str">
        <x:v>USER_CHOSEN_V174_NOT_INTERNAL_SIGNOFF</x:v>
      </x:c>
      <x:c r="I98" t="str">
        <x:v>USER_PROFILE_CHOICE; LEGAL_UNVERIFIED</x:v>
      </x:c>
      <x:c r="J98" t="str">
        <x:v>ATLEAST_HEADER_ONLY</x:v>
      </x:c>
      <x:c r="K98" t="str">
        <x:v>AT_LEAST &gt;=6 mm chỉ cho hàng tiêu đề khi phù hợp; dữ liệu tự giãn.</x:v>
      </x:c>
      <x:c r="L98" t="str"/>
      <x:c r="M98" t="str">
        <x:v>REVIEW</x:v>
      </x:c>
      <x:c r="N98" t="str">
        <x:v>https://tulieuvankien.dangcongsan.vn/upload/2006988/20260529/HD_05_VPTW_e1550.pdf</x:v>
      </x:c>
      <x:c r="O98" t="str">
        <x:v>BANG_HD05!G37</x:v>
      </x:c>
    </x:row>
    <x:row r="99">
      <x:c r="A99" t="n">
        <x:v>98</x:v>
      </x:c>
      <x:c r="B99" t="str">
        <x:v>HD05.N.BANG.HANG.CHONG_CHIA_TRANG</x:v>
      </x:c>
      <x:c r="C99" t="str">
        <x:v>Không chia một hàng sang trang khác</x:v>
      </x:c>
      <x:c r="D99" t="str">
        <x:v>HD05</x:v>
      </x:c>
      <x:c r="E99" t="str">
        <x:v>YES_IF_FITS; REVIEW_OVERSIZE</x:v>
      </x:c>
      <x:c r="F99" t="str">
        <x:v>Không chia hàng nếu hàng vừa trang; hàng dài hơn vùng trang phải xử lý ngoại lệ, tránh che/mất chữ.</x:v>
      </x:c>
      <x:c r="G99" t="str">
        <x:v>NOT_VERIFIED_AT_ATTRIBUTE_LEVEL</x:v>
      </x:c>
      <x:c r="H99" t="str">
        <x:v>USER_CHOSEN_V174_NOT_INTERNAL_SIGNOFF</x:v>
      </x:c>
      <x:c r="I99" t="str">
        <x:v>USER_PROFILE_CHOICE; LEGAL_UNVERIFIED</x:v>
      </x:c>
      <x:c r="J99" t="str">
        <x:v>OVERSIZE_ROW_REVIEW</x:v>
      </x:c>
      <x:c r="K99" t="str">
        <x:v>Hàng không vừa trang cần ngoại lệ, không bảo đảm tránh chia trong mọi trường hợp.</x:v>
      </x:c>
      <x:c r="L99" t="str"/>
      <x:c r="M99" t="str">
        <x:v>REVIEW</x:v>
      </x:c>
      <x:c r="N99" t="str">
        <x:v>https://tulieuvankien.dangcongsan.vn/upload/2006988/20260529/HD_05_VPTW_e1550.pdf</x:v>
      </x:c>
      <x:c r="O99" t="str">
        <x:v>BANG_HD05!G38</x:v>
      </x:c>
    </x:row>
    <x:row r="100">
      <x:c r="A100" t="n">
        <x:v>99</x:v>
      </x:c>
      <x:c r="B100" t="str">
        <x:v>HD05.N.BANG.HANG.KHOANG_CACH</x:v>
      </x:c>
      <x:c r="C100" t="str">
        <x:v>Khoảng cách giữa các hàng</x:v>
      </x:c>
      <x:c r="D100" t="str">
        <x:v>HD05</x:v>
      </x:c>
      <x:c r="E100" t="n">
        <x:v>0</x:v>
      </x:c>
      <x:c r="F100" t="str">
        <x:v>Khoảng cách giữa các ô/hàng bằng 0 mm; không tạo khe hở viền kép.</x:v>
      </x:c>
      <x:c r="G100" t="str">
        <x:v>NOT_VERIFIED_AT_ATTRIBUTE_LEVEL</x:v>
      </x:c>
      <x:c r="H100" t="str">
        <x:v>USER_CHOSEN_V174_NOT_INTERNAL_SIGNOFF</x:v>
      </x:c>
      <x:c r="I100" t="str">
        <x:v>USER_PROFILE_CHOICE; LEGAL_UNVERIFIED</x:v>
      </x:c>
      <x:c r="J100" t="str">
        <x:v>Không phát hiện mâu thuẫn giá trị ngay tại dòng</x:v>
      </x:c>
      <x:c r="K100" t="str">
        <x:v>Khoảng cách giữa các ô/hàng bằng 0 mm; không tạo khe hở viền kép.</x:v>
      </x:c>
      <x:c r="L100" t="str"/>
      <x:c r="M100" t="str">
        <x:v>PASS_WITH_SCOPE_LIMITATION</x:v>
      </x:c>
      <x:c r="N100" t="str">
        <x:v>https://tulieuvankien.dangcongsan.vn/upload/2006988/20260529/HD_05_VPTW_e1550.pdf</x:v>
      </x:c>
      <x:c r="O100" t="str">
        <x:v>BANG_HD05!G39</x:v>
      </x:c>
    </x:row>
    <x:row r="101">
      <x:c r="A101" t="n">
        <x:v>100</x:v>
      </x:c>
      <x:c r="B101" t="str">
        <x:v>HD05.N.BANG.HANG.THU_TU</x:v>
      </x:c>
      <x:c r="C101" t="str">
        <x:v>Thứ tự hàng</x:v>
      </x:c>
      <x:c r="D101" t="str">
        <x:v>HD05</x:v>
      </x:c>
      <x:c r="E101" t="str">
        <x:v>PRESERVE</x:v>
      </x:c>
      <x:c r="F101" t="str">
        <x:v>Mọi hàng của bảng; không sắp xếp lại dữ liệu.</x:v>
      </x:c>
      <x:c r="G101" t="str">
        <x:v>NOT_VERIFIED_AT_ATTRIBUTE_LEVEL</x:v>
      </x:c>
      <x:c r="H101" t="str">
        <x:v>INHERITED_FROM_SOURCE_NOT_SEPARATELY_APPROVED</x:v>
      </x:c>
      <x:c r="I101" t="str">
        <x:v>USER_PROFILE_CHOICE; LEGAL_UNVERIFIED</x:v>
      </x:c>
      <x:c r="J101" t="str">
        <x:v>Không phát hiện mâu thuẫn giá trị ngay tại dòng</x:v>
      </x:c>
      <x:c r="K101" t="str">
        <x:v>Mọi hàng của bảng; không sắp xếp lại dữ liệu.</x:v>
      </x:c>
      <x:c r="L101" t="str"/>
      <x:c r="M101" t="str">
        <x:v>PASS_WITH_SCOPE_LIMITATION</x:v>
      </x:c>
      <x:c r="N101" t="str">
        <x:v>https://tulieuvankien.dangcongsan.vn/upload/2006988/20260529/HD_05_VPTW_e1550.pdf</x:v>
      </x:c>
      <x:c r="O101" t="str">
        <x:v>BANG_HD05!G40</x:v>
      </x:c>
    </x:row>
    <x:row r="102">
      <x:c r="A102" t="n">
        <x:v>101</x:v>
      </x:c>
      <x:c r="B102" t="str">
        <x:v>HD05.N.BANG.HANG.DONG_TONG</x:v>
      </x:c>
      <x:c r="C102" t="str">
        <x:v>Hàng tổng cộng</x:v>
      </x:c>
      <x:c r="D102" t="str">
        <x:v>HD05</x:v>
      </x:c>
      <x:c r="E102" t="str">
        <x:v>DETECT_THEN_PRESERVE</x:v>
      </x:c>
      <x:c r="F102" t="str">
        <x:v>Chỉ hàng tổng/tổng cộng đã được nhận diện; cỡ chữ trong ô vẫn 13 pt.</x:v>
      </x:c>
      <x:c r="G102" t="str">
        <x:v>NOT_VERIFIED_AT_ATTRIBUTE_LEVEL</x:v>
      </x:c>
      <x:c r="H102" t="str">
        <x:v>INHERITED_FROM_SOURCE_NOT_SEPARATELY_APPROVED</x:v>
      </x:c>
      <x:c r="I102" t="str">
        <x:v>USER_PROFILE_CHOICE; LEGAL_UNVERIFIED</x:v>
      </x:c>
      <x:c r="J102" t="str">
        <x:v>Không phát hiện mâu thuẫn giá trị ngay tại dòng</x:v>
      </x:c>
      <x:c r="K102" t="str">
        <x:v>Chỉ hàng tổng/tổng cộng đã được nhận diện; cỡ chữ trong ô vẫn 13 pt.</x:v>
      </x:c>
      <x:c r="L102" t="str"/>
      <x:c r="M102" t="str">
        <x:v>PASS_WITH_SCOPE_LIMITATION</x:v>
      </x:c>
      <x:c r="N102" t="str">
        <x:v>https://tulieuvankien.dangcongsan.vn/upload/2006988/20260529/HD_05_VPTW_e1550.pdf</x:v>
      </x:c>
      <x:c r="O102" t="str">
        <x:v>BANG_HD05!G41</x:v>
      </x:c>
    </x:row>
    <x:row r="103">
      <x:c r="A103" t="n">
        <x:v>102</x:v>
      </x:c>
      <x:c r="B103" t="str">
        <x:v>HD05.N.BANG.HANG.DONG_NHOM</x:v>
      </x:c>
      <x:c r="C103" t="str">
        <x:v>Hàng phân nhóm</x:v>
      </x:c>
      <x:c r="D103" t="str">
        <x:v>HD05</x:v>
      </x:c>
      <x:c r="E103" t="str">
        <x:v>DETECT_THEN_PRESERVE</x:v>
      </x:c>
      <x:c r="F103" t="str">
        <x:v>Chỉ hàng nhóm/phân nhóm đã nhận diện; cỡ chữ trong ô vẫn 13 pt.</x:v>
      </x:c>
      <x:c r="G103" t="str">
        <x:v>NOT_VERIFIED_AT_ATTRIBUTE_LEVEL</x:v>
      </x:c>
      <x:c r="H103" t="str">
        <x:v>INHERITED_FROM_SOURCE_NOT_SEPARATELY_APPROVED</x:v>
      </x:c>
      <x:c r="I103" t="str">
        <x:v>USER_PROFILE_CHOICE; LEGAL_UNVERIFIED</x:v>
      </x:c>
      <x:c r="J103" t="str">
        <x:v>Không phát hiện mâu thuẫn giá trị ngay tại dòng</x:v>
      </x:c>
      <x:c r="K103" t="str">
        <x:v>Chỉ hàng nhóm/phân nhóm đã nhận diện; cỡ chữ trong ô vẫn 13 pt.</x:v>
      </x:c>
      <x:c r="L103" t="str"/>
      <x:c r="M103" t="str">
        <x:v>PASS_WITH_SCOPE_LIMITATION</x:v>
      </x:c>
      <x:c r="N103" t="str">
        <x:v>https://tulieuvankien.dangcongsan.vn/upload/2006988/20260529/HD_05_VPTW_e1550.pdf</x:v>
      </x:c>
      <x:c r="O103" t="str">
        <x:v>BANG_HD05!G42</x:v>
      </x:c>
    </x:row>
    <x:row r="104">
      <x:c r="A104" t="n">
        <x:v>103</x:v>
      </x:c>
      <x:c r="B104" t="str">
        <x:v>HD05.N.BANG.O.VAN_BAN</x:v>
      </x:c>
      <x:c r="C104" t="str">
        <x:v>Nội dung văn bản trong ô</x:v>
      </x:c>
      <x:c r="D104" t="str">
        <x:v>HD05</x:v>
      </x:c>
      <x:c r="E104" t="str">
        <x:v>PRESERVE</x:v>
      </x:c>
      <x:c r="F104" t="str">
        <x:v>Mọi ô có chữ/số/ký hiệu; bảo toàn tuyệt đối nội dung, kể cả ô trống có chủ đích.</x:v>
      </x:c>
      <x:c r="G104" t="str">
        <x:v>NOT_VERIFIED_AT_ATTRIBUTE_LEVEL</x:v>
      </x:c>
      <x:c r="H104" t="str">
        <x:v>INHERITED_FROM_SOURCE_NOT_SEPARATELY_APPROVED</x:v>
      </x:c>
      <x:c r="I104" t="str">
        <x:v>USER_PROFILE_CHOICE; LEGAL_UNVERIFIED</x:v>
      </x:c>
      <x:c r="J104" t="str">
        <x:v>Không phát hiện mâu thuẫn giá trị ngay tại dòng</x:v>
      </x:c>
      <x:c r="K104" t="str">
        <x:v>Mọi ô có chữ/số/ký hiệu; bảo toàn tuyệt đối nội dung, kể cả ô trống có chủ đích.</x:v>
      </x:c>
      <x:c r="L104" t="str"/>
      <x:c r="M104" t="str">
        <x:v>PASS_WITH_SCOPE_LIMITATION</x:v>
      </x:c>
      <x:c r="N104" t="str">
        <x:v>https://tulieuvankien.dangcongsan.vn/upload/2006988/20260529/HD_05_VPTW_e1550.pdf</x:v>
      </x:c>
      <x:c r="O104" t="str">
        <x:v>BANG_HD05!G43</x:v>
      </x:c>
    </x:row>
    <x:row r="105">
      <x:c r="A105" t="n">
        <x:v>104</x:v>
      </x:c>
      <x:c r="B105" t="str">
        <x:v>HD05.N.BANG.O.FONT</x:v>
      </x:c>
      <x:c r="C105" t="str">
        <x:v>Phông chữ nội dung ô</x:v>
      </x:c>
      <x:c r="D105" t="str">
        <x:v>HD05</x:v>
      </x:c>
      <x:c r="E105" t="str">
        <x:v>Times New Roman; Unicode; #000000</x:v>
      </x:c>
      <x:c r="F105" t="str">
        <x:v>Dùng Times New Roman và màu chữ đen cho chữ bảng; không thay thế ký tự gốc.</x:v>
      </x:c>
      <x:c r="G105" t="str">
        <x:v>NOT_VERIFIED_AT_ATTRIBUTE_LEVEL</x:v>
      </x:c>
      <x:c r="H105" t="str">
        <x:v>USER_CHOSEN_V174_NOT_INTERNAL_SIGNOFF</x:v>
      </x:c>
      <x:c r="I105" t="str">
        <x:v>USER_PROFILE_CHOICE; LEGAL_UNVERIFIED</x:v>
      </x:c>
      <x:c r="J105" t="str">
        <x:v>Không phát hiện mâu thuẫn giá trị ngay tại dòng</x:v>
      </x:c>
      <x:c r="K105" t="str">
        <x:v>Dùng Times New Roman và màu chữ đen cho chữ bảng; không thay thế ký tự gốc.</x:v>
      </x:c>
      <x:c r="L105" t="str"/>
      <x:c r="M105" t="str">
        <x:v>PASS_WITH_SCOPE_LIMITATION</x:v>
      </x:c>
      <x:c r="N105" t="str">
        <x:v>https://tulieuvankien.dangcongsan.vn/upload/2006988/20260529/HD_05_VPTW_e1550.pdf</x:v>
      </x:c>
      <x:c r="O105" t="str">
        <x:v>BANG_HD05!G44</x:v>
      </x:c>
    </x:row>
    <x:row r="106">
      <x:c r="A106" t="n">
        <x:v>105</x:v>
      </x:c>
      <x:c r="B106" t="str">
        <x:v>HD05.N.BANG.O.CO_CHU</x:v>
      </x:c>
      <x:c r="C106" t="str">
        <x:v>Cỡ chữ nội dung ô</x:v>
      </x:c>
      <x:c r="D106" t="str">
        <x:v>HD05</x:v>
      </x:c>
      <x:c r="E106" t="n">
        <x:v>13</x:v>
      </x:c>
      <x:c r="F106" t="str">
        <x:v>Mọi ký tự văn bản nằm TRONG ô bảng, kể cả header/nhóm/tổng: 13 pt.</x:v>
      </x:c>
      <x:c r="G106" t="str">
        <x:v>NOT_VERIFIED_AT_ATTRIBUTE_LEVEL</x:v>
      </x:c>
      <x:c r="H106" t="str">
        <x:v>USER_CONFIRMED</x:v>
      </x:c>
      <x:c r="I106" t="str">
        <x:v>USER_PROFILE_CHOICE; LEGAL_UNVERIFIED</x:v>
      </x:c>
      <x:c r="J106" t="str">
        <x:v>LEGAL_SCOPE_HD05_TABLE_NOT_VERIFIED</x:v>
      </x:c>
      <x:c r="K106" t="str">
        <x:v>Mọi ký tự văn bản nằm TRONG ô bảng, kể cả header/nhóm/tổng: 13 pt.</x:v>
      </x:c>
      <x:c r="L106" t="str"/>
      <x:c r="M106" t="str">
        <x:v>UNVERIFIED</x:v>
      </x:c>
      <x:c r="N106" t="str">
        <x:v>https://tulieuvankien.dangcongsan.vn/upload/2006988/20260529/HD_05_VPTW_e1550.pdf</x:v>
      </x:c>
      <x:c r="O106" t="str">
        <x:v>BANG_HD05!G45</x:v>
      </x:c>
    </x:row>
    <x:row r="107">
      <x:c r="A107" t="n">
        <x:v>106</x:v>
      </x:c>
      <x:c r="B107" t="str">
        <x:v>HD05.N.BANG.O.DAM</x:v>
      </x:c>
      <x:c r="C107" t="str">
        <x:v>Chữ đậm trong ô</x:v>
      </x:c>
      <x:c r="D107" t="str">
        <x:v>HD05</x:v>
      </x:c>
      <x:c r="E107" t="str">
        <x:v>PRESERVE</x:v>
      </x:c>
      <x:c r="F107" t="str">
        <x:v>Chỉ thuộc tính đậm/nghiêng theo vai trò ô; giữ nguyên chỗ nhấn cục bộ ngoài header.</x:v>
      </x:c>
      <x:c r="G107" t="str">
        <x:v>NOT_VERIFIED_AT_ATTRIBUTE_LEVEL</x:v>
      </x:c>
      <x:c r="H107" t="str">
        <x:v>INHERITED_FROM_SOURCE_NOT_SEPARATELY_APPROVED</x:v>
      </x:c>
      <x:c r="I107" t="str">
        <x:v>USER_PROFILE_CHOICE; LEGAL_UNVERIFIED</x:v>
      </x:c>
      <x:c r="J107" t="str">
        <x:v>Không phát hiện mâu thuẫn giá trị ngay tại dòng</x:v>
      </x:c>
      <x:c r="K107" t="str">
        <x:v>Chỉ thuộc tính đậm/nghiêng theo vai trò ô; giữ nguyên chỗ nhấn cục bộ ngoài header.</x:v>
      </x:c>
      <x:c r="L107" t="str"/>
      <x:c r="M107" t="str">
        <x:v>PASS_WITH_SCOPE_LIMITATION</x:v>
      </x:c>
      <x:c r="N107" t="str">
        <x:v>https://tulieuvankien.dangcongsan.vn/upload/2006988/20260529/HD_05_VPTW_e1550.pdf</x:v>
      </x:c>
      <x:c r="O107" t="str">
        <x:v>BANG_HD05!G46</x:v>
      </x:c>
    </x:row>
    <x:row r="108">
      <x:c r="A108" t="n">
        <x:v>107</x:v>
      </x:c>
      <x:c r="B108" t="str">
        <x:v>HD05.N.BANG.O.NGHIENG</x:v>
      </x:c>
      <x:c r="C108" t="str">
        <x:v>Chữ nghiêng trong ô</x:v>
      </x:c>
      <x:c r="D108" t="str">
        <x:v>HD05</x:v>
      </x:c>
      <x:c r="E108" t="str">
        <x:v>PRESERVE</x:v>
      </x:c>
      <x:c r="F108" t="str">
        <x:v>Chỉ thuộc tính nghiêng của văn bản trong ô; bảo toàn nhấn mạnh có chủ đích.</x:v>
      </x:c>
      <x:c r="G108" t="str">
        <x:v>NOT_VERIFIED_AT_ATTRIBUTE_LEVEL</x:v>
      </x:c>
      <x:c r="H108" t="str">
        <x:v>INHERITED_FROM_SOURCE_NOT_SEPARATELY_APPROVED</x:v>
      </x:c>
      <x:c r="I108" t="str">
        <x:v>USER_PROFILE_CHOICE; LEGAL_UNVERIFIED</x:v>
      </x:c>
      <x:c r="J108" t="str">
        <x:v>Không phát hiện mâu thuẫn giá trị ngay tại dòng</x:v>
      </x:c>
      <x:c r="K108" t="str">
        <x:v>Chỉ thuộc tính nghiêng của văn bản trong ô; bảo toàn nhấn mạnh có chủ đích.</x:v>
      </x:c>
      <x:c r="L108" t="str"/>
      <x:c r="M108" t="str">
        <x:v>PASS_WITH_SCOPE_LIMITATION</x:v>
      </x:c>
      <x:c r="N108" t="str">
        <x:v>https://tulieuvankien.dangcongsan.vn/upload/2006988/20260529/HD_05_VPTW_e1550.pdf</x:v>
      </x:c>
      <x:c r="O108" t="str">
        <x:v>BANG_HD05!G47</x:v>
      </x:c>
    </x:row>
    <x:row r="109">
      <x:c r="A109" t="n">
        <x:v>108</x:v>
      </x:c>
      <x:c r="B109" t="str">
        <x:v>HD05.N.BANG.O.CAN_NGANG</x:v>
      </x:c>
      <x:c r="C109" t="str">
        <x:v>Căn ngang nội dung ô</x:v>
      </x:c>
      <x:c r="D109" t="str">
        <x:v>HD05</x:v>
      </x:c>
      <x:c r="E109" t="str">
        <x:v>CENTER_STT_CODE; LEFT_TEXT; RIGHT_QUANTITIES</x:v>
      </x:c>
      <x:c r="F109" t="str">
        <x:v>Ma trận: tiêu đề, STT, mã ngắn CENTER; văn bản diễn giải LEFT; đại lượng tài chính/thống kê RIGHT.</x:v>
      </x:c>
      <x:c r="G109" t="str">
        <x:v>NOT_VERIFIED_AT_ATTRIBUTE_LEVEL</x:v>
      </x:c>
      <x:c r="H109" t="str">
        <x:v>USER_CHOSEN_V174_NOT_INTERNAL_SIGNOFF</x:v>
      </x:c>
      <x:c r="I109" t="str">
        <x:v>USER_PROFILE_CHOICE; LEGAL_UNVERIFIED</x:v>
      </x:c>
      <x:c r="J109" t="str">
        <x:v>Không phát hiện mâu thuẫn giá trị ngay tại dòng</x:v>
      </x:c>
      <x:c r="K109" t="str">
        <x:v>Định tuyến theo role: STT/mã ngắn CENTER; mô tả LEFT; số lượng/tiền RIGHT; ngày/số điện thoại không là đại lượng.</x:v>
      </x:c>
      <x:c r="L109" t="str"/>
      <x:c r="M109" t="str">
        <x:v>PASS_WITH_SCOPE_LIMITATION</x:v>
      </x:c>
      <x:c r="N109" t="str">
        <x:v>https://tulieuvankien.dangcongsan.vn/upload/2006988/20260529/HD_05_VPTW_e1550.pdf</x:v>
      </x:c>
      <x:c r="O109" t="str">
        <x:v>BANG_HD05!G48</x:v>
      </x:c>
    </x:row>
    <x:row r="110">
      <x:c r="A110" t="n">
        <x:v>109</x:v>
      </x:c>
      <x:c r="B110" t="str">
        <x:v>HD05.N.BANG.O.CAN_DOC</x:v>
      </x:c>
      <x:c r="C110" t="str">
        <x:v>Căn dọc nội dung ô</x:v>
      </x:c>
      <x:c r="D110" t="str">
        <x:v>HD05</x:v>
      </x:c>
      <x:c r="E110" t="str">
        <x:v>CENTER</x:v>
      </x:c>
      <x:c r="F110" t="str">
        <x:v>Căn giữa theo chiều dọc theo profile; nếu bảng có đoạn văn nhiều dòng đặc thù, đối chiếu trước khi sửa.</x:v>
      </x:c>
      <x:c r="G110" t="str">
        <x:v>NOT_VERIFIED_AT_ATTRIBUTE_LEVEL</x:v>
      </x:c>
      <x:c r="H110" t="str">
        <x:v>USER_CHOSEN_V174_NOT_INTERNAL_SIGNOFF</x:v>
      </x:c>
      <x:c r="I110" t="str">
        <x:v>USER_PROFILE_CHOICE; LEGAL_UNVERIFIED</x:v>
      </x:c>
      <x:c r="J110" t="str">
        <x:v>LONG_MULTIPARAGRAPH_TOP_ALIGNMENT_REVIEW</x:v>
      </x:c>
      <x:c r="K110" t="str">
        <x:v>Center là mặc định profile; ô nhiều đoạn dài cần xem xét Top; không thay trước khi kiểm tra.</x:v>
      </x:c>
      <x:c r="L110" t="str"/>
      <x:c r="M110" t="str">
        <x:v>REVIEW</x:v>
      </x:c>
      <x:c r="N110" t="str">
        <x:v>https://tulieuvankien.dangcongsan.vn/upload/2006988/20260529/HD_05_VPTW_e1550.pdf</x:v>
      </x:c>
      <x:c r="O110" t="str">
        <x:v>BANG_HD05!G49</x:v>
      </x:c>
    </x:row>
    <x:row r="111">
      <x:c r="A111" t="n">
        <x:v>110</x:v>
      </x:c>
      <x:c r="B111" t="str">
        <x:v>HD05.N.BANG.O.GIAN_DONG</x:v>
      </x:c>
      <x:c r="C111" t="str">
        <x:v>Giãn dòng trong ô</x:v>
      </x:c>
      <x:c r="D111" t="str">
        <x:v>HD05</x:v>
      </x:c>
      <x:c r="E111" t="str">
        <x:v>SINGLE</x:v>
      </x:c>
      <x:c r="F111" t="str">
        <x:v>Giãn dòng đơn trong ô bảng theo quyết định nội bộ; riêng HD05 phải đánh dấu cần đối chiếu quy định lời văn 18–22 pt, không kết luận tuân thủ pháp lý.</x:v>
      </x:c>
      <x:c r="G111" t="str">
        <x:v>NOT_VERIFIED_AT_ATTRIBUTE_LEVEL</x:v>
      </x:c>
      <x:c r="H111" t="str">
        <x:v>USER_CHOSEN_V174_NOT_INTERNAL_SIGNOFF</x:v>
      </x:c>
      <x:c r="I111" t="str">
        <x:v>USER_PROFILE_CHOICE; LEGAL_UNVERIFIED</x:v>
      </x:c>
      <x:c r="J111" t="str">
        <x:v>LEGAL_SCOPE_HD05_TABLE_NOT_VERIFIED; LINE_BOX_RISK_UNMEASURED</x:v>
      </x:c>
      <x:c r="K111" t="str">
        <x:v>Giãn dòng đơn trong ô bảng theo quyết định nội bộ; riêng HD05 phải đánh dấu cần đối chiếu quy định lời văn 18–22 pt, không kết luận tuân thủ pháp lý.</x:v>
      </x:c>
      <x:c r="L111" t="str"/>
      <x:c r="M111" t="str">
        <x:v>UNVERIFIED</x:v>
      </x:c>
      <x:c r="N111" t="str">
        <x:v>https://tulieuvankien.dangcongsan.vn/upload/2006988/20260529/HD_05_VPTW_e1550.pdf</x:v>
      </x:c>
      <x:c r="O111" t="str">
        <x:v>BANG_HD05!G50</x:v>
      </x:c>
    </x:row>
    <x:row r="112">
      <x:c r="A112" t="n">
        <x:v>111</x:v>
      </x:c>
      <x:c r="B112" t="str">
        <x:v>HD05.N.BANG.O.CACH_DOAN</x:v>
      </x:c>
      <x:c r="C112" t="str">
        <x:v>Cách đoạn bên trong ô</x:v>
      </x:c>
      <x:c r="D112" t="str">
        <x:v>HD05</x:v>
      </x:c>
      <x:c r="E112" t="n">
        <x:v>0</x:v>
      </x:c>
      <x:c r="F112" t="str">
        <x:v>Trong mỗi ô, cách TRƯỚC = 0 pt và cách SAU = 0 pt; không xóa đoạn rỗng có ý nghĩa chưa được duyệt.</x:v>
      </x:c>
      <x:c r="G112" t="str">
        <x:v>NOT_VERIFIED_AT_ATTRIBUTE_LEVEL</x:v>
      </x:c>
      <x:c r="H112" t="str">
        <x:v>USER_CHOSEN_V174_NOT_INTERNAL_SIGNOFF</x:v>
      </x:c>
      <x:c r="I112" t="str">
        <x:v>USER_PROFILE_CHOICE; LEGAL_UNVERIFIED</x:v>
      </x:c>
      <x:c r="J112" t="str">
        <x:v>Không phát hiện mâu thuẫn giá trị ngay tại dòng</x:v>
      </x:c>
      <x:c r="K112" t="str">
        <x:v>Trong mỗi ô, cách TRƯỚC = 0 pt và cách SAU = 0 pt; không xóa đoạn rỗng có ý nghĩa chưa được duyệt.</x:v>
      </x:c>
      <x:c r="L112" t="str"/>
      <x:c r="M112" t="str">
        <x:v>PASS_WITH_SCOPE_LIMITATION</x:v>
      </x:c>
      <x:c r="N112" t="str">
        <x:v>https://tulieuvankien.dangcongsan.vn/upload/2006988/20260529/HD_05_VPTW_e1550.pdf</x:v>
      </x:c>
      <x:c r="O112" t="str">
        <x:v>BANG_HD05!G51</x:v>
      </x:c>
    </x:row>
    <x:row r="113">
      <x:c r="A113" t="n">
        <x:v>112</x:v>
      </x:c>
      <x:c r="B113" t="str">
        <x:v>HD05.N.BANG.O.LE_TRONG</x:v>
      </x:c>
      <x:c r="C113" t="str">
        <x:v>Lề trong ô</x:v>
      </x:c>
      <x:c r="D113" t="str">
        <x:v>HD05</x:v>
      </x:c>
      <x:c r="E113" t="n">
        <x:v>1.5</x:v>
      </x:c>
      <x:c r="F113" t="str">
        <x:v>Bốn lề trong ô: trên, dưới, trái, phải đều 1,5 mm; không áp cho caption ngoài bảng.</x:v>
      </x:c>
      <x:c r="G113" t="str">
        <x:v>NOT_VERIFIED_AT_ATTRIBUTE_LEVEL</x:v>
      </x:c>
      <x:c r="H113" t="str">
        <x:v>USER_CHOSEN_V174_NOT_INTERNAL_SIGNOFF</x:v>
      </x:c>
      <x:c r="I113" t="str">
        <x:v>USER_PROFILE_CHOICE; LEGAL_UNVERIFIED</x:v>
      </x:c>
      <x:c r="J113" t="str">
        <x:v>Không phát hiện mâu thuẫn giá trị ngay tại dòng</x:v>
      </x:c>
      <x:c r="K113" t="str">
        <x:v>Bốn lề trong ô: trên, dưới, trái, phải đều 1,5 mm; không áp cho caption ngoài bảng.</x:v>
      </x:c>
      <x:c r="L113" t="str"/>
      <x:c r="M113" t="str">
        <x:v>PASS_WITH_SCOPE_LIMITATION</x:v>
      </x:c>
      <x:c r="N113" t="str">
        <x:v>https://tulieuvankien.dangcongsan.vn/upload/2006988/20260529/HD_05_VPTW_e1550.pdf</x:v>
      </x:c>
      <x:c r="O113" t="str">
        <x:v>BANG_HD05!G52</x:v>
      </x:c>
    </x:row>
    <x:row r="114">
      <x:c r="A114" t="n">
        <x:v>113</x:v>
      </x:c>
      <x:c r="B114" t="str">
        <x:v>HD05.N.BANG.O.XUONG_DONG</x:v>
      </x:c>
      <x:c r="C114" t="str">
        <x:v>Xuống dòng trong ô</x:v>
      </x:c>
      <x:c r="D114" t="str">
        <x:v>HD05</x:v>
      </x:c>
      <x:c r="E114" t="str">
        <x:v>TRUE</x:v>
      </x:c>
      <x:c r="F114" t="str">
        <x:v>Cho phép tự xuống dòng trong ô khi chạm lề; không biến thành hard line breaks.</x:v>
      </x:c>
      <x:c r="G114" t="str">
        <x:v>NOT_VERIFIED_AT_ATTRIBUTE_LEVEL</x:v>
      </x:c>
      <x:c r="H114" t="str">
        <x:v>USER_CHOSEN_V174_NOT_INTERNAL_SIGNOFF</x:v>
      </x:c>
      <x:c r="I114" t="str">
        <x:v>USER_PROFILE_CHOICE; LEGAL_UNVERIFIED</x:v>
      </x:c>
      <x:c r="J114" t="str">
        <x:v>Không phát hiện mâu thuẫn giá trị ngay tại dòng</x:v>
      </x:c>
      <x:c r="K114" t="str">
        <x:v>Cho phép tự xuống dòng trong ô khi chạm lề; không biến thành hard line breaks.</x:v>
      </x:c>
      <x:c r="L114" t="str"/>
      <x:c r="M114" t="str">
        <x:v>PASS_WITH_SCOPE_LIMITATION</x:v>
      </x:c>
      <x:c r="N114" t="str">
        <x:v>https://tulieuvankien.dangcongsan.vn/upload/2006988/20260529/HD_05_VPTW_e1550.pdf</x:v>
      </x:c>
      <x:c r="O114" t="str">
        <x:v>BANG_HD05!G53</x:v>
      </x:c>
    </x:row>
    <x:row r="115">
      <x:c r="A115" t="n">
        <x:v>114</x:v>
      </x:c>
      <x:c r="B115" t="str">
        <x:v>HD05.N.BANG.O.TO_NEN</x:v>
      </x:c>
      <x:c r="C115" t="str">
        <x:v>Tô nền ô</x:v>
      </x:c>
      <x:c r="D115" t="str">
        <x:v>HD05</x:v>
      </x:c>
      <x:c r="E115" t="str">
        <x:v>NONE_NEW; PRESERVE_MEANINGFUL_EXISTING</x:v>
      </x:c>
      <x:c r="F115" t="str">
        <x:v>Không thêm nền mặc định, bảo toàn màu nền gốc có ý nghĩa.</x:v>
      </x:c>
      <x:c r="G115" t="str">
        <x:v>NOT_VERIFIED_AT_ATTRIBUTE_LEVEL</x:v>
      </x:c>
      <x:c r="H115" t="str">
        <x:v>USER_CHOSEN_V174_NOT_INTERNAL_SIGNOFF</x:v>
      </x:c>
      <x:c r="I115" t="str">
        <x:v>USER_PROFILE_CHOICE; LEGAL_UNVERIFIED</x:v>
      </x:c>
      <x:c r="J115" t="str">
        <x:v>Không phát hiện mâu thuẫn giá trị ngay tại dòng</x:v>
      </x:c>
      <x:c r="K115" t="str">
        <x:v>Không thêm nền; giữ nền gốc có ý nghĩa phân loại.</x:v>
      </x:c>
      <x:c r="L115" t="str"/>
      <x:c r="M115" t="str">
        <x:v>PASS_WITH_SCOPE_LIMITATION</x:v>
      </x:c>
      <x:c r="N115" t="str">
        <x:v>https://tulieuvankien.dangcongsan.vn/upload/2006988/20260529/HD_05_VPTW_e1550.pdf</x:v>
      </x:c>
      <x:c r="O115" t="str">
        <x:v>BANG_HD05!G54</x:v>
      </x:c>
    </x:row>
    <x:row r="116">
      <x:c r="A116" t="n">
        <x:v>115</x:v>
      </x:c>
      <x:c r="B116" t="str">
        <x:v>HD05.N.BANG.O.DINH_DANG_SO</x:v>
      </x:c>
      <x:c r="C116" t="str">
        <x:v>Định dạng dữ liệu số</x:v>
      </x:c>
      <x:c r="D116" t="str">
        <x:v>HD05</x:v>
      </x:c>
      <x:c r="E116" t="str">
        <x:v>PRESERVE</x:v>
      </x:c>
      <x:c r="F116" t="str">
        <x:v>Chỉ ô dữ liệu số; giữ nguyên số thập phân, dấu âm, đơn vị, phần trăm.</x:v>
      </x:c>
      <x:c r="G116" t="str">
        <x:v>NOT_VERIFIED_AT_ATTRIBUTE_LEVEL</x:v>
      </x:c>
      <x:c r="H116" t="str">
        <x:v>INHERITED_FROM_SOURCE_NOT_SEPARATELY_APPROVED</x:v>
      </x:c>
      <x:c r="I116" t="str">
        <x:v>USER_PROFILE_CHOICE; LEGAL_UNVERIFIED</x:v>
      </x:c>
      <x:c r="J116" t="str">
        <x:v>Không phát hiện mâu thuẫn giá trị ngay tại dòng</x:v>
      </x:c>
      <x:c r="K116" t="str">
        <x:v>Chỉ ô dữ liệu số; giữ nguyên số thập phân, dấu âm, đơn vị, phần trăm.</x:v>
      </x:c>
      <x:c r="L116" t="str"/>
      <x:c r="M116" t="str">
        <x:v>PASS_WITH_SCOPE_LIMITATION</x:v>
      </x:c>
      <x:c r="N116" t="str">
        <x:v>https://tulieuvankien.dangcongsan.vn/upload/2006988/20260529/HD_05_VPTW_e1550.pdf</x:v>
      </x:c>
      <x:c r="O116" t="str">
        <x:v>BANG_HD05!G55</x:v>
      </x:c>
    </x:row>
    <x:row r="117">
      <x:c r="A117" t="n">
        <x:v>116</x:v>
      </x:c>
      <x:c r="B117" t="str">
        <x:v>HD05.N.BANG.O.DU_LIEU</x:v>
      </x:c>
      <x:c r="C117" t="str">
        <x:v>Ô trống và ô có dữ liệu</x:v>
      </x:c>
      <x:c r="D117" t="str">
        <x:v>HD05</x:v>
      </x:c>
      <x:c r="E117" t="str">
        <x:v>PRESERVE</x:v>
      </x:c>
      <x:c r="F117" t="str">
        <x:v>Tất cả ô; giữ nguyên trống/không trống và vị trí dữ liệu.</x:v>
      </x:c>
      <x:c r="G117" t="str">
        <x:v>NOT_VERIFIED_AT_ATTRIBUTE_LEVEL</x:v>
      </x:c>
      <x:c r="H117" t="str">
        <x:v>INHERITED_FROM_SOURCE_NOT_SEPARATELY_APPROVED</x:v>
      </x:c>
      <x:c r="I117" t="str">
        <x:v>USER_PROFILE_CHOICE; LEGAL_UNVERIFIED</x:v>
      </x:c>
      <x:c r="J117" t="str">
        <x:v>Không phát hiện mâu thuẫn giá trị ngay tại dòng</x:v>
      </x:c>
      <x:c r="K117" t="str">
        <x:v>Tất cả ô; giữ nguyên trống/không trống và vị trí dữ liệu.</x:v>
      </x:c>
      <x:c r="L117" t="str"/>
      <x:c r="M117" t="str">
        <x:v>PASS_WITH_SCOPE_LIMITATION</x:v>
      </x:c>
      <x:c r="N117" t="str">
        <x:v>https://tulieuvankien.dangcongsan.vn/upload/2006988/20260529/HD_05_VPTW_e1550.pdf</x:v>
      </x:c>
      <x:c r="O117" t="str">
        <x:v>BANG_HD05!G56</x:v>
      </x:c>
    </x:row>
    <x:row r="118">
      <x:c r="A118" t="n">
        <x:v>117</x:v>
      </x:c>
      <x:c r="B118" t="str">
        <x:v>HD05.N.BANG.VIEN.NGOAI</x:v>
      </x:c>
      <x:c r="C118" t="str">
        <x:v>Khung bao toàn bảng</x:v>
      </x:c>
      <x:c r="D118" t="str">
        <x:v>HD05</x:v>
      </x:c>
      <x:c r="E118" t="str">
        <x:v>SINGLE_IF_FRAMED</x:v>
      </x:c>
      <x:c r="F118" t="str">
        <x:v>Bảng đã dùng khung: viền ngoài nét liền; bảng không khung không tự thêm viền.</x:v>
      </x:c>
      <x:c r="G118" t="str">
        <x:v>NOT_VERIFIED_AT_ATTRIBUTE_LEVEL</x:v>
      </x:c>
      <x:c r="H118" t="str">
        <x:v>USER_CHOSEN_V174_NOT_INTERNAL_SIGNOFF</x:v>
      </x:c>
      <x:c r="I118" t="str">
        <x:v>USER_PROFILE_CHOICE; LEGAL_UNVERIFIED</x:v>
      </x:c>
      <x:c r="J118" t="str">
        <x:v>Không phát hiện mâu thuẫn giá trị ngay tại dòng</x:v>
      </x:c>
      <x:c r="K118" t="str">
        <x:v>Bảng đã dùng khung: viền ngoài nét liền; bảng không khung không tự thêm viền.</x:v>
      </x:c>
      <x:c r="L118" t="str"/>
      <x:c r="M118" t="str">
        <x:v>PASS_WITH_SCOPE_LIMITATION</x:v>
      </x:c>
      <x:c r="N118" t="str">
        <x:v>https://tulieuvankien.dangcongsan.vn/upload/2006988/20260529/HD_05_VPTW_e1550.pdf</x:v>
      </x:c>
      <x:c r="O118" t="str">
        <x:v>BANG_HD05!G57</x:v>
      </x:c>
    </x:row>
    <x:row r="119">
      <x:c r="A119" t="n">
        <x:v>118</x:v>
      </x:c>
      <x:c r="B119" t="str">
        <x:v>HD05.N.BANG.VIEN.NGANG</x:v>
      </x:c>
      <x:c r="C119" t="str">
        <x:v>Đường kẻ nội bộ ngang</x:v>
      </x:c>
      <x:c r="D119" t="str">
        <x:v>HD05</x:v>
      </x:c>
      <x:c r="E119" t="str">
        <x:v>SINGLE_IF_FRAMED</x:v>
      </x:c>
      <x:c r="F119" t="str">
        <x:v>Đường nội bộ ngang nét đơn khi bảng dùng đường viền; không tự vẽ cho bảng không khung.</x:v>
      </x:c>
      <x:c r="G119" t="str">
        <x:v>NOT_VERIFIED_AT_ATTRIBUTE_LEVEL</x:v>
      </x:c>
      <x:c r="H119" t="str">
        <x:v>USER_CHOSEN_V174_NOT_INTERNAL_SIGNOFF</x:v>
      </x:c>
      <x:c r="I119" t="str">
        <x:v>USER_PROFILE_CHOICE; LEGAL_UNVERIFIED</x:v>
      </x:c>
      <x:c r="J119" t="str">
        <x:v>Không phát hiện mâu thuẫn giá trị ngay tại dòng</x:v>
      </x:c>
      <x:c r="K119" t="str">
        <x:v>Đường nội bộ ngang nét đơn khi bảng dùng đường viền; không tự vẽ cho bảng không khung.</x:v>
      </x:c>
      <x:c r="L119" t="str"/>
      <x:c r="M119" t="str">
        <x:v>PASS_WITH_SCOPE_LIMITATION</x:v>
      </x:c>
      <x:c r="N119" t="str">
        <x:v>https://tulieuvankien.dangcongsan.vn/upload/2006988/20260529/HD_05_VPTW_e1550.pdf</x:v>
      </x:c>
      <x:c r="O119" t="str">
        <x:v>BANG_HD05!G58</x:v>
      </x:c>
    </x:row>
    <x:row r="120">
      <x:c r="A120" t="n">
        <x:v>119</x:v>
      </x:c>
      <x:c r="B120" t="str">
        <x:v>HD05.N.BANG.VIEN.DOC</x:v>
      </x:c>
      <x:c r="C120" t="str">
        <x:v>Đường kẻ nội bộ dọc</x:v>
      </x:c>
      <x:c r="D120" t="str">
        <x:v>HD05</x:v>
      </x:c>
      <x:c r="E120" t="str">
        <x:v>SINGLE_IF_FRAMED</x:v>
      </x:c>
      <x:c r="F120" t="str">
        <x:v>Đường nội bộ dọc nét đơn khi bảng dùng đường viền; không tự vẽ cho bảng không khung.</x:v>
      </x:c>
      <x:c r="G120" t="str">
        <x:v>NOT_VERIFIED_AT_ATTRIBUTE_LEVEL</x:v>
      </x:c>
      <x:c r="H120" t="str">
        <x:v>USER_CHOSEN_V174_NOT_INTERNAL_SIGNOFF</x:v>
      </x:c>
      <x:c r="I120" t="str">
        <x:v>USER_PROFILE_CHOICE; LEGAL_UNVERIFIED</x:v>
      </x:c>
      <x:c r="J120" t="str">
        <x:v>Không phát hiện mâu thuẫn giá trị ngay tại dòng</x:v>
      </x:c>
      <x:c r="K120" t="str">
        <x:v>Đường nội bộ dọc nét đơn khi bảng dùng đường viền; không tự vẽ cho bảng không khung.</x:v>
      </x:c>
      <x:c r="L120" t="str"/>
      <x:c r="M120" t="str">
        <x:v>PASS_WITH_SCOPE_LIMITATION</x:v>
      </x:c>
      <x:c r="N120" t="str">
        <x:v>https://tulieuvankien.dangcongsan.vn/upload/2006988/20260529/HD_05_VPTW_e1550.pdf</x:v>
      </x:c>
      <x:c r="O120" t="str">
        <x:v>BANG_HD05!G59</x:v>
      </x:c>
    </x:row>
    <x:row r="121">
      <x:c r="A121" t="n">
        <x:v>120</x:v>
      </x:c>
      <x:c r="B121" t="str">
        <x:v>HD05.N.BANG.VIEN.DO_DAY</x:v>
      </x:c>
      <x:c r="C121" t="str">
        <x:v>Độ dày đường viền bảng</x:v>
      </x:c>
      <x:c r="D121" t="str">
        <x:v>HD05</x:v>
      </x:c>
      <x:c r="E121" t="n">
        <x:v>0.5</x:v>
      </x:c>
      <x:c r="F121" t="str">
        <x:v>Độ dày 0,5 pt chỉ khi bảng có khung; đây là profile, không phải tiêu chuẩn pháp lý quốc gia.</x:v>
      </x:c>
      <x:c r="G121" t="str">
        <x:v>NOT_VERIFIED_AT_ATTRIBUTE_LEVEL</x:v>
      </x:c>
      <x:c r="H121" t="str">
        <x:v>USER_CHOSEN_V174_NOT_INTERNAL_SIGNOFF</x:v>
      </x:c>
      <x:c r="I121" t="str">
        <x:v>USER_PROFILE_CHOICE; LEGAL_UNVERIFIED</x:v>
      </x:c>
      <x:c r="J121" t="str">
        <x:v>BORDER_WEIGHT_PROFILE_NOT_LEGAL</x:v>
      </x:c>
      <x:c r="K121" t="str">
        <x:v>Độ dày 0,5 pt chỉ khi bảng có khung; đây là profile, không phải tiêu chuẩn pháp lý quốc gia.</x:v>
      </x:c>
      <x:c r="L121" t="str"/>
      <x:c r="M121" t="str">
        <x:v>REVIEW</x:v>
      </x:c>
      <x:c r="N121" t="str">
        <x:v>https://tulieuvankien.dangcongsan.vn/upload/2006988/20260529/HD_05_VPTW_e1550.pdf</x:v>
      </x:c>
      <x:c r="O121" t="str">
        <x:v>BANG_HD05!G60</x:v>
      </x:c>
    </x:row>
    <x:row r="122">
      <x:c r="A122" t="n">
        <x:v>121</x:v>
      </x:c>
      <x:c r="B122" t="str">
        <x:v>HD05.N.BANG.GOP_O.NGANG</x:v>
      </x:c>
      <x:c r="C122" t="str">
        <x:v>Gộp ngang ô</x:v>
      </x:c>
      <x:c r="D122" t="str">
        <x:v>HD05</x:v>
      </x:c>
      <x:c r="E122" t="str">
        <x:v>PRESERVE</x:v>
      </x:c>
      <x:c r="F122" t="str">
        <x:v>Khi có ô gộp theo hàng; giữ nguyên số cột và các vùng gộp.</x:v>
      </x:c>
      <x:c r="G122" t="str">
        <x:v>NOT_VERIFIED_AT_ATTRIBUTE_LEVEL</x:v>
      </x:c>
      <x:c r="H122" t="str">
        <x:v>INHERITED_FROM_SOURCE_NOT_SEPARATELY_APPROVED</x:v>
      </x:c>
      <x:c r="I122" t="str">
        <x:v>USER_PROFILE_CHOICE; LEGAL_UNVERIFIED</x:v>
      </x:c>
      <x:c r="J122" t="str">
        <x:v>Không phát hiện mâu thuẫn giá trị ngay tại dòng</x:v>
      </x:c>
      <x:c r="K122" t="str">
        <x:v>Bảo toàn semantic header-data mapping, không được mất hàng/nhãn khi gộp.</x:v>
      </x:c>
      <x:c r="L122" t="str"/>
      <x:c r="M122" t="str">
        <x:v>PASS_WITH_SCOPE_LIMITATION</x:v>
      </x:c>
      <x:c r="N122" t="str">
        <x:v>https://tulieuvankien.dangcongsan.vn/upload/2006988/20260529/HD_05_VPTW_e1550.pdf</x:v>
      </x:c>
      <x:c r="O122" t="str">
        <x:v>BANG_HD05!G61</x:v>
      </x:c>
    </x:row>
    <x:row r="123">
      <x:c r="A123" t="n">
        <x:v>122</x:v>
      </x:c>
      <x:c r="B123" t="str">
        <x:v>HD05.N.BANG.GOP_O.DOC</x:v>
      </x:c>
      <x:c r="C123" t="str">
        <x:v>Gộp dọc ô</x:v>
      </x:c>
      <x:c r="D123" t="str">
        <x:v>HD05</x:v>
      </x:c>
      <x:c r="E123" t="str">
        <x:v>PRESERVE</x:v>
      </x:c>
      <x:c r="F123" t="str">
        <x:v>Khi có ô gộp theo cột; giữ nguyên quan hệ dữ liệu và chiều cao hàng.</x:v>
      </x:c>
      <x:c r="G123" t="str">
        <x:v>NOT_VERIFIED_AT_ATTRIBUTE_LEVEL</x:v>
      </x:c>
      <x:c r="H123" t="str">
        <x:v>INHERITED_FROM_SOURCE_NOT_SEPARATELY_APPROVED</x:v>
      </x:c>
      <x:c r="I123" t="str">
        <x:v>USER_PROFILE_CHOICE; LEGAL_UNVERIFIED</x:v>
      </x:c>
      <x:c r="J123" t="str">
        <x:v>Không phát hiện mâu thuẫn giá trị ngay tại dòng</x:v>
      </x:c>
      <x:c r="K123" t="str">
        <x:v>Bảo toàn semantic header-data mapping, không được mất hàng/nhãn khi gộp.</x:v>
      </x:c>
      <x:c r="L123" t="str"/>
      <x:c r="M123" t="str">
        <x:v>PASS_WITH_SCOPE_LIMITATION</x:v>
      </x:c>
      <x:c r="N123" t="str">
        <x:v>https://tulieuvankien.dangcongsan.vn/upload/2006988/20260529/HD_05_VPTW_e1550.pdf</x:v>
      </x:c>
      <x:c r="O123" t="str">
        <x:v>BANG_HD05!G62</x:v>
      </x:c>
    </x:row>
    <x:row r="124">
      <x:c r="A124" t="n">
        <x:v>123</x:v>
      </x:c>
      <x:c r="B124" t="str">
        <x:v>HD05.N.BANG.GOP_O.TINH_TOAN</x:v>
      </x:c>
      <x:c r="C124" t="str">
        <x:v>Giữ dữ liệu khi ô gộp</x:v>
      </x:c>
      <x:c r="D124" t="str">
        <x:v>HD05</x:v>
      </x:c>
      <x:c r="E124" t="str">
        <x:v>PRESERVE</x:v>
      </x:c>
      <x:c r="F124" t="str">
        <x:v>Khi tồn tại ô gộp; không làm mất dữ liệu trong bất kỳ ô liên quan.</x:v>
      </x:c>
      <x:c r="G124" t="str">
        <x:v>NOT_VERIFIED_AT_ATTRIBUTE_LEVEL</x:v>
      </x:c>
      <x:c r="H124" t="str">
        <x:v>INHERITED_FROM_SOURCE_NOT_SEPARATELY_APPROVED</x:v>
      </x:c>
      <x:c r="I124" t="str">
        <x:v>USER_PROFILE_CHOICE; LEGAL_UNVERIFIED</x:v>
      </x:c>
      <x:c r="J124" t="str">
        <x:v>Không phát hiện mâu thuẫn giá trị ngay tại dòng</x:v>
      </x:c>
      <x:c r="K124" t="str">
        <x:v>Bảo toàn semantic header-data mapping, không được mất hàng/nhãn khi gộp.</x:v>
      </x:c>
      <x:c r="L124" t="str"/>
      <x:c r="M124" t="str">
        <x:v>PASS_WITH_SCOPE_LIMITATION</x:v>
      </x:c>
      <x:c r="N124" t="str">
        <x:v>https://tulieuvankien.dangcongsan.vn/upload/2006988/20260529/HD_05_VPTW_e1550.pdf</x:v>
      </x:c>
      <x:c r="O124" t="str">
        <x:v>BANG_HD05!G63</x:v>
      </x:c>
    </x:row>
    <x:row r="125">
      <x:c r="A125" t="n">
        <x:v>124</x:v>
      </x:c>
      <x:c r="B125" t="str">
        <x:v>HD05.N.BANG.NGAT_TRANG.GIU_DAU_BANG</x:v>
      </x:c>
      <x:c r="C125" t="str">
        <x:v>Giữ hàng đầu bảng khi sang trang</x:v>
      </x:c>
      <x:c r="D125" t="str">
        <x:v>HD05</x:v>
      </x:c>
      <x:c r="E125" t="str">
        <x:v>YES_IF_MULTIPAGE</x:v>
      </x:c>
      <x:c r="F125" t="str">
        <x:v>MÃ THAM CHIẾU. Áp dụng cùng quyết định với HD05.N.BANG.DAU_BANG.LAP_LAI. Khi bảng nội dung chính chiếm từ 2 trang trở lên VÀ xác định được nhóm hàng tiêu đề liên tiếp từ hàng đầu: BẮT BUỘC lặp đầy đủ nhóm hàng tiêu đề trên mỗi trang sau. Không lặp hàng nhóm, hàng dữ liệu hoặc tiêu đề ngoài bảng. Nếu chưa xác định header, đánh dấu CẦN XÁC NHẬN; không tự bịa nhãn.</x:v>
      </x:c>
      <x:c r="G125" t="str">
        <x:v>NOT_VERIFIED_AT_ATTRIBUTE_LEVEL</x:v>
      </x:c>
      <x:c r="H125" t="str">
        <x:v>USER_CONFIRMED</x:v>
      </x:c>
      <x:c r="I125" t="str">
        <x:v>USER_PROFILE_CHOICE; LEGAL_UNVERIFIED</x:v>
      </x:c>
      <x:c r="J125" t="str">
        <x:v>ALIAS_SAME_DECISION</x:v>
      </x:c>
      <x:c r="K125" t="str">
        <x:v>MÃ THAM CHIẾU. Áp dụng cùng quyết định với HD05.N.BANG.DAU_BANG.LAP_LAI. Khi bảng nội dung chính chiếm từ 2 trang trở lên VÀ xác định được nhóm hàng tiêu đề liên tiếp từ hàng đầu: BẮT BUỘC lặp đầy đủ nhóm hàng tiêu đề trên mỗi trang sau. Không lặp hàng nhóm, hàng dữ liệu hoặc tiêu đề ngoài bảng. Nếu chưa xác định header, đánh dấu CẦN XÁC NHẬN; không tự bịa nhãn.</x:v>
      </x:c>
      <x:c r="L125" t="str">
        <x:v>HD05.N.BANG.DAU_BANG.LAP_LAI</x:v>
      </x:c>
      <x:c r="M125" t="str">
        <x:v>REVIEW</x:v>
      </x:c>
      <x:c r="N125" t="str">
        <x:v>https://tulieuvankien.dangcongsan.vn/upload/2006988/20260529/HD_05_VPTW_e1550.pdf</x:v>
      </x:c>
      <x:c r="O125" t="str">
        <x:v>BANG_HD05!G64</x:v>
      </x:c>
    </x:row>
    <x:row r="126">
      <x:c r="A126" t="n">
        <x:v>125</x:v>
      </x:c>
      <x:c r="B126" t="str">
        <x:v>HD05.N.BANG.NGAT_TRANG.BANG_DAI</x:v>
      </x:c>
      <x:c r="C126" t="str">
        <x:v>Cắt trang cho bảng dài</x:v>
      </x:c>
      <x:c r="D126" t="str">
        <x:v>HD05</x:v>
      </x:c>
      <x:c r="E126" t="str">
        <x:v>AUTO_BREAK_BETWEEN_ROWS</x:v>
      </x:c>
      <x:c r="F126" t="str">
        <x:v>Bảng nhiều trang ngắt giữa các hàng, không ép cả bảng ở một trang; phải lặp đầy đủ hàng tiêu đề.</x:v>
      </x:c>
      <x:c r="G126" t="str">
        <x:v>NOT_VERIFIED_AT_ATTRIBUTE_LEVEL</x:v>
      </x:c>
      <x:c r="H126" t="str">
        <x:v>USER_CHOSEN_V174_NOT_INTERNAL_SIGNOFF</x:v>
      </x:c>
      <x:c r="I126" t="str">
        <x:v>USER_PROFILE_CHOICE; LEGAL_UNVERIFIED</x:v>
      </x:c>
      <x:c r="J126" t="str">
        <x:v>Không phát hiện mâu thuẫn giá trị ngay tại dòng</x:v>
      </x:c>
      <x:c r="K126" t="str">
        <x:v>Bảng nhiều trang ngắt giữa các hàng, không ép cả bảng ở một trang; phải lặp đầy đủ hàng tiêu đề.</x:v>
      </x:c>
      <x:c r="L126" t="str"/>
      <x:c r="M126" t="str">
        <x:v>PASS_WITH_SCOPE_LIMITATION</x:v>
      </x:c>
      <x:c r="N126" t="str">
        <x:v>https://tulieuvankien.dangcongsan.vn/upload/2006988/20260529/HD_05_VPTW_e1550.pdf</x:v>
      </x:c>
      <x:c r="O126" t="str">
        <x:v>BANG_HD05!G65</x:v>
      </x:c>
    </x:row>
    <x:row r="127">
      <x:c r="A127" t="n">
        <x:v>126</x:v>
      </x:c>
      <x:c r="B127" t="str">
        <x:v>HD05.N.BANG.NGAT_TRANG.KHONG_HANG_MO_COI</x:v>
      </x:c>
      <x:c r="C127" t="str">
        <x:v>Kiểm soát hàng cuối/trang đầu</x:v>
      </x:c>
      <x:c r="D127" t="str">
        <x:v>HD05</x:v>
      </x:c>
      <x:c r="E127" t="str">
        <x:v>REVIEW</x:v>
      </x:c>
      <x:c r="F127" t="str">
        <x:v>Chỉ bảng nhiều trang có một hàng lẻ cuối/đầu trang; ưu tiên dễ đọc, không đảo thứ tự.</x:v>
      </x:c>
      <x:c r="G127" t="str">
        <x:v>NOT_VERIFIED_AT_ATTRIBUTE_LEVEL</x:v>
      </x:c>
      <x:c r="H127" t="str">
        <x:v>INHERITED_FROM_SOURCE_NOT_SEPARATELY_APPROVED</x:v>
      </x:c>
      <x:c r="I127" t="str">
        <x:v>USER_PROFILE_CHOICE; LEGAL_UNVERIFIED</x:v>
      </x:c>
      <x:c r="J127" t="str">
        <x:v>Không phát hiện mâu thuẫn giá trị ngay tại dòng</x:v>
      </x:c>
      <x:c r="K127" t="str">
        <x:v>Chỉ bảng nhiều trang có một hàng lẻ cuối/đầu trang; ưu tiên dễ đọc, không đảo thứ tự.</x:v>
      </x:c>
      <x:c r="L127" t="str"/>
      <x:c r="M127" t="str">
        <x:v>PASS_WITH_SCOPE_LIMITATION</x:v>
      </x:c>
      <x:c r="N127" t="str">
        <x:v>https://tulieuvankien.dangcongsan.vn/upload/2006988/20260529/HD_05_VPTW_e1550.pdf</x:v>
      </x:c>
      <x:c r="O127" t="str">
        <x:v>BANG_HD05!G66</x:v>
      </x:c>
    </x:row>
    <x:row r="128">
      <x:c r="A128" t="n">
        <x:v>127</x:v>
      </x:c>
      <x:c r="B128" t="str">
        <x:v>HD05.N.BANG.GHI_CHU.DON_VI</x:v>
      </x:c>
      <x:c r="C128" t="str">
        <x:v>Dòng đơn vị tính</x:v>
      </x:c>
      <x:c r="D128" t="str">
        <x:v>HD05</x:v>
      </x:c>
      <x:c r="E128" t="str">
        <x:v>PRESERVE</x:v>
      </x:c>
      <x:c r="F128" t="str">
        <x:v>Khi có dòng đơn vị tính liên hệ với bảng; xác định dòng ở ngoài hay trong ô trước khi chọn font.</x:v>
      </x:c>
      <x:c r="G128" t="str">
        <x:v>NOT_VERIFIED_AT_ATTRIBUTE_LEVEL</x:v>
      </x:c>
      <x:c r="H128" t="str">
        <x:v>INHERITED_FROM_SOURCE_NOT_SEPARATELY_APPROVED</x:v>
      </x:c>
      <x:c r="I128" t="str">
        <x:v>USER_PROFILE_CHOICE; LEGAL_UNVERIFIED</x:v>
      </x:c>
      <x:c r="J128" t="str">
        <x:v>Không phát hiện mâu thuẫn giá trị ngay tại dòng</x:v>
      </x:c>
      <x:c r="K128" t="str">
        <x:v>Khi có dòng đơn vị tính liên hệ với bảng; xác định dòng ở ngoài hay trong ô trước khi chọn font.</x:v>
      </x:c>
      <x:c r="L128" t="str"/>
      <x:c r="M128" t="str">
        <x:v>PASS_WITH_SCOPE_LIMITATION</x:v>
      </x:c>
      <x:c r="N128" t="str">
        <x:v>https://tulieuvankien.dangcongsan.vn/upload/2006988/20260529/HD_05_VPTW_e1550.pdf</x:v>
      </x:c>
      <x:c r="O128" t="str">
        <x:v>BANG_HD05!G67</x:v>
      </x:c>
    </x:row>
    <x:row r="129">
      <x:c r="A129" t="n">
        <x:v>128</x:v>
      </x:c>
      <x:c r="B129" t="str">
        <x:v>HD05.N.BANG.GHI_CHU.NGUON</x:v>
      </x:c>
      <x:c r="C129" t="str">
        <x:v>Dòng nguồn dữ liệu</x:v>
      </x:c>
      <x:c r="D129" t="str">
        <x:v>HD05</x:v>
      </x:c>
      <x:c r="E129" t="str">
        <x:v>PRESERVE</x:v>
      </x:c>
      <x:c r="F129" t="str">
        <x:v>Khi có dòng nguồn dữ liệu liên hệ với bảng; bảo toàn nội dung nguồn gốc.</x:v>
      </x:c>
      <x:c r="G129" t="str">
        <x:v>NOT_VERIFIED_AT_ATTRIBUTE_LEVEL</x:v>
      </x:c>
      <x:c r="H129" t="str">
        <x:v>INHERITED_FROM_SOURCE_NOT_SEPARATELY_APPROVED</x:v>
      </x:c>
      <x:c r="I129" t="str">
        <x:v>USER_PROFILE_CHOICE; LEGAL_UNVERIFIED</x:v>
      </x:c>
      <x:c r="J129" t="str">
        <x:v>Không phát hiện mâu thuẫn giá trị ngay tại dòng</x:v>
      </x:c>
      <x:c r="K129" t="str">
        <x:v>Khi có dòng nguồn dữ liệu liên hệ với bảng; bảo toàn nội dung nguồn gốc.</x:v>
      </x:c>
      <x:c r="L129" t="str"/>
      <x:c r="M129" t="str">
        <x:v>PASS_WITH_SCOPE_LIMITATION</x:v>
      </x:c>
      <x:c r="N129" t="str">
        <x:v>https://tulieuvankien.dangcongsan.vn/upload/2006988/20260529/HD_05_VPTW_e1550.pdf</x:v>
      </x:c>
      <x:c r="O129" t="str">
        <x:v>BANG_HD05!G68</x:v>
      </x:c>
    </x:row>
    <x:row r="130">
      <x:c r="A130" t="n">
        <x:v>129</x:v>
      </x:c>
      <x:c r="B130" t="str">
        <x:v>HD05.N.BANG.GHI_CHU.CHU_THICH</x:v>
      </x:c>
      <x:c r="C130" t="str">
        <x:v>Chú thích dưới bảng</x:v>
      </x:c>
      <x:c r="D130" t="str">
        <x:v>HD05</x:v>
      </x:c>
      <x:c r="E130" t="str">
        <x:v>PRESERVE</x:v>
      </x:c>
      <x:c r="F130" t="str">
        <x:v>Khi có chú thích dưới bảng; nếu ở ngoài bảng không tự áp cỡ chữ ô 13.</x:v>
      </x:c>
      <x:c r="G130" t="str">
        <x:v>NOT_VERIFIED_AT_ATTRIBUTE_LEVEL</x:v>
      </x:c>
      <x:c r="H130" t="str">
        <x:v>INHERITED_FROM_SOURCE_NOT_SEPARATELY_APPROVED</x:v>
      </x:c>
      <x:c r="I130" t="str">
        <x:v>USER_PROFILE_CHOICE; LEGAL_UNVERIFIED</x:v>
      </x:c>
      <x:c r="J130" t="str">
        <x:v>Không phát hiện mâu thuẫn giá trị ngay tại dòng</x:v>
      </x:c>
      <x:c r="K130" t="str">
        <x:v>Khi có chú thích dưới bảng; nếu ở ngoài bảng không tự áp cỡ chữ ô 13.</x:v>
      </x:c>
      <x:c r="L130" t="str"/>
      <x:c r="M130" t="str">
        <x:v>PASS_WITH_SCOPE_LIMITATION</x:v>
      </x:c>
      <x:c r="N130" t="str">
        <x:v>https://tulieuvankien.dangcongsan.vn/upload/2006988/20260529/HD_05_VPTW_e1550.pdf</x:v>
      </x:c>
      <x:c r="O130" t="str">
        <x:v>BANG_HD05!G69</x:v>
      </x:c>
    </x:row>
    <x:row r="131">
      <x:c r="A131" t="n">
        <x:v>130</x:v>
      </x:c>
      <x:c r="B131" t="str">
        <x:v>HD05.N.BANG.GHI_CHU.CACH_BANG</x:v>
      </x:c>
      <x:c r="C131" t="str">
        <x:v>Khoảng cách chú thích với bảng</x:v>
      </x:c>
      <x:c r="D131" t="str">
        <x:v>HD05</x:v>
      </x:c>
      <x:c r="E131" t="n">
        <x:v>6</x:v>
      </x:c>
      <x:c r="F131" t="str">
        <x:v>Giữa mép dưới bảng và chú thích/nguồn NGOÀI bảng: 6 pt; không cộng BO_CUC.KHOANG_SAU; chú thích trong ô không áp.</x:v>
      </x:c>
      <x:c r="G131" t="str">
        <x:v>NOT_VERIFIED_AT_ATTRIBUTE_LEVEL</x:v>
      </x:c>
      <x:c r="H131" t="str">
        <x:v>USER_CHOSEN_V174_NOT_INTERNAL_SIGNOFF</x:v>
      </x:c>
      <x:c r="I131" t="str">
        <x:v>USER_PROFILE_CHOICE; LEGAL_UNVERIFIED</x:v>
      </x:c>
      <x:c r="J131" t="str">
        <x:v>SPACING_COLLAPSE_NOT_NATIVE_WORD_GUARANTEE</x:v>
      </x:c>
      <x:c r="K131" t="str">
        <x:v>6 pt là khoảng của RANH GIỚI, không cộng vào spacing hiện có. Mỗi ranh giới chọn một quy tắc ưu tiên caption/chú thích &gt; đoạn thường.</x:v>
      </x:c>
      <x:c r="L131" t="str"/>
      <x:c r="M131" t="str">
        <x:v>REVIEW</x:v>
      </x:c>
      <x:c r="N131" t="str">
        <x:v>https://tulieuvankien.dangcongsan.vn/upload/2006988/20260529/HD_05_VPTW_e1550.pdf</x:v>
      </x:c>
      <x:c r="O131" t="str">
        <x:v>BANG_HD05!G70</x:v>
      </x:c>
    </x:row>
    <x:row r="132">
      <x:c r="A132" t="n">
        <x:v>131</x:v>
      </x:c>
      <x:c r="B132" t="str">
        <x:v>HD05.N.BANG.BANG_LONG.NHAN_DIEN</x:v>
      </x:c>
      <x:c r="C132" t="str">
        <x:v>Bảng lồng trong ô</x:v>
      </x:c>
      <x:c r="D132" t="str">
        <x:v>HD05</x:v>
      </x:c>
      <x:c r="E132" t="str">
        <x:v>DETECT_ONLY</x:v>
      </x:c>
      <x:c r="F132" t="str">
        <x:v>Chỉ khi một ô chứa bảng con; không coi bảng con là một hàng của bảng cha.</x:v>
      </x:c>
      <x:c r="G132" t="str">
        <x:v>NOT_VERIFIED_AT_ATTRIBUTE_LEVEL</x:v>
      </x:c>
      <x:c r="H132" t="str">
        <x:v>INHERITED_FROM_SOURCE_NOT_SEPARATELY_APPROVED</x:v>
      </x:c>
      <x:c r="I132" t="str">
        <x:v>USER_PROFILE_CHOICE; LEGAL_UNVERIFIED</x:v>
      </x:c>
      <x:c r="J132" t="str">
        <x:v>Không phát hiện mâu thuẫn giá trị ngay tại dòng</x:v>
      </x:c>
      <x:c r="K132" t="str">
        <x:v>Chỉ khi một ô chứa bảng con; không coi bảng con là một hàng của bảng cha.</x:v>
      </x:c>
      <x:c r="L132" t="str"/>
      <x:c r="M132" t="str">
        <x:v>PASS_WITH_SCOPE_LIMITATION</x:v>
      </x:c>
      <x:c r="N132" t="str">
        <x:v>https://tulieuvankien.dangcongsan.vn/upload/2006988/20260529/HD_05_VPTW_e1550.pdf</x:v>
      </x:c>
      <x:c r="O132" t="str">
        <x:v>BANG_HD05!G71</x:v>
      </x:c>
    </x:row>
    <x:row r="133">
      <x:c r="A133" t="n">
        <x:v>132</x:v>
      </x:c>
      <x:c r="B133" t="str">
        <x:v>HD05.N.BANG.BANG_LONG.BAO_TOAN</x:v>
      </x:c>
      <x:c r="C133" t="str">
        <x:v>Bảo toàn cấu trúc bảng lồng</x:v>
      </x:c>
      <x:c r="D133" t="str">
        <x:v>HD05</x:v>
      </x:c>
      <x:c r="E133" t="str">
        <x:v>PRESERVE</x:v>
      </x:c>
      <x:c r="F133" t="str">
        <x:v>Khi tồn tại bảng lồng; giữ nguyên số ô, cấu trúc và nội dung bảng con.</x:v>
      </x:c>
      <x:c r="G133" t="str">
        <x:v>NOT_VERIFIED_AT_ATTRIBUTE_LEVEL</x:v>
      </x:c>
      <x:c r="H133" t="str">
        <x:v>INHERITED_FROM_SOURCE_NOT_SEPARATELY_APPROVED</x:v>
      </x:c>
      <x:c r="I133" t="str">
        <x:v>USER_PROFILE_CHOICE; LEGAL_UNVERIFIED</x:v>
      </x:c>
      <x:c r="J133" t="str">
        <x:v>Không phát hiện mâu thuẫn giá trị ngay tại dòng</x:v>
      </x:c>
      <x:c r="K133" t="str">
        <x:v>Khi tồn tại bảng lồng; giữ nguyên số ô, cấu trúc và nội dung bảng con.</x:v>
      </x:c>
      <x:c r="L133" t="str"/>
      <x:c r="M133" t="str">
        <x:v>PASS_WITH_SCOPE_LIMITATION</x:v>
      </x:c>
      <x:c r="N133" t="str">
        <x:v>https://tulieuvankien.dangcongsan.vn/upload/2006988/20260529/HD_05_VPTW_e1550.pdf</x:v>
      </x:c>
      <x:c r="O133" t="str">
        <x:v>BANG_HD05!G72</x:v>
      </x:c>
    </x:row>
  </x:sheetData>
  <x:pageMargins left="0.7" right="0.7" top="0.75" bottom="0.75" header="0.3" footer="0.3"/>
</x:worksheet>
</file>

<file path=xl/worksheets/sheet3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 hidden="0" customWidth="1"/>
    <x:col min="2" max="2" width="38" hidden="0" customWidth="1"/>
    <x:col min="3" max="3" width="12" hidden="0" customWidth="1"/>
    <x:col min="4" max="4" width="32" hidden="0" customWidth="1"/>
    <x:col min="5" max="5" width="12" hidden="0" customWidth="1"/>
    <x:col min="6" max="6" width="15" hidden="0" customWidth="1"/>
    <x:col min="7" max="7" width="27" hidden="0" customWidth="1"/>
    <x:col min="8" max="8" width="20" hidden="0" customWidth="1"/>
    <x:col min="9" max="9" width="25" hidden="0" customWidth="1"/>
    <x:col min="10" max="10" width="28" hidden="0" customWidth="1"/>
    <x:col min="11" max="11" width="26" hidden="0" customWidth="1"/>
    <x:col min="12" max="12" width="22" hidden="0" customWidth="1"/>
  </x:cols>
  <x:sheetData>
    <x:row r="1" ht="28" customHeight="1">
      <x:c r="A1" s="305" t="str">
        <x:v>STT</x:v>
      </x:c>
      <x:c r="B1" s="305" t="str">
        <x:v>Mã cha</x:v>
      </x:c>
      <x:c r="C1" s="305" t="str">
        <x:v>Nhóm</x:v>
      </x:c>
      <x:c r="D1" s="305" t="str">
        <x:v>Tên</x:v>
      </x:c>
      <x:c r="E1" s="305" t="str">
        <x:v>Ô pháp lý</x:v>
      </x:c>
      <x:c r="F1" s="305" t="str">
        <x:v>Số rule con liên kết</x:v>
      </x:c>
      <x:c r="G1" s="305" t="str">
        <x:v>Tình trạng bao phủ</x:v>
      </x:c>
      <x:c r="H1" s="305" t="str">
        <x:v>Sheet cha</x:v>
      </x:c>
      <x:c r="I1" s="305" t="str">
        <x:v>URL luật</x:v>
      </x:c>
      <x:c r="J1" s="305" t="str">
        <x:v>Trạng thái profile nguồn</x:v>
      </x:c>
      <x:c r="K1" s="305" t="str">
        <x:v>Trạng thái nguồn cấp cha</x:v>
      </x:c>
      <x:c r="L1" s="305" t="str">
        <x:v>Chính sách</x:v>
      </x:c>
    </x:row>
    <x:row r="2">
      <x:c r="A2" t="n">
        <x:v>1</x:v>
      </x:c>
      <x:c r="B2" t="str">
        <x:v>ND30.D.CQ.CAP_TREN</x:v>
      </x:c>
      <x:c r="C2" t="str">
        <x:v>D</x:v>
      </x:c>
      <x:c r="D2" t="str">
        <x:v>Tên cơ quan, tổ chức chủ quản/cấp trên</x:v>
      </x:c>
      <x:c r="E2" t="str">
        <x:v>2</x:v>
      </x:c>
      <x:c r="F2" t="n">
        <x:v>10</x:v>
      </x:c>
      <x:c r="G2" t="str">
        <x:v>COVERED</x:v>
      </x:c>
      <x:c r="H2" t="str">
        <x:v>PROFILE_ND30</x:v>
      </x:c>
      <x:c r="I2" t="str">
        <x:v>https://congbao.chinhphu.vn/van-ban/nghi-dinh-so-30-2020-nd-cp-30858/30246.htm</x:v>
      </x:c>
      <x:c r="J2" t="str">
        <x:v>PROFILE_CHOT_THEO_TRAO_DOI</x:v>
      </x:c>
      <x:c r="K2" t="str">
        <x:v>ĐỐI CHIẾU MỘT PHẦN</x:v>
      </x:c>
      <x:c r="L2" t="str">
        <x:v>CHECK_ONLY; legacy preserved</x:v>
      </x:c>
    </x:row>
    <x:row r="3">
      <x:c r="A3" t="n">
        <x:v>2</x:v>
      </x:c>
      <x:c r="B3" t="str">
        <x:v>ND30.D.CQ.BAN_HANH</x:v>
      </x:c>
      <x:c r="C3" t="str">
        <x:v>D</x:v>
      </x:c>
      <x:c r="D3" t="str">
        <x:v>Tên cơ quan, tổ chức ban hành</x:v>
      </x:c>
      <x:c r="E3" t="str">
        <x:v>2</x:v>
      </x:c>
      <x:c r="F3" t="n">
        <x:v>10</x:v>
      </x:c>
      <x:c r="G3" t="str">
        <x:v>COVERED</x:v>
      </x:c>
      <x:c r="H3" t="str">
        <x:v>PROFILE_ND30</x:v>
      </x:c>
      <x:c r="I3" t="str">
        <x:v>https://congbao.chinhphu.vn/van-ban/nghi-dinh-so-30-2020-nd-cp-30858/30246.htm</x:v>
      </x:c>
      <x:c r="J3" t="str">
        <x:v>PROFILE_CHOT_THEO_TRAO_DOI</x:v>
      </x:c>
      <x:c r="K3" t="str">
        <x:v>ĐỐI CHIẾU MỘT PHẦN</x:v>
      </x:c>
      <x:c r="L3" t="str">
        <x:v>CHECK_ONLY; legacy preserved</x:v>
      </x:c>
    </x:row>
    <x:row r="4">
      <x:c r="A4" t="n">
        <x:v>3</x:v>
      </x:c>
      <x:c r="B4" t="str">
        <x:v>ND30.D.CQ.DUONG_KE</x:v>
      </x:c>
      <x:c r="C4" t="str">
        <x:v>D</x:v>
      </x:c>
      <x:c r="D4" t="str">
        <x:v>Đường kẻ bên dưới tên cơ quan ban hành</x:v>
      </x:c>
      <x:c r="E4" t="str">
        <x:v>2</x:v>
      </x:c>
      <x:c r="F4" t="n">
        <x:v>4</x:v>
      </x:c>
      <x:c r="G4" t="str">
        <x:v>COVERED</x:v>
      </x:c>
      <x:c r="H4" t="str">
        <x:v>PROFILE_ND30</x:v>
      </x:c>
      <x:c r="I4" t="str">
        <x:v>https://congbao.chinhphu.vn/van-ban/nghi-dinh-so-30-2020-nd-cp-30858/30246.htm</x:v>
      </x:c>
      <x:c r="J4" t="str">
        <x:v>CẦN QA RENDER</x:v>
      </x:c>
      <x:c r="K4" t="str">
        <x:v>ĐỐI CHIẾU MỘT PHẦN</x:v>
      </x:c>
      <x:c r="L4" t="str">
        <x:v>CHECK_ONLY; legacy preserved</x:v>
      </x:c>
    </x:row>
    <x:row r="5">
      <x:c r="A5" t="n">
        <x:v>4</x:v>
      </x:c>
      <x:c r="B5" t="str">
        <x:v>ND30.D.CQ.LIEN_CO_QUAN</x:v>
      </x:c>
      <x:c r="C5" t="str">
        <x:v>D</x:v>
      </x:c>
      <x:c r="D5" t="str">
        <x:v>Tên các cơ quan cùng ban hành (nếu có)</x:v>
      </x:c>
      <x:c r="E5" t="str">
        <x:v>2</x:v>
      </x:c>
      <x:c r="F5" t="n">
        <x:v>10</x:v>
      </x:c>
      <x:c r="G5" t="str">
        <x:v>COVERED</x:v>
      </x:c>
      <x:c r="H5" t="str">
        <x:v>PROFILE_ND30</x:v>
      </x:c>
      <x:c r="I5" t="str">
        <x:v>https://congbao.chinhphu.vn/van-ban/nghi-dinh-so-30-2020-nd-cp-30858/30246.htm</x:v>
      </x:c>
      <x:c r="J5" t="str">
        <x:v>CÓ ĐIỀU KIỆN</x:v>
      </x:c>
      <x:c r="K5" t="str">
        <x:v>CHƯA ĐỦ BẰNG CHỨNG</x:v>
      </x:c>
      <x:c r="L5" t="str">
        <x:v>CHECK_ONLY; legacy preserved</x:v>
      </x:c>
    </x:row>
    <x:row r="6">
      <x:c r="A6" t="n">
        <x:v>5</x:v>
      </x:c>
      <x:c r="B6" t="str">
        <x:v>ND30.D.QH.QUOC_HIEU</x:v>
      </x:c>
      <x:c r="C6" t="str">
        <x:v>D</x:v>
      </x:c>
      <x:c r="D6" t="str">
        <x:v>Quốc hiệu</x:v>
      </x:c>
      <x:c r="E6" t="str">
        <x:v>1</x:v>
      </x:c>
      <x:c r="F6" t="n">
        <x:v>10</x:v>
      </x:c>
      <x:c r="G6" t="str">
        <x:v>COVERED</x:v>
      </x:c>
      <x:c r="H6" t="str">
        <x:v>PROFILE_ND30</x:v>
      </x:c>
      <x:c r="I6" t="str">
        <x:v>https://congbao.chinhphu.vn/van-ban/nghi-dinh-so-30-2020-nd-cp-30858/30246.htm</x:v>
      </x:c>
      <x:c r="J6" t="str">
        <x:v>THAM KHẢO</x:v>
      </x:c>
      <x:c r="K6" t="str">
        <x:v>ĐỐI CHIẾU MỘT PHẦN</x:v>
      </x:c>
      <x:c r="L6" t="str">
        <x:v>CHECK_ONLY; legacy preserved</x:v>
      </x:c>
    </x:row>
    <x:row r="7">
      <x:c r="A7" t="n">
        <x:v>6</x:v>
      </x:c>
      <x:c r="B7" t="str">
        <x:v>ND30.D.QH.TIEU_NGU</x:v>
      </x:c>
      <x:c r="C7" t="str">
        <x:v>D</x:v>
      </x:c>
      <x:c r="D7" t="str">
        <x:v>Tiêu ngữ</x:v>
      </x:c>
      <x:c r="E7" t="str">
        <x:v>1</x:v>
      </x:c>
      <x:c r="F7" t="n">
        <x:v>10</x:v>
      </x:c>
      <x:c r="G7" t="str">
        <x:v>COVERED</x:v>
      </x:c>
      <x:c r="H7" t="str">
        <x:v>PROFILE_ND30</x:v>
      </x:c>
      <x:c r="I7" t="str">
        <x:v>https://congbao.chinhphu.vn/van-ban/nghi-dinh-so-30-2020-nd-cp-30858/30246.htm</x:v>
      </x:c>
      <x:c r="J7" t="str">
        <x:v>THAM KHẢO</x:v>
      </x:c>
      <x:c r="K7" t="str">
        <x:v>ĐỐI CHIẾU MỘT PHẦN</x:v>
      </x:c>
      <x:c r="L7" t="str">
        <x:v>CHECK_ONLY; legacy preserved</x:v>
      </x:c>
    </x:row>
    <x:row r="8">
      <x:c r="A8" t="n">
        <x:v>7</x:v>
      </x:c>
      <x:c r="B8" t="str">
        <x:v>ND30.D.QH.DUONG_KE</x:v>
      </x:c>
      <x:c r="C8" t="str">
        <x:v>D</x:v>
      </x:c>
      <x:c r="D8" t="str">
        <x:v>Đường kẻ dưới Tiêu ngữ</x:v>
      </x:c>
      <x:c r="E8" t="str">
        <x:v>1</x:v>
      </x:c>
      <x:c r="F8" t="n">
        <x:v>4</x:v>
      </x:c>
      <x:c r="G8" t="str">
        <x:v>COVERED</x:v>
      </x:c>
      <x:c r="H8" t="str">
        <x:v>PROFILE_ND30</x:v>
      </x:c>
      <x:c r="I8" t="str">
        <x:v>https://congbao.chinhphu.vn/van-ban/nghi-dinh-so-30-2020-nd-cp-30858/30246.htm</x:v>
      </x:c>
      <x:c r="J8" t="str">
        <x:v>CẦN QA RENDER</x:v>
      </x:c>
      <x:c r="K8" t="str">
        <x:v>ĐỐI CHIẾU MỘT PHẦN</x:v>
      </x:c>
      <x:c r="L8" t="str">
        <x:v>CHECK_ONLY; legacy preserved</x:v>
      </x:c>
    </x:row>
    <x:row r="9">
      <x:c r="A9" t="n">
        <x:v>8</x:v>
      </x:c>
      <x:c r="B9" t="str">
        <x:v>ND30.D.SK.NHAN_SO</x:v>
      </x:c>
      <x:c r="C9" t="str">
        <x:v>D</x:v>
      </x:c>
      <x:c r="D9" t="str">
        <x:v>Nhãn Số:</x:v>
      </x:c>
      <x:c r="E9" t="str">
        <x:v>3</x:v>
      </x:c>
      <x:c r="F9" t="n">
        <x:v>10</x:v>
      </x:c>
      <x:c r="G9" t="str">
        <x:v>COVERED</x:v>
      </x:c>
      <x:c r="H9" t="str">
        <x:v>PROFILE_ND30</x:v>
      </x:c>
      <x:c r="I9" t="str">
        <x:v>https://congbao.chinhphu.vn/van-ban/nghi-dinh-so-30-2020-nd-cp-30858/30246.htm</x:v>
      </x:c>
      <x:c r="J9" t="str">
        <x:v>THAM KHẢO</x:v>
      </x:c>
      <x:c r="K9" t="str">
        <x:v>ĐỐI CHIẾU MỘT PHẦN</x:v>
      </x:c>
      <x:c r="L9" t="str">
        <x:v>CHECK_ONLY; legacy preserved</x:v>
      </x:c>
    </x:row>
    <x:row r="10">
      <x:c r="A10" t="n">
        <x:v>9</x:v>
      </x:c>
      <x:c r="B10" t="str">
        <x:v>ND30.D.SK.SO_VAN_BAN</x:v>
      </x:c>
      <x:c r="C10" t="str">
        <x:v>D</x:v>
      </x:c>
      <x:c r="D10" t="str">
        <x:v>Số thứ tự văn bản</x:v>
      </x:c>
      <x:c r="E10" t="str">
        <x:v>3</x:v>
      </x:c>
      <x:c r="F10" t="n">
        <x:v>11</x:v>
      </x:c>
      <x:c r="G10" t="str">
        <x:v>COVERED</x:v>
      </x:c>
      <x:c r="H10" t="str">
        <x:v>PROFILE_ND30</x:v>
      </x:c>
      <x:c r="I10" t="str">
        <x:v>https://congbao.chinhphu.vn/van-ban/nghi-dinh-so-30-2020-nd-cp-30858/30246.htm</x:v>
      </x:c>
      <x:c r="J10" t="str">
        <x:v>THAM KHẢO</x:v>
      </x:c>
      <x:c r="K10" t="str">
        <x:v>ĐỐI CHIẾU MỘT PHẦN</x:v>
      </x:c>
      <x:c r="L10" t="str">
        <x:v>CHECK_ONLY; legacy preserved</x:v>
      </x:c>
    </x:row>
    <x:row r="11">
      <x:c r="A11" t="n">
        <x:v>10</x:v>
      </x:c>
      <x:c r="B11" t="str">
        <x:v>ND30.D.SK.KY_HIEU_LOAI</x:v>
      </x:c>
      <x:c r="C11" t="str">
        <x:v>D</x:v>
      </x:c>
      <x:c r="D11" t="str">
        <x:v>Ký hiệu tên loại văn bản</x:v>
      </x:c>
      <x:c r="E11" t="str">
        <x:v>3</x:v>
      </x:c>
      <x:c r="F11" t="n">
        <x:v>9</x:v>
      </x:c>
      <x:c r="G11" t="str">
        <x:v>COVERED</x:v>
      </x:c>
      <x:c r="H11" t="str">
        <x:v>PROFILE_ND30</x:v>
      </x:c>
      <x:c r="I11" t="str">
        <x:v>https://congbao.chinhphu.vn/van-ban/nghi-dinh-so-30-2020-nd-cp-30858/30246.htm</x:v>
      </x:c>
      <x:c r="J11" t="str">
        <x:v>THAM KHẢO</x:v>
      </x:c>
      <x:c r="K11" t="str">
        <x:v>ĐỐI CHIẾU MỘT PHẦN</x:v>
      </x:c>
      <x:c r="L11" t="str">
        <x:v>CHECK_ONLY; legacy preserved</x:v>
      </x:c>
    </x:row>
    <x:row r="12">
      <x:c r="A12" t="n">
        <x:v>11</x:v>
      </x:c>
      <x:c r="B12" t="str">
        <x:v>ND30.D.SK.KY_HIEU_CO_QUAN</x:v>
      </x:c>
      <x:c r="C12" t="str">
        <x:v>D</x:v>
      </x:c>
      <x:c r="D12" t="str">
        <x:v>Ký hiệu cơ quan, tổ chức ban hành</x:v>
      </x:c>
      <x:c r="E12" t="str">
        <x:v>3</x:v>
      </x:c>
      <x:c r="F12" t="n">
        <x:v>10</x:v>
      </x:c>
      <x:c r="G12" t="str">
        <x:v>COVERED</x:v>
      </x:c>
      <x:c r="H12" t="str">
        <x:v>PROFILE_ND30</x:v>
      </x:c>
      <x:c r="I12" t="str">
        <x:v>https://congbao.chinhphu.vn/van-ban/nghi-dinh-so-30-2020-nd-cp-30858/30246.htm</x:v>
      </x:c>
      <x:c r="J12" t="str">
        <x:v>CHO_XAC_MINH_HO_SO</x:v>
      </x:c>
      <x:c r="K12" t="str">
        <x:v>ĐỐI CHIẾU MỘT PHẦN</x:v>
      </x:c>
      <x:c r="L12" t="str">
        <x:v>CHECK_ONLY; legacy preserved</x:v>
      </x:c>
    </x:row>
    <x:row r="13">
      <x:c r="A13" t="n">
        <x:v>12</x:v>
      </x:c>
      <x:c r="B13" t="str">
        <x:v>ND30.D.SK.DAU_PHAN_CACH</x:v>
      </x:c>
      <x:c r="C13" t="str">
        <x:v>D</x:v>
      </x:c>
      <x:c r="D13" t="str">
        <x:v>Dấu phân cách trong số, ký hiệu</x:v>
      </x:c>
      <x:c r="E13" t="str">
        <x:v>3</x:v>
      </x:c>
      <x:c r="F13" t="n">
        <x:v>1</x:v>
      </x:c>
      <x:c r="G13" t="str">
        <x:v>COVERED</x:v>
      </x:c>
      <x:c r="H13" t="str">
        <x:v>PROFILE_ND30</x:v>
      </x:c>
      <x:c r="I13" t="str">
        <x:v>https://congbao.chinhphu.vn/van-ban/nghi-dinh-so-30-2020-nd-cp-30858/30246.htm</x:v>
      </x:c>
      <x:c r="J13" t="str">
        <x:v>THAM KHẢO</x:v>
      </x:c>
      <x:c r="K13" t="str">
        <x:v>ĐỐI CHIẾU MỘT PHẦN</x:v>
      </x:c>
      <x:c r="L13" t="str">
        <x:v>CHECK_ONLY; legacy preserved</x:v>
      </x:c>
    </x:row>
    <x:row r="14">
      <x:c r="A14" t="n">
        <x:v>13</x:v>
      </x:c>
      <x:c r="B14" t="str">
        <x:v>ND30.D.NG.DIA_DANH</x:v>
      </x:c>
      <x:c r="C14" t="str">
        <x:v>D</x:v>
      </x:c>
      <x:c r="D14" t="str">
        <x:v>Địa danh</x:v>
      </x:c>
      <x:c r="E14" t="str">
        <x:v>4</x:v>
      </x:c>
      <x:c r="F14" t="n">
        <x:v>10</x:v>
      </x:c>
      <x:c r="G14" t="str">
        <x:v>COVERED</x:v>
      </x:c>
      <x:c r="H14" t="str">
        <x:v>PROFILE_ND30</x:v>
      </x:c>
      <x:c r="I14" t="str">
        <x:v>https://congbao.chinhphu.vn/van-ban/nghi-dinh-so-30-2020-nd-cp-30858/30246.htm</x:v>
      </x:c>
      <x:c r="J14" t="str">
        <x:v>THAM KHẢO</x:v>
      </x:c>
      <x:c r="K14" t="str">
        <x:v>ĐỐI CHIẾU MỘT PHẦN</x:v>
      </x:c>
      <x:c r="L14" t="str">
        <x:v>CHECK_ONLY; legacy preserved</x:v>
      </x:c>
    </x:row>
    <x:row r="15">
      <x:c r="A15" t="n">
        <x:v>14</x:v>
      </x:c>
      <x:c r="B15" t="str">
        <x:v>ND30.D.NG.NGAY</x:v>
      </x:c>
      <x:c r="C15" t="str">
        <x:v>D</x:v>
      </x:c>
      <x:c r="D15" t="str">
        <x:v>Ngày</x:v>
      </x:c>
      <x:c r="E15" t="str">
        <x:v>4</x:v>
      </x:c>
      <x:c r="F15" t="n">
        <x:v>11</x:v>
      </x:c>
      <x:c r="G15" t="str">
        <x:v>COVERED</x:v>
      </x:c>
      <x:c r="H15" t="str">
        <x:v>PROFILE_ND30</x:v>
      </x:c>
      <x:c r="I15" t="str">
        <x:v>https://congbao.chinhphu.vn/van-ban/nghi-dinh-so-30-2020-nd-cp-30858/30246.htm</x:v>
      </x:c>
      <x:c r="J15" t="str">
        <x:v>THAM KHẢO</x:v>
      </x:c>
      <x:c r="K15" t="str">
        <x:v>ĐỐI CHIẾU MỘT PHẦN</x:v>
      </x:c>
      <x:c r="L15" t="str">
        <x:v>CHECK_ONLY; legacy preserved</x:v>
      </x:c>
    </x:row>
    <x:row r="16">
      <x:c r="A16" t="n">
        <x:v>15</x:v>
      </x:c>
      <x:c r="B16" t="str">
        <x:v>ND30.D.NG.THANG</x:v>
      </x:c>
      <x:c r="C16" t="str">
        <x:v>D</x:v>
      </x:c>
      <x:c r="D16" t="str">
        <x:v>Tháng</x:v>
      </x:c>
      <x:c r="E16" t="str">
        <x:v>4</x:v>
      </x:c>
      <x:c r="F16" t="n">
        <x:v>11</x:v>
      </x:c>
      <x:c r="G16" t="str">
        <x:v>COVERED</x:v>
      </x:c>
      <x:c r="H16" t="str">
        <x:v>PROFILE_ND30</x:v>
      </x:c>
      <x:c r="I16" t="str">
        <x:v>https://congbao.chinhphu.vn/van-ban/nghi-dinh-so-30-2020-nd-cp-30858/30246.htm</x:v>
      </x:c>
      <x:c r="J16" t="str">
        <x:v>THAM KHẢO</x:v>
      </x:c>
      <x:c r="K16" t="str">
        <x:v>ĐỐI CHIẾU MỘT PHẦN</x:v>
      </x:c>
      <x:c r="L16" t="str">
        <x:v>CHECK_ONLY; legacy preserved</x:v>
      </x:c>
    </x:row>
    <x:row r="17">
      <x:c r="A17" t="n">
        <x:v>16</x:v>
      </x:c>
      <x:c r="B17" t="str">
        <x:v>ND30.D.NG.NAM</x:v>
      </x:c>
      <x:c r="C17" t="str">
        <x:v>D</x:v>
      </x:c>
      <x:c r="D17" t="str">
        <x:v>Năm</x:v>
      </x:c>
      <x:c r="E17" t="str">
        <x:v>4</x:v>
      </x:c>
      <x:c r="F17" t="n">
        <x:v>10</x:v>
      </x:c>
      <x:c r="G17" t="str">
        <x:v>COVERED</x:v>
      </x:c>
      <x:c r="H17" t="str">
        <x:v>PROFILE_ND30</x:v>
      </x:c>
      <x:c r="I17" t="str">
        <x:v>https://congbao.chinhphu.vn/van-ban/nghi-dinh-so-30-2020-nd-cp-30858/30246.htm</x:v>
      </x:c>
      <x:c r="J17" t="str">
        <x:v>THAM KHẢO</x:v>
      </x:c>
      <x:c r="K17" t="str">
        <x:v>ĐỐI CHIẾU MỘT PHẦN</x:v>
      </x:c>
      <x:c r="L17" t="str">
        <x:v>CHECK_ONLY; legacy preserved</x:v>
      </x:c>
    </x:row>
    <x:row r="18">
      <x:c r="A18" t="n">
        <x:v>17</x:v>
      </x:c>
      <x:c r="B18" t="str">
        <x:v>ND30.D.TY.TEN_LOAI</x:v>
      </x:c>
      <x:c r="C18" t="str">
        <x:v>D</x:v>
      </x:c>
      <x:c r="D18" t="str">
        <x:v>Tên loại văn bản</x:v>
      </x:c>
      <x:c r="E18" t="str">
        <x:v>5a</x:v>
      </x:c>
      <x:c r="F18" t="n">
        <x:v>10</x:v>
      </x:c>
      <x:c r="G18" t="str">
        <x:v>COVERED</x:v>
      </x:c>
      <x:c r="H18" t="str">
        <x:v>PROFILE_ND30</x:v>
      </x:c>
      <x:c r="I18" t="str">
        <x:v>https://congbao.chinhphu.vn/van-ban/nghi-dinh-so-30-2020-nd-cp-30858/30246.htm</x:v>
      </x:c>
      <x:c r="J18" t="str">
        <x:v>CÓ ĐIỀU KIỆN</x:v>
      </x:c>
      <x:c r="K18" t="str">
        <x:v>ĐỐI CHIẾU MỘT PHẦN</x:v>
      </x:c>
      <x:c r="L18" t="str">
        <x:v>CHECK_ONLY; legacy preserved</x:v>
      </x:c>
    </x:row>
    <x:row r="19">
      <x:c r="A19" t="n">
        <x:v>18</x:v>
      </x:c>
      <x:c r="B19" t="str">
        <x:v>ND30.D.TY.TRICH_YEU</x:v>
      </x:c>
      <x:c r="C19" t="str">
        <x:v>D</x:v>
      </x:c>
      <x:c r="D19" t="str">
        <x:v>Trích yếu của văn bản có tên loại</x:v>
      </x:c>
      <x:c r="E19" t="str">
        <x:v>5a</x:v>
      </x:c>
      <x:c r="F19" t="n">
        <x:v>10</x:v>
      </x:c>
      <x:c r="G19" t="str">
        <x:v>COVERED</x:v>
      </x:c>
      <x:c r="H19" t="str">
        <x:v>PROFILE_ND30</x:v>
      </x:c>
      <x:c r="I19" t="str">
        <x:v>https://congbao.chinhphu.vn/van-ban/nghi-dinh-so-30-2020-nd-cp-30858/30246.htm</x:v>
      </x:c>
      <x:c r="J19" t="str">
        <x:v>CÓ ĐIỀU KIỆN</x:v>
      </x:c>
      <x:c r="K19" t="str">
        <x:v>ĐỐI CHIẾU MỘT PHẦN</x:v>
      </x:c>
      <x:c r="L19" t="str">
        <x:v>CHECK_ONLY; legacy preserved</x:v>
      </x:c>
    </x:row>
    <x:row r="20">
      <x:c r="A20" t="n">
        <x:v>19</x:v>
      </x:c>
      <x:c r="B20" t="str">
        <x:v>ND30.D.TY.DUONG_KE</x:v>
      </x:c>
      <x:c r="C20" t="str">
        <x:v>D</x:v>
      </x:c>
      <x:c r="D20" t="str">
        <x:v>Đường kẻ dưới trích yếu (khi mẫu yêu cầu)</x:v>
      </x:c>
      <x:c r="E20" t="str">
        <x:v>5a</x:v>
      </x:c>
      <x:c r="F20" t="n">
        <x:v>4</x:v>
      </x:c>
      <x:c r="G20" t="str">
        <x:v>COVERED</x:v>
      </x:c>
      <x:c r="H20" t="str">
        <x:v>PROFILE_ND30</x:v>
      </x:c>
      <x:c r="I20" t="str">
        <x:v>https://congbao.chinhphu.vn/van-ban/nghi-dinh-so-30-2020-nd-cp-30858/30246.htm</x:v>
      </x:c>
      <x:c r="J20" t="str">
        <x:v>CẦN QA RENDER</x:v>
      </x:c>
      <x:c r="K20" t="str">
        <x:v>ĐỐI CHIẾU MỘT PHẦN</x:v>
      </x:c>
      <x:c r="L20" t="str">
        <x:v>CHECK_ONLY; legacy preserved</x:v>
      </x:c>
    </x:row>
    <x:row r="21">
      <x:c r="A21" t="n">
        <x:v>20</x:v>
      </x:c>
      <x:c r="B21" t="str">
        <x:v>ND30.D.TY.NHAN_VV</x:v>
      </x:c>
      <x:c r="C21" t="str">
        <x:v>D</x:v>
      </x:c>
      <x:c r="D21" t="str">
        <x:v>Cụm V/v đầu trích yếu công văn</x:v>
      </x:c>
      <x:c r="E21" t="str">
        <x:v>5b</x:v>
      </x:c>
      <x:c r="F21" t="n">
        <x:v>10</x:v>
      </x:c>
      <x:c r="G21" t="str">
        <x:v>COVERED</x:v>
      </x:c>
      <x:c r="H21" t="str">
        <x:v>PROFILE_ND30</x:v>
      </x:c>
      <x:c r="I21" t="str">
        <x:v>https://congbao.chinhphu.vn/van-ban/nghi-dinh-so-30-2020-nd-cp-30858/30246.htm</x:v>
      </x:c>
      <x:c r="J21" t="str">
        <x:v>THAM KHẢO</x:v>
      </x:c>
      <x:c r="K21" t="str">
        <x:v>ĐỐI CHIẾU MỘT PHẦN</x:v>
      </x:c>
      <x:c r="L21" t="str">
        <x:v>CHECK_ONLY; legacy preserved</x:v>
      </x:c>
    </x:row>
    <x:row r="22">
      <x:c r="A22" t="n">
        <x:v>21</x:v>
      </x:c>
      <x:c r="B22" t="str">
        <x:v>ND30.D.TY.TRICH_YEU_CV</x:v>
      </x:c>
      <x:c r="C22" t="str">
        <x:v>D</x:v>
      </x:c>
      <x:c r="D22" t="str">
        <x:v>Nội dung trích yếu công văn</x:v>
      </x:c>
      <x:c r="E22" t="str">
        <x:v>5b</x:v>
      </x:c>
      <x:c r="F22" t="n">
        <x:v>11</x:v>
      </x:c>
      <x:c r="G22" t="str">
        <x:v>COVERED</x:v>
      </x:c>
      <x:c r="H22" t="str">
        <x:v>PROFILE_ND30</x:v>
      </x:c>
      <x:c r="I22" t="str">
        <x:v>https://congbao.chinhphu.vn/van-ban/nghi-dinh-so-30-2020-nd-cp-30858/30246.htm</x:v>
      </x:c>
      <x:c r="J22" t="str">
        <x:v>CÓ ĐIỀU KIỆN</x:v>
      </x:c>
      <x:c r="K22" t="str">
        <x:v>ĐỐI CHIẾU MỘT PHẦN</x:v>
      </x:c>
      <x:c r="L22" t="str">
        <x:v>CHECK_ONLY; legacy preserved</x:v>
      </x:c>
    </x:row>
    <x:row r="23">
      <x:c r="A23" t="n">
        <x:v>22</x:v>
      </x:c>
      <x:c r="B23" t="str">
        <x:v>ND30.D.NHAN.KINH_GUI</x:v>
      </x:c>
      <x:c r="C23" t="str">
        <x:v>D</x:v>
      </x:c>
      <x:c r="D23" t="str">
        <x:v>Nhãn Kính gửi:</x:v>
      </x:c>
      <x:c r="E23" t="str">
        <x:v>9a</x:v>
      </x:c>
      <x:c r="F23" t="n">
        <x:v>11</x:v>
      </x:c>
      <x:c r="G23" t="str">
        <x:v>COVERED</x:v>
      </x:c>
      <x:c r="H23" t="str">
        <x:v>PROFILE_ND30</x:v>
      </x:c>
      <x:c r="I23" t="str">
        <x:v>https://congbao.chinhphu.vn/van-ban/nghi-dinh-so-30-2020-nd-cp-30858/30246.htm</x:v>
      </x:c>
      <x:c r="J23" t="str">
        <x:v>CÓ ĐIỀU KIỆN</x:v>
      </x:c>
      <x:c r="K23" t="str">
        <x:v>ĐỐI CHIẾU MỘT PHẦN</x:v>
      </x:c>
      <x:c r="L23" t="str">
        <x:v>CHECK_ONLY; legacy preserved</x:v>
      </x:c>
    </x:row>
    <x:row r="24">
      <x:c r="A24" t="n">
        <x:v>23</x:v>
      </x:c>
      <x:c r="B24" t="str">
        <x:v>ND30.D.NHAN.DS_KINH_GUI</x:v>
      </x:c>
      <x:c r="C24" t="str">
        <x:v>D</x:v>
      </x:c>
      <x:c r="D24" t="str">
        <x:v>Danh sách người nhận trực tiếp</x:v>
      </x:c>
      <x:c r="E24" t="str">
        <x:v>9a</x:v>
      </x:c>
      <x:c r="F24" t="n">
        <x:v>10</x:v>
      </x:c>
      <x:c r="G24" t="str">
        <x:v>COVERED</x:v>
      </x:c>
      <x:c r="H24" t="str">
        <x:v>PROFILE_ND30</x:v>
      </x:c>
      <x:c r="I24" t="str">
        <x:v>https://congbao.chinhphu.vn/van-ban/nghi-dinh-so-30-2020-nd-cp-30858/30246.htm</x:v>
      </x:c>
      <x:c r="J24" t="str">
        <x:v>CÓ ĐIỀU KIỆN</x:v>
      </x:c>
      <x:c r="K24" t="str">
        <x:v>ĐỐI CHIẾU MỘT PHẦN</x:v>
      </x:c>
      <x:c r="L24" t="str">
        <x:v>CHECK_ONLY; legacy preserved</x:v>
      </x:c>
    </x:row>
    <x:row r="25">
      <x:c r="A25" t="n">
        <x:v>24</x:v>
      </x:c>
      <x:c r="B25" t="str">
        <x:v>ND30.N.MD.MO_DAU</x:v>
      </x:c>
      <x:c r="C25" t="str">
        <x:v>N</x:v>
      </x:c>
      <x:c r="D25" t="str">
        <x:v>Đoạn dẫn nhập</x:v>
      </x:c>
      <x:c r="E25" t="str">
        <x:v>6</x:v>
      </x:c>
      <x:c r="F25" t="n">
        <x:v>13</x:v>
      </x:c>
      <x:c r="G25" t="str">
        <x:v>COVERED</x:v>
      </x:c>
      <x:c r="H25" t="str">
        <x:v>PROFILE_ND30</x:v>
      </x:c>
      <x:c r="I25" t="str">
        <x:v>https://congbao.chinhphu.vn/van-ban/nghi-dinh-so-30-2020-nd-cp-30858/30246.htm</x:v>
      </x:c>
      <x:c r="J25" t="str">
        <x:v>THAM KHẢO</x:v>
      </x:c>
      <x:c r="K25" t="str">
        <x:v>CHƯA ĐỦ BẰNG CHỨNG</x:v>
      </x:c>
      <x:c r="L25" t="str">
        <x:v>CHECK_ONLY; legacy preserved</x:v>
      </x:c>
    </x:row>
    <x:row r="26">
      <x:c r="A26" t="n">
        <x:v>25</x:v>
      </x:c>
      <x:c r="B26" t="str">
        <x:v>ND30.N.MD.CAN_CU</x:v>
      </x:c>
      <x:c r="C26" t="str">
        <x:v>N</x:v>
      </x:c>
      <x:c r="D26" t="str">
        <x:v>Căn cứ ban hành</x:v>
      </x:c>
      <x:c r="E26" t="str">
        <x:v>6</x:v>
      </x:c>
      <x:c r="F26" t="n">
        <x:v>14</x:v>
      </x:c>
      <x:c r="G26" t="str">
        <x:v>COVERED</x:v>
      </x:c>
      <x:c r="H26" t="str">
        <x:v>PROFILE_ND30</x:v>
      </x:c>
      <x:c r="I26" t="str">
        <x:v>https://congbao.chinhphu.vn/van-ban/nghi-dinh-so-30-2020-nd-cp-30858/30246.htm</x:v>
      </x:c>
      <x:c r="J26" t="str">
        <x:v>CÓ ĐIỀU KIỆN</x:v>
      </x:c>
      <x:c r="K26" t="str">
        <x:v>CHƯA ĐỦ BẰNG CHỨNG</x:v>
      </x:c>
      <x:c r="L26" t="str">
        <x:v>CHECK_ONLY; legacy preserved</x:v>
      </x:c>
    </x:row>
    <x:row r="27">
      <x:c r="A27" t="n">
        <x:v>26</x:v>
      </x:c>
      <x:c r="B27" t="str">
        <x:v>ND30.N.DM.PHAN</x:v>
      </x:c>
      <x:c r="C27" t="str">
        <x:v>N</x:v>
      </x:c>
      <x:c r="D27" t="str">
        <x:v>Phần</x:v>
      </x:c>
      <x:c r="E27" t="str">
        <x:v>6</x:v>
      </x:c>
      <x:c r="F27" t="n">
        <x:v>16</x:v>
      </x:c>
      <x:c r="G27" t="str">
        <x:v>COVERED</x:v>
      </x:c>
      <x:c r="H27" t="str">
        <x:v>PROFILE_ND30</x:v>
      </x:c>
      <x:c r="I27" t="str">
        <x:v>https://congbao.chinhphu.vn/van-ban/nghi-dinh-so-30-2020-nd-cp-30858/30246.htm</x:v>
      </x:c>
      <x:c r="J27" t="str">
        <x:v>CÓ ĐIỀU KIỆN</x:v>
      </x:c>
      <x:c r="K27" t="str">
        <x:v>CHƯA ĐỦ BẰNG CHỨNG</x:v>
      </x:c>
      <x:c r="L27" t="str">
        <x:v>CHECK_ONLY; legacy preserved</x:v>
      </x:c>
    </x:row>
    <x:row r="28">
      <x:c r="A28" t="n">
        <x:v>27</x:v>
      </x:c>
      <x:c r="B28" t="str">
        <x:v>ND30.N.DM.CHUONG</x:v>
      </x:c>
      <x:c r="C28" t="str">
        <x:v>N</x:v>
      </x:c>
      <x:c r="D28" t="str">
        <x:v>Chương</x:v>
      </x:c>
      <x:c r="E28" t="str">
        <x:v>6</x:v>
      </x:c>
      <x:c r="F28" t="n">
        <x:v>16</x:v>
      </x:c>
      <x:c r="G28" t="str">
        <x:v>COVERED</x:v>
      </x:c>
      <x:c r="H28" t="str">
        <x:v>PROFILE_ND30</x:v>
      </x:c>
      <x:c r="I28" t="str">
        <x:v>https://congbao.chinhphu.vn/van-ban/nghi-dinh-so-30-2020-nd-cp-30858/30246.htm</x:v>
      </x:c>
      <x:c r="J28" t="str">
        <x:v>CÓ ĐIỀU KIỆN</x:v>
      </x:c>
      <x:c r="K28" t="str">
        <x:v>CHƯA ĐỦ BẰNG CHỨNG</x:v>
      </x:c>
      <x:c r="L28" t="str">
        <x:v>CHECK_ONLY; legacy preserved</x:v>
      </x:c>
    </x:row>
    <x:row r="29">
      <x:c r="A29" t="n">
        <x:v>28</x:v>
      </x:c>
      <x:c r="B29" t="str">
        <x:v>ND30.N.DM.MUC</x:v>
      </x:c>
      <x:c r="C29" t="str">
        <x:v>N</x:v>
      </x:c>
      <x:c r="D29" t="str">
        <x:v>Mục</x:v>
      </x:c>
      <x:c r="E29" t="str">
        <x:v>6</x:v>
      </x:c>
      <x:c r="F29" t="n">
        <x:v>16</x:v>
      </x:c>
      <x:c r="G29" t="str">
        <x:v>COVERED</x:v>
      </x:c>
      <x:c r="H29" t="str">
        <x:v>PROFILE_ND30</x:v>
      </x:c>
      <x:c r="I29" t="str">
        <x:v>https://congbao.chinhphu.vn/van-ban/nghi-dinh-so-30-2020-nd-cp-30858/30246.htm</x:v>
      </x:c>
      <x:c r="J29" t="str">
        <x:v>CÓ ĐIỀU KIỆN</x:v>
      </x:c>
      <x:c r="K29" t="str">
        <x:v>CHƯA ĐỦ BẰNG CHỨNG</x:v>
      </x:c>
      <x:c r="L29" t="str">
        <x:v>CHECK_ONLY; legacy preserved</x:v>
      </x:c>
    </x:row>
    <x:row r="30">
      <x:c r="A30" t="n">
        <x:v>29</x:v>
      </x:c>
      <x:c r="B30" t="str">
        <x:v>ND30.N.DM.TIEU_MUC</x:v>
      </x:c>
      <x:c r="C30" t="str">
        <x:v>N</x:v>
      </x:c>
      <x:c r="D30" t="str">
        <x:v>Tiểu mục</x:v>
      </x:c>
      <x:c r="E30" t="str">
        <x:v>6</x:v>
      </x:c>
      <x:c r="F30" t="n">
        <x:v>16</x:v>
      </x:c>
      <x:c r="G30" t="str">
        <x:v>COVERED</x:v>
      </x:c>
      <x:c r="H30" t="str">
        <x:v>PROFILE_ND30</x:v>
      </x:c>
      <x:c r="I30" t="str">
        <x:v>https://congbao.chinhphu.vn/van-ban/nghi-dinh-so-30-2020-nd-cp-30858/30246.htm</x:v>
      </x:c>
      <x:c r="J30" t="str">
        <x:v>CÓ ĐIỀU KIỆN</x:v>
      </x:c>
      <x:c r="K30" t="str">
        <x:v>CHƯA ĐỦ BẰNG CHỨNG</x:v>
      </x:c>
      <x:c r="L30" t="str">
        <x:v>CHECK_ONLY; legacy preserved</x:v>
      </x:c>
    </x:row>
    <x:row r="31">
      <x:c r="A31" t="n">
        <x:v>30</x:v>
      </x:c>
      <x:c r="B31" t="str">
        <x:v>ND30.N.DIEU.SO_DIEU</x:v>
      </x:c>
      <x:c r="C31" t="str">
        <x:v>N</x:v>
      </x:c>
      <x:c r="D31" t="str">
        <x:v>Số điều</x:v>
      </x:c>
      <x:c r="E31" t="str">
        <x:v>6</x:v>
      </x:c>
      <x:c r="F31" t="n">
        <x:v>16</x:v>
      </x:c>
      <x:c r="G31" t="str">
        <x:v>COVERED</x:v>
      </x:c>
      <x:c r="H31" t="str">
        <x:v>PROFILE_ND30</x:v>
      </x:c>
      <x:c r="I31" t="str">
        <x:v>https://congbao.chinhphu.vn/van-ban/nghi-dinh-so-30-2020-nd-cp-30858/30246.htm</x:v>
      </x:c>
      <x:c r="J31" t="str">
        <x:v>CÓ ĐIỀU KIỆN</x:v>
      </x:c>
      <x:c r="K31" t="str">
        <x:v>CHƯA ĐỦ BẰNG CHỨNG</x:v>
      </x:c>
      <x:c r="L31" t="str">
        <x:v>CHECK_ONLY; legacy preserved</x:v>
      </x:c>
    </x:row>
    <x:row r="32">
      <x:c r="A32" t="n">
        <x:v>31</x:v>
      </x:c>
      <x:c r="B32" t="str">
        <x:v>ND30.N.DIEU.TEN_DIEU</x:v>
      </x:c>
      <x:c r="C32" t="str">
        <x:v>N</x:v>
      </x:c>
      <x:c r="D32" t="str">
        <x:v>Tên điều</x:v>
      </x:c>
      <x:c r="E32" t="str">
        <x:v>6</x:v>
      </x:c>
      <x:c r="F32" t="n">
        <x:v>16</x:v>
      </x:c>
      <x:c r="G32" t="str">
        <x:v>COVERED</x:v>
      </x:c>
      <x:c r="H32" t="str">
        <x:v>PROFILE_ND30</x:v>
      </x:c>
      <x:c r="I32" t="str">
        <x:v>https://congbao.chinhphu.vn/van-ban/nghi-dinh-so-30-2020-nd-cp-30858/30246.htm</x:v>
      </x:c>
      <x:c r="J32" t="str">
        <x:v>CÓ ĐIỀU KIỆN</x:v>
      </x:c>
      <x:c r="K32" t="str">
        <x:v>CHƯA ĐỦ BẰNG CHỨNG</x:v>
      </x:c>
      <x:c r="L32" t="str">
        <x:v>CHECK_ONLY; legacy preserved</x:v>
      </x:c>
    </x:row>
    <x:row r="33">
      <x:c r="A33" t="n">
        <x:v>32</x:v>
      </x:c>
      <x:c r="B33" t="str">
        <x:v>ND30.N.DIEU.NOI_DUNG_DIEU</x:v>
      </x:c>
      <x:c r="C33" t="str">
        <x:v>N</x:v>
      </x:c>
      <x:c r="D33" t="str">
        <x:v>Nội dung điều</x:v>
      </x:c>
      <x:c r="E33" t="str">
        <x:v>6</x:v>
      </x:c>
      <x:c r="F33" t="n">
        <x:v>16</x:v>
      </x:c>
      <x:c r="G33" t="str">
        <x:v>COVERED</x:v>
      </x:c>
      <x:c r="H33" t="str">
        <x:v>PROFILE_ND30</x:v>
      </x:c>
      <x:c r="I33" t="str">
        <x:v>https://congbao.chinhphu.vn/van-ban/nghi-dinh-so-30-2020-nd-cp-30858/30246.htm</x:v>
      </x:c>
      <x:c r="J33" t="str">
        <x:v>CÓ ĐIỀU KIỆN</x:v>
      </x:c>
      <x:c r="K33" t="str">
        <x:v>CHƯA ĐỦ BẰNG CHỨNG</x:v>
      </x:c>
      <x:c r="L33" t="str">
        <x:v>CHECK_ONLY; legacy preserved</x:v>
      </x:c>
    </x:row>
    <x:row r="34">
      <x:c r="A34" t="n">
        <x:v>33</x:v>
      </x:c>
      <x:c r="B34" t="str">
        <x:v>ND30.N.KD.KHOAN</x:v>
      </x:c>
      <x:c r="C34" t="str">
        <x:v>N</x:v>
      </x:c>
      <x:c r="D34" t="str">
        <x:v>Khoản</x:v>
      </x:c>
      <x:c r="E34" t="str">
        <x:v>6</x:v>
      </x:c>
      <x:c r="F34" t="n">
        <x:v>16</x:v>
      </x:c>
      <x:c r="G34" t="str">
        <x:v>COVERED</x:v>
      </x:c>
      <x:c r="H34" t="str">
        <x:v>PROFILE_ND30</x:v>
      </x:c>
      <x:c r="I34" t="str">
        <x:v>https://congbao.chinhphu.vn/van-ban/nghi-dinh-so-30-2020-nd-cp-30858/30246.htm</x:v>
      </x:c>
      <x:c r="J34" t="str">
        <x:v>CÓ ĐIỀU KIỆN</x:v>
      </x:c>
      <x:c r="K34" t="str">
        <x:v>CHƯA ĐỦ BẰNG CHỨNG</x:v>
      </x:c>
      <x:c r="L34" t="str">
        <x:v>CHECK_ONLY; legacy preserved</x:v>
      </x:c>
    </x:row>
    <x:row r="35">
      <x:c r="A35" t="n">
        <x:v>34</x:v>
      </x:c>
      <x:c r="B35" t="str">
        <x:v>ND30.N.KD.DIEM</x:v>
      </x:c>
      <x:c r="C35" t="str">
        <x:v>N</x:v>
      </x:c>
      <x:c r="D35" t="str">
        <x:v>Điểm</x:v>
      </x:c>
      <x:c r="E35" t="str">
        <x:v>6</x:v>
      </x:c>
      <x:c r="F35" t="n">
        <x:v>16</x:v>
      </x:c>
      <x:c r="G35" t="str">
        <x:v>COVERED</x:v>
      </x:c>
      <x:c r="H35" t="str">
        <x:v>PROFILE_ND30</x:v>
      </x:c>
      <x:c r="I35" t="str">
        <x:v>https://congbao.chinhphu.vn/van-ban/nghi-dinh-so-30-2020-nd-cp-30858/30246.htm</x:v>
      </x:c>
      <x:c r="J35" t="str">
        <x:v>CÓ ĐIỀU KIỆN</x:v>
      </x:c>
      <x:c r="K35" t="str">
        <x:v>CHƯA ĐỦ BẰNG CHỨNG</x:v>
      </x:c>
      <x:c r="L35" t="str">
        <x:v>CHECK_ONLY; legacy preserved</x:v>
      </x:c>
    </x:row>
    <x:row r="36">
      <x:c r="A36" t="n">
        <x:v>35</x:v>
      </x:c>
      <x:c r="B36" t="str">
        <x:v>ND30.N.KD.DANH_SACH</x:v>
      </x:c>
      <x:c r="C36" t="str">
        <x:v>N</x:v>
      </x:c>
      <x:c r="D36" t="str">
        <x:v>Danh sách liệt kê</x:v>
      </x:c>
      <x:c r="E36" t="str">
        <x:v>6</x:v>
      </x:c>
      <x:c r="F36" t="n">
        <x:v>16</x:v>
      </x:c>
      <x:c r="G36" t="str">
        <x:v>COVERED</x:v>
      </x:c>
      <x:c r="H36" t="str">
        <x:v>PROFILE_ND30</x:v>
      </x:c>
      <x:c r="I36" t="str">
        <x:v>https://congbao.chinhphu.vn/van-ban/nghi-dinh-so-30-2020-nd-cp-30858/30246.htm</x:v>
      </x:c>
      <x:c r="J36" t="str">
        <x:v>CÓ ĐIỀU KIỆN</x:v>
      </x:c>
      <x:c r="K36" t="str">
        <x:v>CẦN RÀ SOÁT</x:v>
      </x:c>
      <x:c r="L36" t="str">
        <x:v>CHECK_ONLY; legacy preserved</x:v>
      </x:c>
    </x:row>
    <x:row r="37">
      <x:c r="A37" t="n">
        <x:v>36</x:v>
      </x:c>
      <x:c r="B37" t="str">
        <x:v>ND30.N.DOAN.VAN_BAN</x:v>
      </x:c>
      <x:c r="C37" t="str">
        <x:v>N</x:v>
      </x:c>
      <x:c r="D37" t="str">
        <x:v>Nội dung đoạn văn thông thường</x:v>
      </x:c>
      <x:c r="E37" t="str">
        <x:v>6</x:v>
      </x:c>
      <x:c r="F37" t="n">
        <x:v>13</x:v>
      </x:c>
      <x:c r="G37" t="str">
        <x:v>COVERED</x:v>
      </x:c>
      <x:c r="H37" t="str">
        <x:v>PROFILE_ND30</x:v>
      </x:c>
      <x:c r="I37" t="str">
        <x:v>https://congbao.chinhphu.vn/van-ban/nghi-dinh-so-30-2020-nd-cp-30858/30246.htm</x:v>
      </x:c>
      <x:c r="J37" t="str">
        <x:v>THAM KHẢO</x:v>
      </x:c>
      <x:c r="K37" t="str">
        <x:v>ĐỐI CHIẾU MỘT PHẦN</x:v>
      </x:c>
      <x:c r="L37" t="str">
        <x:v>CHECK_ONLY; legacy preserved</x:v>
      </x:c>
    </x:row>
    <x:row r="38">
      <x:c r="A38" t="n">
        <x:v>37</x:v>
      </x:c>
      <x:c r="B38" t="str">
        <x:v>ND30.N.BANG.TIEU_DE</x:v>
      </x:c>
      <x:c r="C38" t="str">
        <x:v>N</x:v>
      </x:c>
      <x:c r="D38" t="str">
        <x:v>Tiêu đề bảng</x:v>
      </x:c>
      <x:c r="E38" t="str">
        <x:v>6</x:v>
      </x:c>
      <x:c r="F38" t="n">
        <x:v>1</x:v>
      </x:c>
      <x:c r="G38" t="str">
        <x:v>REFER_TO_BANG_132</x:v>
      </x:c>
      <x:c r="H38" t="str">
        <x:v>PROFILE_ND30</x:v>
      </x:c>
      <x:c r="I38" t="str">
        <x:v>https://congbao.chinhphu.vn/van-ban/nghi-dinh-so-30-2020-nd-cp-30858/30246.htm</x:v>
      </x:c>
      <x:c r="J38" t="str">
        <x:v>CẦN QA RENDER</x:v>
      </x:c>
      <x:c r="K38" t="str">
        <x:v>CẦN RÀ SOÁT</x:v>
      </x:c>
      <x:c r="L38" t="str">
        <x:v>CHECK_ONLY; legacy preserved</x:v>
      </x:c>
    </x:row>
    <x:row r="39">
      <x:c r="A39" t="n">
        <x:v>38</x:v>
      </x:c>
      <x:c r="B39" t="str">
        <x:v>ND30.N.BANG.DAU_BANG</x:v>
      </x:c>
      <x:c r="C39" t="str">
        <x:v>N</x:v>
      </x:c>
      <x:c r="D39" t="str">
        <x:v>Hàng đầu bảng</x:v>
      </x:c>
      <x:c r="E39" t="str">
        <x:v>6</x:v>
      </x:c>
      <x:c r="F39" t="n">
        <x:v>1</x:v>
      </x:c>
      <x:c r="G39" t="str">
        <x:v>REFER_TO_BANG_132</x:v>
      </x:c>
      <x:c r="H39" t="str">
        <x:v>PROFILE_ND30</x:v>
      </x:c>
      <x:c r="I39" t="str">
        <x:v>https://congbao.chinhphu.vn/van-ban/nghi-dinh-so-30-2020-nd-cp-30858/30246.htm</x:v>
      </x:c>
      <x:c r="J39" t="str">
        <x:v>CẦN QA RENDER</x:v>
      </x:c>
      <x:c r="K39" t="str">
        <x:v>CẦN RÀ SOÁT</x:v>
      </x:c>
      <x:c r="L39" t="str">
        <x:v>CHECK_ONLY; legacy preserved</x:v>
      </x:c>
    </x:row>
    <x:row r="40">
      <x:c r="A40" t="n">
        <x:v>39</x:v>
      </x:c>
      <x:c r="B40" t="str">
        <x:v>ND30.N.BANG.HANG</x:v>
      </x:c>
      <x:c r="C40" t="str">
        <x:v>N</x:v>
      </x:c>
      <x:c r="D40" t="str">
        <x:v>Hàng</x:v>
      </x:c>
      <x:c r="E40" t="str">
        <x:v>6</x:v>
      </x:c>
      <x:c r="F40" t="n">
        <x:v>1</x:v>
      </x:c>
      <x:c r="G40" t="str">
        <x:v>REFER_TO_BANG_132</x:v>
      </x:c>
      <x:c r="H40" t="str">
        <x:v>PROFILE_ND30</x:v>
      </x:c>
      <x:c r="I40" t="str">
        <x:v>https://congbao.chinhphu.vn/van-ban/nghi-dinh-so-30-2020-nd-cp-30858/30246.htm</x:v>
      </x:c>
      <x:c r="J40" t="str">
        <x:v>CẦN QA RENDER</x:v>
      </x:c>
      <x:c r="K40" t="str">
        <x:v>CẦN RÀ SOÁT</x:v>
      </x:c>
      <x:c r="L40" t="str">
        <x:v>CHECK_ONLY; legacy preserved</x:v>
      </x:c>
    </x:row>
    <x:row r="41">
      <x:c r="A41" t="n">
        <x:v>40</x:v>
      </x:c>
      <x:c r="B41" t="str">
        <x:v>ND30.N.BANG.O</x:v>
      </x:c>
      <x:c r="C41" t="str">
        <x:v>N</x:v>
      </x:c>
      <x:c r="D41" t="str">
        <x:v>Ô</x:v>
      </x:c>
      <x:c r="E41" t="str">
        <x:v>6</x:v>
      </x:c>
      <x:c r="F41" t="n">
        <x:v>1</x:v>
      </x:c>
      <x:c r="G41" t="str">
        <x:v>REFER_TO_BANG_132</x:v>
      </x:c>
      <x:c r="H41" t="str">
        <x:v>PROFILE_ND30</x:v>
      </x:c>
      <x:c r="I41" t="str">
        <x:v>https://congbao.chinhphu.vn/van-ban/nghi-dinh-so-30-2020-nd-cp-30858/30246.htm</x:v>
      </x:c>
      <x:c r="J41" t="str">
        <x:v>CẦN QA RENDER</x:v>
      </x:c>
      <x:c r="K41" t="str">
        <x:v>CẦN RÀ SOÁT</x:v>
      </x:c>
      <x:c r="L41" t="str">
        <x:v>CHECK_ONLY; legacy preserved</x:v>
      </x:c>
    </x:row>
    <x:row r="42">
      <x:c r="A42" t="n">
        <x:v>41</x:v>
      </x:c>
      <x:c r="B42" t="str">
        <x:v>ND30.N.BANG.GOP_O</x:v>
      </x:c>
      <x:c r="C42" t="str">
        <x:v>N</x:v>
      </x:c>
      <x:c r="D42" t="str">
        <x:v>Ô gộp</x:v>
      </x:c>
      <x:c r="E42" t="str">
        <x:v>6</x:v>
      </x:c>
      <x:c r="F42" t="n">
        <x:v>1</x:v>
      </x:c>
      <x:c r="G42" t="str">
        <x:v>REFER_TO_BANG_132</x:v>
      </x:c>
      <x:c r="H42" t="str">
        <x:v>PROFILE_ND30</x:v>
      </x:c>
      <x:c r="I42" t="str">
        <x:v>https://congbao.chinhphu.vn/van-ban/nghi-dinh-so-30-2020-nd-cp-30858/30246.htm</x:v>
      </x:c>
      <x:c r="J42" t="str">
        <x:v>CẦN QA RENDER</x:v>
      </x:c>
      <x:c r="K42" t="str">
        <x:v>CẦN RÀ SOÁT</x:v>
      </x:c>
      <x:c r="L42" t="str">
        <x:v>CHECK_ONLY; legacy preserved</x:v>
      </x:c>
    </x:row>
    <x:row r="43">
      <x:c r="A43" t="n">
        <x:v>42</x:v>
      </x:c>
      <x:c r="B43" t="str">
        <x:v>ND30.N.HINH.DOI_TUONG</x:v>
      </x:c>
      <x:c r="C43" t="str">
        <x:v>N</x:v>
      </x:c>
      <x:c r="D43" t="str">
        <x:v>Hình/sơ đồ</x:v>
      </x:c>
      <x:c r="E43" t="str">
        <x:v>6</x:v>
      </x:c>
      <x:c r="F43" t="n">
        <x:v>5</x:v>
      </x:c>
      <x:c r="G43" t="str">
        <x:v>COVERED</x:v>
      </x:c>
      <x:c r="H43" t="str">
        <x:v>PROFILE_ND30</x:v>
      </x:c>
      <x:c r="I43" t="str">
        <x:v>https://congbao.chinhphu.vn/van-ban/nghi-dinh-so-30-2020-nd-cp-30858/30246.htm</x:v>
      </x:c>
      <x:c r="J43" t="str">
        <x:v>CẦN QA RENDER</x:v>
      </x:c>
      <x:c r="K43" t="str">
        <x:v>CẦN RÀ SOÁT</x:v>
      </x:c>
      <x:c r="L43" t="str">
        <x:v>CHECK_ONLY; legacy preserved</x:v>
      </x:c>
    </x:row>
    <x:row r="44">
      <x:c r="A44" t="n">
        <x:v>43</x:v>
      </x:c>
      <x:c r="B44" t="str">
        <x:v>ND30.N.HINH.CHU_THICH</x:v>
      </x:c>
      <x:c r="C44" t="str">
        <x:v>N</x:v>
      </x:c>
      <x:c r="D44" t="str">
        <x:v>Chú thích hình/sơ đồ</x:v>
      </x:c>
      <x:c r="E44" t="str">
        <x:v>6</x:v>
      </x:c>
      <x:c r="F44" t="n">
        <x:v>5</x:v>
      </x:c>
      <x:c r="G44" t="str">
        <x:v>COVERED</x:v>
      </x:c>
      <x:c r="H44" t="str">
        <x:v>PROFILE_ND30</x:v>
      </x:c>
      <x:c r="I44" t="str">
        <x:v>https://congbao.chinhphu.vn/van-ban/nghi-dinh-so-30-2020-nd-cp-30858/30246.htm</x:v>
      </x:c>
      <x:c r="J44" t="str">
        <x:v>CẦN QA RENDER</x:v>
      </x:c>
      <x:c r="K44" t="str">
        <x:v>CẦN RÀ SOÁT</x:v>
      </x:c>
      <x:c r="L44" t="str">
        <x:v>CHECK_ONLY; legacy preserved</x:v>
      </x:c>
    </x:row>
    <x:row r="45">
      <x:c r="A45" t="n">
        <x:v>44</x:v>
      </x:c>
      <x:c r="B45" t="str">
        <x:v>ND30.N.KET.DOAN_KET</x:v>
      </x:c>
      <x:c r="C45" t="str">
        <x:v>N</x:v>
      </x:c>
      <x:c r="D45" t="str">
        <x:v>Đoạn kết nếu có</x:v>
      </x:c>
      <x:c r="E45" t="str">
        <x:v>6</x:v>
      </x:c>
      <x:c r="F45" t="n">
        <x:v>13</x:v>
      </x:c>
      <x:c r="G45" t="str">
        <x:v>COVERED</x:v>
      </x:c>
      <x:c r="H45" t="str">
        <x:v>PROFILE_ND30</x:v>
      </x:c>
      <x:c r="I45" t="str">
        <x:v>https://congbao.chinhphu.vn/van-ban/nghi-dinh-so-30-2020-nd-cp-30858/30246.htm</x:v>
      </x:c>
      <x:c r="J45" t="str">
        <x:v>THAM KHẢO</x:v>
      </x:c>
      <x:c r="K45" t="str">
        <x:v>CHƯA ĐỦ BẰNG CHỨNG</x:v>
      </x:c>
      <x:c r="L45" t="str">
        <x:v>CHECK_ONLY; legacy preserved</x:v>
      </x:c>
    </x:row>
    <x:row r="46">
      <x:c r="A46" t="n">
        <x:v>45</x:v>
      </x:c>
      <x:c r="B46" t="str">
        <x:v>ND30.C.NN.NHAN_NOI_NHAN</x:v>
      </x:c>
      <x:c r="C46" t="str">
        <x:v>C</x:v>
      </x:c>
      <x:c r="D46" t="str">
        <x:v>Nhãn Nơi nhận:</x:v>
      </x:c>
      <x:c r="E46" t="str">
        <x:v>9b</x:v>
      </x:c>
      <x:c r="F46" t="n">
        <x:v>14</x:v>
      </x:c>
      <x:c r="G46" t="str">
        <x:v>COVERED</x:v>
      </x:c>
      <x:c r="H46" t="str">
        <x:v>PROFILE_ND30</x:v>
      </x:c>
      <x:c r="I46" t="str">
        <x:v>https://congbao.chinhphu.vn/van-ban/nghi-dinh-so-30-2020-nd-cp-30858/30246.htm</x:v>
      </x:c>
      <x:c r="J46" t="str">
        <x:v>CÓ ĐIỀU KIỆN</x:v>
      </x:c>
      <x:c r="K46" t="str">
        <x:v>CẦN RÀ SOÁT</x:v>
      </x:c>
      <x:c r="L46" t="str">
        <x:v>CHECK_ONLY; legacy preserved</x:v>
      </x:c>
    </x:row>
    <x:row r="47">
      <x:c r="A47" t="n">
        <x:v>46</x:v>
      </x:c>
      <x:c r="B47" t="str">
        <x:v>ND30.C.NN.DANH_SACH</x:v>
      </x:c>
      <x:c r="C47" t="str">
        <x:v>C</x:v>
      </x:c>
      <x:c r="D47" t="str">
        <x:v>Danh sách người/cơ quan nhận</x:v>
      </x:c>
      <x:c r="E47" t="str">
        <x:v>9b</x:v>
      </x:c>
      <x:c r="F47" t="n">
        <x:v>13</x:v>
      </x:c>
      <x:c r="G47" t="str">
        <x:v>COVERED</x:v>
      </x:c>
      <x:c r="H47" t="str">
        <x:v>PROFILE_ND30</x:v>
      </x:c>
      <x:c r="I47" t="str">
        <x:v>https://congbao.chinhphu.vn/van-ban/nghi-dinh-so-30-2020-nd-cp-30858/30246.htm</x:v>
      </x:c>
      <x:c r="J47" t="str">
        <x:v>CÓ ĐIỀU KIỆN</x:v>
      </x:c>
      <x:c r="K47" t="str">
        <x:v>ĐỐI CHIẾU MỘT PHẦN</x:v>
      </x:c>
      <x:c r="L47" t="str">
        <x:v>CHECK_ONLY; legacy preserved</x:v>
      </x:c>
    </x:row>
    <x:row r="48">
      <x:c r="A48" t="n">
        <x:v>47</x:v>
      </x:c>
      <x:c r="B48" t="str">
        <x:v>ND30.C.NN.NHU_TREN</x:v>
      </x:c>
      <x:c r="C48" t="str">
        <x:v>C</x:v>
      </x:c>
      <x:c r="D48" t="str">
        <x:v>Dòng Như trên theo điều kiện</x:v>
      </x:c>
      <x:c r="E48" t="str">
        <x:v>9b</x:v>
      </x:c>
      <x:c r="F48" t="n">
        <x:v>13</x:v>
      </x:c>
      <x:c r="G48" t="str">
        <x:v>COVERED</x:v>
      </x:c>
      <x:c r="H48" t="str">
        <x:v>PROFILE_ND30</x:v>
      </x:c>
      <x:c r="I48" t="str">
        <x:v>https://congbao.chinhphu.vn/van-ban/nghi-dinh-so-30-2020-nd-cp-30858/30246.htm</x:v>
      </x:c>
      <x:c r="J48" t="str">
        <x:v>CÓ ĐIỀU KIỆN</x:v>
      </x:c>
      <x:c r="K48" t="str">
        <x:v>ĐỐI CHIẾU MỘT PHẦN</x:v>
      </x:c>
      <x:c r="L48" t="str">
        <x:v>CHECK_ONLY; legacy preserved</x:v>
      </x:c>
    </x:row>
    <x:row r="49">
      <x:c r="A49" t="n">
        <x:v>48</x:v>
      </x:c>
      <x:c r="B49" t="str">
        <x:v>ND30.C.NN.NOI_LUU</x:v>
      </x:c>
      <x:c r="C49" t="str">
        <x:v>C</x:v>
      </x:c>
      <x:c r="D49" t="str">
        <x:v>Dòng lưu hồ sơ</x:v>
      </x:c>
      <x:c r="E49" t="str">
        <x:v>9b</x:v>
      </x:c>
      <x:c r="F49" t="n">
        <x:v>13</x:v>
      </x:c>
      <x:c r="G49" t="str">
        <x:v>COVERED</x:v>
      </x:c>
      <x:c r="H49" t="str">
        <x:v>PROFILE_ND30</x:v>
      </x:c>
      <x:c r="I49" t="str">
        <x:v>https://congbao.chinhphu.vn/van-ban/nghi-dinh-so-30-2020-nd-cp-30858/30246.htm</x:v>
      </x:c>
      <x:c r="J49" t="str">
        <x:v>CÓ ĐIỀU KIỆN</x:v>
      </x:c>
      <x:c r="K49" t="str">
        <x:v>ĐỐI CHIẾU MỘT PHẦN</x:v>
      </x:c>
      <x:c r="L49" t="str">
        <x:v>CHECK_ONLY; legacy preserved</x:v>
      </x:c>
    </x:row>
    <x:row r="50">
      <x:c r="A50" t="n">
        <x:v>49</x:v>
      </x:c>
      <x:c r="B50" t="str">
        <x:v>ND30.C.KY.QUYEN_HAN</x:v>
      </x:c>
      <x:c r="C50" t="str">
        <x:v>C</x:v>
      </x:c>
      <x:c r="D50" t="str">
        <x:v>Quyền hạn ký</x:v>
      </x:c>
      <x:c r="E50" t="str">
        <x:v>7a</x:v>
      </x:c>
      <x:c r="F50" t="n">
        <x:v>13</x:v>
      </x:c>
      <x:c r="G50" t="str">
        <x:v>COVERED</x:v>
      </x:c>
      <x:c r="H50" t="str">
        <x:v>PROFILE_ND30</x:v>
      </x:c>
      <x:c r="I50" t="str">
        <x:v>https://congbao.chinhphu.vn/van-ban/nghi-dinh-so-30-2020-nd-cp-30858/30246.htm</x:v>
      </x:c>
      <x:c r="J50" t="str">
        <x:v>BẢO VỆ NỘI DUNG</x:v>
      </x:c>
      <x:c r="K50" t="str">
        <x:v>ĐỐI CHIẾU MỘT PHẦN</x:v>
      </x:c>
      <x:c r="L50" t="str">
        <x:v>CHECK_ONLY; legacy preserved</x:v>
      </x:c>
    </x:row>
    <x:row r="51">
      <x:c r="A51" t="n">
        <x:v>50</x:v>
      </x:c>
      <x:c r="B51" t="str">
        <x:v>ND30.C.KY.CHUC_VU</x:v>
      </x:c>
      <x:c r="C51" t="str">
        <x:v>C</x:v>
      </x:c>
      <x:c r="D51" t="str">
        <x:v>Chức vụ/chức danh người ký</x:v>
      </x:c>
      <x:c r="E51" t="str">
        <x:v>7a</x:v>
      </x:c>
      <x:c r="F51" t="n">
        <x:v>13</x:v>
      </x:c>
      <x:c r="G51" t="str">
        <x:v>COVERED</x:v>
      </x:c>
      <x:c r="H51" t="str">
        <x:v>PROFILE_ND30</x:v>
      </x:c>
      <x:c r="I51" t="str">
        <x:v>https://congbao.chinhphu.vn/van-ban/nghi-dinh-so-30-2020-nd-cp-30858/30246.htm</x:v>
      </x:c>
      <x:c r="J51" t="str">
        <x:v>BẢO VỆ NỘI DUNG</x:v>
      </x:c>
      <x:c r="K51" t="str">
        <x:v>ĐỐI CHIẾU MỘT PHẦN</x:v>
      </x:c>
      <x:c r="L51" t="str">
        <x:v>CHECK_ONLY; legacy preserved</x:v>
      </x:c>
    </x:row>
    <x:row r="52">
      <x:c r="A52" t="n">
        <x:v>51</x:v>
      </x:c>
      <x:c r="B52" t="str">
        <x:v>ND30.C.KY.CHU_KY</x:v>
      </x:c>
      <x:c r="C52" t="str">
        <x:v>C</x:v>
      </x:c>
      <x:c r="D52" t="str">
        <x:v>Vị trí chữ ký của người có thẩm quyền</x:v>
      </x:c>
      <x:c r="E52" t="str">
        <x:v>7c</x:v>
      </x:c>
      <x:c r="F52" t="n">
        <x:v>5</x:v>
      </x:c>
      <x:c r="G52" t="str">
        <x:v>COVERED</x:v>
      </x:c>
      <x:c r="H52" t="str">
        <x:v>PROFILE_ND30</x:v>
      </x:c>
      <x:c r="I52" t="str">
        <x:v>https://congbao.chinhphu.vn/van-ban/nghi-dinh-so-30-2020-nd-cp-30858/30246.htm</x:v>
      </x:c>
      <x:c r="J52" t="str">
        <x:v>BẢO VỆ NỘI DUNG</x:v>
      </x:c>
      <x:c r="K52" t="str">
        <x:v>CHƯA ĐỦ BẰNG CHỨNG</x:v>
      </x:c>
      <x:c r="L52" t="str">
        <x:v>CHECK_ONLY; legacy preserved</x:v>
      </x:c>
    </x:row>
    <x:row r="53">
      <x:c r="A53" t="n">
        <x:v>52</x:v>
      </x:c>
      <x:c r="B53" t="str">
        <x:v>ND30.C.KY.HO_TEN</x:v>
      </x:c>
      <x:c r="C53" t="str">
        <x:v>C</x:v>
      </x:c>
      <x:c r="D53" t="str">
        <x:v>Họ tên người ký</x:v>
      </x:c>
      <x:c r="E53" t="str">
        <x:v>7b</x:v>
      </x:c>
      <x:c r="F53" t="n">
        <x:v>13</x:v>
      </x:c>
      <x:c r="G53" t="str">
        <x:v>COVERED</x:v>
      </x:c>
      <x:c r="H53" t="str">
        <x:v>PROFILE_ND30</x:v>
      </x:c>
      <x:c r="I53" t="str">
        <x:v>https://congbao.chinhphu.vn/van-ban/nghi-dinh-so-30-2020-nd-cp-30858/30246.htm</x:v>
      </x:c>
      <x:c r="J53" t="str">
        <x:v>BẢO VỆ NỘI DUNG</x:v>
      </x:c>
      <x:c r="K53" t="str">
        <x:v>ĐỐI CHIẾU MỘT PHẦN</x:v>
      </x:c>
      <x:c r="L53" t="str">
        <x:v>CHECK_ONLY; legacy preserved</x:v>
      </x:c>
    </x:row>
    <x:row r="54">
      <x:c r="A54" t="n">
        <x:v>53</x:v>
      </x:c>
      <x:c r="B54" t="str">
        <x:v>ND30.C.KY.KHOI_KY</x:v>
      </x:c>
      <x:c r="C54" t="str">
        <x:v>C</x:v>
      </x:c>
      <x:c r="D54" t="str">
        <x:v>Một khối ký có thể lặp nhiều instance</x:v>
      </x:c>
      <x:c r="E54" t="str">
        <x:v>7a/7b/7c</x:v>
      </x:c>
      <x:c r="F54" t="n">
        <x:v>5</x:v>
      </x:c>
      <x:c r="G54" t="str">
        <x:v>COVERED</x:v>
      </x:c>
      <x:c r="H54" t="str">
        <x:v>PROFILE_ND30</x:v>
      </x:c>
      <x:c r="I54" t="str">
        <x:v>https://congbao.chinhphu.vn/van-ban/nghi-dinh-so-30-2020-nd-cp-30858/30246.htm</x:v>
      </x:c>
      <x:c r="J54" t="str">
        <x:v>CÓ ĐIỀU KIỆN</x:v>
      </x:c>
      <x:c r="K54" t="str">
        <x:v>CHƯA ĐỦ BẰNG CHỨNG</x:v>
      </x:c>
      <x:c r="L54" t="str">
        <x:v>CHECK_ONLY; legacy preserved</x:v>
      </x:c>
    </x:row>
    <x:row r="55">
      <x:c r="A55" t="n">
        <x:v>54</x:v>
      </x:c>
      <x:c r="B55" t="str">
        <x:v>ND30.C.DAU.DAU_CO_QUAN</x:v>
      </x:c>
      <x:c r="C55" t="str">
        <x:v>C</x:v>
      </x:c>
      <x:c r="D55" t="str">
        <x:v>Vị trí dấu của cơ quan ban hành</x:v>
      </x:c>
      <x:c r="E55" t="str">
        <x:v>8</x:v>
      </x:c>
      <x:c r="F55" t="n">
        <x:v>5</x:v>
      </x:c>
      <x:c r="G55" t="str">
        <x:v>COVERED</x:v>
      </x:c>
      <x:c r="H55" t="str">
        <x:v>PROFILE_ND30</x:v>
      </x:c>
      <x:c r="I55" t="str">
        <x:v>https://congbao.chinhphu.vn/van-ban/nghi-dinh-so-30-2020-nd-cp-30858/30246.htm</x:v>
      </x:c>
      <x:c r="J55" t="str">
        <x:v>BẢO VỆ</x:v>
      </x:c>
      <x:c r="K55" t="str">
        <x:v>CHƯA ĐỦ BẰNG CHỨNG</x:v>
      </x:c>
      <x:c r="L55" t="str">
        <x:v>CHECK_ONLY; legacy preserved</x:v>
      </x:c>
    </x:row>
    <x:row r="56">
      <x:c r="A56" t="n">
        <x:v>55</x:v>
      </x:c>
      <x:c r="B56" t="str">
        <x:v>ND30.C.DAU.CHU_KY_SO</x:v>
      </x:c>
      <x:c r="C56" t="str">
        <x:v>C</x:v>
      </x:c>
      <x:c r="D56" t="str">
        <x:v>Chữ ký số cơ quan trên bản văn bản điện tử</x:v>
      </x:c>
      <x:c r="E56" t="str">
        <x:v>8</x:v>
      </x:c>
      <x:c r="F56" t="n">
        <x:v>5</x:v>
      </x:c>
      <x:c r="G56" t="str">
        <x:v>COVERED</x:v>
      </x:c>
      <x:c r="H56" t="str">
        <x:v>PROFILE_ND30</x:v>
      </x:c>
      <x:c r="I56" t="str">
        <x:v>https://congbao.chinhphu.vn/van-ban/nghi-dinh-so-30-2020-nd-cp-30858/30246.htm</x:v>
      </x:c>
      <x:c r="J56" t="str">
        <x:v>BẢO VỆ</x:v>
      </x:c>
      <x:c r="K56" t="str">
        <x:v>CHƯA ĐỦ BẰNG CHỨNG</x:v>
      </x:c>
      <x:c r="L56" t="str">
        <x:v>CHECK_ONLY; legacy preserved</x:v>
      </x:c>
    </x:row>
    <x:row r="57">
      <x:c r="A57" t="n">
        <x:v>56</x:v>
      </x:c>
      <x:c r="B57" t="str">
        <x:v>ND30.G.TRANG.KHO_GIAY</x:v>
      </x:c>
      <x:c r="C57" t="str">
        <x:v>G</x:v>
      </x:c>
      <x:c r="D57" t="str">
        <x:v>Khổ giấy</x:v>
      </x:c>
      <x:c r="E57" t="str">
        <x:v>—</x:v>
      </x:c>
      <x:c r="F57" t="n">
        <x:v>2</x:v>
      </x:c>
      <x:c r="G57" t="str">
        <x:v>COVERED</x:v>
      </x:c>
      <x:c r="H57" t="str">
        <x:v>PROFILE_ND30</x:v>
      </x:c>
      <x:c r="I57" t="str">
        <x:v>https://congbao.chinhphu.vn/van-ban/nghi-dinh-so-30-2020-nd-cp-30858/30246.htm</x:v>
      </x:c>
      <x:c r="J57" t="str">
        <x:v>THAM KHẢO</x:v>
      </x:c>
      <x:c r="K57" t="str">
        <x:v>CẦN RÀ SOÁT</x:v>
      </x:c>
      <x:c r="L57" t="str">
        <x:v>CHECK_ONLY; legacy preserved</x:v>
      </x:c>
    </x:row>
    <x:row r="58">
      <x:c r="A58" t="n">
        <x:v>57</x:v>
      </x:c>
      <x:c r="B58" t="str">
        <x:v>ND30.G.TRANG.HUONG_GIAY</x:v>
      </x:c>
      <x:c r="C58" t="str">
        <x:v>G</x:v>
      </x:c>
      <x:c r="D58" t="str">
        <x:v>Hướng giấy</x:v>
      </x:c>
      <x:c r="E58" t="str">
        <x:v>—</x:v>
      </x:c>
      <x:c r="F58" t="n">
        <x:v>2</x:v>
      </x:c>
      <x:c r="G58" t="str">
        <x:v>COVERED</x:v>
      </x:c>
      <x:c r="H58" t="str">
        <x:v>PROFILE_ND30</x:v>
      </x:c>
      <x:c r="I58" t="str">
        <x:v>https://congbao.chinhphu.vn/van-ban/nghi-dinh-so-30-2020-nd-cp-30858/30246.htm</x:v>
      </x:c>
      <x:c r="J58" t="str">
        <x:v>THAM KHẢO</x:v>
      </x:c>
      <x:c r="K58" t="str">
        <x:v>CHƯA ĐỦ BẰNG CHỨNG</x:v>
      </x:c>
      <x:c r="L58" t="str">
        <x:v>CHECK_ONLY; legacy preserved</x:v>
      </x:c>
    </x:row>
    <x:row r="59">
      <x:c r="A59" t="n">
        <x:v>58</x:v>
      </x:c>
      <x:c r="B59" t="str">
        <x:v>ND30.G.TRANG.LE_TRANG</x:v>
      </x:c>
      <x:c r="C59" t="str">
        <x:v>G</x:v>
      </x:c>
      <x:c r="D59" t="str">
        <x:v>Lề trang</x:v>
      </x:c>
      <x:c r="E59" t="str">
        <x:v>—</x:v>
      </x:c>
      <x:c r="F59" t="n">
        <x:v>5</x:v>
      </x:c>
      <x:c r="G59" t="str">
        <x:v>COVERED</x:v>
      </x:c>
      <x:c r="H59" t="str">
        <x:v>PROFILE_ND30</x:v>
      </x:c>
      <x:c r="I59" t="str">
        <x:v>https://congbao.chinhphu.vn/van-ban/nghi-dinh-so-30-2020-nd-cp-30858/30246.htm</x:v>
      </x:c>
      <x:c r="J59" t="str">
        <x:v>THAM KHẢO</x:v>
      </x:c>
      <x:c r="K59" t="str">
        <x:v>ĐỐI CHIẾU MỘT PHẦN</x:v>
      </x:c>
      <x:c r="L59" t="str">
        <x:v>CHECK_ONLY; legacy preserved</x:v>
      </x:c>
    </x:row>
    <x:row r="60">
      <x:c r="A60" t="n">
        <x:v>59</x:v>
      </x:c>
      <x:c r="B60" t="str">
        <x:v>ND30.G.CHU.PHONG</x:v>
      </x:c>
      <x:c r="C60" t="str">
        <x:v>G</x:v>
      </x:c>
      <x:c r="D60" t="str">
        <x:v>Phông chữ</x:v>
      </x:c>
      <x:c r="E60" t="str">
        <x:v>—</x:v>
      </x:c>
      <x:c r="F60" t="n">
        <x:v>3</x:v>
      </x:c>
      <x:c r="G60" t="str">
        <x:v>COVERED</x:v>
      </x:c>
      <x:c r="H60" t="str">
        <x:v>PROFILE_ND30</x:v>
      </x:c>
      <x:c r="I60" t="str">
        <x:v>https://congbao.chinhphu.vn/van-ban/nghi-dinh-so-30-2020-nd-cp-30858/30246.htm</x:v>
      </x:c>
      <x:c r="J60" t="str">
        <x:v>THAM KHẢO</x:v>
      </x:c>
      <x:c r="K60" t="str">
        <x:v>ĐỐI CHIẾU MỘT PHẦN</x:v>
      </x:c>
      <x:c r="L60" t="str">
        <x:v>CHECK_ONLY; legacy preserved</x:v>
      </x:c>
    </x:row>
    <x:row r="61">
      <x:c r="A61" t="n">
        <x:v>60</x:v>
      </x:c>
      <x:c r="B61" t="str">
        <x:v>ND30.G.CHU.CO_CHU</x:v>
      </x:c>
      <x:c r="C61" t="str">
        <x:v>G</x:v>
      </x:c>
      <x:c r="D61" t="str">
        <x:v>Cỡ chữ</x:v>
      </x:c>
      <x:c r="E61" t="str">
        <x:v>—</x:v>
      </x:c>
      <x:c r="F61" t="n">
        <x:v>2</x:v>
      </x:c>
      <x:c r="G61" t="str">
        <x:v>COVERED</x:v>
      </x:c>
      <x:c r="H61" t="str">
        <x:v>PROFILE_ND30</x:v>
      </x:c>
      <x:c r="I61" t="str">
        <x:v>https://congbao.chinhphu.vn/van-ban/nghi-dinh-so-30-2020-nd-cp-30858/30246.htm</x:v>
      </x:c>
      <x:c r="J61" t="str">
        <x:v>THAM KHẢO</x:v>
      </x:c>
      <x:c r="K61" t="str">
        <x:v>ĐỐI CHIẾU MỘT PHẦN</x:v>
      </x:c>
      <x:c r="L61" t="str">
        <x:v>CHECK_ONLY; legacy preserved</x:v>
      </x:c>
    </x:row>
    <x:row r="62">
      <x:c r="A62" t="n">
        <x:v>61</x:v>
      </x:c>
      <x:c r="B62" t="str">
        <x:v>ND30.G.CHU.KIEU_CHU</x:v>
      </x:c>
      <x:c r="C62" t="str">
        <x:v>G</x:v>
      </x:c>
      <x:c r="D62" t="str">
        <x:v>Kiểu chữ</x:v>
      </x:c>
      <x:c r="E62" t="str">
        <x:v>—</x:v>
      </x:c>
      <x:c r="F62" t="n">
        <x:v>2</x:v>
      </x:c>
      <x:c r="G62" t="str">
        <x:v>COVERED</x:v>
      </x:c>
      <x:c r="H62" t="str">
        <x:v>PROFILE_ND30</x:v>
      </x:c>
      <x:c r="I62" t="str">
        <x:v>https://congbao.chinhphu.vn/van-ban/nghi-dinh-so-30-2020-nd-cp-30858/30246.htm</x:v>
      </x:c>
      <x:c r="J62" t="str">
        <x:v>THAM KHẢO</x:v>
      </x:c>
      <x:c r="K62" t="str">
        <x:v>ĐỐI CHIẾU MỘT PHẦN</x:v>
      </x:c>
      <x:c r="L62" t="str">
        <x:v>CHECK_ONLY; legacy preserved</x:v>
      </x:c>
    </x:row>
    <x:row r="63">
      <x:c r="A63" t="n">
        <x:v>62</x:v>
      </x:c>
      <x:c r="B63" t="str">
        <x:v>ND30.G.DOAN.CAN_LE</x:v>
      </x:c>
      <x:c r="C63" t="str">
        <x:v>G</x:v>
      </x:c>
      <x:c r="D63" t="str">
        <x:v>Căn lề</x:v>
      </x:c>
      <x:c r="E63" t="str">
        <x:v>—</x:v>
      </x:c>
      <x:c r="F63" t="n">
        <x:v>2</x:v>
      </x:c>
      <x:c r="G63" t="str">
        <x:v>COVERED</x:v>
      </x:c>
      <x:c r="H63" t="str">
        <x:v>PROFILE_ND30</x:v>
      </x:c>
      <x:c r="I63" t="str">
        <x:v>https://congbao.chinhphu.vn/van-ban/nghi-dinh-so-30-2020-nd-cp-30858/30246.htm</x:v>
      </x:c>
      <x:c r="J63" t="str">
        <x:v>THAM KHẢO</x:v>
      </x:c>
      <x:c r="K63" t="str">
        <x:v>ĐỐI CHIẾU MỘT PHẦN</x:v>
      </x:c>
      <x:c r="L63" t="str">
        <x:v>CHECK_ONLY; legacy preserved</x:v>
      </x:c>
    </x:row>
    <x:row r="64">
      <x:c r="A64" t="n">
        <x:v>63</x:v>
      </x:c>
      <x:c r="B64" t="str">
        <x:v>ND30.G.DOAN.GIUA_DONG</x:v>
      </x:c>
      <x:c r="C64" t="str">
        <x:v>G</x:v>
      </x:c>
      <x:c r="D64" t="str">
        <x:v>Khoảng cách dòng</x:v>
      </x:c>
      <x:c r="E64" t="str">
        <x:v>—</x:v>
      </x:c>
      <x:c r="F64" t="n">
        <x:v>2</x:v>
      </x:c>
      <x:c r="G64" t="str">
        <x:v>COVERED</x:v>
      </x:c>
      <x:c r="H64" t="str">
        <x:v>PROFILE_ND30</x:v>
      </x:c>
      <x:c r="I64" t="str">
        <x:v>https://congbao.chinhphu.vn/van-ban/nghi-dinh-so-30-2020-nd-cp-30858/30246.htm</x:v>
      </x:c>
      <x:c r="J64" t="str">
        <x:v>THAM KHẢO</x:v>
      </x:c>
      <x:c r="K64" t="str">
        <x:v>ĐỐI CHIẾU MỘT PHẦN</x:v>
      </x:c>
      <x:c r="L64" t="str">
        <x:v>CHECK_ONLY; legacy preserved</x:v>
      </x:c>
    </x:row>
    <x:row r="65">
      <x:c r="A65" t="n">
        <x:v>64</x:v>
      </x:c>
      <x:c r="B65" t="str">
        <x:v>ND30.G.DOAN.GIUA_DOAN</x:v>
      </x:c>
      <x:c r="C65" t="str">
        <x:v>G</x:v>
      </x:c>
      <x:c r="D65" t="str">
        <x:v>Khoảng cách đoạn</x:v>
      </x:c>
      <x:c r="E65" t="str">
        <x:v>—</x:v>
      </x:c>
      <x:c r="F65" t="n">
        <x:v>3</x:v>
      </x:c>
      <x:c r="G65" t="str">
        <x:v>COVERED</x:v>
      </x:c>
      <x:c r="H65" t="str">
        <x:v>PROFILE_ND30</x:v>
      </x:c>
      <x:c r="I65" t="str">
        <x:v>https://congbao.chinhphu.vn/van-ban/nghi-dinh-so-30-2020-nd-cp-30858/30246.htm</x:v>
      </x:c>
      <x:c r="J65" t="str">
        <x:v>THAM KHẢO</x:v>
      </x:c>
      <x:c r="K65" t="str">
        <x:v>ĐỐI CHIẾU MỘT PHẦN</x:v>
      </x:c>
      <x:c r="L65" t="str">
        <x:v>CHECK_ONLY; legacy preserved</x:v>
      </x:c>
    </x:row>
    <x:row r="66">
      <x:c r="A66" t="n">
        <x:v>65</x:v>
      </x:c>
      <x:c r="B66" t="str">
        <x:v>ND30.G.DOAN.THUT_DONG</x:v>
      </x:c>
      <x:c r="C66" t="str">
        <x:v>G</x:v>
      </x:c>
      <x:c r="D66" t="str">
        <x:v>Thụt đầu dòng</x:v>
      </x:c>
      <x:c r="E66" t="str">
        <x:v>—</x:v>
      </x:c>
      <x:c r="F66" t="n">
        <x:v>2</x:v>
      </x:c>
      <x:c r="G66" t="str">
        <x:v>COVERED</x:v>
      </x:c>
      <x:c r="H66" t="str">
        <x:v>PROFILE_ND30</x:v>
      </x:c>
      <x:c r="I66" t="str">
        <x:v>https://congbao.chinhphu.vn/van-ban/nghi-dinh-so-30-2020-nd-cp-30858/30246.htm</x:v>
      </x:c>
      <x:c r="J66" t="str">
        <x:v>THAM KHẢO</x:v>
      </x:c>
      <x:c r="K66" t="str">
        <x:v>ĐỐI CHIẾU MỘT PHẦN</x:v>
      </x:c>
      <x:c r="L66" t="str">
        <x:v>CHECK_ONLY; legacy preserved</x:v>
      </x:c>
    </x:row>
    <x:row r="67">
      <x:c r="A67" t="n">
        <x:v>66</x:v>
      </x:c>
      <x:c r="B67" t="str">
        <x:v>ND30.G.PHAN_TRANG.SECTION</x:v>
      </x:c>
      <x:c r="C67" t="str">
        <x:v>G</x:v>
      </x:c>
      <x:c r="D67" t="str">
        <x:v>Section</x:v>
      </x:c>
      <x:c r="E67" t="str">
        <x:v>—</x:v>
      </x:c>
      <x:c r="F67" t="n">
        <x:v>2</x:v>
      </x:c>
      <x:c r="G67" t="str">
        <x:v>COVERED</x:v>
      </x:c>
      <x:c r="H67" t="str">
        <x:v>PROFILE_ND30</x:v>
      </x:c>
      <x:c r="I67" t="str">
        <x:v>https://congbao.chinhphu.vn/van-ban/nghi-dinh-so-30-2020-nd-cp-30858/30246.htm</x:v>
      </x:c>
      <x:c r="J67" t="str">
        <x:v>CẦN QA RENDER</x:v>
      </x:c>
      <x:c r="K67" t="str">
        <x:v>CẦN QA KỸ THUẬT</x:v>
      </x:c>
      <x:c r="L67" t="str">
        <x:v>CHECK_ONLY; legacy preserved</x:v>
      </x:c>
    </x:row>
    <x:row r="68">
      <x:c r="A68" t="n">
        <x:v>67</x:v>
      </x:c>
      <x:c r="B68" t="str">
        <x:v>ND30.G.PHAN_TRANG.NGAT_TRANG</x:v>
      </x:c>
      <x:c r="C68" t="str">
        <x:v>G</x:v>
      </x:c>
      <x:c r="D68" t="str">
        <x:v>Ngắt trang</x:v>
      </x:c>
      <x:c r="E68" t="str">
        <x:v>—</x:v>
      </x:c>
      <x:c r="F68" t="n">
        <x:v>2</x:v>
      </x:c>
      <x:c r="G68" t="str">
        <x:v>COVERED</x:v>
      </x:c>
      <x:c r="H68" t="str">
        <x:v>PROFILE_ND30</x:v>
      </x:c>
      <x:c r="I68" t="str">
        <x:v>https://congbao.chinhphu.vn/van-ban/nghi-dinh-so-30-2020-nd-cp-30858/30246.htm</x:v>
      </x:c>
      <x:c r="J68" t="str">
        <x:v>CẦN QA RENDER</x:v>
      </x:c>
      <x:c r="K68" t="str">
        <x:v>CẦN QA KỸ THUẬT</x:v>
      </x:c>
      <x:c r="L68" t="str">
        <x:v>CHECK_ONLY; legacy preserved</x:v>
      </x:c>
    </x:row>
    <x:row r="69">
      <x:c r="A69" t="n">
        <x:v>68</x:v>
      </x:c>
      <x:c r="B69" t="str">
        <x:v>ND30.G.PHAN_TRANG.KEEP_WITH_NEXT</x:v>
      </x:c>
      <x:c r="C69" t="str">
        <x:v>G</x:v>
      </x:c>
      <x:c r="D69" t="str">
        <x:v>Giữ cùng đoạn tiếp</x:v>
      </x:c>
      <x:c r="E69" t="str">
        <x:v>—</x:v>
      </x:c>
      <x:c r="F69" t="n">
        <x:v>2</x:v>
      </x:c>
      <x:c r="G69" t="str">
        <x:v>COVERED</x:v>
      </x:c>
      <x:c r="H69" t="str">
        <x:v>PROFILE_ND30</x:v>
      </x:c>
      <x:c r="I69" t="str">
        <x:v>https://congbao.chinhphu.vn/van-ban/nghi-dinh-so-30-2020-nd-cp-30858/30246.htm</x:v>
      </x:c>
      <x:c r="J69" t="str">
        <x:v>THAM KHẢO</x:v>
      </x:c>
      <x:c r="K69" t="str">
        <x:v>CẦN QA KỸ THUẬT</x:v>
      </x:c>
      <x:c r="L69" t="str">
        <x:v>CHECK_ONLY; legacy preserved</x:v>
      </x:c>
    </x:row>
    <x:row r="70">
      <x:c r="A70" t="n">
        <x:v>69</x:v>
      </x:c>
      <x:c r="B70" t="str">
        <x:v>ND30.G.SO_TRANG.VI_TRI</x:v>
      </x:c>
      <x:c r="C70" t="str">
        <x:v>G</x:v>
      </x:c>
      <x:c r="D70" t="str">
        <x:v>Vị trí số trang</x:v>
      </x:c>
      <x:c r="E70" t="str">
        <x:v>—</x:v>
      </x:c>
      <x:c r="F70" t="n">
        <x:v>3</x:v>
      </x:c>
      <x:c r="G70" t="str">
        <x:v>COVERED</x:v>
      </x:c>
      <x:c r="H70" t="str">
        <x:v>PROFILE_ND30</x:v>
      </x:c>
      <x:c r="I70" t="str">
        <x:v>https://congbao.chinhphu.vn/van-ban/nghi-dinh-so-30-2020-nd-cp-30858/30246.htm</x:v>
      </x:c>
      <x:c r="J70" t="str">
        <x:v>THAM KHẢO</x:v>
      </x:c>
      <x:c r="K70" t="str">
        <x:v>ĐỐI CHIẾU MỘT PHẦN</x:v>
      </x:c>
      <x:c r="L70" t="str">
        <x:v>CHECK_ONLY; legacy preserved</x:v>
      </x:c>
    </x:row>
    <x:row r="71">
      <x:c r="A71" t="n">
        <x:v>70</x:v>
      </x:c>
      <x:c r="B71" t="str">
        <x:v>ND30.G.SO_TRANG.DINH_DANG</x:v>
      </x:c>
      <x:c r="C71" t="str">
        <x:v>G</x:v>
      </x:c>
      <x:c r="D71" t="str">
        <x:v>Định dạng số trang</x:v>
      </x:c>
      <x:c r="E71" t="str">
        <x:v>—</x:v>
      </x:c>
      <x:c r="F71" t="n">
        <x:v>3</x:v>
      </x:c>
      <x:c r="G71" t="str">
        <x:v>COVERED</x:v>
      </x:c>
      <x:c r="H71" t="str">
        <x:v>PROFILE_ND30</x:v>
      </x:c>
      <x:c r="I71" t="str">
        <x:v>https://congbao.chinhphu.vn/van-ban/nghi-dinh-so-30-2020-nd-cp-30858/30246.htm</x:v>
      </x:c>
      <x:c r="J71" t="str">
        <x:v>THAM KHẢO</x:v>
      </x:c>
      <x:c r="K71" t="str">
        <x:v>ĐỐI CHIẾU MỘT PHẦN</x:v>
      </x:c>
      <x:c r="L71" t="str">
        <x:v>CHECK_ONLY; legacy preserved</x:v>
      </x:c>
    </x:row>
    <x:row r="72">
      <x:c r="A72" t="n">
        <x:v>71</x:v>
      </x:c>
      <x:c r="B72" t="str">
        <x:v>ND30.X.MAT.MUC_DO</x:v>
      </x:c>
      <x:c r="C72" t="str">
        <x:v>X</x:v>
      </x:c>
      <x:c r="D72" t="str">
        <x:v>Mức độ mật và dấu chỉ tương ứng</x:v>
      </x:c>
      <x:c r="E72" t="str">
        <x:v>10a</x:v>
      </x:c>
      <x:c r="F72" t="n">
        <x:v>8</x:v>
      </x:c>
      <x:c r="G72" t="str">
        <x:v>COVERED</x:v>
      </x:c>
      <x:c r="H72" t="str">
        <x:v>PROFILE_ND30</x:v>
      </x:c>
      <x:c r="I72" t="str">
        <x:v>https://congbao.chinhphu.vn/van-ban/nghi-dinh-so-30-2020-nd-cp-30858/30246.htm</x:v>
      </x:c>
      <x:c r="J72" t="str">
        <x:v>BẢO VỆ</x:v>
      </x:c>
      <x:c r="K72" t="str">
        <x:v>CHƯA ĐỦ BẰNG CHỨNG</x:v>
      </x:c>
      <x:c r="L72" t="str">
        <x:v>CHECK_ONLY; legacy preserved</x:v>
      </x:c>
    </x:row>
    <x:row r="73">
      <x:c r="A73" t="n">
        <x:v>72</x:v>
      </x:c>
      <x:c r="B73" t="str">
        <x:v>ND30.X.KHAN.MUC_DO</x:v>
      </x:c>
      <x:c r="C73" t="str">
        <x:v>X</x:v>
      </x:c>
      <x:c r="D73" t="str">
        <x:v>Mức độ khẩn</x:v>
      </x:c>
      <x:c r="E73" t="str">
        <x:v>10b</x:v>
      </x:c>
      <x:c r="F73" t="n">
        <x:v>8</x:v>
      </x:c>
      <x:c r="G73" t="str">
        <x:v>COVERED</x:v>
      </x:c>
      <x:c r="H73" t="str">
        <x:v>PROFILE_ND30</x:v>
      </x:c>
      <x:c r="I73" t="str">
        <x:v>https://congbao.chinhphu.vn/van-ban/nghi-dinh-so-30-2020-nd-cp-30858/30246.htm</x:v>
      </x:c>
      <x:c r="J73" t="str">
        <x:v>BẢO VỆ</x:v>
      </x:c>
      <x:c r="K73" t="str">
        <x:v>CHƯA ĐỦ BẰNG CHỨNG</x:v>
      </x:c>
      <x:c r="L73" t="str">
        <x:v>CHECK_ONLY; legacy preserved</x:v>
      </x:c>
    </x:row>
    <x:row r="74">
      <x:c r="A74" t="n">
        <x:v>73</x:v>
      </x:c>
      <x:c r="B74" t="str">
        <x:v>ND30.X.LUU_HANH.CHI_DAN</x:v>
      </x:c>
      <x:c r="C74" t="str">
        <x:v>X</x:v>
      </x:c>
      <x:c r="D74" t="str">
        <x:v>Chỉ dẫn phạm vi lưu hành</x:v>
      </x:c>
      <x:c r="E74" t="str">
        <x:v>11</x:v>
      </x:c>
      <x:c r="F74" t="n">
        <x:v>6</x:v>
      </x:c>
      <x:c r="G74" t="str">
        <x:v>COVERED</x:v>
      </x:c>
      <x:c r="H74" t="str">
        <x:v>PROFILE_ND30</x:v>
      </x:c>
      <x:c r="I74" t="str">
        <x:v>https://congbao.chinhphu.vn/van-ban/nghi-dinh-so-30-2020-nd-cp-30858/30246.htm</x:v>
      </x:c>
      <x:c r="J74" t="str">
        <x:v>CÓ ĐIỀU KIỆN</x:v>
      </x:c>
      <x:c r="K74" t="str">
        <x:v>CHƯA ĐỦ BẰNG CHỨNG</x:v>
      </x:c>
      <x:c r="L74" t="str">
        <x:v>CHECK_ONLY; legacy preserved</x:v>
      </x:c>
    </x:row>
    <x:row r="75">
      <x:c r="A75" t="n">
        <x:v>74</x:v>
      </x:c>
      <x:c r="B75" t="str">
        <x:v>ND30.X.SOAN.KY_HIEU_NGUOI_SOAN</x:v>
      </x:c>
      <x:c r="C75" t="str">
        <x:v>X</x:v>
      </x:c>
      <x:c r="D75" t="str">
        <x:v>Ký hiệu người soạn</x:v>
      </x:c>
      <x:c r="E75" t="str">
        <x:v>12</x:v>
      </x:c>
      <x:c r="F75" t="n">
        <x:v>4</x:v>
      </x:c>
      <x:c r="G75" t="str">
        <x:v>COVERED</x:v>
      </x:c>
      <x:c r="H75" t="str">
        <x:v>PROFILE_ND30</x:v>
      </x:c>
      <x:c r="I75" t="str">
        <x:v>https://congbao.chinhphu.vn/van-ban/nghi-dinh-so-30-2020-nd-cp-30858/30246.htm</x:v>
      </x:c>
      <x:c r="J75" t="str">
        <x:v>CÓ ĐIỀU KIỆN</x:v>
      </x:c>
      <x:c r="K75" t="str">
        <x:v>CHƯA ĐỦ BẰNG CHỨNG</x:v>
      </x:c>
      <x:c r="L75" t="str">
        <x:v>CHECK_ONLY; legacy preserved</x:v>
      </x:c>
    </x:row>
    <x:row r="76">
      <x:c r="A76" t="n">
        <x:v>75</x:v>
      </x:c>
      <x:c r="B76" t="str">
        <x:v>ND30.X.SOAN.SO_BAN</x:v>
      </x:c>
      <x:c r="C76" t="str">
        <x:v>X</x:v>
      </x:c>
      <x:c r="D76" t="str">
        <x:v>Số lượng bản phát hành</x:v>
      </x:c>
      <x:c r="E76" t="str">
        <x:v>12</x:v>
      </x:c>
      <x:c r="F76" t="n">
        <x:v>4</x:v>
      </x:c>
      <x:c r="G76" t="str">
        <x:v>COVERED</x:v>
      </x:c>
      <x:c r="H76" t="str">
        <x:v>PROFILE_ND30</x:v>
      </x:c>
      <x:c r="I76" t="str">
        <x:v>https://congbao.chinhphu.vn/van-ban/nghi-dinh-so-30-2020-nd-cp-30858/30246.htm</x:v>
      </x:c>
      <x:c r="J76" t="str">
        <x:v>CÓ ĐIỀU KIỆN</x:v>
      </x:c>
      <x:c r="K76" t="str">
        <x:v>CHƯA ĐỦ BẰNG CHỨNG</x:v>
      </x:c>
      <x:c r="L76" t="str">
        <x:v>CHECK_ONLY; legacy preserved</x:v>
      </x:c>
    </x:row>
    <x:row r="77">
      <x:c r="A77" t="n">
        <x:v>76</x:v>
      </x:c>
      <x:c r="B77" t="str">
        <x:v>ND30.X.LIEN_HE.DIA_CHI</x:v>
      </x:c>
      <x:c r="C77" t="str">
        <x:v>X</x:v>
      </x:c>
      <x:c r="D77" t="str">
        <x:v>Địa chỉ liên hệ</x:v>
      </x:c>
      <x:c r="E77" t="str">
        <x:v>13</x:v>
      </x:c>
      <x:c r="F77" t="n">
        <x:v>4</x:v>
      </x:c>
      <x:c r="G77" t="str">
        <x:v>COVERED</x:v>
      </x:c>
      <x:c r="H77" t="str">
        <x:v>PROFILE_ND30</x:v>
      </x:c>
      <x:c r="I77" t="str">
        <x:v>https://congbao.chinhphu.vn/van-ban/nghi-dinh-so-30-2020-nd-cp-30858/30246.htm</x:v>
      </x:c>
      <x:c r="J77" t="str">
        <x:v>PROFILE_CHOT_THEO_TRAO_DOI</x:v>
      </x:c>
      <x:c r="K77" t="str">
        <x:v>CHƯA ĐỦ BẰNG CHỨNG</x:v>
      </x:c>
      <x:c r="L77" t="str">
        <x:v>CHECK_ONLY; legacy preserved</x:v>
      </x:c>
    </x:row>
    <x:row r="78">
      <x:c r="A78" t="n">
        <x:v>77</x:v>
      </x:c>
      <x:c r="B78" t="str">
        <x:v>ND30.X.LIEN_HE.EMAIL</x:v>
      </x:c>
      <x:c r="C78" t="str">
        <x:v>X</x:v>
      </x:c>
      <x:c r="D78" t="str">
        <x:v>Email</x:v>
      </x:c>
      <x:c r="E78" t="str">
        <x:v>13</x:v>
      </x:c>
      <x:c r="F78" t="n">
        <x:v>4</x:v>
      </x:c>
      <x:c r="G78" t="str">
        <x:v>COVERED</x:v>
      </x:c>
      <x:c r="H78" t="str">
        <x:v>PROFILE_ND30</x:v>
      </x:c>
      <x:c r="I78" t="str">
        <x:v>https://congbao.chinhphu.vn/van-ban/nghi-dinh-so-30-2020-nd-cp-30858/30246.htm</x:v>
      </x:c>
      <x:c r="J78" t="str">
        <x:v>PROFILE_CHOT_THEO_TRAO_DOI</x:v>
      </x:c>
      <x:c r="K78" t="str">
        <x:v>CHƯA ĐỦ BẰNG CHỨNG</x:v>
      </x:c>
      <x:c r="L78" t="str">
        <x:v>CHECK_ONLY; legacy preserved</x:v>
      </x:c>
    </x:row>
    <x:row r="79">
      <x:c r="A79" t="n">
        <x:v>78</x:v>
      </x:c>
      <x:c r="B79" t="str">
        <x:v>ND30.X.LIEN_HE.DIEN_THOAI</x:v>
      </x:c>
      <x:c r="C79" t="str">
        <x:v>X</x:v>
      </x:c>
      <x:c r="D79" t="str">
        <x:v>Điện thoại</x:v>
      </x:c>
      <x:c r="E79" t="str">
        <x:v>13</x:v>
      </x:c>
      <x:c r="F79" t="n">
        <x:v>4</x:v>
      </x:c>
      <x:c r="G79" t="str">
        <x:v>COVERED</x:v>
      </x:c>
      <x:c r="H79" t="str">
        <x:v>PROFILE_ND30</x:v>
      </x:c>
      <x:c r="I79" t="str">
        <x:v>https://congbao.chinhphu.vn/van-ban/nghi-dinh-so-30-2020-nd-cp-30858/30246.htm</x:v>
      </x:c>
      <x:c r="J79" t="str">
        <x:v>PROFILE_CHOT_THEO_TRAO_DOI</x:v>
      </x:c>
      <x:c r="K79" t="str">
        <x:v>CHƯA ĐỦ BẰNG CHỨNG</x:v>
      </x:c>
      <x:c r="L79" t="str">
        <x:v>CHECK_ONLY; legacy preserved</x:v>
      </x:c>
    </x:row>
    <x:row r="80">
      <x:c r="A80" t="n">
        <x:v>79</x:v>
      </x:c>
      <x:c r="B80" t="str">
        <x:v>ND30.X.LIEN_HE.WEB</x:v>
      </x:c>
      <x:c r="C80" t="str">
        <x:v>X</x:v>
      </x:c>
      <x:c r="D80" t="str">
        <x:v>Website</x:v>
      </x:c>
      <x:c r="E80" t="str">
        <x:v>13</x:v>
      </x:c>
      <x:c r="F80" t="n">
        <x:v>4</x:v>
      </x:c>
      <x:c r="G80" t="str">
        <x:v>COVERED</x:v>
      </x:c>
      <x:c r="H80" t="str">
        <x:v>PROFILE_ND30</x:v>
      </x:c>
      <x:c r="I80" t="str">
        <x:v>https://congbao.chinhphu.vn/van-ban/nghi-dinh-so-30-2020-nd-cp-30858/30246.htm</x:v>
      </x:c>
      <x:c r="J80" t="str">
        <x:v>PROFILE_CHOT_THEO_TRAO_DOI</x:v>
      </x:c>
      <x:c r="K80" t="str">
        <x:v>CHƯA ĐỦ BẰNG CHỨNG</x:v>
      </x:c>
      <x:c r="L80" t="str">
        <x:v>CHECK_ONLY; legacy preserved</x:v>
      </x:c>
    </x:row>
    <x:row r="81">
      <x:c r="A81" t="n">
        <x:v>80</x:v>
      </x:c>
      <x:c r="B81" t="str">
        <x:v>ND30.X.LIEN_HE.FAX</x:v>
      </x:c>
      <x:c r="C81" t="str">
        <x:v>X</x:v>
      </x:c>
      <x:c r="D81" t="str">
        <x:v>Số fax</x:v>
      </x:c>
      <x:c r="E81" t="str">
        <x:v>13</x:v>
      </x:c>
      <x:c r="F81" t="n">
        <x:v>4</x:v>
      </x:c>
      <x:c r="G81" t="str">
        <x:v>COVERED</x:v>
      </x:c>
      <x:c r="H81" t="str">
        <x:v>PROFILE_ND30</x:v>
      </x:c>
      <x:c r="I81" t="str">
        <x:v>https://congbao.chinhphu.vn/van-ban/nghi-dinh-so-30-2020-nd-cp-30858/30246.htm</x:v>
      </x:c>
      <x:c r="J81" t="str">
        <x:v>PROFILE_CHOT_THEO_TRAO_DOI</x:v>
      </x:c>
      <x:c r="K81" t="str">
        <x:v>CHƯA ĐỦ BẰNG CHỨNG</x:v>
      </x:c>
      <x:c r="L81" t="str">
        <x:v>CHECK_ONLY; legacy preserved</x:v>
      </x:c>
    </x:row>
    <x:row r="82">
      <x:c r="A82" t="n">
        <x:v>81</x:v>
      </x:c>
      <x:c r="B82" t="str">
        <x:v>HD05.D.CQ.CAP_TREN</x:v>
      </x:c>
      <x:c r="C82" t="str">
        <x:v>D</x:v>
      </x:c>
      <x:c r="D82" t="str">
        <x:v>Tên tổ chức/cơ quan cấp trên khi có</x:v>
      </x:c>
      <x:c r="E82" t="str">
        <x:v>2</x:v>
      </x:c>
      <x:c r="F82" t="n">
        <x:v>10</x:v>
      </x:c>
      <x:c r="G82" t="str">
        <x:v>COVERED</x:v>
      </x:c>
      <x:c r="H82" t="str">
        <x:v>PROFILE_HD05</x:v>
      </x:c>
      <x:c r="I82" t="str">
        <x:v>https://tulieuvankien.dangcongsan.vn/upload/2006988/20260529/HD_05_VPTW_e1550.pdf</x:v>
      </x:c>
      <x:c r="J82" t="str">
        <x:v>CHO_XAC_MINH_HO_SO</x:v>
      </x:c>
      <x:c r="K82" t="str">
        <x:v>ĐỐI CHIẾU MỘT PHẦN</x:v>
      </x:c>
      <x:c r="L82" t="str">
        <x:v>CHECK_ONLY; legacy preserved</x:v>
      </x:c>
    </x:row>
    <x:row r="83">
      <x:c r="A83" t="n">
        <x:v>82</x:v>
      </x:c>
      <x:c r="B83" t="str">
        <x:v>HD05.D.CQ.BAN_HANH</x:v>
      </x:c>
      <x:c r="C83" t="str">
        <x:v>D</x:v>
      </x:c>
      <x:c r="D83" t="str">
        <x:v>Tên tổ chức/cơ quan Đảng ban hành</x:v>
      </x:c>
      <x:c r="E83" t="str">
        <x:v>2</x:v>
      </x:c>
      <x:c r="F83" t="n">
        <x:v>10</x:v>
      </x:c>
      <x:c r="G83" t="str">
        <x:v>COVERED</x:v>
      </x:c>
      <x:c r="H83" t="str">
        <x:v>PROFILE_HD05</x:v>
      </x:c>
      <x:c r="I83" t="str">
        <x:v>https://tulieuvankien.dangcongsan.vn/upload/2006988/20260529/HD_05_VPTW_e1550.pdf</x:v>
      </x:c>
      <x:c r="J83" t="str">
        <x:v>CHO_XAC_MINH_HO_SO</x:v>
      </x:c>
      <x:c r="K83" t="str">
        <x:v>ĐỐI CHIẾU MỘT PHẦN</x:v>
      </x:c>
      <x:c r="L83" t="str">
        <x:v>CHECK_ONLY; legacy preserved</x:v>
      </x:c>
    </x:row>
    <x:row r="84">
      <x:c r="A84" t="n">
        <x:v>83</x:v>
      </x:c>
      <x:c r="B84" t="str">
        <x:v>HD05.D.CQ.DAU_SAO</x:v>
      </x:c>
      <x:c r="C84" t="str">
        <x:v>D</x:v>
      </x:c>
      <x:c r="D84" t="str">
        <x:v>Dấu sao * bên dưới tên cơ quan</x:v>
      </x:c>
      <x:c r="E84" t="str">
        <x:v>2</x:v>
      </x:c>
      <x:c r="F84" t="n">
        <x:v>4</x:v>
      </x:c>
      <x:c r="G84" t="str">
        <x:v>COVERED</x:v>
      </x:c>
      <x:c r="H84" t="str">
        <x:v>PROFILE_HD05</x:v>
      </x:c>
      <x:c r="I84" t="str">
        <x:v>https://tulieuvankien.dangcongsan.vn/upload/2006988/20260529/HD_05_VPTW_e1550.pdf</x:v>
      </x:c>
      <x:c r="J84" t="str">
        <x:v>PROFILE_CHOT_THEO_TRAO_DOI</x:v>
      </x:c>
      <x:c r="K84" t="str">
        <x:v>ĐỐI CHIẾU MỘT PHẦN</x:v>
      </x:c>
      <x:c r="L84" t="str">
        <x:v>CHECK_ONLY; legacy preserved</x:v>
      </x:c>
    </x:row>
    <x:row r="85">
      <x:c r="A85" t="n">
        <x:v>84</x:v>
      </x:c>
      <x:c r="B85" t="str">
        <x:v>HD05.D.CQ.LIEN_CO_QUAN</x:v>
      </x:c>
      <x:c r="C85" t="str">
        <x:v>D</x:v>
      </x:c>
      <x:c r="D85" t="str">
        <x:v>Tên tổ chức, cơ quan liên cơ quan</x:v>
      </x:c>
      <x:c r="E85" t="str">
        <x:v>2</x:v>
      </x:c>
      <x:c r="F85" t="n">
        <x:v>10</x:v>
      </x:c>
      <x:c r="G85" t="str">
        <x:v>COVERED</x:v>
      </x:c>
      <x:c r="H85" t="str">
        <x:v>PROFILE_HD05</x:v>
      </x:c>
      <x:c r="I85" t="str">
        <x:v>https://tulieuvankien.dangcongsan.vn/upload/2006988/20260529/HD_05_VPTW_e1550.pdf</x:v>
      </x:c>
      <x:c r="J85" t="str">
        <x:v>DỰ THẢO — CẦN DUYỆT HD05</x:v>
      </x:c>
      <x:c r="K85" t="str">
        <x:v>CHƯA ĐỦ BẰNG CHỨNG</x:v>
      </x:c>
      <x:c r="L85" t="str">
        <x:v>CHECK_ONLY; legacy preserved</x:v>
      </x:c>
    </x:row>
    <x:row r="86">
      <x:c r="A86" t="n">
        <x:v>85</x:v>
      </x:c>
      <x:c r="B86" t="str">
        <x:v>HD05.D.CQ.DAI_HOI</x:v>
      </x:c>
      <x:c r="C86" t="str">
        <x:v>D</x:v>
      </x:c>
      <x:c r="D86" t="str">
        <x:v>Tên đại hội hoặc cơ quan thuộc đại hội</x:v>
      </x:c>
      <x:c r="E86" t="str">
        <x:v>2</x:v>
      </x:c>
      <x:c r="F86" t="n">
        <x:v>10</x:v>
      </x:c>
      <x:c r="G86" t="str">
        <x:v>COVERED</x:v>
      </x:c>
      <x:c r="H86" t="str">
        <x:v>PROFILE_HD05</x:v>
      </x:c>
      <x:c r="I86" t="str">
        <x:v>https://tulieuvankien.dangcongsan.vn/upload/2006988/20260529/HD_05_VPTW_e1550.pdf</x:v>
      </x:c>
      <x:c r="J86" t="str">
        <x:v>DỰ THẢO — CẦN DUYỆT HD05</x:v>
      </x:c>
      <x:c r="K86" t="str">
        <x:v>CHƯA ĐỦ BẰNG CHỨNG</x:v>
      </x:c>
      <x:c r="L86" t="str">
        <x:v>CHECK_ONLY; legacy preserved</x:v>
      </x:c>
    </x:row>
    <x:row r="87">
      <x:c r="A87" t="n">
        <x:v>86</x:v>
      </x:c>
      <x:c r="B87" t="str">
        <x:v>HD05.D.TD.TIEU_DE_DANG</x:v>
      </x:c>
      <x:c r="C87" t="str">
        <x:v>D</x:v>
      </x:c>
      <x:c r="D87" t="str">
        <x:v>Dòng ĐẢNG CỘNG SẢN VIỆT NAM</x:v>
      </x:c>
      <x:c r="E87" t="str">
        <x:v>1</x:v>
      </x:c>
      <x:c r="F87" t="n">
        <x:v>10</x:v>
      </x:c>
      <x:c r="G87" t="str">
        <x:v>COVERED</x:v>
      </x:c>
      <x:c r="H87" t="str">
        <x:v>PROFILE_HD05</x:v>
      </x:c>
      <x:c r="I87" t="str">
        <x:v>https://tulieuvankien.dangcongsan.vn/upload/2006988/20260529/HD_05_VPTW_e1550.pdf</x:v>
      </x:c>
      <x:c r="J87" t="str">
        <x:v>DỰ THẢO — CẦN DUYỆT HD05</x:v>
      </x:c>
      <x:c r="K87" t="str">
        <x:v>ĐỐI CHIẾU MỘT PHẦN</x:v>
      </x:c>
      <x:c r="L87" t="str">
        <x:v>CHECK_ONLY; legacy preserved</x:v>
      </x:c>
    </x:row>
    <x:row r="88">
      <x:c r="A88" t="n">
        <x:v>87</x:v>
      </x:c>
      <x:c r="B88" t="str">
        <x:v>HD05.D.TD.DUONG_KE</x:v>
      </x:c>
      <x:c r="C88" t="str">
        <x:v>D</x:v>
      </x:c>
      <x:c r="D88" t="str">
        <x:v>Đường kẻ dưới tiêu đề Đảng</x:v>
      </x:c>
      <x:c r="E88" t="str">
        <x:v>1</x:v>
      </x:c>
      <x:c r="F88" t="n">
        <x:v>3</x:v>
      </x:c>
      <x:c r="G88" t="str">
        <x:v>COVERED</x:v>
      </x:c>
      <x:c r="H88" t="str">
        <x:v>PROFILE_HD05</x:v>
      </x:c>
      <x:c r="I88" t="str">
        <x:v>https://tulieuvankien.dangcongsan.vn/upload/2006988/20260529/HD_05_VPTW_e1550.pdf</x:v>
      </x:c>
      <x:c r="J88" t="str">
        <x:v>CẦN QA RENDER</x:v>
      </x:c>
      <x:c r="K88" t="str">
        <x:v>ĐỐI CHIẾU MỘT PHẦN</x:v>
      </x:c>
      <x:c r="L88" t="str">
        <x:v>CHECK_ONLY; legacy preserved</x:v>
      </x:c>
    </x:row>
    <x:row r="89">
      <x:c r="A89" t="n">
        <x:v>88</x:v>
      </x:c>
      <x:c r="B89" t="str">
        <x:v>HD05.D.SK.NHAN_SO</x:v>
      </x:c>
      <x:c r="C89" t="str">
        <x:v>D</x:v>
      </x:c>
      <x:c r="D89" t="str">
        <x:v>Nhãn Số</x:v>
      </x:c>
      <x:c r="E89" t="str">
        <x:v>3</x:v>
      </x:c>
      <x:c r="F89" t="n">
        <x:v>10</x:v>
      </x:c>
      <x:c r="G89" t="str">
        <x:v>COVERED</x:v>
      </x:c>
      <x:c r="H89" t="str">
        <x:v>PROFILE_HD05</x:v>
      </x:c>
      <x:c r="I89" t="str">
        <x:v>https://tulieuvankien.dangcongsan.vn/upload/2006988/20260529/HD_05_VPTW_e1550.pdf</x:v>
      </x:c>
      <x:c r="J89" t="str">
        <x:v>DỰ THẢO — CẦN DUYỆT HD05</x:v>
      </x:c>
      <x:c r="K89" t="str">
        <x:v>ĐỐI CHIẾU MỘT PHẦN</x:v>
      </x:c>
      <x:c r="L89" t="str">
        <x:v>CHECK_ONLY; legacy preserved</x:v>
      </x:c>
    </x:row>
    <x:row r="90">
      <x:c r="A90" t="n">
        <x:v>89</x:v>
      </x:c>
      <x:c r="B90" t="str">
        <x:v>HD05.D.SK.SO_VAN_BAN</x:v>
      </x:c>
      <x:c r="C90" t="str">
        <x:v>D</x:v>
      </x:c>
      <x:c r="D90" t="str">
        <x:v>Số thứ tự văn bản</x:v>
      </x:c>
      <x:c r="E90" t="str">
        <x:v>3</x:v>
      </x:c>
      <x:c r="F90" t="n">
        <x:v>11</x:v>
      </x:c>
      <x:c r="G90" t="str">
        <x:v>COVERED</x:v>
      </x:c>
      <x:c r="H90" t="str">
        <x:v>PROFILE_HD05</x:v>
      </x:c>
      <x:c r="I90" t="str">
        <x:v>https://tulieuvankien.dangcongsan.vn/upload/2006988/20260529/HD_05_VPTW_e1550.pdf</x:v>
      </x:c>
      <x:c r="J90" t="str">
        <x:v>DỰ THẢO — CẦN DUYỆT HD05</x:v>
      </x:c>
      <x:c r="K90" t="str">
        <x:v>ĐỐI CHIẾU MỘT PHẦN</x:v>
      </x:c>
      <x:c r="L90" t="str">
        <x:v>CHECK_ONLY; legacy preserved</x:v>
      </x:c>
    </x:row>
    <x:row r="91">
      <x:c r="A91" t="n">
        <x:v>90</x:v>
      </x:c>
      <x:c r="B91" t="str">
        <x:v>HD05.D.SK.KY_HIEU_LOAI</x:v>
      </x:c>
      <x:c r="C91" t="str">
        <x:v>D</x:v>
      </x:c>
      <x:c r="D91" t="str">
        <x:v>Ký hiệu thể loại văn bản</x:v>
      </x:c>
      <x:c r="E91" t="str">
        <x:v>3</x:v>
      </x:c>
      <x:c r="F91" t="n">
        <x:v>9</x:v>
      </x:c>
      <x:c r="G91" t="str">
        <x:v>COVERED</x:v>
      </x:c>
      <x:c r="H91" t="str">
        <x:v>PROFILE_HD05</x:v>
      </x:c>
      <x:c r="I91" t="str">
        <x:v>https://tulieuvankien.dangcongsan.vn/upload/2006988/20260529/HD_05_VPTW_e1550.pdf</x:v>
      </x:c>
      <x:c r="J91" t="str">
        <x:v>DỰ THẢO — CẦN DUYỆT HD05</x:v>
      </x:c>
      <x:c r="K91" t="str">
        <x:v>ĐỐI CHIẾU MỘT PHẦN</x:v>
      </x:c>
      <x:c r="L91" t="str">
        <x:v>CHECK_ONLY; legacy preserved</x:v>
      </x:c>
    </x:row>
    <x:row r="92">
      <x:c r="A92" t="n">
        <x:v>91</x:v>
      </x:c>
      <x:c r="B92" t="str">
        <x:v>HD05.D.SK.KY_HIEU_CO_QUAN</x:v>
      </x:c>
      <x:c r="C92" t="str">
        <x:v>D</x:v>
      </x:c>
      <x:c r="D92" t="str">
        <x:v>Ký hiệu tổ chức/cơ quan Đảng</x:v>
      </x:c>
      <x:c r="E92" t="str">
        <x:v>3</x:v>
      </x:c>
      <x:c r="F92" t="n">
        <x:v>10</x:v>
      </x:c>
      <x:c r="G92" t="str">
        <x:v>COVERED</x:v>
      </x:c>
      <x:c r="H92" t="str">
        <x:v>PROFILE_HD05</x:v>
      </x:c>
      <x:c r="I92" t="str">
        <x:v>https://tulieuvankien.dangcongsan.vn/upload/2006988/20260529/HD_05_VPTW_e1550.pdf</x:v>
      </x:c>
      <x:c r="J92" t="str">
        <x:v>CHO_XAC_MINH_HO_SO</x:v>
      </x:c>
      <x:c r="K92" t="str">
        <x:v>ĐỐI CHIẾU MỘT PHẦN</x:v>
      </x:c>
      <x:c r="L92" t="str">
        <x:v>CHECK_ONLY; legacy preserved</x:v>
      </x:c>
    </x:row>
    <x:row r="93">
      <x:c r="A93" t="n">
        <x:v>92</x:v>
      </x:c>
      <x:c r="B93" t="str">
        <x:v>HD05.D.SK.DAU_PHAN_CACH</x:v>
      </x:c>
      <x:c r="C93" t="str">
        <x:v>D</x:v>
      </x:c>
      <x:c r="D93" t="str">
        <x:v>Dấu phân cách trong số, ký hiệu</x:v>
      </x:c>
      <x:c r="E93" t="str">
        <x:v>3</x:v>
      </x:c>
      <x:c r="F93" t="n">
        <x:v>1</x:v>
      </x:c>
      <x:c r="G93" t="str">
        <x:v>COVERED</x:v>
      </x:c>
      <x:c r="H93" t="str">
        <x:v>PROFILE_HD05</x:v>
      </x:c>
      <x:c r="I93" t="str">
        <x:v>https://tulieuvankien.dangcongsan.vn/upload/2006988/20260529/HD_05_VPTW_e1550.pdf</x:v>
      </x:c>
      <x:c r="J93" t="str">
        <x:v>DỰ THẢO — CẦN DUYỆT HD05</x:v>
      </x:c>
      <x:c r="K93" t="str">
        <x:v>ĐỐI CHIẾU MỘT PHẦN</x:v>
      </x:c>
      <x:c r="L93" t="str">
        <x:v>CHECK_ONLY; legacy preserved</x:v>
      </x:c>
    </x:row>
    <x:row r="94">
      <x:c r="A94" t="n">
        <x:v>93</x:v>
      </x:c>
      <x:c r="B94" t="str">
        <x:v>HD05.D.NG.DIA_DANH</x:v>
      </x:c>
      <x:c r="C94" t="str">
        <x:v>D</x:v>
      </x:c>
      <x:c r="D94" t="str">
        <x:v>Địa danh</x:v>
      </x:c>
      <x:c r="E94" t="str">
        <x:v>4</x:v>
      </x:c>
      <x:c r="F94" t="n">
        <x:v>10</x:v>
      </x:c>
      <x:c r="G94" t="str">
        <x:v>COVERED</x:v>
      </x:c>
      <x:c r="H94" t="str">
        <x:v>PROFILE_HD05</x:v>
      </x:c>
      <x:c r="I94" t="str">
        <x:v>https://tulieuvankien.dangcongsan.vn/upload/2006988/20260529/HD_05_VPTW_e1550.pdf</x:v>
      </x:c>
      <x:c r="J94" t="str">
        <x:v>DỰ THẢO — CẦN DUYỆT HD05</x:v>
      </x:c>
      <x:c r="K94" t="str">
        <x:v>ĐỐI CHIẾU MỘT PHẦN</x:v>
      </x:c>
      <x:c r="L94" t="str">
        <x:v>CHECK_ONLY; legacy preserved</x:v>
      </x:c>
    </x:row>
    <x:row r="95">
      <x:c r="A95" t="n">
        <x:v>94</x:v>
      </x:c>
      <x:c r="B95" t="str">
        <x:v>HD05.D.NG.NGAY</x:v>
      </x:c>
      <x:c r="C95" t="str">
        <x:v>D</x:v>
      </x:c>
      <x:c r="D95" t="str">
        <x:v>Ngày</x:v>
      </x:c>
      <x:c r="E95" t="str">
        <x:v>4</x:v>
      </x:c>
      <x:c r="F95" t="n">
        <x:v>11</x:v>
      </x:c>
      <x:c r="G95" t="str">
        <x:v>COVERED</x:v>
      </x:c>
      <x:c r="H95" t="str">
        <x:v>PROFILE_HD05</x:v>
      </x:c>
      <x:c r="I95" t="str">
        <x:v>https://tulieuvankien.dangcongsan.vn/upload/2006988/20260529/HD_05_VPTW_e1550.pdf</x:v>
      </x:c>
      <x:c r="J95" t="str">
        <x:v>DỰ THẢO — CẦN DUYỆT HD05</x:v>
      </x:c>
      <x:c r="K95" t="str">
        <x:v>ĐỐI CHIẾU MỘT PHẦN</x:v>
      </x:c>
      <x:c r="L95" t="str">
        <x:v>CHECK_ONLY; legacy preserved</x:v>
      </x:c>
    </x:row>
    <x:row r="96">
      <x:c r="A96" t="n">
        <x:v>95</x:v>
      </x:c>
      <x:c r="B96" t="str">
        <x:v>HD05.D.NG.THANG</x:v>
      </x:c>
      <x:c r="C96" t="str">
        <x:v>D</x:v>
      </x:c>
      <x:c r="D96" t="str">
        <x:v>Tháng</x:v>
      </x:c>
      <x:c r="E96" t="str">
        <x:v>4</x:v>
      </x:c>
      <x:c r="F96" t="n">
        <x:v>11</x:v>
      </x:c>
      <x:c r="G96" t="str">
        <x:v>COVERED</x:v>
      </x:c>
      <x:c r="H96" t="str">
        <x:v>PROFILE_HD05</x:v>
      </x:c>
      <x:c r="I96" t="str">
        <x:v>https://tulieuvankien.dangcongsan.vn/upload/2006988/20260529/HD_05_VPTW_e1550.pdf</x:v>
      </x:c>
      <x:c r="J96" t="str">
        <x:v>DỰ THẢO — CẦN DUYỆT HD05</x:v>
      </x:c>
      <x:c r="K96" t="str">
        <x:v>ĐỐI CHIẾU MỘT PHẦN</x:v>
      </x:c>
      <x:c r="L96" t="str">
        <x:v>CHECK_ONLY; legacy preserved</x:v>
      </x:c>
    </x:row>
    <x:row r="97">
      <x:c r="A97" t="n">
        <x:v>96</x:v>
      </x:c>
      <x:c r="B97" t="str">
        <x:v>HD05.D.NG.NAM</x:v>
      </x:c>
      <x:c r="C97" t="str">
        <x:v>D</x:v>
      </x:c>
      <x:c r="D97" t="str">
        <x:v>Năm</x:v>
      </x:c>
      <x:c r="E97" t="str">
        <x:v>4</x:v>
      </x:c>
      <x:c r="F97" t="n">
        <x:v>10</x:v>
      </x:c>
      <x:c r="G97" t="str">
        <x:v>COVERED</x:v>
      </x:c>
      <x:c r="H97" t="str">
        <x:v>PROFILE_HD05</x:v>
      </x:c>
      <x:c r="I97" t="str">
        <x:v>https://tulieuvankien.dangcongsan.vn/upload/2006988/20260529/HD_05_VPTW_e1550.pdf</x:v>
      </x:c>
      <x:c r="J97" t="str">
        <x:v>DỰ THẢO — CẦN DUYỆT HD05</x:v>
      </x:c>
      <x:c r="K97" t="str">
        <x:v>ĐỐI CHIẾU MỘT PHẦN</x:v>
      </x:c>
      <x:c r="L97" t="str">
        <x:v>CHECK_ONLY; legacy preserved</x:v>
      </x:c>
    </x:row>
    <x:row r="98">
      <x:c r="A98" t="n">
        <x:v>97</x:v>
      </x:c>
      <x:c r="B98" t="str">
        <x:v>HD05.D.TY.TEN_LOAI</x:v>
      </x:c>
      <x:c r="C98" t="str">
        <x:v>D</x:v>
      </x:c>
      <x:c r="D98" t="str">
        <x:v>Tên loại văn bản Đảng</x:v>
      </x:c>
      <x:c r="E98" t="str">
        <x:v>5a</x:v>
      </x:c>
      <x:c r="F98" t="n">
        <x:v>10</x:v>
      </x:c>
      <x:c r="G98" t="str">
        <x:v>COVERED</x:v>
      </x:c>
      <x:c r="H98" t="str">
        <x:v>PROFILE_HD05</x:v>
      </x:c>
      <x:c r="I98" t="str">
        <x:v>https://tulieuvankien.dangcongsan.vn/upload/2006988/20260529/HD_05_VPTW_e1550.pdf</x:v>
      </x:c>
      <x:c r="J98" t="str">
        <x:v>DỰ THẢO — CẦN DUYỆT HD05</x:v>
      </x:c>
      <x:c r="K98" t="str">
        <x:v>ĐỐI CHIẾU MỘT PHẦN</x:v>
      </x:c>
      <x:c r="L98" t="str">
        <x:v>CHECK_ONLY; legacy preserved</x:v>
      </x:c>
    </x:row>
    <x:row r="99">
      <x:c r="A99" t="n">
        <x:v>98</x:v>
      </x:c>
      <x:c r="B99" t="str">
        <x:v>HD05.D.TY.TRICH_YEU</x:v>
      </x:c>
      <x:c r="C99" t="str">
        <x:v>D</x:v>
      </x:c>
      <x:c r="D99" t="str">
        <x:v>Trích yếu của văn bản Đảng có tên loại</x:v>
      </x:c>
      <x:c r="E99" t="str">
        <x:v>5a</x:v>
      </x:c>
      <x:c r="F99" t="n">
        <x:v>10</x:v>
      </x:c>
      <x:c r="G99" t="str">
        <x:v>COVERED</x:v>
      </x:c>
      <x:c r="H99" t="str">
        <x:v>PROFILE_HD05</x:v>
      </x:c>
      <x:c r="I99" t="str">
        <x:v>https://tulieuvankien.dangcongsan.vn/upload/2006988/20260529/HD_05_VPTW_e1550.pdf</x:v>
      </x:c>
      <x:c r="J99" t="str">
        <x:v>DỰ THẢO — CẦN DUYỆT HD05</x:v>
      </x:c>
      <x:c r="K99" t="str">
        <x:v>ĐỐI CHIẾU MỘT PHẦN</x:v>
      </x:c>
      <x:c r="L99" t="str">
        <x:v>CHECK_ONLY; legacy preserved</x:v>
      </x:c>
    </x:row>
    <x:row r="100">
      <x:c r="A100" t="n">
        <x:v>99</x:v>
      </x:c>
      <x:c r="B100" t="str">
        <x:v>HD05.D.TY.NAM_DAU_GACH</x:v>
      </x:c>
      <x:c r="C100" t="str">
        <x:v>D</x:v>
      </x:c>
      <x:c r="D100" t="str">
        <x:v>Đúng 5 dấu gạch nối dưới trích yếu theo mẫu</x:v>
      </x:c>
      <x:c r="E100" t="str">
        <x:v>5a</x:v>
      </x:c>
      <x:c r="F100" t="n">
        <x:v>4</x:v>
      </x:c>
      <x:c r="G100" t="str">
        <x:v>COVERED</x:v>
      </x:c>
      <x:c r="H100" t="str">
        <x:v>PROFILE_HD05</x:v>
      </x:c>
      <x:c r="I100" t="str">
        <x:v>https://tulieuvankien.dangcongsan.vn/upload/2006988/20260529/HD_05_VPTW_e1550.pdf</x:v>
      </x:c>
      <x:c r="J100" t="str">
        <x:v>DỰ THẢO — CẦN DUYỆT HD05</x:v>
      </x:c>
      <x:c r="K100" t="str">
        <x:v>ĐỐI CHIẾU MỘT PHẦN</x:v>
      </x:c>
      <x:c r="L100" t="str">
        <x:v>CHECK_ONLY; legacy preserved</x:v>
      </x:c>
    </x:row>
    <x:row r="101">
      <x:c r="A101" t="n">
        <x:v>100</x:v>
      </x:c>
      <x:c r="B101" t="str">
        <x:v>HD05.D.TY.TRICH_YEU_CV</x:v>
      </x:c>
      <x:c r="C101" t="str">
        <x:v>D</x:v>
      </x:c>
      <x:c r="D101" t="str">
        <x:v>Trích yếu công văn Đảng dưới số/ký hiệu</x:v>
      </x:c>
      <x:c r="E101" t="str">
        <x:v>5b</x:v>
      </x:c>
      <x:c r="F101" t="n">
        <x:v>11</x:v>
      </x:c>
      <x:c r="G101" t="str">
        <x:v>COVERED</x:v>
      </x:c>
      <x:c r="H101" t="str">
        <x:v>PROFILE_HD05</x:v>
      </x:c>
      <x:c r="I101" t="str">
        <x:v>https://tulieuvankien.dangcongsan.vn/upload/2006988/20260529/HD_05_VPTW_e1550.pdf</x:v>
      </x:c>
      <x:c r="J101" t="str">
        <x:v>DỰ THẢO — CẦN DUYỆT HD05</x:v>
      </x:c>
      <x:c r="K101" t="str">
        <x:v>ĐỐI CHIẾU MỘT PHẦN</x:v>
      </x:c>
      <x:c r="L101" t="str">
        <x:v>CHECK_ONLY; legacy preserved</x:v>
      </x:c>
    </x:row>
    <x:row r="102">
      <x:c r="A102" t="n">
        <x:v>101</x:v>
      </x:c>
      <x:c r="B102" t="str">
        <x:v>HD05.D.TY.CHU_DE_DAI_HOI</x:v>
      </x:c>
      <x:c r="C102" t="str">
        <x:v>D</x:v>
      </x:c>
      <x:c r="D102" t="str">
        <x:v>Chủ đề thay thế theo ngoại lệ báo cáo chính trị đại hội</x:v>
      </x:c>
      <x:c r="E102" t="str">
        <x:v>5a</x:v>
      </x:c>
      <x:c r="F102" t="n">
        <x:v>10</x:v>
      </x:c>
      <x:c r="G102" t="str">
        <x:v>COVERED</x:v>
      </x:c>
      <x:c r="H102" t="str">
        <x:v>PROFILE_HD05</x:v>
      </x:c>
      <x:c r="I102" t="str">
        <x:v>https://tulieuvankien.dangcongsan.vn/upload/2006988/20260529/HD_05_VPTW_e1550.pdf</x:v>
      </x:c>
      <x:c r="J102" t="str">
        <x:v>CẦN XÁC NHẬN</x:v>
      </x:c>
      <x:c r="K102" t="str">
        <x:v>CHƯA ĐỦ BẰNG CHỨNG</x:v>
      </x:c>
      <x:c r="L102" t="str">
        <x:v>CHECK_ONLY; legacy preserved</x:v>
      </x:c>
    </x:row>
    <x:row r="103">
      <x:c r="A103" t="n">
        <x:v>102</x:v>
      </x:c>
      <x:c r="B103" t="str">
        <x:v>HD05.D.NHAN.KINH_GUI</x:v>
      </x:c>
      <x:c r="C103" t="str">
        <x:v>D</x:v>
      </x:c>
      <x:c r="D103" t="str">
        <x:v>Nhãn Kính gửi:</x:v>
      </x:c>
      <x:c r="E103" t="str">
        <x:v>5a</x:v>
      </x:c>
      <x:c r="F103" t="n">
        <x:v>11</x:v>
      </x:c>
      <x:c r="G103" t="str">
        <x:v>COVERED</x:v>
      </x:c>
      <x:c r="H103" t="str">
        <x:v>PROFILE_HD05</x:v>
      </x:c>
      <x:c r="I103" t="str">
        <x:v>https://tulieuvankien.dangcongsan.vn/upload/2006988/20260529/HD_05_VPTW_e1550.pdf</x:v>
      </x:c>
      <x:c r="J103" t="str">
        <x:v>DỰ THẢO — CẦN DUYỆT HD05</x:v>
      </x:c>
      <x:c r="K103" t="str">
        <x:v>ĐỐI CHIẾU MỘT PHẦN</x:v>
      </x:c>
      <x:c r="L103" t="str">
        <x:v>CHECK_ONLY; legacy preserved</x:v>
      </x:c>
    </x:row>
    <x:row r="104">
      <x:c r="A104" t="n">
        <x:v>103</x:v>
      </x:c>
      <x:c r="B104" t="str">
        <x:v>HD05.D.NHAN.DS_KINH_GUI</x:v>
      </x:c>
      <x:c r="C104" t="str">
        <x:v>D</x:v>
      </x:c>
      <x:c r="D104" t="str">
        <x:v>Danh sách người nhận của công văn</x:v>
      </x:c>
      <x:c r="E104" t="str">
        <x:v>5a</x:v>
      </x:c>
      <x:c r="F104" t="n">
        <x:v>10</x:v>
      </x:c>
      <x:c r="G104" t="str">
        <x:v>COVERED</x:v>
      </x:c>
      <x:c r="H104" t="str">
        <x:v>PROFILE_HD05</x:v>
      </x:c>
      <x:c r="I104" t="str">
        <x:v>https://tulieuvankien.dangcongsan.vn/upload/2006988/20260529/HD_05_VPTW_e1550.pdf</x:v>
      </x:c>
      <x:c r="J104" t="str">
        <x:v>DỰ THẢO — CẦN DUYỆT HD05</x:v>
      </x:c>
      <x:c r="K104" t="str">
        <x:v>ĐỐI CHIẾU MỘT PHẦN</x:v>
      </x:c>
      <x:c r="L104" t="str">
        <x:v>CHECK_ONLY; legacy preserved</x:v>
      </x:c>
    </x:row>
    <x:row r="105">
      <x:c r="A105" t="n">
        <x:v>104</x:v>
      </x:c>
      <x:c r="B105" t="str">
        <x:v>HD05.D.NHAN.KINH_TRINH</x:v>
      </x:c>
      <x:c r="C105" t="str">
        <x:v>D</x:v>
      </x:c>
      <x:c r="D105" t="str">
        <x:v>Nhãn Kính trình:</x:v>
      </x:c>
      <x:c r="E105" t="str">
        <x:v>9b</x:v>
      </x:c>
      <x:c r="F105" t="n">
        <x:v>11</x:v>
      </x:c>
      <x:c r="G105" t="str">
        <x:v>COVERED</x:v>
      </x:c>
      <x:c r="H105" t="str">
        <x:v>PROFILE_HD05</x:v>
      </x:c>
      <x:c r="I105" t="str">
        <x:v>https://tulieuvankien.dangcongsan.vn/upload/2006988/20260529/HD_05_VPTW_e1550.pdf</x:v>
      </x:c>
      <x:c r="J105" t="str">
        <x:v>DỰ THẢO — CẦN DUYỆT HD05</x:v>
      </x:c>
      <x:c r="K105" t="str">
        <x:v>ĐỐI CHIẾU MỘT PHẦN</x:v>
      </x:c>
      <x:c r="L105" t="str">
        <x:v>CHECK_ONLY; legacy preserved</x:v>
      </x:c>
    </x:row>
    <x:row r="106">
      <x:c r="A106" t="n">
        <x:v>105</x:v>
      </x:c>
      <x:c r="B106" t="str">
        <x:v>HD05.D.NHAN.DS_KINH_TRINH</x:v>
      </x:c>
      <x:c r="C106" t="str">
        <x:v>D</x:v>
      </x:c>
      <x:c r="D106" t="str">
        <x:v>Danh sách đối tượng được trình</x:v>
      </x:c>
      <x:c r="E106" t="str">
        <x:v>9b</x:v>
      </x:c>
      <x:c r="F106" t="n">
        <x:v>10</x:v>
      </x:c>
      <x:c r="G106" t="str">
        <x:v>COVERED</x:v>
      </x:c>
      <x:c r="H106" t="str">
        <x:v>PROFILE_HD05</x:v>
      </x:c>
      <x:c r="I106" t="str">
        <x:v>https://tulieuvankien.dangcongsan.vn/upload/2006988/20260529/HD_05_VPTW_e1550.pdf</x:v>
      </x:c>
      <x:c r="J106" t="str">
        <x:v>DỰ THẢO — CẦN DUYỆT HD05</x:v>
      </x:c>
      <x:c r="K106" t="str">
        <x:v>ĐỐI CHIẾU MỘT PHẦN</x:v>
      </x:c>
      <x:c r="L106" t="str">
        <x:v>CHECK_ONLY; legacy preserved</x:v>
      </x:c>
    </x:row>
    <x:row r="107">
      <x:c r="A107" t="n">
        <x:v>106</x:v>
      </x:c>
      <x:c r="B107" t="str">
        <x:v>HD05.N.MD.MO_DAU</x:v>
      </x:c>
      <x:c r="C107" t="str">
        <x:v>N</x:v>
      </x:c>
      <x:c r="D107" t="str">
        <x:v>Đoạn dẫn nhập</x:v>
      </x:c>
      <x:c r="E107" t="str">
        <x:v>6</x:v>
      </x:c>
      <x:c r="F107" t="n">
        <x:v>13</x:v>
      </x:c>
      <x:c r="G107" t="str">
        <x:v>COVERED</x:v>
      </x:c>
      <x:c r="H107" t="str">
        <x:v>PROFILE_HD05</x:v>
      </x:c>
      <x:c r="I107" t="str">
        <x:v>https://tulieuvankien.dangcongsan.vn/upload/2006988/20260529/HD_05_VPTW_e1550.pdf</x:v>
      </x:c>
      <x:c r="J107" t="str">
        <x:v>DỰ THẢO — CẦN DUYỆT HD05</x:v>
      </x:c>
      <x:c r="K107" t="str">
        <x:v>CHƯA ĐỦ BẰNG CHỨNG</x:v>
      </x:c>
      <x:c r="L107" t="str">
        <x:v>CHECK_ONLY; legacy preserved</x:v>
      </x:c>
    </x:row>
    <x:row r="108">
      <x:c r="A108" t="n">
        <x:v>107</x:v>
      </x:c>
      <x:c r="B108" t="str">
        <x:v>HD05.N.MD.CAN_CU</x:v>
      </x:c>
      <x:c r="C108" t="str">
        <x:v>N</x:v>
      </x:c>
      <x:c r="D108" t="str">
        <x:v>Căn cứ ban hành</x:v>
      </x:c>
      <x:c r="E108" t="str">
        <x:v>6</x:v>
      </x:c>
      <x:c r="F108" t="n">
        <x:v>14</x:v>
      </x:c>
      <x:c r="G108" t="str">
        <x:v>COVERED</x:v>
      </x:c>
      <x:c r="H108" t="str">
        <x:v>PROFILE_HD05</x:v>
      </x:c>
      <x:c r="I108" t="str">
        <x:v>https://tulieuvankien.dangcongsan.vn/upload/2006988/20260529/HD_05_VPTW_e1550.pdf</x:v>
      </x:c>
      <x:c r="J108" t="str">
        <x:v>DỰ THẢO — CẦN DUYỆT HD05</x:v>
      </x:c>
      <x:c r="K108" t="str">
        <x:v>CHƯA ĐỦ BẰNG CHỨNG</x:v>
      </x:c>
      <x:c r="L108" t="str">
        <x:v>CHECK_ONLY; legacy preserved</x:v>
      </x:c>
    </x:row>
    <x:row r="109">
      <x:c r="A109" t="n">
        <x:v>108</x:v>
      </x:c>
      <x:c r="B109" t="str">
        <x:v>HD05.N.DM.PHAN</x:v>
      </x:c>
      <x:c r="C109" t="str">
        <x:v>N</x:v>
      </x:c>
      <x:c r="D109" t="str">
        <x:v>Phần</x:v>
      </x:c>
      <x:c r="E109" t="str">
        <x:v>6</x:v>
      </x:c>
      <x:c r="F109" t="n">
        <x:v>16</x:v>
      </x:c>
      <x:c r="G109" t="str">
        <x:v>COVERED</x:v>
      </x:c>
      <x:c r="H109" t="str">
        <x:v>PROFILE_HD05</x:v>
      </x:c>
      <x:c r="I109" t="str">
        <x:v>https://tulieuvankien.dangcongsan.vn/upload/2006988/20260529/HD_05_VPTW_e1550.pdf</x:v>
      </x:c>
      <x:c r="J109" t="str">
        <x:v>DỰ THẢO — CẦN DUYỆT HD05</x:v>
      </x:c>
      <x:c r="K109" t="str">
        <x:v>CHƯA ĐỦ BẰNG CHỨNG</x:v>
      </x:c>
      <x:c r="L109" t="str">
        <x:v>CHECK_ONLY; legacy preserved</x:v>
      </x:c>
    </x:row>
    <x:row r="110">
      <x:c r="A110" t="n">
        <x:v>109</x:v>
      </x:c>
      <x:c r="B110" t="str">
        <x:v>HD05.N.DM.CHUONG</x:v>
      </x:c>
      <x:c r="C110" t="str">
        <x:v>N</x:v>
      </x:c>
      <x:c r="D110" t="str">
        <x:v>Chương</x:v>
      </x:c>
      <x:c r="E110" t="str">
        <x:v>6</x:v>
      </x:c>
      <x:c r="F110" t="n">
        <x:v>16</x:v>
      </x:c>
      <x:c r="G110" t="str">
        <x:v>COVERED</x:v>
      </x:c>
      <x:c r="H110" t="str">
        <x:v>PROFILE_HD05</x:v>
      </x:c>
      <x:c r="I110" t="str">
        <x:v>https://tulieuvankien.dangcongsan.vn/upload/2006988/20260529/HD_05_VPTW_e1550.pdf</x:v>
      </x:c>
      <x:c r="J110" t="str">
        <x:v>DỰ THẢO — CẦN DUYỆT HD05</x:v>
      </x:c>
      <x:c r="K110" t="str">
        <x:v>CHƯA ĐỦ BẰNG CHỨNG</x:v>
      </x:c>
      <x:c r="L110" t="str">
        <x:v>CHECK_ONLY; legacy preserved</x:v>
      </x:c>
    </x:row>
    <x:row r="111">
      <x:c r="A111" t="n">
        <x:v>110</x:v>
      </x:c>
      <x:c r="B111" t="str">
        <x:v>HD05.N.DM.MUC</x:v>
      </x:c>
      <x:c r="C111" t="str">
        <x:v>N</x:v>
      </x:c>
      <x:c r="D111" t="str">
        <x:v>Mục</x:v>
      </x:c>
      <x:c r="E111" t="str">
        <x:v>6</x:v>
      </x:c>
      <x:c r="F111" t="n">
        <x:v>16</x:v>
      </x:c>
      <x:c r="G111" t="str">
        <x:v>COVERED</x:v>
      </x:c>
      <x:c r="H111" t="str">
        <x:v>PROFILE_HD05</x:v>
      </x:c>
      <x:c r="I111" t="str">
        <x:v>https://tulieuvankien.dangcongsan.vn/upload/2006988/20260529/HD_05_VPTW_e1550.pdf</x:v>
      </x:c>
      <x:c r="J111" t="str">
        <x:v>DỰ THẢO — CẦN DUYỆT HD05</x:v>
      </x:c>
      <x:c r="K111" t="str">
        <x:v>CHƯA ĐỦ BẰNG CHỨNG</x:v>
      </x:c>
      <x:c r="L111" t="str">
        <x:v>CHECK_ONLY; legacy preserved</x:v>
      </x:c>
    </x:row>
    <x:row r="112">
      <x:c r="A112" t="n">
        <x:v>111</x:v>
      </x:c>
      <x:c r="B112" t="str">
        <x:v>HD05.N.DM.TIEU_MUC</x:v>
      </x:c>
      <x:c r="C112" t="str">
        <x:v>N</x:v>
      </x:c>
      <x:c r="D112" t="str">
        <x:v>Tiểu mục</x:v>
      </x:c>
      <x:c r="E112" t="str">
        <x:v>6</x:v>
      </x:c>
      <x:c r="F112" t="n">
        <x:v>16</x:v>
      </x:c>
      <x:c r="G112" t="str">
        <x:v>COVERED</x:v>
      </x:c>
      <x:c r="H112" t="str">
        <x:v>PROFILE_HD05</x:v>
      </x:c>
      <x:c r="I112" t="str">
        <x:v>https://tulieuvankien.dangcongsan.vn/upload/2006988/20260529/HD_05_VPTW_e1550.pdf</x:v>
      </x:c>
      <x:c r="J112" t="str">
        <x:v>DỰ THẢO — CẦN DUYỆT HD05</x:v>
      </x:c>
      <x:c r="K112" t="str">
        <x:v>CẦN RÀ SOÁT</x:v>
      </x:c>
      <x:c r="L112" t="str">
        <x:v>CHECK_ONLY; legacy preserved</x:v>
      </x:c>
    </x:row>
    <x:row r="113">
      <x:c r="A113" t="n">
        <x:v>112</x:v>
      </x:c>
      <x:c r="B113" t="str">
        <x:v>HD05.N.DIEU.SO_DIEU</x:v>
      </x:c>
      <x:c r="C113" t="str">
        <x:v>N</x:v>
      </x:c>
      <x:c r="D113" t="str">
        <x:v>Số điều</x:v>
      </x:c>
      <x:c r="E113" t="str">
        <x:v>6</x:v>
      </x:c>
      <x:c r="F113" t="n">
        <x:v>16</x:v>
      </x:c>
      <x:c r="G113" t="str">
        <x:v>COVERED</x:v>
      </x:c>
      <x:c r="H113" t="str">
        <x:v>PROFILE_HD05</x:v>
      </x:c>
      <x:c r="I113" t="str">
        <x:v>https://tulieuvankien.dangcongsan.vn/upload/2006988/20260529/HD_05_VPTW_e1550.pdf</x:v>
      </x:c>
      <x:c r="J113" t="str">
        <x:v>DỰ THẢO — CẦN DUYỆT HD05</x:v>
      </x:c>
      <x:c r="K113" t="str">
        <x:v>CHƯA ĐỦ BẰNG CHỨNG</x:v>
      </x:c>
      <x:c r="L113" t="str">
        <x:v>CHECK_ONLY; legacy preserved</x:v>
      </x:c>
    </x:row>
    <x:row r="114">
      <x:c r="A114" t="n">
        <x:v>113</x:v>
      </x:c>
      <x:c r="B114" t="str">
        <x:v>HD05.N.DIEU.TEN_DIEU</x:v>
      </x:c>
      <x:c r="C114" t="str">
        <x:v>N</x:v>
      </x:c>
      <x:c r="D114" t="str">
        <x:v>Tên điều</x:v>
      </x:c>
      <x:c r="E114" t="str">
        <x:v>6</x:v>
      </x:c>
      <x:c r="F114" t="n">
        <x:v>16</x:v>
      </x:c>
      <x:c r="G114" t="str">
        <x:v>COVERED</x:v>
      </x:c>
      <x:c r="H114" t="str">
        <x:v>PROFILE_HD05</x:v>
      </x:c>
      <x:c r="I114" t="str">
        <x:v>https://tulieuvankien.dangcongsan.vn/upload/2006988/20260529/HD_05_VPTW_e1550.pdf</x:v>
      </x:c>
      <x:c r="J114" t="str">
        <x:v>DỰ THẢO — CẦN DUYỆT HD05</x:v>
      </x:c>
      <x:c r="K114" t="str">
        <x:v>CHƯA ĐỦ BẰNG CHỨNG</x:v>
      </x:c>
      <x:c r="L114" t="str">
        <x:v>CHECK_ONLY; legacy preserved</x:v>
      </x:c>
    </x:row>
    <x:row r="115">
      <x:c r="A115" t="n">
        <x:v>114</x:v>
      </x:c>
      <x:c r="B115" t="str">
        <x:v>HD05.N.DIEU.NOI_DUNG_DIEU</x:v>
      </x:c>
      <x:c r="C115" t="str">
        <x:v>N</x:v>
      </x:c>
      <x:c r="D115" t="str">
        <x:v>Nội dung điều</x:v>
      </x:c>
      <x:c r="E115" t="str">
        <x:v>6</x:v>
      </x:c>
      <x:c r="F115" t="n">
        <x:v>16</x:v>
      </x:c>
      <x:c r="G115" t="str">
        <x:v>COVERED</x:v>
      </x:c>
      <x:c r="H115" t="str">
        <x:v>PROFILE_HD05</x:v>
      </x:c>
      <x:c r="I115" t="str">
        <x:v>https://tulieuvankien.dangcongsan.vn/upload/2006988/20260529/HD_05_VPTW_e1550.pdf</x:v>
      </x:c>
      <x:c r="J115" t="str">
        <x:v>DỰ THẢO — CẦN DUYỆT HD05</x:v>
      </x:c>
      <x:c r="K115" t="str">
        <x:v>CHƯA ĐỦ BẰNG CHỨNG</x:v>
      </x:c>
      <x:c r="L115" t="str">
        <x:v>CHECK_ONLY; legacy preserved</x:v>
      </x:c>
    </x:row>
    <x:row r="116">
      <x:c r="A116" t="n">
        <x:v>115</x:v>
      </x:c>
      <x:c r="B116" t="str">
        <x:v>HD05.N.KD.KHOAN</x:v>
      </x:c>
      <x:c r="C116" t="str">
        <x:v>N</x:v>
      </x:c>
      <x:c r="D116" t="str">
        <x:v>Khoản</x:v>
      </x:c>
      <x:c r="E116" t="str">
        <x:v>6</x:v>
      </x:c>
      <x:c r="F116" t="n">
        <x:v>16</x:v>
      </x:c>
      <x:c r="G116" t="str">
        <x:v>COVERED</x:v>
      </x:c>
      <x:c r="H116" t="str">
        <x:v>PROFILE_HD05</x:v>
      </x:c>
      <x:c r="I116" t="str">
        <x:v>https://tulieuvankien.dangcongsan.vn/upload/2006988/20260529/HD_05_VPTW_e1550.pdf</x:v>
      </x:c>
      <x:c r="J116" t="str">
        <x:v>DỰ THẢO — CẦN DUYỆT HD05</x:v>
      </x:c>
      <x:c r="K116" t="str">
        <x:v>CHƯA ĐỦ BẰNG CHỨNG</x:v>
      </x:c>
      <x:c r="L116" t="str">
        <x:v>CHECK_ONLY; legacy preserved</x:v>
      </x:c>
    </x:row>
    <x:row r="117">
      <x:c r="A117" t="n">
        <x:v>116</x:v>
      </x:c>
      <x:c r="B117" t="str">
        <x:v>HD05.N.KD.DIEM</x:v>
      </x:c>
      <x:c r="C117" t="str">
        <x:v>N</x:v>
      </x:c>
      <x:c r="D117" t="str">
        <x:v>Điểm</x:v>
      </x:c>
      <x:c r="E117" t="str">
        <x:v>6</x:v>
      </x:c>
      <x:c r="F117" t="n">
        <x:v>16</x:v>
      </x:c>
      <x:c r="G117" t="str">
        <x:v>COVERED</x:v>
      </x:c>
      <x:c r="H117" t="str">
        <x:v>PROFILE_HD05</x:v>
      </x:c>
      <x:c r="I117" t="str">
        <x:v>https://tulieuvankien.dangcongsan.vn/upload/2006988/20260529/HD_05_VPTW_e1550.pdf</x:v>
      </x:c>
      <x:c r="J117" t="str">
        <x:v>DỰ THẢO — CẦN DUYỆT HD05</x:v>
      </x:c>
      <x:c r="K117" t="str">
        <x:v>CHƯA ĐỦ BẰNG CHỨNG</x:v>
      </x:c>
      <x:c r="L117" t="str">
        <x:v>CHECK_ONLY; legacy preserved</x:v>
      </x:c>
    </x:row>
    <x:row r="118">
      <x:c r="A118" t="n">
        <x:v>117</x:v>
      </x:c>
      <x:c r="B118" t="str">
        <x:v>HD05.N.KD.DANH_SACH</x:v>
      </x:c>
      <x:c r="C118" t="str">
        <x:v>N</x:v>
      </x:c>
      <x:c r="D118" t="str">
        <x:v>Danh sách liệt kê</x:v>
      </x:c>
      <x:c r="E118" t="str">
        <x:v>6</x:v>
      </x:c>
      <x:c r="F118" t="n">
        <x:v>16</x:v>
      </x:c>
      <x:c r="G118" t="str">
        <x:v>COVERED</x:v>
      </x:c>
      <x:c r="H118" t="str">
        <x:v>PROFILE_HD05</x:v>
      </x:c>
      <x:c r="I118" t="str">
        <x:v>https://tulieuvankien.dangcongsan.vn/upload/2006988/20260529/HD_05_VPTW_e1550.pdf</x:v>
      </x:c>
      <x:c r="J118" t="str">
        <x:v>DỰ THẢO — CẦN DUYỆT HD05</x:v>
      </x:c>
      <x:c r="K118" t="str">
        <x:v>CẦN RÀ SOÁT</x:v>
      </x:c>
      <x:c r="L118" t="str">
        <x:v>CHECK_ONLY; legacy preserved</x:v>
      </x:c>
    </x:row>
    <x:row r="119">
      <x:c r="A119" t="n">
        <x:v>118</x:v>
      </x:c>
      <x:c r="B119" t="str">
        <x:v>HD05.N.DOAN.VAN_BAN</x:v>
      </x:c>
      <x:c r="C119" t="str">
        <x:v>N</x:v>
      </x:c>
      <x:c r="D119" t="str">
        <x:v>Nội dung đoạn văn thông thường</x:v>
      </x:c>
      <x:c r="E119" t="str">
        <x:v>6</x:v>
      </x:c>
      <x:c r="F119" t="n">
        <x:v>13</x:v>
      </x:c>
      <x:c r="G119" t="str">
        <x:v>COVERED</x:v>
      </x:c>
      <x:c r="H119" t="str">
        <x:v>PROFILE_HD05</x:v>
      </x:c>
      <x:c r="I119" t="str">
        <x:v>https://tulieuvankien.dangcongsan.vn/upload/2006988/20260529/HD_05_VPTW_e1550.pdf</x:v>
      </x:c>
      <x:c r="J119" t="str">
        <x:v>DỰ THẢO — CẦN DUYỆT HD05</x:v>
      </x:c>
      <x:c r="K119" t="str">
        <x:v>ĐỐI CHIẾU MỘT PHẦN</x:v>
      </x:c>
      <x:c r="L119" t="str">
        <x:v>CHECK_ONLY; legacy preserved</x:v>
      </x:c>
    </x:row>
    <x:row r="120">
      <x:c r="A120" t="n">
        <x:v>119</x:v>
      </x:c>
      <x:c r="B120" t="str">
        <x:v>HD05.N.BANG.TIEU_DE</x:v>
      </x:c>
      <x:c r="C120" t="str">
        <x:v>N</x:v>
      </x:c>
      <x:c r="D120" t="str">
        <x:v>Tiêu đề bảng</x:v>
      </x:c>
      <x:c r="E120" t="str">
        <x:v>6</x:v>
      </x:c>
      <x:c r="F120" t="n">
        <x:v>1</x:v>
      </x:c>
      <x:c r="G120" t="str">
        <x:v>REFER_TO_BANG_132</x:v>
      </x:c>
      <x:c r="H120" t="str">
        <x:v>PROFILE_HD05</x:v>
      </x:c>
      <x:c r="I120" t="str">
        <x:v>https://tulieuvankien.dangcongsan.vn/upload/2006988/20260529/HD_05_VPTW_e1550.pdf</x:v>
      </x:c>
      <x:c r="J120" t="str">
        <x:v>CẦN QA RENDER</x:v>
      </x:c>
      <x:c r="K120" t="str">
        <x:v>CẦN RÀ SOÁT</x:v>
      </x:c>
      <x:c r="L120" t="str">
        <x:v>CHECK_ONLY; legacy preserved</x:v>
      </x:c>
    </x:row>
    <x:row r="121">
      <x:c r="A121" t="n">
        <x:v>120</x:v>
      </x:c>
      <x:c r="B121" t="str">
        <x:v>HD05.N.BANG.DAU_BANG</x:v>
      </x:c>
      <x:c r="C121" t="str">
        <x:v>N</x:v>
      </x:c>
      <x:c r="D121" t="str">
        <x:v>Hàng đầu bảng</x:v>
      </x:c>
      <x:c r="E121" t="str">
        <x:v>6</x:v>
      </x:c>
      <x:c r="F121" t="n">
        <x:v>1</x:v>
      </x:c>
      <x:c r="G121" t="str">
        <x:v>REFER_TO_BANG_132</x:v>
      </x:c>
      <x:c r="H121" t="str">
        <x:v>PROFILE_HD05</x:v>
      </x:c>
      <x:c r="I121" t="str">
        <x:v>https://tulieuvankien.dangcongsan.vn/upload/2006988/20260529/HD_05_VPTW_e1550.pdf</x:v>
      </x:c>
      <x:c r="J121" t="str">
        <x:v>CẦN QA RENDER</x:v>
      </x:c>
      <x:c r="K121" t="str">
        <x:v>CẦN RÀ SOÁT</x:v>
      </x:c>
      <x:c r="L121" t="str">
        <x:v>CHECK_ONLY; legacy preserved</x:v>
      </x:c>
    </x:row>
    <x:row r="122">
      <x:c r="A122" t="n">
        <x:v>121</x:v>
      </x:c>
      <x:c r="B122" t="str">
        <x:v>HD05.N.BANG.HANG</x:v>
      </x:c>
      <x:c r="C122" t="str">
        <x:v>N</x:v>
      </x:c>
      <x:c r="D122" t="str">
        <x:v>Hàng</x:v>
      </x:c>
      <x:c r="E122" t="str">
        <x:v>6</x:v>
      </x:c>
      <x:c r="F122" t="n">
        <x:v>1</x:v>
      </x:c>
      <x:c r="G122" t="str">
        <x:v>REFER_TO_BANG_132</x:v>
      </x:c>
      <x:c r="H122" t="str">
        <x:v>PROFILE_HD05</x:v>
      </x:c>
      <x:c r="I122" t="str">
        <x:v>https://tulieuvankien.dangcongsan.vn/upload/2006988/20260529/HD_05_VPTW_e1550.pdf</x:v>
      </x:c>
      <x:c r="J122" t="str">
        <x:v>CẦN QA RENDER</x:v>
      </x:c>
      <x:c r="K122" t="str">
        <x:v>CẦN RÀ SOÁT</x:v>
      </x:c>
      <x:c r="L122" t="str">
        <x:v>CHECK_ONLY; legacy preserved</x:v>
      </x:c>
    </x:row>
    <x:row r="123">
      <x:c r="A123" t="n">
        <x:v>122</x:v>
      </x:c>
      <x:c r="B123" t="str">
        <x:v>HD05.N.BANG.O</x:v>
      </x:c>
      <x:c r="C123" t="str">
        <x:v>N</x:v>
      </x:c>
      <x:c r="D123" t="str">
        <x:v>Ô</x:v>
      </x:c>
      <x:c r="E123" t="str">
        <x:v>6</x:v>
      </x:c>
      <x:c r="F123" t="n">
        <x:v>1</x:v>
      </x:c>
      <x:c r="G123" t="str">
        <x:v>REFER_TO_BANG_132</x:v>
      </x:c>
      <x:c r="H123" t="str">
        <x:v>PROFILE_HD05</x:v>
      </x:c>
      <x:c r="I123" t="str">
        <x:v>https://tulieuvankien.dangcongsan.vn/upload/2006988/20260529/HD_05_VPTW_e1550.pdf</x:v>
      </x:c>
      <x:c r="J123" t="str">
        <x:v>CẦN QA RENDER</x:v>
      </x:c>
      <x:c r="K123" t="str">
        <x:v>CẦN RÀ SOÁT</x:v>
      </x:c>
      <x:c r="L123" t="str">
        <x:v>CHECK_ONLY; legacy preserved</x:v>
      </x:c>
    </x:row>
    <x:row r="124">
      <x:c r="A124" t="n">
        <x:v>123</x:v>
      </x:c>
      <x:c r="B124" t="str">
        <x:v>HD05.N.BANG.GOP_O</x:v>
      </x:c>
      <x:c r="C124" t="str">
        <x:v>N</x:v>
      </x:c>
      <x:c r="D124" t="str">
        <x:v>Ô gộp</x:v>
      </x:c>
      <x:c r="E124" t="str">
        <x:v>6</x:v>
      </x:c>
      <x:c r="F124" t="n">
        <x:v>1</x:v>
      </x:c>
      <x:c r="G124" t="str">
        <x:v>REFER_TO_BANG_132</x:v>
      </x:c>
      <x:c r="H124" t="str">
        <x:v>PROFILE_HD05</x:v>
      </x:c>
      <x:c r="I124" t="str">
        <x:v>https://tulieuvankien.dangcongsan.vn/upload/2006988/20260529/HD_05_VPTW_e1550.pdf</x:v>
      </x:c>
      <x:c r="J124" t="str">
        <x:v>CẦN QA RENDER</x:v>
      </x:c>
      <x:c r="K124" t="str">
        <x:v>CẦN RÀ SOÁT</x:v>
      </x:c>
      <x:c r="L124" t="str">
        <x:v>CHECK_ONLY; legacy preserved</x:v>
      </x:c>
    </x:row>
    <x:row r="125">
      <x:c r="A125" t="n">
        <x:v>124</x:v>
      </x:c>
      <x:c r="B125" t="str">
        <x:v>HD05.N.HINH.DOI_TUONG</x:v>
      </x:c>
      <x:c r="C125" t="str">
        <x:v>N</x:v>
      </x:c>
      <x:c r="D125" t="str">
        <x:v>Hình/sơ đồ</x:v>
      </x:c>
      <x:c r="E125" t="str">
        <x:v>6</x:v>
      </x:c>
      <x:c r="F125" t="n">
        <x:v>5</x:v>
      </x:c>
      <x:c r="G125" t="str">
        <x:v>COVERED</x:v>
      </x:c>
      <x:c r="H125" t="str">
        <x:v>PROFILE_HD05</x:v>
      </x:c>
      <x:c r="I125" t="str">
        <x:v>https://tulieuvankien.dangcongsan.vn/upload/2006988/20260529/HD_05_VPTW_e1550.pdf</x:v>
      </x:c>
      <x:c r="J125" t="str">
        <x:v>CẦN QA RENDER</x:v>
      </x:c>
      <x:c r="K125" t="str">
        <x:v>CẦN RÀ SOÁT</x:v>
      </x:c>
      <x:c r="L125" t="str">
        <x:v>CHECK_ONLY; legacy preserved</x:v>
      </x:c>
    </x:row>
    <x:row r="126">
      <x:c r="A126" t="n">
        <x:v>125</x:v>
      </x:c>
      <x:c r="B126" t="str">
        <x:v>HD05.N.HINH.CHU_THICH</x:v>
      </x:c>
      <x:c r="C126" t="str">
        <x:v>N</x:v>
      </x:c>
      <x:c r="D126" t="str">
        <x:v>Chú thích hình/sơ đồ</x:v>
      </x:c>
      <x:c r="E126" t="str">
        <x:v>6</x:v>
      </x:c>
      <x:c r="F126" t="n">
        <x:v>5</x:v>
      </x:c>
      <x:c r="G126" t="str">
        <x:v>COVERED</x:v>
      </x:c>
      <x:c r="H126" t="str">
        <x:v>PROFILE_HD05</x:v>
      </x:c>
      <x:c r="I126" t="str">
        <x:v>https://tulieuvankien.dangcongsan.vn/upload/2006988/20260529/HD_05_VPTW_e1550.pdf</x:v>
      </x:c>
      <x:c r="J126" t="str">
        <x:v>CẦN QA RENDER</x:v>
      </x:c>
      <x:c r="K126" t="str">
        <x:v>CẦN RÀ SOÁT</x:v>
      </x:c>
      <x:c r="L126" t="str">
        <x:v>CHECK_ONLY; legacy preserved</x:v>
      </x:c>
    </x:row>
    <x:row r="127">
      <x:c r="A127" t="n">
        <x:v>126</x:v>
      </x:c>
      <x:c r="B127" t="str">
        <x:v>HD05.N.KET.DOAN_KET</x:v>
      </x:c>
      <x:c r="C127" t="str">
        <x:v>N</x:v>
      </x:c>
      <x:c r="D127" t="str">
        <x:v>Đoạn kết nếu có</x:v>
      </x:c>
      <x:c r="E127" t="str">
        <x:v>6</x:v>
      </x:c>
      <x:c r="F127" t="n">
        <x:v>13</x:v>
      </x:c>
      <x:c r="G127" t="str">
        <x:v>COVERED</x:v>
      </x:c>
      <x:c r="H127" t="str">
        <x:v>PROFILE_HD05</x:v>
      </x:c>
      <x:c r="I127" t="str">
        <x:v>https://tulieuvankien.dangcongsan.vn/upload/2006988/20260529/HD_05_VPTW_e1550.pdf</x:v>
      </x:c>
      <x:c r="J127" t="str">
        <x:v>DỰ THẢO — CẦN DUYỆT HD05</x:v>
      </x:c>
      <x:c r="K127" t="str">
        <x:v>CHƯA ĐỦ BẰNG CHỨNG</x:v>
      </x:c>
      <x:c r="L127" t="str">
        <x:v>CHECK_ONLY; legacy preserved</x:v>
      </x:c>
    </x:row>
    <x:row r="128">
      <x:c r="A128" t="n">
        <x:v>127</x:v>
      </x:c>
      <x:c r="B128" t="str">
        <x:v>HD05.C.NN.NHAN_NOI_NHAN</x:v>
      </x:c>
      <x:c r="C128" t="str">
        <x:v>C</x:v>
      </x:c>
      <x:c r="D128" t="str">
        <x:v>Nhãn Nơi nhận:</x:v>
      </x:c>
      <x:c r="E128" t="str">
        <x:v>9a</x:v>
      </x:c>
      <x:c r="F128" t="n">
        <x:v>14</x:v>
      </x:c>
      <x:c r="G128" t="str">
        <x:v>COVERED</x:v>
      </x:c>
      <x:c r="H128" t="str">
        <x:v>PROFILE_HD05</x:v>
      </x:c>
      <x:c r="I128" t="str">
        <x:v>https://tulieuvankien.dangcongsan.vn/upload/2006988/20260529/HD_05_VPTW_e1550.pdf</x:v>
      </x:c>
      <x:c r="J128" t="str">
        <x:v>DỰ THẢO — CẦN DUYỆT HD05</x:v>
      </x:c>
      <x:c r="K128" t="str">
        <x:v>ĐỐI CHIẾU MỘT PHẦN</x:v>
      </x:c>
      <x:c r="L128" t="str">
        <x:v>CHECK_ONLY; legacy preserved</x:v>
      </x:c>
    </x:row>
    <x:row r="129">
      <x:c r="A129" t="n">
        <x:v>128</x:v>
      </x:c>
      <x:c r="B129" t="str">
        <x:v>HD05.C.NN.DUONG_KE</x:v>
      </x:c>
      <x:c r="C129" t="str">
        <x:v>C</x:v>
      </x:c>
      <x:c r="D129" t="str">
        <x:v>Đường kẻ dưới nhãn Nơi nhận</x:v>
      </x:c>
      <x:c r="E129" t="str">
        <x:v>9a</x:v>
      </x:c>
      <x:c r="F129" t="n">
        <x:v>4</x:v>
      </x:c>
      <x:c r="G129" t="str">
        <x:v>COVERED</x:v>
      </x:c>
      <x:c r="H129" t="str">
        <x:v>PROFILE_HD05</x:v>
      </x:c>
      <x:c r="I129" t="str">
        <x:v>https://tulieuvankien.dangcongsan.vn/upload/2006988/20260529/HD_05_VPTW_e1550.pdf</x:v>
      </x:c>
      <x:c r="J129" t="str">
        <x:v>CẦN QA RENDER</x:v>
      </x:c>
      <x:c r="K129" t="str">
        <x:v>CẦN RÀ SOÁT</x:v>
      </x:c>
      <x:c r="L129" t="str">
        <x:v>CHECK_ONLY; legacy preserved</x:v>
      </x:c>
    </x:row>
    <x:row r="130">
      <x:c r="A130" t="n">
        <x:v>129</x:v>
      </x:c>
      <x:c r="B130" t="str">
        <x:v>HD05.C.NN.DANH_SACH</x:v>
      </x:c>
      <x:c r="C130" t="str">
        <x:v>C</x:v>
      </x:c>
      <x:c r="D130" t="str">
        <x:v>Danh sách người/cơ quan nhận</x:v>
      </x:c>
      <x:c r="E130" t="str">
        <x:v>9a</x:v>
      </x:c>
      <x:c r="F130" t="n">
        <x:v>13</x:v>
      </x:c>
      <x:c r="G130" t="str">
        <x:v>COVERED</x:v>
      </x:c>
      <x:c r="H130" t="str">
        <x:v>PROFILE_HD05</x:v>
      </x:c>
      <x:c r="I130" t="str">
        <x:v>https://tulieuvankien.dangcongsan.vn/upload/2006988/20260529/HD_05_VPTW_e1550.pdf</x:v>
      </x:c>
      <x:c r="J130" t="str">
        <x:v>DỰ THẢO — CẦN DUYỆT HD05</x:v>
      </x:c>
      <x:c r="K130" t="str">
        <x:v>ĐỐI CHIẾU MỘT PHẦN</x:v>
      </x:c>
      <x:c r="L130" t="str">
        <x:v>CHECK_ONLY; legacy preserved</x:v>
      </x:c>
    </x:row>
    <x:row r="131">
      <x:c r="A131" t="n">
        <x:v>130</x:v>
      </x:c>
      <x:c r="B131" t="str">
        <x:v>HD05.C.NN.NHU_TREN</x:v>
      </x:c>
      <x:c r="C131" t="str">
        <x:v>C</x:v>
      </x:c>
      <x:c r="D131" t="str">
        <x:v>Dòng Như trên theo điều kiện</x:v>
      </x:c>
      <x:c r="E131" t="str">
        <x:v>9a</x:v>
      </x:c>
      <x:c r="F131" t="n">
        <x:v>13</x:v>
      </x:c>
      <x:c r="G131" t="str">
        <x:v>COVERED</x:v>
      </x:c>
      <x:c r="H131" t="str">
        <x:v>PROFILE_HD05</x:v>
      </x:c>
      <x:c r="I131" t="str">
        <x:v>https://tulieuvankien.dangcongsan.vn/upload/2006988/20260529/HD_05_VPTW_e1550.pdf</x:v>
      </x:c>
      <x:c r="J131" t="str">
        <x:v>DỰ THẢO — CẦN DUYỆT HD05</x:v>
      </x:c>
      <x:c r="K131" t="str">
        <x:v>ĐỐI CHIẾU MỘT PHẦN</x:v>
      </x:c>
      <x:c r="L131" t="str">
        <x:v>CHECK_ONLY; legacy preserved</x:v>
      </x:c>
    </x:row>
    <x:row r="132">
      <x:c r="A132" t="n">
        <x:v>131</x:v>
      </x:c>
      <x:c r="B132" t="str">
        <x:v>HD05.C.NN.NOI_LUU</x:v>
      </x:c>
      <x:c r="C132" t="str">
        <x:v>C</x:v>
      </x:c>
      <x:c r="D132" t="str">
        <x:v>Dòng lưu hồ sơ</x:v>
      </x:c>
      <x:c r="E132" t="str">
        <x:v>9a</x:v>
      </x:c>
      <x:c r="F132" t="n">
        <x:v>13</x:v>
      </x:c>
      <x:c r="G132" t="str">
        <x:v>COVERED</x:v>
      </x:c>
      <x:c r="H132" t="str">
        <x:v>PROFILE_HD05</x:v>
      </x:c>
      <x:c r="I132" t="str">
        <x:v>https://tulieuvankien.dangcongsan.vn/upload/2006988/20260529/HD_05_VPTW_e1550.pdf</x:v>
      </x:c>
      <x:c r="J132" t="str">
        <x:v>DỰ THẢO — CẦN DUYỆT HD05</x:v>
      </x:c>
      <x:c r="K132" t="str">
        <x:v>ĐỐI CHIẾU MỘT PHẦN</x:v>
      </x:c>
      <x:c r="L132" t="str">
        <x:v>CHECK_ONLY; legacy preserved</x:v>
      </x:c>
    </x:row>
    <x:row r="133">
      <x:c r="A133" t="n">
        <x:v>132</x:v>
      </x:c>
      <x:c r="B133" t="str">
        <x:v>HD05.C.KY.QUYEN_HAN</x:v>
      </x:c>
      <x:c r="C133" t="str">
        <x:v>C</x:v>
      </x:c>
      <x:c r="D133" t="str">
        <x:v>Quyền hạn ký</x:v>
      </x:c>
      <x:c r="E133" t="str">
        <x:v>7a</x:v>
      </x:c>
      <x:c r="F133" t="n">
        <x:v>13</x:v>
      </x:c>
      <x:c r="G133" t="str">
        <x:v>COVERED</x:v>
      </x:c>
      <x:c r="H133" t="str">
        <x:v>PROFILE_HD05</x:v>
      </x:c>
      <x:c r="I133" t="str">
        <x:v>https://tulieuvankien.dangcongsan.vn/upload/2006988/20260529/HD_05_VPTW_e1550.pdf</x:v>
      </x:c>
      <x:c r="J133" t="str">
        <x:v>BẢO VỆ NỘI DUNG</x:v>
      </x:c>
      <x:c r="K133" t="str">
        <x:v>ĐỐI CHIẾU MỘT PHẦN</x:v>
      </x:c>
      <x:c r="L133" t="str">
        <x:v>CHECK_ONLY; legacy preserved</x:v>
      </x:c>
    </x:row>
    <x:row r="134">
      <x:c r="A134" t="n">
        <x:v>133</x:v>
      </x:c>
      <x:c r="B134" t="str">
        <x:v>HD05.C.KY.CHUC_VU</x:v>
      </x:c>
      <x:c r="C134" t="str">
        <x:v>C</x:v>
      </x:c>
      <x:c r="D134" t="str">
        <x:v>Chức vụ/chức danh người ký</x:v>
      </x:c>
      <x:c r="E134" t="str">
        <x:v>7a</x:v>
      </x:c>
      <x:c r="F134" t="n">
        <x:v>13</x:v>
      </x:c>
      <x:c r="G134" t="str">
        <x:v>COVERED</x:v>
      </x:c>
      <x:c r="H134" t="str">
        <x:v>PROFILE_HD05</x:v>
      </x:c>
      <x:c r="I134" t="str">
        <x:v>https://tulieuvankien.dangcongsan.vn/upload/2006988/20260529/HD_05_VPTW_e1550.pdf</x:v>
      </x:c>
      <x:c r="J134" t="str">
        <x:v>BẢO VỆ NỘI DUNG</x:v>
      </x:c>
      <x:c r="K134" t="str">
        <x:v>ĐỐI CHIẾU MỘT PHẦN</x:v>
      </x:c>
      <x:c r="L134" t="str">
        <x:v>CHECK_ONLY; legacy preserved</x:v>
      </x:c>
    </x:row>
    <x:row r="135">
      <x:c r="A135" t="n">
        <x:v>134</x:v>
      </x:c>
      <x:c r="B135" t="str">
        <x:v>HD05.C.KY.CHU_KY</x:v>
      </x:c>
      <x:c r="C135" t="str">
        <x:v>C</x:v>
      </x:c>
      <x:c r="D135" t="str">
        <x:v>Vị trí chữ ký của người có thẩm quyền</x:v>
      </x:c>
      <x:c r="E135" t="str">
        <x:v>7c</x:v>
      </x:c>
      <x:c r="F135" t="n">
        <x:v>5</x:v>
      </x:c>
      <x:c r="G135" t="str">
        <x:v>COVERED</x:v>
      </x:c>
      <x:c r="H135" t="str">
        <x:v>PROFILE_HD05</x:v>
      </x:c>
      <x:c r="I135" t="str">
        <x:v>https://tulieuvankien.dangcongsan.vn/upload/2006988/20260529/HD_05_VPTW_e1550.pdf</x:v>
      </x:c>
      <x:c r="J135" t="str">
        <x:v>BẢO VỆ NỘI DUNG</x:v>
      </x:c>
      <x:c r="K135" t="str">
        <x:v>CHƯA ĐỦ BẰNG CHỨNG</x:v>
      </x:c>
      <x:c r="L135" t="str">
        <x:v>CHECK_ONLY; legacy preserved</x:v>
      </x:c>
    </x:row>
    <x:row r="136">
      <x:c r="A136" t="n">
        <x:v>135</x:v>
      </x:c>
      <x:c r="B136" t="str">
        <x:v>HD05.C.KY.HO_TEN</x:v>
      </x:c>
      <x:c r="C136" t="str">
        <x:v>C</x:v>
      </x:c>
      <x:c r="D136" t="str">
        <x:v>Họ tên người ký</x:v>
      </x:c>
      <x:c r="E136" t="str">
        <x:v>7b</x:v>
      </x:c>
      <x:c r="F136" t="n">
        <x:v>13</x:v>
      </x:c>
      <x:c r="G136" t="str">
        <x:v>COVERED</x:v>
      </x:c>
      <x:c r="H136" t="str">
        <x:v>PROFILE_HD05</x:v>
      </x:c>
      <x:c r="I136" t="str">
        <x:v>https://tulieuvankien.dangcongsan.vn/upload/2006988/20260529/HD_05_VPTW_e1550.pdf</x:v>
      </x:c>
      <x:c r="J136" t="str">
        <x:v>BẢO VỆ NỘI DUNG</x:v>
      </x:c>
      <x:c r="K136" t="str">
        <x:v>ĐỐI CHIẾU MỘT PHẦN</x:v>
      </x:c>
      <x:c r="L136" t="str">
        <x:v>CHECK_ONLY; legacy preserved</x:v>
      </x:c>
    </x:row>
    <x:row r="137">
      <x:c r="A137" t="n">
        <x:v>136</x:v>
      </x:c>
      <x:c r="B137" t="str">
        <x:v>HD05.C.KY.KHOI_KY</x:v>
      </x:c>
      <x:c r="C137" t="str">
        <x:v>C</x:v>
      </x:c>
      <x:c r="D137" t="str">
        <x:v>Một khối ký có thể lặp nhiều instance</x:v>
      </x:c>
      <x:c r="E137" t="str">
        <x:v>7a/7b/7c</x:v>
      </x:c>
      <x:c r="F137" t="n">
        <x:v>5</x:v>
      </x:c>
      <x:c r="G137" t="str">
        <x:v>COVERED</x:v>
      </x:c>
      <x:c r="H137" t="str">
        <x:v>PROFILE_HD05</x:v>
      </x:c>
      <x:c r="I137" t="str">
        <x:v>https://tulieuvankien.dangcongsan.vn/upload/2006988/20260529/HD_05_VPTW_e1550.pdf</x:v>
      </x:c>
      <x:c r="J137" t="str">
        <x:v>DỰ THẢO — CẦN DUYỆT HD05</x:v>
      </x:c>
      <x:c r="K137" t="str">
        <x:v>CHƯA ĐỦ BẰNG CHỨNG</x:v>
      </x:c>
      <x:c r="L137" t="str">
        <x:v>CHECK_ONLY; legacy preserved</x:v>
      </x:c>
    </x:row>
    <x:row r="138">
      <x:c r="A138" t="n">
        <x:v>137</x:v>
      </x:c>
      <x:c r="B138" t="str">
        <x:v>HD05.C.DAU.DAU_CO_QUAN</x:v>
      </x:c>
      <x:c r="C138" t="str">
        <x:v>C</x:v>
      </x:c>
      <x:c r="D138" t="str">
        <x:v>Vị trí dấu của cơ quan ban hành</x:v>
      </x:c>
      <x:c r="E138" t="str">
        <x:v>8</x:v>
      </x:c>
      <x:c r="F138" t="n">
        <x:v>5</x:v>
      </x:c>
      <x:c r="G138" t="str">
        <x:v>COVERED</x:v>
      </x:c>
      <x:c r="H138" t="str">
        <x:v>PROFILE_HD05</x:v>
      </x:c>
      <x:c r="I138" t="str">
        <x:v>https://tulieuvankien.dangcongsan.vn/upload/2006988/20260529/HD_05_VPTW_e1550.pdf</x:v>
      </x:c>
      <x:c r="J138" t="str">
        <x:v>BẢO VỆ</x:v>
      </x:c>
      <x:c r="K138" t="str">
        <x:v>CHƯA ĐỦ BẰNG CHỨNG</x:v>
      </x:c>
      <x:c r="L138" t="str">
        <x:v>CHECK_ONLY; legacy preserved</x:v>
      </x:c>
    </x:row>
    <x:row r="139">
      <x:c r="A139" t="n">
        <x:v>138</x:v>
      </x:c>
      <x:c r="B139" t="str">
        <x:v>HD05.C.DAU.CHU_KY_SO</x:v>
      </x:c>
      <x:c r="C139" t="str">
        <x:v>C</x:v>
      </x:c>
      <x:c r="D139" t="str">
        <x:v>Chữ ký số cơ quan trên bản văn bản điện tử</x:v>
      </x:c>
      <x:c r="E139" t="str">
        <x:v>8</x:v>
      </x:c>
      <x:c r="F139" t="n">
        <x:v>5</x:v>
      </x:c>
      <x:c r="G139" t="str">
        <x:v>COVERED</x:v>
      </x:c>
      <x:c r="H139" t="str">
        <x:v>PROFILE_HD05</x:v>
      </x:c>
      <x:c r="I139" t="str">
        <x:v>https://tulieuvankien.dangcongsan.vn/upload/2006988/20260529/HD_05_VPTW_e1550.pdf</x:v>
      </x:c>
      <x:c r="J139" t="str">
        <x:v>BẢO VỆ</x:v>
      </x:c>
      <x:c r="K139" t="str">
        <x:v>CHƯA ĐỦ BẰNG CHỨNG</x:v>
      </x:c>
      <x:c r="L139" t="str">
        <x:v>CHECK_ONLY; legacy preserved</x:v>
      </x:c>
    </x:row>
    <x:row r="140">
      <x:c r="A140" t="n">
        <x:v>139</x:v>
      </x:c>
      <x:c r="B140" t="str">
        <x:v>HD05.G.TRANG.KHO_GIAY</x:v>
      </x:c>
      <x:c r="C140" t="str">
        <x:v>G</x:v>
      </x:c>
      <x:c r="D140" t="str">
        <x:v>Khổ giấy</x:v>
      </x:c>
      <x:c r="E140" t="str">
        <x:v>—</x:v>
      </x:c>
      <x:c r="F140" t="n">
        <x:v>2</x:v>
      </x:c>
      <x:c r="G140" t="str">
        <x:v>COVERED</x:v>
      </x:c>
      <x:c r="H140" t="str">
        <x:v>PROFILE_HD05</x:v>
      </x:c>
      <x:c r="I140" t="str">
        <x:v>https://tulieuvankien.dangcongsan.vn/upload/2006988/20260529/HD_05_VPTW_e1550.pdf</x:v>
      </x:c>
      <x:c r="J140" t="str">
        <x:v>DỰ THẢO — CẦN DUYỆT HD05</x:v>
      </x:c>
      <x:c r="K140" t="str">
        <x:v>ĐỐI CHIẾU MỘT PHẦN</x:v>
      </x:c>
      <x:c r="L140" t="str">
        <x:v>CHECK_ONLY; legacy preserved</x:v>
      </x:c>
    </x:row>
    <x:row r="141">
      <x:c r="A141" t="n">
        <x:v>140</x:v>
      </x:c>
      <x:c r="B141" t="str">
        <x:v>HD05.G.TRANG.HUONG_GIAY</x:v>
      </x:c>
      <x:c r="C141" t="str">
        <x:v>G</x:v>
      </x:c>
      <x:c r="D141" t="str">
        <x:v>Hướng giấy</x:v>
      </x:c>
      <x:c r="E141" t="str">
        <x:v>—</x:v>
      </x:c>
      <x:c r="F141" t="n">
        <x:v>2</x:v>
      </x:c>
      <x:c r="G141" t="str">
        <x:v>COVERED</x:v>
      </x:c>
      <x:c r="H141" t="str">
        <x:v>PROFILE_HD05</x:v>
      </x:c>
      <x:c r="I141" t="str">
        <x:v>https://tulieuvankien.dangcongsan.vn/upload/2006988/20260529/HD_05_VPTW_e1550.pdf</x:v>
      </x:c>
      <x:c r="J141" t="str">
        <x:v>DỰ THẢO — CẦN DUYỆT HD05</x:v>
      </x:c>
      <x:c r="K141" t="str">
        <x:v>CHƯA ĐỦ BẰNG CHỨNG</x:v>
      </x:c>
      <x:c r="L141" t="str">
        <x:v>CHECK_ONLY; legacy preserved</x:v>
      </x:c>
    </x:row>
    <x:row r="142">
      <x:c r="A142" t="n">
        <x:v>141</x:v>
      </x:c>
      <x:c r="B142" t="str">
        <x:v>HD05.G.TRANG.LE_TRANG</x:v>
      </x:c>
      <x:c r="C142" t="str">
        <x:v>G</x:v>
      </x:c>
      <x:c r="D142" t="str">
        <x:v>Lề trang</x:v>
      </x:c>
      <x:c r="E142" t="str">
        <x:v>—</x:v>
      </x:c>
      <x:c r="F142" t="n">
        <x:v>5</x:v>
      </x:c>
      <x:c r="G142" t="str">
        <x:v>COVERED</x:v>
      </x:c>
      <x:c r="H142" t="str">
        <x:v>PROFILE_HD05</x:v>
      </x:c>
      <x:c r="I142" t="str">
        <x:v>https://tulieuvankien.dangcongsan.vn/upload/2006988/20260529/HD_05_VPTW_e1550.pdf</x:v>
      </x:c>
      <x:c r="J142" t="str">
        <x:v>DỰ THẢO — CẦN DUYỆT HD05</x:v>
      </x:c>
      <x:c r="K142" t="str">
        <x:v>ĐỐI CHIẾU MỘT PHẦN</x:v>
      </x:c>
      <x:c r="L142" t="str">
        <x:v>CHECK_ONLY; legacy preserved</x:v>
      </x:c>
    </x:row>
    <x:row r="143">
      <x:c r="A143" t="n">
        <x:v>142</x:v>
      </x:c>
      <x:c r="B143" t="str">
        <x:v>HD05.G.CHU.PHONG</x:v>
      </x:c>
      <x:c r="C143" t="str">
        <x:v>G</x:v>
      </x:c>
      <x:c r="D143" t="str">
        <x:v>Phông chữ</x:v>
      </x:c>
      <x:c r="E143" t="str">
        <x:v>—</x:v>
      </x:c>
      <x:c r="F143" t="n">
        <x:v>3</x:v>
      </x:c>
      <x:c r="G143" t="str">
        <x:v>COVERED</x:v>
      </x:c>
      <x:c r="H143" t="str">
        <x:v>PROFILE_HD05</x:v>
      </x:c>
      <x:c r="I143" t="str">
        <x:v>https://tulieuvankien.dangcongsan.vn/upload/2006988/20260529/HD_05_VPTW_e1550.pdf</x:v>
      </x:c>
      <x:c r="J143" t="str">
        <x:v>DỰ THẢO — CẦN DUYỆT HD05</x:v>
      </x:c>
      <x:c r="K143" t="str">
        <x:v>ĐỐI CHIẾU MỘT PHẦN</x:v>
      </x:c>
      <x:c r="L143" t="str">
        <x:v>CHECK_ONLY; legacy preserved</x:v>
      </x:c>
    </x:row>
    <x:row r="144">
      <x:c r="A144" t="n">
        <x:v>143</x:v>
      </x:c>
      <x:c r="B144" t="str">
        <x:v>HD05.G.CHU.CO_CHU</x:v>
      </x:c>
      <x:c r="C144" t="str">
        <x:v>G</x:v>
      </x:c>
      <x:c r="D144" t="str">
        <x:v>Cỡ chữ</x:v>
      </x:c>
      <x:c r="E144" t="str">
        <x:v>—</x:v>
      </x:c>
      <x:c r="F144" t="n">
        <x:v>2</x:v>
      </x:c>
      <x:c r="G144" t="str">
        <x:v>COVERED</x:v>
      </x:c>
      <x:c r="H144" t="str">
        <x:v>PROFILE_HD05</x:v>
      </x:c>
      <x:c r="I144" t="str">
        <x:v>https://tulieuvankien.dangcongsan.vn/upload/2006988/20260529/HD_05_VPTW_e1550.pdf</x:v>
      </x:c>
      <x:c r="J144" t="str">
        <x:v>DỰ THẢO — CẦN DUYỆT HD05</x:v>
      </x:c>
      <x:c r="K144" t="str">
        <x:v>ĐỐI CHIẾU MỘT PHẦN</x:v>
      </x:c>
      <x:c r="L144" t="str">
        <x:v>CHECK_ONLY; legacy preserved</x:v>
      </x:c>
    </x:row>
    <x:row r="145">
      <x:c r="A145" t="n">
        <x:v>144</x:v>
      </x:c>
      <x:c r="B145" t="str">
        <x:v>HD05.G.CHU.KIEU_CHU</x:v>
      </x:c>
      <x:c r="C145" t="str">
        <x:v>G</x:v>
      </x:c>
      <x:c r="D145" t="str">
        <x:v>Kiểu chữ</x:v>
      </x:c>
      <x:c r="E145" t="str">
        <x:v>—</x:v>
      </x:c>
      <x:c r="F145" t="n">
        <x:v>2</x:v>
      </x:c>
      <x:c r="G145" t="str">
        <x:v>COVERED</x:v>
      </x:c>
      <x:c r="H145" t="str">
        <x:v>PROFILE_HD05</x:v>
      </x:c>
      <x:c r="I145" t="str">
        <x:v>https://tulieuvankien.dangcongsan.vn/upload/2006988/20260529/HD_05_VPTW_e1550.pdf</x:v>
      </x:c>
      <x:c r="J145" t="str">
        <x:v>DỰ THẢO — CẦN DUYỆT HD05</x:v>
      </x:c>
      <x:c r="K145" t="str">
        <x:v>ĐỐI CHIẾU MỘT PHẦN</x:v>
      </x:c>
      <x:c r="L145" t="str">
        <x:v>CHECK_ONLY; legacy preserved</x:v>
      </x:c>
    </x:row>
    <x:row r="146">
      <x:c r="A146" t="n">
        <x:v>145</x:v>
      </x:c>
      <x:c r="B146" t="str">
        <x:v>HD05.G.DOAN.CAN_LE</x:v>
      </x:c>
      <x:c r="C146" t="str">
        <x:v>G</x:v>
      </x:c>
      <x:c r="D146" t="str">
        <x:v>Căn lề</x:v>
      </x:c>
      <x:c r="E146" t="str">
        <x:v>—</x:v>
      </x:c>
      <x:c r="F146" t="n">
        <x:v>2</x:v>
      </x:c>
      <x:c r="G146" t="str">
        <x:v>COVERED</x:v>
      </x:c>
      <x:c r="H146" t="str">
        <x:v>PROFILE_HD05</x:v>
      </x:c>
      <x:c r="I146" t="str">
        <x:v>https://tulieuvankien.dangcongsan.vn/upload/2006988/20260529/HD_05_VPTW_e1550.pdf</x:v>
      </x:c>
      <x:c r="J146" t="str">
        <x:v>DỰ THẢO — CẦN DUYỆT HD05</x:v>
      </x:c>
      <x:c r="K146" t="str">
        <x:v>ĐỐI CHIẾU MỘT PHẦN</x:v>
      </x:c>
      <x:c r="L146" t="str">
        <x:v>CHECK_ONLY; legacy preserved</x:v>
      </x:c>
    </x:row>
    <x:row r="147">
      <x:c r="A147" t="n">
        <x:v>146</x:v>
      </x:c>
      <x:c r="B147" t="str">
        <x:v>HD05.G.DOAN.GIUA_DONG</x:v>
      </x:c>
      <x:c r="C147" t="str">
        <x:v>G</x:v>
      </x:c>
      <x:c r="D147" t="str">
        <x:v>Khoảng cách dòng</x:v>
      </x:c>
      <x:c r="E147" t="str">
        <x:v>—</x:v>
      </x:c>
      <x:c r="F147" t="n">
        <x:v>2</x:v>
      </x:c>
      <x:c r="G147" t="str">
        <x:v>COVERED</x:v>
      </x:c>
      <x:c r="H147" t="str">
        <x:v>PROFILE_HD05</x:v>
      </x:c>
      <x:c r="I147" t="str">
        <x:v>https://tulieuvankien.dangcongsan.vn/upload/2006988/20260529/HD_05_VPTW_e1550.pdf</x:v>
      </x:c>
      <x:c r="J147" t="str">
        <x:v>DỰ THẢO — CẦN DUYỆT HD05</x:v>
      </x:c>
      <x:c r="K147" t="str">
        <x:v>ĐỐI CHIẾU MỘT PHẦN</x:v>
      </x:c>
      <x:c r="L147" t="str">
        <x:v>CHECK_ONLY; legacy preserved</x:v>
      </x:c>
    </x:row>
    <x:row r="148">
      <x:c r="A148" t="n">
        <x:v>147</x:v>
      </x:c>
      <x:c r="B148" t="str">
        <x:v>HD05.G.DOAN.GIUA_DOAN</x:v>
      </x:c>
      <x:c r="C148" t="str">
        <x:v>G</x:v>
      </x:c>
      <x:c r="D148" t="str">
        <x:v>Khoảng cách đoạn</x:v>
      </x:c>
      <x:c r="E148" t="str">
        <x:v>—</x:v>
      </x:c>
      <x:c r="F148" t="n">
        <x:v>3</x:v>
      </x:c>
      <x:c r="G148" t="str">
        <x:v>COVERED</x:v>
      </x:c>
      <x:c r="H148" t="str">
        <x:v>PROFILE_HD05</x:v>
      </x:c>
      <x:c r="I148" t="str">
        <x:v>https://tulieuvankien.dangcongsan.vn/upload/2006988/20260529/HD_05_VPTW_e1550.pdf</x:v>
      </x:c>
      <x:c r="J148" t="str">
        <x:v>DỰ THẢO — CẦN DUYỆT HD05</x:v>
      </x:c>
      <x:c r="K148" t="str">
        <x:v>ĐỐI CHIẾU MỘT PHẦN</x:v>
      </x:c>
      <x:c r="L148" t="str">
        <x:v>CHECK_ONLY; legacy preserved</x:v>
      </x:c>
    </x:row>
    <x:row r="149">
      <x:c r="A149" t="n">
        <x:v>148</x:v>
      </x:c>
      <x:c r="B149" t="str">
        <x:v>HD05.G.DOAN.THUT_DONG</x:v>
      </x:c>
      <x:c r="C149" t="str">
        <x:v>G</x:v>
      </x:c>
      <x:c r="D149" t="str">
        <x:v>Thụt đầu dòng</x:v>
      </x:c>
      <x:c r="E149" t="str">
        <x:v>—</x:v>
      </x:c>
      <x:c r="F149" t="n">
        <x:v>2</x:v>
      </x:c>
      <x:c r="G149" t="str">
        <x:v>COVERED</x:v>
      </x:c>
      <x:c r="H149" t="str">
        <x:v>PROFILE_HD05</x:v>
      </x:c>
      <x:c r="I149" t="str">
        <x:v>https://tulieuvankien.dangcongsan.vn/upload/2006988/20260529/HD_05_VPTW_e1550.pdf</x:v>
      </x:c>
      <x:c r="J149" t="str">
        <x:v>DỰ THẢO — CẦN DUYỆT HD05</x:v>
      </x:c>
      <x:c r="K149" t="str">
        <x:v>ĐỐI CHIẾU MỘT PHẦN</x:v>
      </x:c>
      <x:c r="L149" t="str">
        <x:v>CHECK_ONLY; legacy preserved</x:v>
      </x:c>
    </x:row>
    <x:row r="150">
      <x:c r="A150" t="n">
        <x:v>149</x:v>
      </x:c>
      <x:c r="B150" t="str">
        <x:v>HD05.G.PHAN_TRANG.SECTION</x:v>
      </x:c>
      <x:c r="C150" t="str">
        <x:v>G</x:v>
      </x:c>
      <x:c r="D150" t="str">
        <x:v>Section</x:v>
      </x:c>
      <x:c r="E150" t="str">
        <x:v>—</x:v>
      </x:c>
      <x:c r="F150" t="n">
        <x:v>2</x:v>
      </x:c>
      <x:c r="G150" t="str">
        <x:v>COVERED</x:v>
      </x:c>
      <x:c r="H150" t="str">
        <x:v>PROFILE_HD05</x:v>
      </x:c>
      <x:c r="I150" t="str">
        <x:v>https://tulieuvankien.dangcongsan.vn/upload/2006988/20260529/HD_05_VPTW_e1550.pdf</x:v>
      </x:c>
      <x:c r="J150" t="str">
        <x:v>CẦN QA RENDER</x:v>
      </x:c>
      <x:c r="K150" t="str">
        <x:v>CẦN QA KỸ THUẬT</x:v>
      </x:c>
      <x:c r="L150" t="str">
        <x:v>CHECK_ONLY; legacy preserved</x:v>
      </x:c>
    </x:row>
    <x:row r="151">
      <x:c r="A151" t="n">
        <x:v>150</x:v>
      </x:c>
      <x:c r="B151" t="str">
        <x:v>HD05.G.PHAN_TRANG.NGAT_TRANG</x:v>
      </x:c>
      <x:c r="C151" t="str">
        <x:v>G</x:v>
      </x:c>
      <x:c r="D151" t="str">
        <x:v>Ngắt trang</x:v>
      </x:c>
      <x:c r="E151" t="str">
        <x:v>—</x:v>
      </x:c>
      <x:c r="F151" t="n">
        <x:v>2</x:v>
      </x:c>
      <x:c r="G151" t="str">
        <x:v>COVERED</x:v>
      </x:c>
      <x:c r="H151" t="str">
        <x:v>PROFILE_HD05</x:v>
      </x:c>
      <x:c r="I151" t="str">
        <x:v>https://tulieuvankien.dangcongsan.vn/upload/2006988/20260529/HD_05_VPTW_e1550.pdf</x:v>
      </x:c>
      <x:c r="J151" t="str">
        <x:v>CẦN QA RENDER</x:v>
      </x:c>
      <x:c r="K151" t="str">
        <x:v>CẦN QA KỸ THUẬT</x:v>
      </x:c>
      <x:c r="L151" t="str">
        <x:v>CHECK_ONLY; legacy preserved</x:v>
      </x:c>
    </x:row>
    <x:row r="152">
      <x:c r="A152" t="n">
        <x:v>151</x:v>
      </x:c>
      <x:c r="B152" t="str">
        <x:v>HD05.G.PHAN_TRANG.KEEP_WITH_NEXT</x:v>
      </x:c>
      <x:c r="C152" t="str">
        <x:v>G</x:v>
      </x:c>
      <x:c r="D152" t="str">
        <x:v>Giữ cùng đoạn tiếp</x:v>
      </x:c>
      <x:c r="E152" t="str">
        <x:v>—</x:v>
      </x:c>
      <x:c r="F152" t="n">
        <x:v>2</x:v>
      </x:c>
      <x:c r="G152" t="str">
        <x:v>COVERED</x:v>
      </x:c>
      <x:c r="H152" t="str">
        <x:v>PROFILE_HD05</x:v>
      </x:c>
      <x:c r="I152" t="str">
        <x:v>https://tulieuvankien.dangcongsan.vn/upload/2006988/20260529/HD_05_VPTW_e1550.pdf</x:v>
      </x:c>
      <x:c r="J152" t="str">
        <x:v>DỰ THẢO — CẦN DUYỆT HD05</x:v>
      </x:c>
      <x:c r="K152" t="str">
        <x:v>CẦN QA KỸ THUẬT</x:v>
      </x:c>
      <x:c r="L152" t="str">
        <x:v>CHECK_ONLY; legacy preserved</x:v>
      </x:c>
    </x:row>
    <x:row r="153">
      <x:c r="A153" t="n">
        <x:v>152</x:v>
      </x:c>
      <x:c r="B153" t="str">
        <x:v>HD05.G.SO_TRANG.VI_TRI</x:v>
      </x:c>
      <x:c r="C153" t="str">
        <x:v>G</x:v>
      </x:c>
      <x:c r="D153" t="str">
        <x:v>Vị trí số trang</x:v>
      </x:c>
      <x:c r="E153" t="str">
        <x:v>—</x:v>
      </x:c>
      <x:c r="F153" t="n">
        <x:v>3</x:v>
      </x:c>
      <x:c r="G153" t="str">
        <x:v>COVERED</x:v>
      </x:c>
      <x:c r="H153" t="str">
        <x:v>PROFILE_HD05</x:v>
      </x:c>
      <x:c r="I153" t="str">
        <x:v>https://tulieuvankien.dangcongsan.vn/upload/2006988/20260529/HD_05_VPTW_e1550.pdf</x:v>
      </x:c>
      <x:c r="J153" t="str">
        <x:v>DỰ THẢO — CẦN DUYỆT HD05</x:v>
      </x:c>
      <x:c r="K153" t="str">
        <x:v>ĐỐI CHIẾU MỘT PHẦN</x:v>
      </x:c>
      <x:c r="L153" t="str">
        <x:v>CHECK_ONLY; legacy preserved</x:v>
      </x:c>
    </x:row>
    <x:row r="154">
      <x:c r="A154" t="n">
        <x:v>153</x:v>
      </x:c>
      <x:c r="B154" t="str">
        <x:v>HD05.G.SO_TRANG.DINH_DANG</x:v>
      </x:c>
      <x:c r="C154" t="str">
        <x:v>G</x:v>
      </x:c>
      <x:c r="D154" t="str">
        <x:v>Định dạng số trang</x:v>
      </x:c>
      <x:c r="E154" t="str">
        <x:v>—</x:v>
      </x:c>
      <x:c r="F154" t="n">
        <x:v>3</x:v>
      </x:c>
      <x:c r="G154" t="str">
        <x:v>COVERED</x:v>
      </x:c>
      <x:c r="H154" t="str">
        <x:v>PROFILE_HD05</x:v>
      </x:c>
      <x:c r="I154" t="str">
        <x:v>https://tulieuvankien.dangcongsan.vn/upload/2006988/20260529/HD_05_VPTW_e1550.pdf</x:v>
      </x:c>
      <x:c r="J154" t="str">
        <x:v>DỰ THẢO — CẦN DUYỆT HD05</x:v>
      </x:c>
      <x:c r="K154" t="str">
        <x:v>ĐỐI CHIẾU MỘT PHẦN</x:v>
      </x:c>
      <x:c r="L154" t="str">
        <x:v>CHECK_ONLY; legacy preserved</x:v>
      </x:c>
    </x:row>
    <x:row r="155">
      <x:c r="A155" t="n">
        <x:v>154</x:v>
      </x:c>
      <x:c r="B155" t="str">
        <x:v>HD05.G.IN.HAI_MAT</x:v>
      </x:c>
      <x:c r="C155" t="str">
        <x:v>G</x:v>
      </x:c>
      <x:c r="D155" t="str">
        <x:v>In hai mặt/đối xứng lề theo HD05</x:v>
      </x:c>
      <x:c r="E155" t="str">
        <x:v>—</x:v>
      </x:c>
      <x:c r="F155" t="n">
        <x:v>4</x:v>
      </x:c>
      <x:c r="G155" t="str">
        <x:v>COVERED</x:v>
      </x:c>
      <x:c r="H155" t="str">
        <x:v>PROFILE_HD05</x:v>
      </x:c>
      <x:c r="I155" t="str">
        <x:v>https://tulieuvankien.dangcongsan.vn/upload/2006988/20260529/HD_05_VPTW_e1550.pdf</x:v>
      </x:c>
      <x:c r="J155" t="str">
        <x:v>DỰ THẢO — CẦN DUYỆT HD05</x:v>
      </x:c>
      <x:c r="K155" t="str">
        <x:v>ĐỐI CHIẾU MỘT PHẦN</x:v>
      </x:c>
      <x:c r="L155" t="str">
        <x:v>CHECK_ONLY; legacy preserved</x:v>
      </x:c>
    </x:row>
    <x:row r="156">
      <x:c r="A156" t="n">
        <x:v>155</x:v>
      </x:c>
      <x:c r="B156" t="str">
        <x:v>HD05.X.MAT.MUC_DO</x:v>
      </x:c>
      <x:c r="C156" t="str">
        <x:v>X</x:v>
      </x:c>
      <x:c r="D156" t="str">
        <x:v>Mức độ mật theo quy định bảo vệ bí mật có liên quan</x:v>
      </x:c>
      <x:c r="E156" t="str">
        <x:v>—</x:v>
      </x:c>
      <x:c r="F156" t="n">
        <x:v>8</x:v>
      </x:c>
      <x:c r="G156" t="str">
        <x:v>COVERED</x:v>
      </x:c>
      <x:c r="H156" t="str">
        <x:v>PROFILE_HD05</x:v>
      </x:c>
      <x:c r="I156" t="str">
        <x:v>https://tulieuvankien.dangcongsan.vn/upload/2006988/20260529/HD_05_VPTW_e1550.pdf</x:v>
      </x:c>
      <x:c r="J156" t="str">
        <x:v>BẢO VỆ</x:v>
      </x:c>
      <x:c r="K156" t="str">
        <x:v>CHƯA ĐỦ BẰNG CHỨNG</x:v>
      </x:c>
      <x:c r="L156" t="str">
        <x:v>CHECK_ONLY; legacy preserved</x:v>
      </x:c>
    </x:row>
    <x:row r="157">
      <x:c r="A157" t="n">
        <x:v>156</x:v>
      </x:c>
      <x:c r="B157" t="str">
        <x:v>HD05.X.KHAN.MUC_DO</x:v>
      </x:c>
      <x:c r="C157" t="str">
        <x:v>X</x:v>
      </x:c>
      <x:c r="D157" t="str">
        <x:v>Mức độ khẩn</x:v>
      </x:c>
      <x:c r="E157" t="str">
        <x:v>10</x:v>
      </x:c>
      <x:c r="F157" t="n">
        <x:v>8</x:v>
      </x:c>
      <x:c r="G157" t="str">
        <x:v>COVERED</x:v>
      </x:c>
      <x:c r="H157" t="str">
        <x:v>PROFILE_HD05</x:v>
      </x:c>
      <x:c r="I157" t="str">
        <x:v>https://tulieuvankien.dangcongsan.vn/upload/2006988/20260529/HD_05_VPTW_e1550.pdf</x:v>
      </x:c>
      <x:c r="J157" t="str">
        <x:v>BẢO VỆ</x:v>
      </x:c>
      <x:c r="K157" t="str">
        <x:v>CHƯA ĐỦ BẰNG CHỨNG</x:v>
      </x:c>
      <x:c r="L157" t="str">
        <x:v>CHECK_ONLY; legacy preserved</x:v>
      </x:c>
    </x:row>
    <x:row r="158">
      <x:c r="A158" t="n">
        <x:v>157</x:v>
      </x:c>
      <x:c r="B158" t="str">
        <x:v>HD05.X.LUU_HANH.CHI_DAN</x:v>
      </x:c>
      <x:c r="C158" t="str">
        <x:v>X</x:v>
      </x:c>
      <x:c r="D158" t="str">
        <x:v>Chỉ dẫn phạm vi lưu hành, phổ biến</x:v>
      </x:c>
      <x:c r="E158" t="str">
        <x:v>11a</x:v>
      </x:c>
      <x:c r="F158" t="n">
        <x:v>6</x:v>
      </x:c>
      <x:c r="G158" t="str">
        <x:v>COVERED</x:v>
      </x:c>
      <x:c r="H158" t="str">
        <x:v>PROFILE_HD05</x:v>
      </x:c>
      <x:c r="I158" t="str">
        <x:v>https://tulieuvankien.dangcongsan.vn/upload/2006988/20260529/HD_05_VPTW_e1550.pdf</x:v>
      </x:c>
      <x:c r="J158" t="str">
        <x:v>DỰ THẢO — CẦN DUYỆT HD05</x:v>
      </x:c>
      <x:c r="K158" t="str">
        <x:v>CHƯA ĐỦ BẰNG CHỨNG</x:v>
      </x:c>
      <x:c r="L158" t="str">
        <x:v>CHECK_ONLY; legacy preserved</x:v>
      </x:c>
    </x:row>
    <x:row r="159">
      <x:c r="A159" t="n">
        <x:v>158</x:v>
      </x:c>
      <x:c r="B159" t="str">
        <x:v>HD05.X.DU_THAO.CHI_DAN</x:v>
      </x:c>
      <x:c r="C159" t="str">
        <x:v>X</x:v>
      </x:c>
      <x:c r="D159" t="str">
        <x:v>Chỉ dẫn dự thảo, lần dự thảo</x:v>
      </x:c>
      <x:c r="E159" t="str">
        <x:v>11b</x:v>
      </x:c>
      <x:c r="F159" t="n">
        <x:v>6</x:v>
      </x:c>
      <x:c r="G159" t="str">
        <x:v>COVERED</x:v>
      </x:c>
      <x:c r="H159" t="str">
        <x:v>PROFILE_HD05</x:v>
      </x:c>
      <x:c r="I159" t="str">
        <x:v>https://tulieuvankien.dangcongsan.vn/upload/2006988/20260529/HD_05_VPTW_e1550.pdf</x:v>
      </x:c>
      <x:c r="J159" t="str">
        <x:v>DỰ THẢO — CẦN DUYỆT HD05</x:v>
      </x:c>
      <x:c r="K159" t="str">
        <x:v>CHƯA ĐỦ BẰNG CHỨNG</x:v>
      </x:c>
      <x:c r="L159" t="str">
        <x:v>CHECK_ONLY; legacy preserved</x:v>
      </x:c>
    </x:row>
    <x:row r="160">
      <x:c r="A160" t="n">
        <x:v>159</x:v>
      </x:c>
      <x:c r="B160" t="str">
        <x:v>HD05.X.SOAN.KY_HIEU_NGUOI_SOAN</x:v>
      </x:c>
      <x:c r="C160" t="str">
        <x:v>X</x:v>
      </x:c>
      <x:c r="D160" t="str">
        <x:v>Ký hiệu người soạn</x:v>
      </x:c>
      <x:c r="E160" t="str">
        <x:v>12</x:v>
      </x:c>
      <x:c r="F160" t="n">
        <x:v>4</x:v>
      </x:c>
      <x:c r="G160" t="str">
        <x:v>COVERED</x:v>
      </x:c>
      <x:c r="H160" t="str">
        <x:v>PROFILE_HD05</x:v>
      </x:c>
      <x:c r="I160" t="str">
        <x:v>https://tulieuvankien.dangcongsan.vn/upload/2006988/20260529/HD_05_VPTW_e1550.pdf</x:v>
      </x:c>
      <x:c r="J160" t="str">
        <x:v>DỰ THẢO — CẦN DUYỆT HD05</x:v>
      </x:c>
      <x:c r="K160" t="str">
        <x:v>CHƯA ĐỦ BẰNG CHỨNG</x:v>
      </x:c>
      <x:c r="L160" t="str">
        <x:v>CHECK_ONLY; legacy preserved</x:v>
      </x:c>
    </x:row>
    <x:row r="161">
      <x:c r="A161" t="n">
        <x:v>160</x:v>
      </x:c>
      <x:c r="B161" t="str">
        <x:v>HD05.X.SOAN.SO_BAN</x:v>
      </x:c>
      <x:c r="C161" t="str">
        <x:v>X</x:v>
      </x:c>
      <x:c r="D161" t="str">
        <x:v>Số lượng bản phát hành</x:v>
      </x:c>
      <x:c r="E161" t="str">
        <x:v>12</x:v>
      </x:c>
      <x:c r="F161" t="n">
        <x:v>4</x:v>
      </x:c>
      <x:c r="G161" t="str">
        <x:v>COVERED</x:v>
      </x:c>
      <x:c r="H161" t="str">
        <x:v>PROFILE_HD05</x:v>
      </x:c>
      <x:c r="I161" t="str">
        <x:v>https://tulieuvankien.dangcongsan.vn/upload/2006988/20260529/HD_05_VPTW_e1550.pdf</x:v>
      </x:c>
      <x:c r="J161" t="str">
        <x:v>DỰ THẢO — CẦN DUYỆT HD05</x:v>
      </x:c>
      <x:c r="K161" t="str">
        <x:v>CHƯA ĐỦ BẰNG CHỨNG</x:v>
      </x:c>
      <x:c r="L161" t="str">
        <x:v>CHECK_ONLY; legacy preserved</x:v>
      </x:c>
    </x:row>
    <x:row r="162">
      <x:c r="A162" t="n">
        <x:v>161</x:v>
      </x:c>
      <x:c r="B162" t="str">
        <x:v>HD05.X.LIEN_HE.DIA_CHI</x:v>
      </x:c>
      <x:c r="C162" t="str">
        <x:v>X</x:v>
      </x:c>
      <x:c r="D162" t="str">
        <x:v>Địa chỉ</x:v>
      </x:c>
      <x:c r="E162" t="str">
        <x:v>13</x:v>
      </x:c>
      <x:c r="F162" t="n">
        <x:v>4</x:v>
      </x:c>
      <x:c r="G162" t="str">
        <x:v>COVERED</x:v>
      </x:c>
      <x:c r="H162" t="str">
        <x:v>PROFILE_HD05</x:v>
      </x:c>
      <x:c r="I162" t="str">
        <x:v>https://tulieuvankien.dangcongsan.vn/upload/2006988/20260529/HD_05_VPTW_e1550.pdf</x:v>
      </x:c>
      <x:c r="J162" t="str">
        <x:v>PROFILE_CHOT_THEO_TRAO_DOI</x:v>
      </x:c>
      <x:c r="K162" t="str">
        <x:v>CHƯA ĐỦ BẰNG CHỨNG</x:v>
      </x:c>
      <x:c r="L162" t="str">
        <x:v>CHECK_ONLY; legacy preserved</x:v>
      </x:c>
    </x:row>
    <x:row r="163">
      <x:c r="A163" t="n">
        <x:v>162</x:v>
      </x:c>
      <x:c r="B163" t="str">
        <x:v>HD05.X.LIEN_HE.EMAIL</x:v>
      </x:c>
      <x:c r="C163" t="str">
        <x:v>X</x:v>
      </x:c>
      <x:c r="D163" t="str">
        <x:v>Email</x:v>
      </x:c>
      <x:c r="E163" t="str">
        <x:v>13</x:v>
      </x:c>
      <x:c r="F163" t="n">
        <x:v>4</x:v>
      </x:c>
      <x:c r="G163" t="str">
        <x:v>COVERED</x:v>
      </x:c>
      <x:c r="H163" t="str">
        <x:v>PROFILE_HD05</x:v>
      </x:c>
      <x:c r="I163" t="str">
        <x:v>https://tulieuvankien.dangcongsan.vn/upload/2006988/20260529/HD_05_VPTW_e1550.pdf</x:v>
      </x:c>
      <x:c r="J163" t="str">
        <x:v>PROFILE_CHOT_THEO_TRAO_DOI</x:v>
      </x:c>
      <x:c r="K163" t="str">
        <x:v>CHƯA ĐỦ BẰNG CHỨNG</x:v>
      </x:c>
      <x:c r="L163" t="str">
        <x:v>CHECK_ONLY; legacy preserved</x:v>
      </x:c>
    </x:row>
    <x:row r="164">
      <x:c r="A164" t="n">
        <x:v>163</x:v>
      </x:c>
      <x:c r="B164" t="str">
        <x:v>HD05.X.LIEN_HE.DIEN_THOAI</x:v>
      </x:c>
      <x:c r="C164" t="str">
        <x:v>X</x:v>
      </x:c>
      <x:c r="D164" t="str">
        <x:v>Điện thoại</x:v>
      </x:c>
      <x:c r="E164" t="str">
        <x:v>13</x:v>
      </x:c>
      <x:c r="F164" t="n">
        <x:v>4</x:v>
      </x:c>
      <x:c r="G164" t="str">
        <x:v>COVERED</x:v>
      </x:c>
      <x:c r="H164" t="str">
        <x:v>PROFILE_HD05</x:v>
      </x:c>
      <x:c r="I164" t="str">
        <x:v>https://tulieuvankien.dangcongsan.vn/upload/2006988/20260529/HD_05_VPTW_e1550.pdf</x:v>
      </x:c>
      <x:c r="J164" t="str">
        <x:v>PROFILE_CHOT_THEO_TRAO_DOI</x:v>
      </x:c>
      <x:c r="K164" t="str">
        <x:v>CHƯA ĐỦ BẰNG CHỨNG</x:v>
      </x:c>
      <x:c r="L164" t="str">
        <x:v>CHECK_ONLY; legacy preserved</x:v>
      </x:c>
    </x:row>
    <x:row r="165">
      <x:c r="A165" t="n">
        <x:v>164</x:v>
      </x:c>
      <x:c r="B165" t="str">
        <x:v>HD05.X.LIEN_HE.WEB</x:v>
      </x:c>
      <x:c r="C165" t="str">
        <x:v>X</x:v>
      </x:c>
      <x:c r="D165" t="str">
        <x:v>Website</x:v>
      </x:c>
      <x:c r="E165" t="str">
        <x:v>13</x:v>
      </x:c>
      <x:c r="F165" t="n">
        <x:v>4</x:v>
      </x:c>
      <x:c r="G165" t="str">
        <x:v>COVERED</x:v>
      </x:c>
      <x:c r="H165" t="str">
        <x:v>PROFILE_HD05</x:v>
      </x:c>
      <x:c r="I165" t="str">
        <x:v>https://tulieuvankien.dangcongsan.vn/upload/2006988/20260529/HD_05_VPTW_e1550.pdf</x:v>
      </x:c>
      <x:c r="J165" t="str">
        <x:v>PROFILE_CHOT_THEO_TRAO_DOI</x:v>
      </x:c>
      <x:c r="K165" t="str">
        <x:v>CHƯA ĐỦ BẰNG CHỨNG</x:v>
      </x:c>
      <x:c r="L165" t="str">
        <x:v>CHECK_ONLY; legacy preserved</x:v>
      </x:c>
    </x:row>
    <x:row r="166">
      <x:c r="A166" t="n">
        <x:v>165</x:v>
      </x:c>
      <x:c r="B166" t="str">
        <x:v>HD05.X.LIEN_HE.FAX</x:v>
      </x:c>
      <x:c r="C166" t="str">
        <x:v>X</x:v>
      </x:c>
      <x:c r="D166" t="str">
        <x:v>Số fax</x:v>
      </x:c>
      <x:c r="E166" t="str">
        <x:v>13</x:v>
      </x:c>
      <x:c r="F166" t="n">
        <x:v>4</x:v>
      </x:c>
      <x:c r="G166" t="str">
        <x:v>COVERED</x:v>
      </x:c>
      <x:c r="H166" t="str">
        <x:v>PROFILE_HD05</x:v>
      </x:c>
      <x:c r="I166" t="str">
        <x:v>https://tulieuvankien.dangcongsan.vn/upload/2006988/20260529/HD_05_VPTW_e1550.pdf</x:v>
      </x:c>
      <x:c r="J166" t="str">
        <x:v>PROFILE_CHOT_THEO_TRAO_DOI</x:v>
      </x:c>
      <x:c r="K166" t="str">
        <x:v>CHƯA ĐỦ BẰNG CHỨNG</x:v>
      </x:c>
      <x:c r="L166" t="str">
        <x:v>CHECK_ONLY; legacy preserved</x:v>
      </x:c>
    </x:row>
  </x:sheetData>
  <x:pageMargins left="0.7" right="0.7" top="0.75" bottom="0.75" header="0.3" footer="0.3"/>
</x:worksheet>
</file>

<file path=xl/worksheets/sheet3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37" hidden="0" customWidth="1"/>
    <x:col min="3" max="3" width="17" hidden="0" customWidth="1"/>
    <x:col min="4" max="4" width="55" hidden="0" customWidth="1"/>
    <x:col min="5" max="5" width="62" hidden="0" customWidth="1"/>
  </x:cols>
  <x:sheetData>
    <x:row r="1" ht="28" customHeight="1">
      <x:c r="A1" s="305" t="str">
        <x:v>Mã blocker</x:v>
      </x:c>
      <x:c r="B1" s="305" t="str">
        <x:v>Phạm vi mã</x:v>
      </x:c>
      <x:c r="C1" s="305" t="str">
        <x:v>Gate</x:v>
      </x:c>
      <x:c r="D1" s="305" t="str">
        <x:v>Lý do</x:v>
      </x:c>
      <x:c r="E1" s="305" t="str">
        <x:v>Bằng chứng / quyết định còn thiếu</x:v>
      </x:c>
    </x:row>
    <x:row r="2">
      <x:c r="A2" t="str">
        <x:v>B01</x:v>
      </x:c>
      <x:c r="B2" t="str">
        <x:v>HD05.N.BANG.O.CO_CHU / DAU_BANG.CO_CHU</x:v>
      </x:c>
      <x:c r="C2" t="str">
        <x:v>UNVERIFIED</x:v>
      </x:c>
      <x:c r="D2" t="str">
        <x:v>User-chosen 13 pt but HD05 Appendix 2 body 14–15 pt; no table-wide exemption verified</x:v>
      </x:c>
      <x:c r="E2" t="str">
        <x:v>Cơ sở HD05 riêng cho mọi ô bảng hoặc quy trình phê duyệt ngoại lệ; không sửa 13 pt đã chốt</x:v>
      </x:c>
    </x:row>
    <x:row r="3">
      <x:c r="A3" t="str">
        <x:v>B02</x:v>
      </x:c>
      <x:c r="B3" t="str">
        <x:v>HD05.N.BANG.O.GIAN_DONG</x:v>
      </x:c>
      <x:c r="C3" t="str">
        <x:v>UNVERIFIED</x:v>
      </x:c>
      <x:c r="D3" t="str">
        <x:v>Single per profile versus HD05 body Exactly 18–22 pt; table cell scope unclear</x:v>
      </x:c>
      <x:c r="E3" t="str">
        <x:v>Văn bản chính thức xác nhận áp dụng Single cho bảng của hệ HD05 / phê duyệt ngoại lệ</x:v>
      </x:c>
    </x:row>
    <x:row r="4">
      <x:c r="A4" t="str">
        <x:v>B03</x:v>
      </x:c>
      <x:c r="B4" t="str">
        <x:v>ND30/HD05.D.CQ.BAN_HANH; CAP_TREN</x:v>
      </x:c>
      <x:c r="C4" t="str">
        <x:v>BLOCKED</x:v>
      </x:c>
      <x:c r="D4" t="str">
        <x:v>Tên cấp Đảng và quan hệ trực thuộc còn khác giữa profile và nguồn công khai</x:v>
      </x:c>
      <x:c r="E4" t="str">
        <x:v>Quyết định/biên bản tổ chức, văn bản Đảng ban hành còn hiệu lực xác nhận tên</x:v>
      </x:c>
    </x:row>
    <x:row r="5">
      <x:c r="A5" t="str">
        <x:v>B04</x:v>
      </x:c>
      <x:c r="B5" t="str">
        <x:v>ND30/HD05.D.SK.KY_HIEU_CO_QUAN</x:v>
      </x:c>
      <x:c r="C5" t="str">
        <x:v>BLOCKED</x:v>
      </x:c>
      <x:c r="D5" t="str">
        <x:v>HTMB, ĐU, ĐUHTMB chưa có văn bản mẫu để khẳng định mã văn thư chính thức</x:v>
      </x:c>
      <x:c r="E5" t="str">
        <x:v>Bản văn bản phát hành hợp lệ hoặc quy chế mã ký hiệu</x:v>
      </x:c>
    </x:row>
    <x:row r="6">
      <x:c r="A6" t="str">
        <x:v>B05</x:v>
      </x:c>
      <x:c r="B6" t="str">
        <x:v>ND30/HD05.X.LIEN_HE.*</x:v>
      </x:c>
      <x:c r="C6" t="str">
        <x:v>BLOCKED</x:v>
      </x:c>
      <x:c r="D6" t="str">
        <x:v>Liên hệ website có thể kiểm tra nhưng thời điểm giá trị, fax khác biệt; chính sách ẩn/hiện tùy văn bản</x:v>
      </x:c>
      <x:c r="E6" t="str">
        <x:v>Danh mục liên hệ Công ty phê duyệt + quyết định hiển thị chân trang nếu cần</x:v>
      </x:c>
    </x:row>
    <x:row r="7">
      <x:c r="A7" t="str">
        <x:v>B06</x:v>
      </x:c>
      <x:c r="B7" t="str">
        <x:v>ND30/HD05.C.KY.* ; DAU.*</x:v>
      </x:c>
      <x:c r="C7" t="str">
        <x:v>BLOCKED</x:v>
      </x:c>
      <x:c r="D7" t="str">
        <x:v>Không có dữ liệu danh tính người ký, thẩm quyền, chữ ký/con dấu; nằm ngoài phạm vi bản dự thảo</x:v>
      </x:c>
      <x:c r="E7" t="str">
        <x:v>Văn bản cụ thể và quyền hạn ký tương ứng</x:v>
      </x:c>
    </x:row>
    <x:row r="8">
      <x:c r="A8" t="str">
        <x:v>B07</x:v>
      </x:c>
      <x:c r="B8" t="str">
        <x:v>ND30/HD05.X.MAT.* / KHAN.*</x:v>
      </x:c>
      <x:c r="C8" t="str">
        <x:v>BLOCKED</x:v>
      </x:c>
      <x:c r="D8" t="str">
        <x:v>Không thể tự suy mức mật/khẩn từ hình thức hoặc nội dung</x:v>
      </x:c>
      <x:c r="E8" t="str">
        <x:v>Chỉ đạo phân loại/cấp có thẩm quyền, theo văn bản</x:v>
      </x:c>
    </x:row>
    <x:row r="9">
      <x:c r="A9" t="str">
        <x:v>B08</x:v>
      </x:c>
      <x:c r="B9" t="str">
        <x:v>ND30/HD05.N.BANG.* 6pt/1.5mm/0.5pt/100%</x:v>
      </x:c>
      <x:c r="C9" t="str">
        <x:v>UNVERIFIED</x:v>
      </x:c>
      <x:c r="D9" t="str">
        <x:v>Đã chốt lựa chọn profile trong hội thoại, không phải trị số pháp lý được HD05/NĐ30 quy định riêng</x:v>
      </x:c>
      <x:c r="E9" t="str">
        <x:v>Không cần người dùng chốt lại; chỉ cần QA trên văn bản mẫu để chứng minh phù hợp</x:v>
      </x:c>
    </x:row>
    <x:row r="10">
      <x:c r="A10" t="str">
        <x:v>B09</x:v>
      </x:c>
      <x:c r="B10" t="str">
        <x:v>ALL_RULES</x:v>
      </x:c>
      <x:c r="C10" t="str">
        <x:v>BLOCKED</x:v>
      </x:c>
      <x:c r="D10" t="str">
        <x:v>Chưa có quyết định phê duyệt nội bộ chính thức; CW không được gán số hiệu giả</x:v>
      </x:c>
      <x:c r="E10" t="str">
        <x:v>Văn bản phê duyệt có số thật nếu cần sử dụng trạng thái CORPORATE_APPROVED</x:v>
      </x:c>
    </x:row>
    <x:row r="11">
      <x:c r="A11" t="str">
        <x:v>B10</x:v>
      </x:c>
      <x:c r="B11" t="str">
        <x:v>TQA_NR</x:v>
      </x:c>
      <x:c r="C11" t="str">
        <x:v>UNVERIFIED</x:v>
      </x:c>
      <x:c r="D11" t="str">
        <x:v>Không có font-shaping thật/đo độ rộng/chuyên gia đánh giá; ngưỡng đẹp chưa hiệu chỉnh</x:v>
      </x:c>
      <x:c r="E11" t="str">
        <x:v>DOCX benchmark + font thực, đo cấu trúc và nhãn đánh giá độc lập</x:v>
      </x:c>
    </x:row>
    <x:row r="12">
      <x:c r="A12" t="str">
        <x:v>B11</x:v>
      </x:c>
      <x:c r="B12" t="str">
        <x:v>G/section/orientation</x:v>
      </x:c>
      <x:c r="C12" t="str">
        <x:v>UNVERIFIED</x:v>
      </x:c>
      <x:c r="D12" t="str">
        <x:v>Bảng rộng có thể cần section landscape, nhưng chưa chứng minh bố cục DOCX thực tế</x:v>
      </x:c>
      <x:c r="E12" t="str">
        <x:v>DOCX cụ thể và phê duyệt đổi hướng trang</x:v>
      </x:c>
    </x:row>
    <x:row r="13">
      <x:c r="A13" t="str">
        <x:v>B12</x:v>
      </x:c>
      <x:c r="B13" t="str">
        <x:v>N.CAN_CU and numbering</x:v>
      </x:c>
      <x:c r="C13" t="str">
        <x:v>UNVERIFIED</x:v>
      </x:c>
      <x:c r="D13" t="str">
        <x:v>Dạng căn cứ/đánh số phải theo đúng loại văn bản; chưa phân theo 209 loại template</x:v>
      </x:c>
      <x:c r="E13" t="str">
        <x:v>Loại văn bản thực và mẫu tương ứng nếu làm QA chi tiết, không phát triển template hiện nay</x:v>
      </x:c>
    </x:row>
    <x:row r="14">
      <x:c r="A14" t="str">
        <x:v>B13</x:v>
      </x:c>
      <x:c r="B14" t="str">
        <x:v>D/X/G sources</x:v>
      </x:c>
      <x:c r="C14" t="str">
        <x:v>UNVERIFIED</x:v>
      </x:c>
      <x:c r="D14" t="str">
        <x:v>Nhiều preset kế thừa có URL cấp văn bản nhưng chưa có điều khoản xác minh ở cấp thuộc tính</x:v>
      </x:c>
      <x:c r="E14" t="str">
        <x:v>Đối chiếu chi tiết phụ lục/loại văn bản và ghi locator riêng</x:v>
      </x:c>
    </x:row>
    <x:row r="15">
      <x:c r="A15" t="str">
        <x:v>B14</x:v>
      </x:c>
      <x:c r="B15" t="str">
        <x:v>TQA test rendered appearance</x:v>
      </x:c>
      <x:c r="C15" t="str">
        <x:v>BLOCKED</x:v>
      </x:c>
      <x:c r="D15" t="str">
        <x:v>Không có tài liệu DOCX gốc và kết quả render hiện tại</x:v>
      </x:c>
      <x:c r="E15" t="str">
        <x:v>Mẫu thật để kiểm tra sau này; offline structural QA vẫn có thể hoàn tất</x:v>
      </x:c>
    </x:row>
  </x:sheetData>
  <x:pageMargins left="0.7" right="0.7" top="0.75" bottom="0.75" header="0.3" footer="0.3"/>
</x:worksheet>
</file>

<file path=xl/worksheets/sheet3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5" hidden="0" customWidth="1"/>
    <x:col min="3" max="3" width="19" hidden="0" customWidth="1"/>
    <x:col min="4" max="4" width="63" hidden="0" customWidth="1"/>
    <x:col min="5" max="5" width="33" hidden="0" customWidth="1"/>
    <x:col min="6" max="6" width="21" hidden="0" customWidth="1"/>
    <x:col min="7" max="7" width="59" hidden="0" customWidth="1"/>
  </x:cols>
  <x:sheetData>
    <x:row r="1" ht="28" customHeight="1">
      <x:c r="A1" s="305" t="str">
        <x:v>Gate</x:v>
      </x:c>
      <x:c r="B1" s="305" t="str">
        <x:v>Tên gate</x:v>
      </x:c>
      <x:c r="C1" s="305" t="str">
        <x:v>Loại</x:v>
      </x:c>
      <x:c r="D1" s="305" t="str">
        <x:v>Định nghĩa</x:v>
      </x:c>
      <x:c r="E1" s="305" t="str">
        <x:v>Mức bằng chứng hiện có</x:v>
      </x:c>
      <x:c r="F1" s="305" t="str">
        <x:v>Kết quả</x:v>
      </x:c>
      <x:c r="G1" s="305" t="str">
        <x:v>Giới hạn</x:v>
      </x:c>
    </x:row>
    <x:row r="2">
      <x:c r="A2" t="str">
        <x:v>G0</x:v>
      </x:c>
      <x:c r="B2" t="str">
        <x:v>AUTHORITY/INTEGRITY</x:v>
      </x:c>
      <x:c r="C2" t="str">
        <x:v>HARD_GATE</x:v>
      </x:c>
      <x:c r="D2" t="str">
        <x:v>Legal scope, provenance, text integrity, locks, 13pt TNR effective in table</x:v>
      </x:c>
      <x:c r="E2" t="str">
        <x:v>STRUCTURE_FROM_WORKBOOK</x:v>
      </x:c>
      <x:c r="F2" t="str">
        <x:v>BLOCKED_IF_MISMATCH</x:v>
      </x:c>
      <x:c r="G2" t="str">
        <x:v>Không gọi đây là điểm đẹp</x:v>
      </x:c>
    </x:row>
    <x:row r="3">
      <x:c r="A3" t="str">
        <x:v>G1</x:v>
      </x:c>
      <x:c r="B3" t="str">
        <x:v>SEMANTIC_GRAPH</x:v>
      </x:c>
      <x:c r="C3" t="str">
        <x:v>HARD_GATE</x:v>
      </x:c>
      <x:c r="D3" t="str">
        <x:v>Preserve row/column associations, repeated hierarchical headers, merges, totals, meaning of source labels</x:v>
      </x:c>
      <x:c r="E3" t="str">
        <x:v>RULE_INFERENCE_NOT_MEASURED</x:v>
      </x:c>
      <x:c r="F3" t="str">
        <x:v>REVIEW</x:v>
      </x:c>
      <x:c r="G3" t="str">
        <x:v>Header-data mapping cần dữ liệu bảng DOCX cụ thể</x:v>
      </x:c>
    </x:row>
    <x:row r="4">
      <x:c r="A4" t="str">
        <x:v>G2</x:v>
      </x:c>
      <x:c r="B4" t="str">
        <x:v>WIDTH_AND_LINE_BOX</x:v>
      </x:c>
      <x:c r="C4" t="str">
        <x:v>RISK_GATE</x:v>
      </x:c>
      <x:c r="D4" t="str">
        <x:v>usable width from section/container; trHeight and paragraph exact line spacing, margin cell, footnotes/nested tables</x:v>
      </x:c>
      <x:c r="E4" t="str">
        <x:v>NO_FONT_MEASUREMENT</x:v>
      </x:c>
      <x:c r="F4" t="str">
        <x:v>UNKNOWN</x:v>
      </x:c>
      <x:c r="G4" t="str">
        <x:v>Không tính dòng bằng guessed glyph width</x:v>
      </x:c>
    </x:row>
    <x:row r="5">
      <x:c r="A5" t="str">
        <x:v>G3</x:v>
      </x:c>
      <x:c r="B5" t="str">
        <x:v>TASK_READABILITY</x:v>
      </x:c>
      <x:c r="C5" t="str">
        <x:v>PROXY</x:v>
      </x:c>
      <x:c r="D5" t="str">
        <x:v>Comparison/lookup/summary/action/compliance, number alignment and wrapping</x:v>
      </x:c>
      <x:c r="E5" t="str">
        <x:v>HEURISTIC_ONLY</x:v>
      </x:c>
      <x:c r="F5" t="str">
        <x:v>NOT_CALIBRATED</x:v>
      </x:c>
      <x:c r="G5" t="str">
        <x:v>Không coi heuristic là đo trải nghiệm người đọc</x:v>
      </x:c>
    </x:row>
    <x:row r="6">
      <x:c r="A6" t="str">
        <x:v>G4</x:v>
      </x:c>
      <x:c r="B6" t="str">
        <x:v>AESTHETIC_COHERENCE</x:v>
      </x:c>
      <x:c r="C6" t="str">
        <x:v>PROXY</x:v>
      </x:c>
      <x:c r="D6" t="str">
        <x:v>Padding, alignment, border hierarchy, repetition, whitespace consistency</x:v>
      </x:c>
      <x:c r="E6" t="str">
        <x:v>RULE_BASED_INFERENCE</x:v>
      </x:c>
      <x:c r="F6" t="str">
        <x:v>NOT_CALIBRATED</x:v>
      </x:c>
      <x:c r="G6" t="str">
        <x:v>Không gán điểm đẹp chuẩn hóa</x:v>
      </x:c>
    </x:row>
    <x:row r="7">
      <x:c r="A7" t="str">
        <x:v>G5</x:v>
      </x:c>
      <x:c r="B7" t="str">
        <x:v>MINIMAL_EDIT</x:v>
      </x:c>
      <x:c r="C7" t="str">
        <x:v>PREFERENCE</x:v>
      </x:c>
      <x:c r="D7" t="str">
        <x:v>When score difference ambiguous, preserve baseline and explain review</x:v>
      </x:c>
      <x:c r="E7" t="str">
        <x:v>PROFILE_POLICY</x:v>
      </x:c>
      <x:c r="F7" t="str">
        <x:v>CHECK_ONLY</x:v>
      </x:c>
      <x:c r="G7" t="str">
        <x:v>Không tự sửa định dạng gốc</x:v>
      </x:c>
    </x:row>
  </x:sheetData>
  <x:pageMargins left="0.7" right="0.7" top="0.75" bottom="0.75" header="0.3" footer="0.3"/>
</x:worksheet>
</file>

<file path=xl/worksheets/sheet3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40" hidden="0" customWidth="1"/>
    <x:col min="3" max="3" width="46" hidden="0" customWidth="1"/>
    <x:col min="4" max="4" width="64" hidden="0" customWidth="1"/>
    <x:col min="5" max="5" width="25" hidden="0" customWidth="1"/>
    <x:col min="6" max="6" width="21" hidden="0" customWidth="1"/>
  </x:cols>
  <x:sheetData>
    <x:row r="1" ht="28" customHeight="1">
      <x:c r="A1" s="305" t="str">
        <x:v>Case</x:v>
      </x:c>
      <x:c r="B1" s="305" t="str">
        <x:v>Tình huống</x:v>
      </x:c>
      <x:c r="C1" s="305" t="str">
        <x:v>Đầu vào điều kiện</x:v>
      </x:c>
      <x:c r="D1" s="305" t="str">
        <x:v>Kỳ vọng offline</x:v>
      </x:c>
      <x:c r="E1" s="305" t="str">
        <x:v>Kết quả kiểm rule</x:v>
      </x:c>
      <x:c r="F1" s="305" t="str">
        <x:v>Mức xác minh</x:v>
      </x:c>
    </x:row>
    <x:row r="2">
      <x:c r="A2" t="str">
        <x:v>TC01</x:v>
      </x:c>
      <x:c r="B2" t="str">
        <x:v>ND30 normal paragraph to table</x:v>
      </x:c>
      <x:c r="C2" t="str">
        <x:v>Khoảng trước bảng đúng 6 pt biên, đoạn trước after=6pt</x:v>
      </x:c>
      <x:c r="D2" t="str">
        <x:v>Chọn 1 quy tắc khoảng cách tại ranh giới; không cộng 12pt</x:v>
      </x:c>
      <x:c r="E2" t="str">
        <x:v>PASS_RULE_LOGIC</x:v>
      </x:c>
      <x:c r="F2" t="str">
        <x:v>NOT_RENDERED</x:v>
      </x:c>
    </x:row>
    <x:row r="3">
      <x:c r="A3" t="str">
        <x:v>TC02</x:v>
      </x:c>
      <x:c r="B3" t="str">
        <x:v>HD05 table caption outside</x:v>
      </x:c>
      <x:c r="C3" t="str">
        <x:v>Có caption ngoài bảng trước bảng</x:v>
      </x:c>
      <x:c r="D3" t="str">
        <x:v>Bắt TIEU_DE.KHOANG_CACH và không cộng BO_CUC.KHOANG_TRUOC</x:v>
      </x:c>
      <x:c r="E3" t="str">
        <x:v>PASS_RULE_LOGIC</x:v>
      </x:c>
      <x:c r="F3" t="str">
        <x:v>NOT_RENDERED</x:v>
      </x:c>
    </x:row>
    <x:row r="4">
      <x:c r="A4" t="str">
        <x:v>TC03</x:v>
      </x:c>
      <x:c r="B4" t="str">
        <x:v>Table with note inside cell</x:v>
      </x:c>
      <x:c r="C4" t="str">
        <x:v>Chú thích nằm trong ô</x:v>
      </x:c>
      <x:c r="D4" t="str">
        <x:v>Không kích hoạt GHI_CHU.CACH_BANG ở ngoài bảng</x:v>
      </x:c>
      <x:c r="E4" t="str">
        <x:v>PASS_RULE_LOGIC</x:v>
      </x:c>
      <x:c r="F4" t="str">
        <x:v>NOT_RENDERED</x:v>
      </x:c>
    </x:row>
    <x:row r="5">
      <x:c r="A5" t="str">
        <x:v>TC04</x:v>
      </x:c>
      <x:c r="B5" t="str">
        <x:v>Table spanning pages</x:v>
      </x:c>
      <x:c r="C5" t="str">
        <x:v>Header 2 tầng liên tiếp ở đầu bảng</x:v>
      </x:c>
      <x:c r="D5" t="str">
        <x:v>Bắt buộc lặp cả hai tầng, 2 mã chung quyết định</x:v>
      </x:c>
      <x:c r="E5" t="str">
        <x:v>PASS_RULE_LOGIC</x:v>
      </x:c>
      <x:c r="F5" t="str">
        <x:v>NOT_RENDERED</x:v>
      </x:c>
    </x:row>
    <x:row r="6">
      <x:c r="A6" t="str">
        <x:v>TC05</x:v>
      </x:c>
      <x:c r="B6" t="str">
        <x:v>Long row larger than page</x:v>
      </x:c>
      <x:c r="C6" t="str">
        <x:v>Một hàng chứa nhiều trang nội dung</x:v>
      </x:c>
      <x:c r="D6" t="str">
        <x:v>Flag REVIEW, không đảm bảo cantSplit tuyệt đối</x:v>
      </x:c>
      <x:c r="E6" t="str">
        <x:v>PASS_RULE_LOGIC</x:v>
      </x:c>
      <x:c r="F6" t="str">
        <x:v>NOT_RENDERED</x:v>
      </x:c>
    </x:row>
    <x:row r="7">
      <x:c r="A7" t="str">
        <x:v>TC06</x:v>
      </x:c>
      <x:c r="B7" t="str">
        <x:v>HD05 13pt Single cell</x:v>
      </x:c>
      <x:c r="C7" t="str">
        <x:v>Bảng trong thân văn bản Đảng</x:v>
      </x:c>
      <x:c r="D7" t="str">
        <x:v>Tôn trọng preset profile nhưng UNVERIFIED pháp lý</x:v>
      </x:c>
      <x:c r="E7" t="str">
        <x:v>PASS_STATE_SEPARATION</x:v>
      </x:c>
      <x:c r="F7" t="str">
        <x:v>NOT_RENDERED</x:v>
      </x:c>
    </x:row>
    <x:row r="8">
      <x:c r="A8" t="str">
        <x:v>TC07</x:v>
      </x:c>
      <x:c r="B8" t="str">
        <x:v>ND30 legal bases</x:v>
      </x:c>
      <x:c r="C8" t="str">
        <x:v>Căn cứ trong quyết định và trong báo cáo</x:v>
      </x:c>
      <x:c r="D8" t="str">
        <x:v>Không áp mặc định in nghiêng chung</x:v>
      </x:c>
      <x:c r="E8" t="str">
        <x:v>PASS_BRANCH_DESCRIPTION</x:v>
      </x:c>
      <x:c r="F8" t="str">
        <x:v>NOT_RENDERED</x:v>
      </x:c>
    </x:row>
    <x:row r="9">
      <x:c r="A9" t="str">
        <x:v>TC08</x:v>
      </x:c>
      <x:c r="B9" t="str">
        <x:v>HD05 To trinh</x:v>
      </x:c>
      <x:c r="C9" t="str">
        <x:v>Có nhãn Kính trình</x:v>
      </x:c>
      <x:c r="D9" t="str">
        <x:v>Chỉ dạng phù hợp, không gộp với Kính gửi</x:v>
      </x:c>
      <x:c r="E9" t="str">
        <x:v>PASS_CONDITIONAL_ROUTE</x:v>
      </x:c>
      <x:c r="F9" t="str">
        <x:v>NOT_RENDERED</x:v>
      </x:c>
    </x:row>
    <x:row r="10">
      <x:c r="A10" t="str">
        <x:v>TC09</x:v>
      </x:c>
      <x:c r="B10" t="str">
        <x:v>Draft document no signature</x:v>
      </x:c>
      <x:c r="C10" t="str">
        <x:v>Chưa ký phát hành</x:v>
      </x:c>
      <x:c r="D10" t="str">
        <x:v>Không tự tạo chữ ký/dấu</x:v>
      </x:c>
      <x:c r="E10" t="str">
        <x:v>PASS_PROTECTION_GATE</x:v>
      </x:c>
      <x:c r="F10" t="str">
        <x:v>NOT_RENDERED</x:v>
      </x:c>
    </x:row>
    <x:row r="11">
      <x:c r="A11" t="str">
        <x:v>TC10</x:v>
      </x:c>
      <x:c r="B11" t="str">
        <x:v>Phone column versus numerical quantity</x:v>
      </x:c>
      <x:c r="C11" t="str">
        <x:v>Mã bưu chính/điện thoại có chữ số</x:v>
      </x:c>
      <x:c r="D11" t="str">
        <x:v>Không áp luật căn phải của đại lượng</x:v>
      </x:c>
      <x:c r="E11" t="str">
        <x:v>PASS_SEMANTIC_ROUTE</x:v>
      </x:c>
      <x:c r="F11" t="str">
        <x:v>NOT_RENDERED</x:v>
      </x:c>
    </x:row>
    <x:row r="12">
      <x:c r="A12" t="str">
        <x:v>TC11</x:v>
      </x:c>
      <x:c r="B12" t="str">
        <x:v>Portrait vs landscape</x:v>
      </x:c>
      <x:c r="C12" t="str">
        <x:v>Bảng rộng tràn vùng in</x:v>
      </x:c>
      <x:c r="D12" t="str">
        <x:v>REVIEW; không chuyển tất cả section mặc định</x:v>
      </x:c>
      <x:c r="E12" t="str">
        <x:v>PASS_EXCEPTION_ROUTE</x:v>
      </x:c>
      <x:c r="F12" t="str">
        <x:v>NOT_RENDERED</x:v>
      </x:c>
    </x:row>
    <x:row r="13">
      <x:c r="A13" t="str">
        <x:v>TC12</x:v>
      </x:c>
      <x:c r="B13" t="str">
        <x:v>TQA no shaping</x:v>
      </x:c>
      <x:c r="C13" t="str">
        <x:v>Không có font TNR thật và DOCX</x:v>
      </x:c>
      <x:c r="D13" t="str">
        <x:v>Không được báo width-measured hoặc điểm đẹp</x:v>
      </x:c>
      <x:c r="E13" t="str">
        <x:v>PASS_EVIDENCE_GATE</x:v>
      </x:c>
      <x:c r="F13" t="str">
        <x:v>NOT_CALIBRATED</x:v>
      </x:c>
    </x:row>
    <x:row r="14">
      <x:c r="A14" t="str">
        <x:v>TC13</x:v>
      </x:c>
      <x:c r="B14" t="str">
        <x:v>Legal precedence</x:v>
      </x:c>
      <x:c r="C14" t="str">
        <x:v>Cột gợi ý Single trong bảng HD05</x:v>
      </x:c>
      <x:c r="D14" t="str">
        <x:v>Không đánh dấu phù hợp HD05 khi thiếu ngoại lệ</x:v>
      </x:c>
      <x:c r="E14" t="str">
        <x:v>PASS_LEGAL_GATE</x:v>
      </x:c>
      <x:c r="F14" t="str">
        <x:v>NOT_RENDERED</x:v>
      </x:c>
    </x:row>
    <x:row r="15">
      <x:c r="A15" t="str">
        <x:v>TC14</x:v>
      </x:c>
      <x:c r="B15" t="str">
        <x:v>Hidden contact footer</x:v>
      </x:c>
      <x:c r="C15" t="str">
        <x:v>Không phải công văn đối ngoại</x:v>
      </x:c>
      <x:c r="D15" t="str">
        <x:v>Không render liên hệ; không thêm số điện thoại</x:v>
      </x:c>
      <x:c r="E15" t="str">
        <x:v>PASS_CONDITIONAL_ROUTE</x:v>
      </x:c>
      <x:c r="F15" t="str">
        <x:v>NOT_RENDERED</x:v>
      </x:c>
    </x:row>
    <x:row r="16">
      <x:c r="A16" t="str">
        <x:v>TC15</x:v>
      </x:c>
      <x:c r="B16" t="str">
        <x:v>Heading + whole multipage table</x:v>
      </x:c>
      <x:c r="C16" t="str">
        <x:v>Tiêu đề ngoài bảng và bảng 4 trang</x:v>
      </x:c>
      <x:c r="D16" t="str">
        <x:v>Chỉ giữ caption với phần đầu bảng, không ép giữ cả bảng một trang</x:v>
      </x:c>
      <x:c r="E16" t="str">
        <x:v>PASS_BRANCH_DESCRIPTION</x:v>
      </x:c>
      <x:c r="F16" t="str">
        <x:v>NOT_RENDERED</x:v>
      </x:c>
    </x:row>
  </x:sheetData>
  <x:pageMargins left="0.7" right="0.7" top="0.75" bottom="0.75" header="0.3" footer="0.3"/>
</x:worksheet>
</file>

<file path=xl/worksheets/sheet4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115" hidden="0" customWidth="1"/>
  </x:cols>
  <x:sheetData>
    <x:row r="1" ht="28" customHeight="1">
      <x:c r="A1" s="305" t="str">
        <x:v>Mục</x:v>
      </x:c>
      <x:c r="B1" s="305" t="str">
        <x:v>Hướng dẫn</x:v>
      </x:c>
    </x:row>
    <x:row r="2">
      <x:c r="A2" t="str">
        <x:v>Version</x:v>
      </x:c>
      <x:c r="B2" t="str">
        <x:v>1.7.6 — bản hoàn thiện cấu trúc C/N/G/X + kiểm kê 132 bảng; bảo toàn v1.7.5</x:v>
      </x:c>
    </x:row>
    <x:row r="3">
      <x:c r="A3" t="str">
        <x:v>Source workbook</x:v>
      </x:c>
      <x:c r="B3" t="str">
        <x:v>BO_RULE_PROFILE_HTHHMB_v1.7.5_TACH_SAU_PHAN_DAU.xlsx</x:v>
      </x:c>
    </x:row>
    <x:row r="4">
      <x:c r="A4" t="str">
        <x:v>Source SHA256</x:v>
      </x:c>
      <x:c r="B4" t="str">
        <x:v>c1862dc733a11dfbea5a403b4221fa0e79d5fb99b9df40fe8e79bba68ccfa9a3</x:v>
      </x:c>
    </x:row>
    <x:row r="5">
      <x:c r="A5" t="str">
        <x:v>Authority priority</x:v>
      </x:c>
      <x:c r="B5" t="str">
        <x:v>1. Quy định hiện hành &amp; phạm vi -&gt; 2. Xác định loại văn bản + đối tượng -&gt; 3. Giá trị profile người dùng đã chốt, chỉ khi không trái quy định -&gt; 4. Preset chưa duyệt -&gt; 5. Giữ nguyên và báo BLOCKED</x:v>
      </x:c>
    </x:row>
    <x:row r="6">
      <x:c r="A6" t="str">
        <x:v>Rule domains</x:v>
      </x:c>
      <x:c r="B6" t="str">
        <x:v>D: DAU_ND30/HD05 (v1.7.5); C/N/G/X: RULE_[group]_[sys]; Table: BANG_ND30/HD05 + AUDIT_BANG_132</x:v>
      </x:c>
    </x:row>
    <x:row r="7">
      <x:c r="A7" t="str">
        <x:v>Authoritative parent index</x:v>
      </x:c>
      <x:c r="B7" t="str">
        <x:v>MA_TRAN_165; không tự sinh mã cha ngoài 80 ND30 + 85 HD05</x:v>
      </x:c>
    </x:row>
    <x:row r="8">
      <x:c r="A8" t="str">
        <x:v>State separation</x:v>
      </x:c>
      <x:c r="B8" t="str">
        <x:v>Trạng thái nguồn theo thuộc tính, trạng thái profile, nguồn giá trị, thao tác CHECK_ONLY là các cột khác nhau. Không nâng PENDING thành APPROVED.</x:v>
      </x:c>
    </x:row>
    <x:row r="9">
      <x:c r="A9" t="str">
        <x:v>HD05 gate</x:v>
      </x:c>
      <x:c r="B9" t="str">
        <x:v>Chỉ áp HD05 cho chủ thể Đảng hợp lệ; không áp HD05 cho đơn vị doanh nghiệp chỉ vì cùng tên Công ty</x:v>
      </x:c>
    </x:row>
    <x:row r="10">
      <x:c r="A10" t="str">
        <x:v>Paragraph vs table</x:v>
      </x:c>
      <x:c r="B10" t="str">
        <x:v>Không áp Exactly 18–22pt và 14–15pt phần thân vào bảng một cách máy móc; nhưng không coi 13pt/Single bảng là đã được ngoại lệ pháp lý xác minh</x:v>
      </x:c>
    </x:row>
    <x:row r="11">
      <x:c r="A11" t="str">
        <x:v>Table repeat header</x:v>
      </x:c>
      <x:c r="B11" t="str">
        <x:v>Bắt buộc theo profile khi qua trang; alias NGAT_TRANG.GIU_DAU_BANG tham chiếu DAU_BANG.LAP_LAI</x:v>
      </x:c>
    </x:row>
    <x:row r="12">
      <x:c r="A12" t="str">
        <x:v>No spacing addition</x:v>
      </x:c>
      <x:c r="B12" t="str">
        <x:v>6pt ở mỗi RANH GIỚI là khoảng mục tiêu; không tự cộng 6pt vào spacing sau/trước đã có</x:v>
      </x:c>
    </x:row>
    <x:row r="13">
      <x:c r="A13" t="str">
        <x:v>No font measurement</x:v>
      </x:c>
      <x:c r="B13" t="str">
        <x:v>Không có font shaping/đo glyph; TQA G2 = UNKNOWN nếu không có đối tượng và số đo</x:v>
      </x:c>
    </x:row>
    <x:row r="14">
      <x:c r="A14" t="str">
        <x:v>No calibrated beauty</x:v>
      </x:c>
      <x:c r="B14" t="str">
        <x:v>G3/G4 là proxy, chưa có nhãn chuyên gia/chưa hiệu chỉnh thang điểm, không báo điểm thẩm mỹ như kết quả khoa học</x:v>
      </x:c>
    </x:row>
    <x:row r="15">
      <x:c r="A15" t="str">
        <x:v>Critical blocking</x:v>
      </x:c>
      <x:c r="B15" t="str">
        <x:v>Bất kỳ thiếu căn cứ pháp lý, chức vụ/chữ ký/số ký hiệu hoặc khác biệt profile cần ghi UNVERIFIED/BLOCKED, không suy đoán</x:v>
      </x:c>
    </x:row>
    <x:row r="16">
      <x:c r="A16" t="str">
        <x:v>Legacy sheet integrity</x:v>
      </x:c>
      <x:c r="B16" t="str">
        <x:v>Tất cả sheet v1.7.5 giữ nguyên giá trị và công thức; sheet mới chỉ là lớp quy tắc bổ sung</x:v>
      </x:c>
    </x:row>
    <x:row r="17">
      <x:c r="A17" t="str">
        <x:v>No formatter</x:v>
      </x:c>
      <x:c r="B17" t="str">
        <x:v>Bộ dữ liệu hướng dẫn đọc/kiểm tra offline; không sửa DOCX/209 template</x:v>
      </x:c>
    </x:row>
  </x:sheetData>
  <x:pageMargins left="0.7" right="0.7" top="0.75" bottom="0.75" header="0.3" footer="0.3"/>
</x:worksheet>
</file>

<file path=xl/worksheets/sheet4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16" hidden="0" customWidth="1"/>
    <x:col min="3" max="3" width="96" hidden="0" customWidth="1"/>
    <x:col min="4" max="4" width="48" hidden="0" customWidth="1"/>
  </x:cols>
  <x:sheetData>
    <x:row r="1" ht="28" customHeight="1">
      <x:c r="A1" s="305" t="str">
        <x:v>Ngày</x:v>
      </x:c>
      <x:c r="B1" s="305" t="str">
        <x:v>Mã</x:v>
      </x:c>
      <x:c r="C1" s="305" t="str">
        <x:v>Thay đổi</x:v>
      </x:c>
      <x:c r="D1" s="305" t="str">
        <x:v>Tác động dữ liệu gốc</x:v>
      </x:c>
    </x:row>
    <x:row r="2">
      <x:c r="A2" t="str">
        <x:v>2026-10-29</x:v>
      </x:c>
      <x:c r="B2" t="str">
        <x:v>V176-01</x:v>
      </x:c>
      <x:c r="C2" t="str">
        <x:v>Bổ sung 8 sheet RULE_C/N/G/X cho NĐ30 và HD05</x:v>
      </x:c>
      <x:c r="D2" t="str">
        <x:v>22+4 sheet cũ giữ nguyên</x:v>
      </x:c>
    </x:row>
    <x:row r="3">
      <x:c r="A3" t="str">
        <x:v>2026-10-29</x:v>
      </x:c>
      <x:c r="B3" t="str">
        <x:v>V176-02</x:v>
      </x:c>
      <x:c r="C3" t="str">
        <x:v>Kiểm kê đủ 132 mã bảng với nguyên tắc vai trò, alias, nguồn và ngoại lệ</x:v>
      </x:c>
      <x:c r="D3" t="str">
        <x:v>Không thay dữ liệu BANG_ND30/BANG_HD05</x:v>
      </x:c>
    </x:row>
    <x:row r="4">
      <x:c r="A4" t="str">
        <x:v>2026-10-29</x:v>
      </x:c>
      <x:c r="B4" t="str">
        <x:v>V176-03</x:v>
      </x:c>
      <x:c r="C4" t="str">
        <x:v>Ma trận 165 trường cha, liên kết 434 rule D cũ và toàn bộ rule mới</x:v>
      </x:c>
      <x:c r="D4" t="str">
        <x:v>Giữ nguyên 165 trường cha</x:v>
      </x:c>
    </x:row>
    <x:row r="5">
      <x:c r="A5" t="str">
        <x:v>2026-10-29</x:v>
      </x:c>
      <x:c r="B5" t="str">
        <x:v>V176-04</x:v>
      </x:c>
      <x:c r="C5" t="str">
        <x:v>Gate phân loại pháp lý/profile/giá trị nguồn + 14 blockers</x:v>
      </x:c>
      <x:c r="D5" t="str">
        <x:v>Không tự tạo QĐ/CW</x:v>
      </x:c>
    </x:row>
    <x:row r="6">
      <x:c r="A6" t="str">
        <x:v>2026-10-29</x:v>
      </x:c>
      <x:c r="B6" t="str">
        <x:v>V176-05</x:v>
      </x:c>
      <x:c r="C6" t="str">
        <x:v>TQA-NR G0–G5: compliance tách proxy; 15 case test logic</x:v>
      </x:c>
      <x:c r="D6" t="str">
        <x:v>Không tuyên bố đo font hoặc điểm đẹp</x:v>
      </x:c>
    </x:row>
    <x:row r="7">
      <x:c r="A7" t="str">
        <x:v>2026-10-29</x:v>
      </x:c>
      <x:c r="B7" t="str">
        <x:v>V176-06</x:v>
      </x:c>
      <x:c r="C7" t="str">
        <x:v>Tạo offline Markdown, CSV rule machine-readable, manifest và QA</x:v>
      </x:c>
      <x:c r="D7" t="str">
        <x:v>Không sửa template/formatter</x:v>
      </x:c>
    </x:row>
  </x:sheetData>
  <x:pageMargins left="0.7" right="0.7" top="0.75" bottom="0.75" header="0.3" footer="0.3"/>
</x:worksheet>
</file>